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5c876565e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58cc9ba106e24d7c"/>
    <x:sheet xmlns:r="http://schemas.openxmlformats.org/officeDocument/2006/relationships" name="Cohort flow" sheetId="2" r:id="Re091a7b4a3f24002"/>
    <x:sheet xmlns:r="http://schemas.openxmlformats.org/officeDocument/2006/relationships" name="Protein records" sheetId="3" r:id="R718973b6cfa9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"/>
    <x:numFmt numFmtId="202" formatCode="@"/>
    <x:numFmt numFmtId="203" formatCode="#,##0"/>
    <x:numFmt numFmtId="204" formatCode="0.000"/>
    <x:numFmt numFmtId="205" formatCode="0.0%"/>
  </x:numFmts>
  <x:fonts count="5">
    <x:font>
      <x:sz val="11"/>
      <x:name val="Carlito"/>
    </x:font>
    <x:font>
      <x:sz val="11"/>
      <x:color rgb="FF172B40"/>
      <x:name val="Arial"/>
    </x:font>
    <x:font>
      <x:b/>
      <x:sz val="11"/>
      <x:color rgb="FFFFFFFF"/>
      <x:name val="Arial"/>
    </x:font>
    <x:font>
      <x:b/>
      <x:sz val="16"/>
      <x:color rgb="FF172B40"/>
      <x:name val="Arial"/>
    </x:font>
    <x:font>
      <x:b/>
      <x:sz val="12"/>
      <x:color rgb="FF172B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D59"/>
      </x:patternFill>
    </x:fill>
    <x:fill>
      <x:patternFill patternType="solid">
        <x:fgColor rgb="FFEAF0F6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A9B9CA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c57a9e2db4320" /><Relationship Type="http://schemas.openxmlformats.org/officeDocument/2006/relationships/theme" Target="/xl/theme/theme1.xml" Id="Rb53e81efdb2d487b" /><Relationship Type="http://schemas.openxmlformats.org/officeDocument/2006/relationships/sharedStrings" Target="/xl/sharedStrings.xml" Id="R43a123acbcba4839" /><Relationship Type="http://schemas.openxmlformats.org/officeDocument/2006/relationships/worksheet" Target="/xl/worksheets/sheet1.xml" Id="R58cc9ba106e24d7c" /><Relationship Type="http://schemas.openxmlformats.org/officeDocument/2006/relationships/worksheet" Target="/xl/worksheets/sheet2.xml" Id="Re091a7b4a3f24002" /><Relationship Type="http://schemas.openxmlformats.org/officeDocument/2006/relationships/worksheet" Target="/xl/worksheets/sheet3.xml" Id="R718973b6cfa94483" /></Relationships>
</file>

<file path=xl/tables/table1.xml><?xml version="1.0" encoding="utf-8"?>
<x:table xmlns:x="http://schemas.openxmlformats.org/spreadsheetml/2006/main" id="1" name="MouseProteinRecords" displayName="MouseProteinRecords" ref="A1:T3293" headerRowCount="1" totalsRowCount="0" totalsRowShown="0">
  <x:tableColumns count="20">
    <x:tableColumn id="1" name="UniProt_ID"/>
    <x:tableColumn id="2" name="Degradation_profile"/>
    <x:tableColumn id="3" name="NCLE_any"/>
    <x:tableColumn id="4" name="NCLE_High_only"/>
    <x:tableColumn id="5" name="Mean_pLDDT"/>
    <x:tableColumn id="6" name="Protein_length"/>
    <x:tableColumn id="7" name="Knotted"/>
    <x:tableColumn id="8" name="Covalent_any_source"/>
    <x:tableColumn id="9" name="Membrane_keyword"/>
    <x:tableColumn id="10" name="Secreted_keyword"/>
    <x:tableColumn id="11" name="Core_eligible"/>
    <x:tableColumn id="12" name="NED_binary"/>
    <x:tableColumn id="13" name="Primary_included"/>
    <x:tableColumn id="14" name="Sensitivity_included"/>
    <x:tableColumn id="15" name="First_exclusion"/>
    <x:tableColumn id="16" name="AF_UniProt_length_disagreement"/>
    <x:tableColumn id="17" name="Model_ID"/>
    <x:tableColumn id="18" name="Metadata_status"/>
    <x:tableColumn id="19" name="Source_Excel_row"/>
    <x:tableColumn id="20" name="Current_UniProt_leng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5c6b6b7add44248" /></Relationships>
</file>

<file path=xl/worksheets/sheet1.xml><?xml version="1.0" encoding="utf-8"?>
<x:worksheet xmlns:x="http://schemas.openxmlformats.org/spreadsheetml/2006/main">
  <x:sheetPr>
    <x:tabColor rgb="FF243D59"/>
  </x:sheetPr>
  <x:sheetViews>
    <x:sheetView showGridLines="0" workbookViewId="0"/>
  </x:sheetViews>
  <x:sheetFormatPr defaultRowHeight="15"/>
  <x:cols>
    <x:col min="1" max="1" width="29" hidden="0" customWidth="1"/>
    <x:col min="2" max="2" width="26" hidden="0" customWidth="1"/>
    <x:col min="3" max="3" width="12" hidden="0" customWidth="1"/>
    <x:col min="4" max="4" width="16" hidden="0" customWidth="1"/>
    <x:col min="5" max="5" width="17" hidden="0" customWidth="1"/>
    <x:col min="6" max="6" width="17" hidden="0" customWidth="1"/>
    <x:col min="7" max="7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9" customHeight="1">
      <x:c r="A2" s="13" t="str">
        <x:v>Mouse NCLE–NED association</x:v>
      </x:c>
      <x:c r="B2" s="2"/>
      <x:c r="C2" s="2"/>
      <x:c r="D2" s="2"/>
      <x:c r="E2" s="2"/>
      <x:c r="F2" s="2"/>
      <x:c r="G2" s="2"/>
    </x:row>
    <x:row r="3" ht="23" customHeight="1">
      <x:c r="A3" s="14"/>
      <x:c r="B3" s="14"/>
      <x:c r="C3" s="14"/>
      <x:c r="D3" s="14"/>
      <x:c r="E3" s="14"/>
      <x:c r="F3" s="14"/>
      <x:c r="G3" s="14"/>
    </x:row>
    <x:row r="4" ht="23" customHeight="1">
      <x:c r="A4" s="2" t="str">
        <x:v>Mean pLDDT ≥70. Membrane, secreted, knotted and covalent-lasso proteins excluded.</x:v>
      </x:c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36" customHeight="1">
      <x:c r="A6" s="7" t="str">
        <x:v>Comparison</x:v>
      </x:c>
      <x:c r="B6" s="8" t="str">
        <x:v>Method</x:v>
      </x:c>
      <x:c r="C6" s="8" t="str">
        <x:v>N</x:v>
      </x:c>
      <x:c r="D6" s="8" t="str">
        <x:v>NCLE OR</x:v>
      </x:c>
      <x:c r="E6" s="8" t="str">
        <x:v>95% CI lower</x:v>
      </x:c>
      <x:c r="F6" s="8" t="str">
        <x:v>95% CI upper</x:v>
      </x:c>
      <x:c r="G6" s="9" t="str">
        <x:v>P-value</x:v>
      </x:c>
    </x:row>
    <x:row r="7" ht="23" customHeight="1">
      <x:c r="A7" s="17" t="str">
        <x:v>NED vs ED</x:v>
      </x:c>
      <x:c r="B7" s="17" t="str">
        <x:v>Crude</x:v>
      </x:c>
      <x:c r="C7" s="18" t="n">
        <x:f>SUM(F24:F25)</x:f>
        <x:v>788</x:v>
      </x:c>
      <x:c r="D7" s="19" t="n">
        <x:f>D24*E25/(E24*D25)</x:f>
        <x:v>1.4989270386266094</x:v>
      </x:c>
      <x:c r="E7" s="19" t="n">
        <x:f>EXP(LN(D7)-1.95996398454005*SQRT(1/D24+1/E24+1/D25+1/E25))</x:f>
        <x:v>0.9695381963733481</x:v>
      </x:c>
      <x:c r="F7" s="19" t="n">
        <x:f>EXP(LN(D7)+1.95996398454005*SQRT(1/D24+1/E24+1/D25+1/E25))</x:f>
        <x:v>2.317373648124689</x:v>
      </x:c>
      <x:c r="G7" s="19" t="n">
        <x:v>0.0786439247076205</x:v>
      </x:c>
    </x:row>
    <x:row r="8" ht="23" customHeight="1">
      <x:c r="A8" s="2" t="str">
        <x:v>NED vs ED</x:v>
      </x:c>
      <x:c r="B8" s="2" t="str">
        <x:v>Length-adjusted</x:v>
      </x:c>
      <x:c r="C8" s="15" t="n">
        <x:v>788</x:v>
      </x:c>
      <x:c r="D8" s="16" t="n">
        <x:v>1.4855209979172783</x:v>
      </x:c>
      <x:c r="E8" s="16" t="n">
        <x:v>0.9513412070989342</x:v>
      </x:c>
      <x:c r="F8" s="16" t="n">
        <x:v>2.3196436975358043</x:v>
      </x:c>
      <x:c r="G8" s="16" t="n">
        <x:v>0.081757165388944</x:v>
      </x:c>
    </x:row>
    <x:row r="9" ht="23" customHeight="1">
      <x:c r="A9" s="17" t="str">
        <x:v>NED vs ED + UN</x:v>
      </x:c>
      <x:c r="B9" s="17" t="str">
        <x:v>Crude</x:v>
      </x:c>
      <x:c r="C9" s="18" t="n">
        <x:f>SUM(F28:F29)</x:f>
        <x:v>1302</x:v>
      </x:c>
      <x:c r="D9" s="19" t="n">
        <x:f>D28*E29/(E28*D29)</x:f>
        <x:v>1.3445339470655926</x:v>
      </x:c>
      <x:c r="E9" s="19" t="n">
        <x:f>EXP(LN(D9)-1.95996398454005*SQRT(1/D28+1/E28+1/D29+1/E29))</x:f>
        <x:v>0.8831744975511826</x:v>
      </x:c>
      <x:c r="F9" s="19" t="n">
        <x:f>EXP(LN(D9)+1.95996398454005*SQRT(1/D28+1/E28+1/D29+1/E29))</x:f>
        <x:v>2.0469018747985483</x:v>
      </x:c>
      <x:c r="G9" s="19" t="n">
        <x:v>0.191871539356863</x:v>
      </x:c>
    </x:row>
    <x:row r="10" ht="23" customHeight="1">
      <x:c r="A10" s="2" t="str">
        <x:v>NED vs ED + UN</x:v>
      </x:c>
      <x:c r="B10" s="2" t="str">
        <x:v>Length-adjusted</x:v>
      </x:c>
      <x:c r="C10" s="15" t="n">
        <x:v>1302</x:v>
      </x:c>
      <x:c r="D10" s="16" t="n">
        <x:v>1.3764276874689436</x:v>
      </x:c>
      <x:c r="E10" s="16" t="n">
        <x:v>0.8945585761978886</x:v>
      </x:c>
      <x:c r="F10" s="16" t="n">
        <x:v>2.117863747820135</x:v>
      </x:c>
      <x:c r="G10" s="16" t="n">
        <x:v>0.1461784510562086</x:v>
      </x:c>
    </x:row>
    <x:row r="11" ht="23" customHeight="1">
      <x:c r="A11" s="2"/>
      <x:c r="B11" s="2"/>
      <x:c r="C11" s="2"/>
      <x:c r="D11" s="2"/>
      <x:c r="E11" s="2"/>
      <x:c r="F11" s="2"/>
      <x:c r="G11" s="2"/>
    </x:row>
    <x:row r="12" ht="23" customHeight="1">
      <x:c r="A12" s="20" t="str">
        <x:v>Conservative check: require High-quality detection; exclude Low-only proteins</x:v>
      </x:c>
      <x:c r="B12" s="2"/>
      <x:c r="C12" s="2"/>
      <x:c r="D12" s="2"/>
      <x:c r="E12" s="2"/>
      <x:c r="F12" s="2"/>
      <x:c r="G12" s="2"/>
    </x:row>
    <x:row r="13" ht="23" customHeight="1">
      <x:c r="A13" s="2"/>
      <x:c r="B13" s="2"/>
      <x:c r="C13" s="2"/>
      <x:c r="D13" s="2"/>
      <x:c r="E13" s="2"/>
      <x:c r="F13" s="2"/>
      <x:c r="G13" s="2"/>
    </x:row>
    <x:row r="14" ht="36" customHeight="1">
      <x:c r="A14" s="7" t="str">
        <x:v>Comparison</x:v>
      </x:c>
      <x:c r="B14" s="8" t="str">
        <x:v>Method</x:v>
      </x:c>
      <x:c r="C14" s="8" t="str">
        <x:v>N</x:v>
      </x:c>
      <x:c r="D14" s="8" t="str">
        <x:v>NCLE OR</x:v>
      </x:c>
      <x:c r="E14" s="8" t="str">
        <x:v>95% CI lower</x:v>
      </x:c>
      <x:c r="F14" s="8" t="str">
        <x:v>95% CI upper</x:v>
      </x:c>
      <x:c r="G14" s="9" t="str">
        <x:v>P-value</x:v>
      </x:c>
    </x:row>
    <x:row r="15" ht="23" customHeight="1">
      <x:c r="A15" s="17" t="str">
        <x:v>NED vs ED</x:v>
      </x:c>
      <x:c r="B15" s="17" t="str">
        <x:v>Crude</x:v>
      </x:c>
      <x:c r="C15" s="18" t="n">
        <x:f>SUM(F26:F27)</x:f>
        <x:v>776</x:v>
      </x:c>
      <x:c r="D15" s="19" t="n">
        <x:f>D26*E27/(E26*D27)</x:f>
        <x:v>1.4923413566739605</x:v>
      </x:c>
      <x:c r="E15" s="19" t="n">
        <x:f>EXP(LN(D15)-1.95996398454005*SQRT(1/D26+1/E26+1/D27+1/E27))</x:f>
        <x:v>0.9642896000275036</x:v>
      </x:c>
      <x:c r="F15" s="19" t="n">
        <x:f>EXP(LN(D15)+1.95996398454005*SQRT(1/D26+1/E26+1/D27+1/E27))</x:f>
        <x:v>2.3095579634748273</x:v>
      </x:c>
      <x:c r="G15" s="19" t="n">
        <x:v>0.0778715109576745</x:v>
      </x:c>
    </x:row>
    <x:row r="16" ht="23" customHeight="1">
      <x:c r="A16" s="2" t="str">
        <x:v>NED vs ED</x:v>
      </x:c>
      <x:c r="B16" s="2" t="str">
        <x:v>Length-adjusted</x:v>
      </x:c>
      <x:c r="C16" s="15" t="n">
        <x:v>776</x:v>
      </x:c>
      <x:c r="D16" s="16" t="n">
        <x:v>1.4990709732248426</x:v>
      </x:c>
      <x:c r="E16" s="16" t="n">
        <x:v>0.9589012478159116</x:v>
      </x:c>
      <x:c r="F16" s="16" t="n">
        <x:v>2.343529938962696</x:v>
      </x:c>
      <x:c r="G16" s="16" t="n">
        <x:v>0.0757538408342452</x:v>
      </x:c>
    </x:row>
    <x:row r="17" ht="23" customHeight="1">
      <x:c r="A17" s="17" t="str">
        <x:v>NED vs ED + UN</x:v>
      </x:c>
      <x:c r="B17" s="17" t="str">
        <x:v>Crude</x:v>
      </x:c>
      <x:c r="C17" s="18" t="n">
        <x:f>SUM(F30:F31)</x:f>
        <x:v>1281</x:v>
      </x:c>
      <x:c r="D17" s="19" t="n">
        <x:f>D30*E31/(E30*D31)</x:f>
        <x:v>1.3405405405405406</x:v>
      </x:c>
      <x:c r="E17" s="19" t="n">
        <x:f>EXP(LN(D17)-1.95996398454005*SQRT(1/D30+1/E30+1/D31+1/E31))</x:f>
        <x:v>0.879688241125319</x:v>
      </x:c>
      <x:c r="F17" s="19" t="n">
        <x:f>EXP(LN(D17)+1.95996398454005*SQRT(1/D30+1/E30+1/D31+1/E31))</x:f>
        <x:v>2.042824783623225</x:v>
      </x:c>
      <x:c r="G17" s="19" t="n">
        <x:v>0.1906568557593805</x:v>
      </x:c>
    </x:row>
    <x:row r="18" ht="23" customHeight="1">
      <x:c r="A18" s="2" t="str">
        <x:v>NED vs ED + UN</x:v>
      </x:c>
      <x:c r="B18" s="2" t="str">
        <x:v>Length-adjusted</x:v>
      </x:c>
      <x:c r="C18" s="15" t="n">
        <x:v>1281</x:v>
      </x:c>
      <x:c r="D18" s="16" t="n">
        <x:v>1.3939003036176727</x:v>
      </x:c>
      <x:c r="E18" s="16" t="n">
        <x:v>0.904875920862214</x:v>
      </x:c>
      <x:c r="F18" s="16" t="n">
        <x:v>2.147209370511358</x:v>
      </x:c>
      <x:c r="G18" s="16" t="n">
        <x:v>0.1319316721778602</x:v>
      </x:c>
    </x:row>
    <x:row r="19" ht="23" customHeight="1">
      <x:c r="A19" s="2"/>
      <x:c r="B19" s="2"/>
      <x:c r="C19" s="2"/>
      <x:c r="D19" s="2"/>
      <x:c r="E19" s="2"/>
      <x:c r="F19" s="2"/>
      <x:c r="G19" s="2"/>
    </x:row>
    <x:row r="20" ht="23" customHeight="1">
      <x:c r="A20" s="2"/>
      <x:c r="B20" s="2"/>
      <x:c r="C20" s="2"/>
      <x:c r="D20" s="2"/>
      <x:c r="E20" s="2"/>
      <x:c r="F20" s="2"/>
      <x:c r="G20" s="2"/>
    </x:row>
    <x:row r="21" ht="23" customHeight="1">
      <x:c r="A21" s="20" t="str">
        <x:v>Counts supporting each analysis</x:v>
      </x:c>
      <x:c r="B21" s="2"/>
      <x:c r="C21" s="2"/>
      <x:c r="D21" s="2"/>
      <x:c r="E21" s="2"/>
      <x:c r="F21" s="2"/>
      <x:c r="G21" s="2"/>
    </x:row>
    <x:row r="22" ht="23" customHeight="1">
      <x:c r="A22" s="2"/>
      <x:c r="B22" s="2"/>
      <x:c r="C22" s="2"/>
      <x:c r="D22" s="2"/>
      <x:c r="E22" s="2"/>
      <x:c r="F22" s="2"/>
      <x:c r="G22" s="2"/>
    </x:row>
    <x:row r="23" ht="36" customHeight="1">
      <x:c r="A23" s="7" t="str">
        <x:v>Comparison</x:v>
      </x:c>
      <x:c r="B23" s="8" t="str">
        <x:v>Detection rule</x:v>
      </x:c>
      <x:c r="C23" s="8" t="str">
        <x:v>NCLE</x:v>
      </x:c>
      <x:c r="D23" s="8" t="str">
        <x:v>NED</x:v>
      </x:c>
      <x:c r="E23" s="8" t="str">
        <x:v>Non-NED</x:v>
      </x:c>
      <x:c r="F23" s="8" t="str">
        <x:v>Total</x:v>
      </x:c>
      <x:c r="G23" s="9" t="str">
        <x:v>NED fraction</x:v>
      </x:c>
    </x:row>
    <x:row r="24" ht="23" customHeight="1">
      <x:c r="A24" s="2" t="str">
        <x:v>NED vs ED</x:v>
      </x:c>
      <x:c r="B24" s="2" t="str">
        <x:v>Any detection</x:v>
      </x:c>
      <x:c r="C24" s="15" t="n">
        <x:v>1</x:v>
      </x:c>
      <x:c r="D24" s="15" t="n">
        <x:f>COUNTIFS('Protein records'!$M$2:$M$3293,1,'Protein records'!$C$2:$C$3293,1,'Protein records'!$L$2:$L$3293,1)</x:f>
        <x:v>127</x:v>
      </x:c>
      <x:c r="E24" s="15" t="n">
        <x:f>COUNTIFS('Protein records'!$M$2:$M$3293,1,'Protein records'!$C$2:$C$3293,1,'Protein records'!$L$2:$L$3293,0)</x:f>
        <x:v>466</x:v>
      </x:c>
      <x:c r="F24" s="15" t="n">
        <x:f>SUM(D24:E24)</x:f>
        <x:v>593</x:v>
      </x:c>
      <x:c r="G24" s="21" t="n">
        <x:f>D24/F24</x:f>
        <x:v>0.21416526138279932</x:v>
      </x:c>
    </x:row>
    <x:row r="25" ht="23" customHeight="1">
      <x:c r="A25" s="2" t="str">
        <x:v>NED vs ED</x:v>
      </x:c>
      <x:c r="B25" s="2" t="str">
        <x:v>Any detection</x:v>
      </x:c>
      <x:c r="C25" s="15" t="n">
        <x:v>0</x:v>
      </x:c>
      <x:c r="D25" s="15" t="n">
        <x:f>COUNTIFS('Protein records'!$M$2:$M$3293,1,'Protein records'!$C$2:$C$3293,0,'Protein records'!$L$2:$L$3293,1)</x:f>
        <x:v>30</x:v>
      </x:c>
      <x:c r="E25" s="15" t="n">
        <x:f>COUNTIFS('Protein records'!$M$2:$M$3293,1,'Protein records'!$C$2:$C$3293,0,'Protein records'!$L$2:$L$3293,0)</x:f>
        <x:v>165</x:v>
      </x:c>
      <x:c r="F25" s="15" t="n">
        <x:f>SUM(D25:E25)</x:f>
        <x:v>195</x:v>
      </x:c>
      <x:c r="G25" s="21" t="n">
        <x:f>D25/F25</x:f>
        <x:v>0.15384615384615385</x:v>
      </x:c>
    </x:row>
    <x:row r="26" ht="23" customHeight="1">
      <x:c r="A26" s="2" t="str">
        <x:v>NED vs ED</x:v>
      </x:c>
      <x:c r="B26" s="2" t="str">
        <x:v>High only</x:v>
      </x:c>
      <x:c r="C26" s="15" t="n">
        <x:v>1</x:v>
      </x:c>
      <x:c r="D26" s="15" t="n">
        <x:f>COUNTIFS('Protein records'!$M$2:$M$3293,1,'Protein records'!$D$2:$D$3293,1,'Protein records'!$L$2:$L$3293,1,'Protein records'!$C$2:$C$3293,1)</x:f>
        <x:v>124</x:v>
      </x:c>
      <x:c r="E26" s="15" t="n">
        <x:f>COUNTIFS('Protein records'!$M$2:$M$3293,1,'Protein records'!$D$2:$D$3293,1,'Protein records'!$L$2:$L$3293,0,'Protein records'!$C$2:$C$3293,1)</x:f>
        <x:v>457</x:v>
      </x:c>
      <x:c r="F26" s="15" t="n">
        <x:f>SUM(D26:E26)</x:f>
        <x:v>581</x:v>
      </x:c>
      <x:c r="G26" s="21" t="n">
        <x:f>D26/F26</x:f>
        <x:v>0.2134251290877797</x:v>
      </x:c>
    </x:row>
    <x:row r="27" ht="23" customHeight="1">
      <x:c r="A27" s="2" t="str">
        <x:v>NED vs ED</x:v>
      </x:c>
      <x:c r="B27" s="2" t="str">
        <x:v>High only</x:v>
      </x:c>
      <x:c r="C27" s="15" t="n">
        <x:v>0</x:v>
      </x:c>
      <x:c r="D27" s="15" t="n">
        <x:f>COUNTIFS('Protein records'!$M$2:$M$3293,1,'Protein records'!$D$2:$D$3293,0,'Protein records'!$L$2:$L$3293,1,'Protein records'!$C$2:$C$3293,0)</x:f>
        <x:v>30</x:v>
      </x:c>
      <x:c r="E27" s="15" t="n">
        <x:f>COUNTIFS('Protein records'!$M$2:$M$3293,1,'Protein records'!$D$2:$D$3293,0,'Protein records'!$L$2:$L$3293,0,'Protein records'!$C$2:$C$3293,0)</x:f>
        <x:v>165</x:v>
      </x:c>
      <x:c r="F27" s="15" t="n">
        <x:f>SUM(D27:E27)</x:f>
        <x:v>195</x:v>
      </x:c>
      <x:c r="G27" s="21" t="n">
        <x:f>D27/F27</x:f>
        <x:v>0.15384615384615385</x:v>
      </x:c>
    </x:row>
    <x:row r="28" ht="23" customHeight="1">
      <x:c r="A28" s="2" t="str">
        <x:v>NED vs ED + UN</x:v>
      </x:c>
      <x:c r="B28" s="2" t="str">
        <x:v>Any detection</x:v>
      </x:c>
      <x:c r="C28" s="15" t="n">
        <x:v>1</x:v>
      </x:c>
      <x:c r="D28" s="15" t="n">
        <x:f>COUNTIFS('Protein records'!$N$2:$N$3293,1,'Protein records'!$C$2:$C$3293,1,'Protein records'!$L$2:$L$3293,1)</x:f>
        <x:v>127</x:v>
      </x:c>
      <x:c r="E28" s="15" t="n">
        <x:f>COUNTIFS('Protein records'!$N$2:$N$3293,1,'Protein records'!$C$2:$C$3293,1,'Protein records'!$L$2:$L$3293,0)</x:f>
        <x:v>869</x:v>
      </x:c>
      <x:c r="F28" s="15" t="n">
        <x:f>SUM(D28:E28)</x:f>
        <x:v>996</x:v>
      </x:c>
      <x:c r="G28" s="21" t="n">
        <x:f>D28/F28</x:f>
        <x:v>0.12751004016064257</x:v>
      </x:c>
    </x:row>
    <x:row r="29" ht="23" customHeight="1">
      <x:c r="A29" s="2" t="str">
        <x:v>NED vs ED + UN</x:v>
      </x:c>
      <x:c r="B29" s="2" t="str">
        <x:v>Any detection</x:v>
      </x:c>
      <x:c r="C29" s="15" t="n">
        <x:v>0</x:v>
      </x:c>
      <x:c r="D29" s="15" t="n">
        <x:f>COUNTIFS('Protein records'!$N$2:$N$3293,1,'Protein records'!$C$2:$C$3293,0,'Protein records'!$L$2:$L$3293,1)</x:f>
        <x:v>30</x:v>
      </x:c>
      <x:c r="E29" s="15" t="n">
        <x:f>COUNTIFS('Protein records'!$N$2:$N$3293,1,'Protein records'!$C$2:$C$3293,0,'Protein records'!$L$2:$L$3293,0)</x:f>
        <x:v>276</x:v>
      </x:c>
      <x:c r="F29" s="15" t="n">
        <x:f>SUM(D29:E29)</x:f>
        <x:v>306</x:v>
      </x:c>
      <x:c r="G29" s="21" t="n">
        <x:f>D29/F29</x:f>
        <x:v>0.09803921568627451</x:v>
      </x:c>
    </x:row>
    <x:row r="30" ht="23" customHeight="1">
      <x:c r="A30" s="2" t="str">
        <x:v>NED vs ED + UN</x:v>
      </x:c>
      <x:c r="B30" s="2" t="str">
        <x:v>High only</x:v>
      </x:c>
      <x:c r="C30" s="15" t="n">
        <x:v>1</x:v>
      </x:c>
      <x:c r="D30" s="15" t="n">
        <x:f>COUNTIFS('Protein records'!$N$2:$N$3293,1,'Protein records'!$D$2:$D$3293,1,'Protein records'!$L$2:$L$3293,1,'Protein records'!$C$2:$C$3293,1)</x:f>
        <x:v>124</x:v>
      </x:c>
      <x:c r="E30" s="15" t="n">
        <x:f>COUNTIFS('Protein records'!$N$2:$N$3293,1,'Protein records'!$D$2:$D$3293,1,'Protein records'!$L$2:$L$3293,0,'Protein records'!$C$2:$C$3293,1)</x:f>
        <x:v>851</x:v>
      </x:c>
      <x:c r="F30" s="15" t="n">
        <x:f>SUM(D30:E30)</x:f>
        <x:v>975</x:v>
      </x:c>
      <x:c r="G30" s="21" t="n">
        <x:f>D30/F30</x:f>
        <x:v>0.12717948717948718</x:v>
      </x:c>
    </x:row>
    <x:row r="31" ht="23" customHeight="1">
      <x:c r="A31" s="2" t="str">
        <x:v>NED vs ED + UN</x:v>
      </x:c>
      <x:c r="B31" s="2" t="str">
        <x:v>High only</x:v>
      </x:c>
      <x:c r="C31" s="15" t="n">
        <x:v>0</x:v>
      </x:c>
      <x:c r="D31" s="15" t="n">
        <x:f>COUNTIFS('Protein records'!$N$2:$N$3293,1,'Protein records'!$D$2:$D$3293,0,'Protein records'!$L$2:$L$3293,1,'Protein records'!$C$2:$C$3293,0)</x:f>
        <x:v>30</x:v>
      </x:c>
      <x:c r="E31" s="15" t="n">
        <x:f>COUNTIFS('Protein records'!$N$2:$N$3293,1,'Protein records'!$D$2:$D$3293,0,'Protein records'!$L$2:$L$3293,0,'Protein records'!$C$2:$C$3293,0)</x:f>
        <x:v>276</x:v>
      </x:c>
      <x:c r="F31" s="15" t="n">
        <x:f>SUM(D31:E31)</x:f>
        <x:v>306</x:v>
      </x:c>
      <x:c r="G31" s="21" t="n">
        <x:f>D31/F31</x:f>
        <x:v>0.09803921568627451</x:v>
      </x:c>
    </x:row>
    <x:row r="32" ht="23" customHeight="1">
      <x:c r="A32" s="2"/>
      <x:c r="B32" s="2"/>
      <x:c r="C32" s="2"/>
      <x:c r="D32" s="2"/>
      <x:c r="E32" s="2"/>
      <x:c r="F32" s="2"/>
      <x:c r="G32" s="2"/>
    </x:row>
    <x:row r="33" ht="23" customHeight="1">
      <x:c r="A33" s="2"/>
      <x:c r="B33" s="2"/>
      <x:c r="C33" s="2"/>
      <x:c r="D33" s="2"/>
      <x:c r="E33" s="2"/>
      <x:c r="F33" s="2"/>
      <x:c r="G33" s="2"/>
    </x:row>
    <x:row r="34" ht="23" customHeight="1">
      <x:c r="A34" s="20" t="str">
        <x:v>Protein-length effect in Model 1 (OR per one SD)</x:v>
      </x:c>
      <x:c r="B34" s="2"/>
      <x:c r="C34" s="2"/>
      <x:c r="D34" s="2"/>
      <x:c r="E34" s="2"/>
      <x:c r="F34" s="2"/>
      <x:c r="G34" s="2"/>
    </x:row>
    <x:row r="35" ht="23" customHeight="1">
      <x:c r="A35" s="2"/>
      <x:c r="B35" s="2"/>
      <x:c r="C35" s="2"/>
      <x:c r="D35" s="2"/>
      <x:c r="E35" s="2"/>
      <x:c r="F35" s="2"/>
      <x:c r="G35" s="2"/>
    </x:row>
    <x:row r="36" ht="36" customHeight="1">
      <x:c r="A36" s="7" t="str">
        <x:v>Comparison</x:v>
      </x:c>
      <x:c r="B36" s="8" t="str">
        <x:v>Detection rule</x:v>
      </x:c>
      <x:c r="C36" s="8" t="str">
        <x:v>N</x:v>
      </x:c>
      <x:c r="D36" s="8" t="str">
        <x:v>Length OR</x:v>
      </x:c>
      <x:c r="E36" s="8" t="str">
        <x:v>95% CI lower</x:v>
      </x:c>
      <x:c r="F36" s="8" t="str">
        <x:v>95% CI upper</x:v>
      </x:c>
      <x:c r="G36" s="9" t="str">
        <x:v>P-value</x:v>
      </x:c>
    </x:row>
    <x:row r="37" ht="23" customHeight="1">
      <x:c r="A37" s="2" t="str">
        <x:v>NED vs ED</x:v>
      </x:c>
      <x:c r="B37" s="2" t="str">
        <x:v>Any detection</x:v>
      </x:c>
      <x:c r="C37" s="15" t="n">
        <x:v>788</x:v>
      </x:c>
      <x:c r="D37" s="16" t="n">
        <x:v>1.0170631975060875</x:v>
      </x:c>
      <x:c r="E37" s="16" t="n">
        <x:v>0.8533155004504803</x:v>
      </x:c>
      <x:c r="F37" s="16" t="n">
        <x:v>1.2122333968798404</x:v>
      </x:c>
      <x:c r="G37" s="16" t="n">
        <x:v>0.8501683025231528</x:v>
      </x:c>
    </x:row>
    <x:row r="38" ht="23" customHeight="1">
      <x:c r="A38" s="2" t="str">
        <x:v>NED vs ED</x:v>
      </x:c>
      <x:c r="B38" s="2" t="str">
        <x:v>High only</x:v>
      </x:c>
      <x:c r="C38" s="15" t="n">
        <x:v>776</x:v>
      </x:c>
      <x:c r="D38" s="16" t="n">
        <x:v>0.991485728819297</x:v>
      </x:c>
      <x:c r="E38" s="16" t="n">
        <x:v>0.8281682037977314</x:v>
      </x:c>
      <x:c r="F38" s="16" t="n">
        <x:v>1.1870100131161607</x:v>
      </x:c>
      <x:c r="G38" s="16" t="n">
        <x:v>0.925814389964308</x:v>
      </x:c>
    </x:row>
    <x:row r="39" ht="23" customHeight="1">
      <x:c r="A39" s="2" t="str">
        <x:v>NED vs ED + UN</x:v>
      </x:c>
      <x:c r="B39" s="2" t="str">
        <x:v>Any detection</x:v>
      </x:c>
      <x:c r="C39" s="15" t="n">
        <x:v>1302</x:v>
      </x:c>
      <x:c r="D39" s="16" t="n">
        <x:v>0.9584053423680022</x:v>
      </x:c>
      <x:c r="E39" s="16" t="n">
        <x:v>0.8045338234891144</x:v>
      </x:c>
      <x:c r="F39" s="16" t="n">
        <x:v>1.1417056355641906</x:v>
      </x:c>
      <x:c r="G39" s="16" t="n">
        <x:v>0.6342195667675388</x:v>
      </x:c>
    </x:row>
    <x:row r="40" ht="23" customHeight="1">
      <x:c r="A40" s="2" t="str">
        <x:v>NED vs ED + UN</x:v>
      </x:c>
      <x:c r="B40" s="2" t="str">
        <x:v>High only</x:v>
      </x:c>
      <x:c r="C40" s="15" t="n">
        <x:v>1281</x:v>
      </x:c>
      <x:c r="D40" s="16" t="n">
        <x:v>0.9308588436410746</x:v>
      </x:c>
      <x:c r="E40" s="16" t="n">
        <x:v>0.777214525465653</x:v>
      </x:c>
      <x:c r="F40" s="16" t="n">
        <x:v>1.1148764702585212</x:v>
      </x:c>
      <x:c r="G40" s="16" t="n">
        <x:v>0.4362998022017602</x:v>
      </x:c>
    </x:row>
    <x:row r="41" ht="23" customHeight="1">
      <x:c r="A41" s="2"/>
      <x:c r="B41" s="2"/>
      <x:c r="C41" s="2"/>
      <x:c r="D41" s="2"/>
      <x:c r="E41" s="2"/>
      <x:c r="F41" s="2"/>
      <x:c r="G41" s="2"/>
    </x:row>
    <x:row r="42" ht="23" customHeight="1">
      <x:c r="A42" s="2"/>
      <x:c r="B42" s="2"/>
      <x:c r="C42" s="2"/>
      <x:c r="D42" s="2"/>
      <x:c r="E42" s="2"/>
      <x:c r="F42" s="2"/>
      <x:c r="G42" s="2"/>
    </x:row>
    <x:row r="43" ht="23" customHeight="1">
      <x:c r="A43" s="2" t="str">
        <x:v>Main NCLE rule matches the human coding: any detected native non-covalent entanglement.</x:v>
      </x:c>
      <x:c r="B43" s="2"/>
      <x:c r="C43" s="2"/>
      <x:c r="D43" s="2"/>
      <x:c r="E43" s="2"/>
      <x:c r="F43" s="2"/>
      <x:c r="G43" s="2"/>
    </x:row>
    <x:row r="44" ht="23" customHeight="1">
      <x:c r="A44" s="2" t="str">
        <x:v>Model 1 controls only z-standardized protein length. Disorder and complex membership are not included.</x:v>
      </x:c>
      <x:c r="B44" s="2"/>
      <x:c r="C44" s="2"/>
      <x:c r="D44" s="2"/>
      <x:c r="E44" s="2"/>
      <x:c r="F44" s="2"/>
      <x:c r="G44" s="2"/>
    </x:row>
    <x:row r="45" ht="23" customHeight="1">
      <x:c r="A45" s="2" t="str">
        <x:v>The High-only check excludes Low-only detections. Empty files denote no detected native NCLE.</x:v>
      </x:c>
      <x:c r="B45" s="2"/>
      <x:c r="C45" s="2"/>
      <x:c r="D45" s="2"/>
      <x:c r="E45" s="2"/>
      <x:c r="F45" s="2"/>
      <x:c r="G45" s="2"/>
    </x:row>
    <x:row r="46" ht="23" customHeight="1">
      <x:c r="A46" s="2" t="str">
        <x:v>Crude P-values are two-sided Fisher exact. Regression P-values and 95% CIs use Wald tests.</x:v>
      </x:c>
      <x:c r="B46" s="2"/>
      <x:c r="C46" s="2"/>
      <x:c r="D46" s="2"/>
      <x:c r="E46" s="2"/>
      <x:c r="F46" s="2"/>
      <x:c r="G46" s="2"/>
    </x:row>
    <x:row r="47" ht="23" customHeight="1">
      <x:c r="A47" s="2" t="str">
        <x:v>Regression and P-values are saved Python fits. Rerun scripts after changing source records.</x:v>
      </x:c>
      <x:c r="B47" s="2"/>
      <x:c r="C47" s="2"/>
      <x:c r="D47" s="2"/>
      <x:c r="E47" s="2"/>
      <x:c r="F47" s="2"/>
      <x:c r="G47" s="2"/>
    </x:row>
    <x:row r="48" ht="23" customHeight="1">
      <x:c r="A48" s="2" t="str">
        <x:v>UN means unclassified. Including it as non-NED is a sensitivity analysis, not an ED assignment.</x:v>
      </x:c>
      <x:c r="B48" s="2"/>
      <x:c r="C48" s="2"/>
      <x:c r="D48" s="2"/>
      <x:c r="E48" s="2"/>
      <x:c r="F48" s="2"/>
      <x:c r="G48" s="2"/>
    </x:row>
    <x:row r="49" ht="23" customHeight="1">
      <x:c r="A49" s="2"/>
      <x:c r="B49" s="2"/>
      <x:c r="C49" s="2"/>
      <x:c r="D49" s="2"/>
      <x:c r="E49" s="2"/>
      <x:c r="F49" s="2"/>
      <x:c r="G49" s="2"/>
    </x:row>
    <x:row r="50" ht="23" customHeight="1">
      <x:c r="A50" s="2"/>
      <x:c r="B50" s="2"/>
      <x:c r="C50" s="2"/>
      <x:c r="D50" s="2"/>
      <x:c r="E50" s="2"/>
      <x:c r="F50" s="2"/>
      <x:c r="G50" s="2"/>
    </x:row>
    <x:row r="51" ht="23" customHeight="1">
      <x:c r="A51" s="2"/>
      <x:c r="B51" s="2"/>
      <x:c r="C51" s="2"/>
      <x:c r="D51" s="2"/>
      <x:c r="E51" s="2"/>
      <x:c r="F51" s="2"/>
      <x:c r="G5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3809B"/>
  </x:sheetPr>
  <x:sheetViews>
    <x:sheetView showGridLines="0" workbookViewId="0"/>
  </x:sheetViews>
  <x:sheetFormatPr defaultRowHeight="15"/>
  <x:cols>
    <x:col min="1" max="1" width="6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9" customHeight="1">
      <x:c r="A2" s="13" t="str">
        <x:v>Mouse cohort construction</x:v>
      </x:c>
      <x:c r="B2" s="2"/>
      <x:c r="C2" s="2"/>
      <x:c r="D2" s="2"/>
      <x:c r="E2" s="2"/>
      <x:c r="F2" s="2"/>
    </x:row>
    <x:row r="3" ht="23" customHeight="1">
      <x:c r="A3" s="14"/>
      <x:c r="B3" s="14"/>
      <x:c r="C3" s="14"/>
      <x:c r="D3" s="14"/>
      <x:c r="E3" s="14"/>
      <x:c r="F3" s="14"/>
    </x:row>
    <x:row r="4" ht="23" customHeight="1">
      <x:c r="A4" s="2" t="str">
        <x:v>Exact accession matching preserves isoform suffixes; no disorder filter is applied.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23" customHeight="1">
      <x:c r="A6" s="20" t="str">
        <x:v>Primary: NED vs ED</x:v>
      </x:c>
      <x:c r="B6" s="2"/>
      <x:c r="C6" s="2"/>
      <x:c r="D6" s="2"/>
      <x:c r="E6" s="2"/>
      <x:c r="F6" s="2"/>
    </x:row>
    <x:row r="7" ht="36" customHeight="1">
      <x:c r="A7" s="7" t="str">
        <x:v>Sequential step</x:v>
      </x:c>
      <x:c r="B7" s="8" t="str">
        <x:v>Remaining</x:v>
      </x:c>
      <x:c r="C7" s="8" t="str">
        <x:v>Removed</x:v>
      </x:c>
      <x:c r="D7" s="8" t="str">
        <x:v>ED</x:v>
      </x:c>
      <x:c r="E7" s="8" t="str">
        <x:v>NED</x:v>
      </x:c>
      <x:c r="F7" s="9" t="str">
        <x:v>UN</x:v>
      </x:c>
    </x:row>
    <x:row r="8" ht="23" customHeight="1">
      <x:c r="A8" s="2" t="str">
        <x:v>Select experimental degradation categories</x:v>
      </x:c>
      <x:c r="B8" s="15" t="n">
        <x:v>1953</x:v>
      </x:c>
      <x:c r="C8" s="15"/>
      <x:c r="D8" s="15" t="n">
        <x:v>1622</x:v>
      </x:c>
      <x:c r="E8" s="15" t="n">
        <x:v>331</x:v>
      </x:c>
      <x:c r="F8" s="15" t="n">
        <x:v>0</x:v>
      </x:c>
    </x:row>
    <x:row r="9" ht="23" customHeight="1">
      <x:c r="A9" s="2" t="str">
        <x:v>Require exact native accession match</x:v>
      </x:c>
      <x:c r="B9" s="15" t="n">
        <x:v>1438</x:v>
      </x:c>
      <x:c r="C9" s="15" t="n">
        <x:v>515</x:v>
      </x:c>
      <x:c r="D9" s="15" t="n">
        <x:v>1169</x:v>
      </x:c>
      <x:c r="E9" s="15" t="n">
        <x:v>269</x:v>
      </x:c>
      <x:c r="F9" s="15" t="n">
        <x:v>0</x:v>
      </x:c>
    </x:row>
    <x:row r="10" ht="23" customHeight="1">
      <x:c r="A10" s="2" t="str">
        <x:v>Require binary native NCLE status</x:v>
      </x:c>
      <x:c r="B10" s="15" t="n">
        <x:v>1425</x:v>
      </x:c>
      <x:c r="C10" s="15" t="n">
        <x:v>13</x:v>
      </x:c>
      <x:c r="D10" s="15" t="n">
        <x:v>1158</x:v>
      </x:c>
      <x:c r="E10" s="15" t="n">
        <x:v>267</x:v>
      </x:c>
      <x:c r="F10" s="15" t="n">
        <x:v>0</x:v>
      </x:c>
    </x:row>
    <x:row r="11" ht="23" customHeight="1">
      <x:c r="A11" s="2" t="str">
        <x:v>Exclude supplied knotted proteins</x:v>
      </x:c>
      <x:c r="B11" s="15" t="n">
        <x:v>1387</x:v>
      </x:c>
      <x:c r="C11" s="15" t="n">
        <x:v>38</x:v>
      </x:c>
      <x:c r="D11" s="15" t="n">
        <x:v>1122</x:v>
      </x:c>
      <x:c r="E11" s="15" t="n">
        <x:v>265</x:v>
      </x:c>
      <x:c r="F11" s="15" t="n">
        <x:v>0</x:v>
      </x:c>
    </x:row>
    <x:row r="12" ht="23" customHeight="1">
      <x:c r="A12" s="2" t="str">
        <x:v>Exclude supplied or detected covalent lassos</x:v>
      </x:c>
      <x:c r="B12" s="15" t="n">
        <x:v>1384</x:v>
      </x:c>
      <x:c r="C12" s="15" t="n">
        <x:v>3</x:v>
      </x:c>
      <x:c r="D12" s="15" t="n">
        <x:v>1120</x:v>
      </x:c>
      <x:c r="E12" s="15" t="n">
        <x:v>264</x:v>
      </x:c>
      <x:c r="F12" s="15" t="n">
        <x:v>0</x:v>
      </x:c>
    </x:row>
    <x:row r="13" ht="23" customHeight="1">
      <x:c r="A13" s="2" t="str">
        <x:v>Require mouse UniProt keyword coverage</x:v>
      </x:c>
      <x:c r="B13" s="15" t="n">
        <x:v>1384</x:v>
      </x:c>
      <x:c r="C13" s="15" t="n">
        <x:v>0</x:v>
      </x:c>
      <x:c r="D13" s="15" t="n">
        <x:v>1120</x:v>
      </x:c>
      <x:c r="E13" s="15" t="n">
        <x:v>264</x:v>
      </x:c>
      <x:c r="F13" s="15" t="n">
        <x:v>0</x:v>
      </x:c>
    </x:row>
    <x:row r="14" ht="23" customHeight="1">
      <x:c r="A14" s="2" t="str">
        <x:v>Exclude UniProt Membrane keyword</x:v>
      </x:c>
      <x:c r="B14" s="15" t="n">
        <x:v>1022</x:v>
      </x:c>
      <x:c r="C14" s="15" t="n">
        <x:v>362</x:v>
      </x:c>
      <x:c r="D14" s="15" t="n">
        <x:v>849</x:v>
      </x:c>
      <x:c r="E14" s="15" t="n">
        <x:v>173</x:v>
      </x:c>
      <x:c r="F14" s="15" t="n">
        <x:v>0</x:v>
      </x:c>
    </x:row>
    <x:row r="15" ht="23" customHeight="1">
      <x:c r="A15" s="2" t="str">
        <x:v>Exclude UniProt Secreted keyword</x:v>
      </x:c>
      <x:c r="B15" s="15" t="n">
        <x:v>1002</x:v>
      </x:c>
      <x:c r="C15" s="15" t="n">
        <x:v>20</x:v>
      </x:c>
      <x:c r="D15" s="15" t="n">
        <x:v>832</x:v>
      </x:c>
      <x:c r="E15" s="15" t="n">
        <x:v>170</x:v>
      </x:c>
      <x:c r="F15" s="15" t="n">
        <x:v>0</x:v>
      </x:c>
    </x:row>
    <x:row r="16" ht="23" customHeight="1">
      <x:c r="A16" s="2" t="str">
        <x:v>Require matching v6 metadata and residue confidence</x:v>
      </x:c>
      <x:c r="B16" s="15" t="n">
        <x:v>1002</x:v>
      </x:c>
      <x:c r="C16" s="15" t="n">
        <x:v>0</x:v>
      </x:c>
      <x:c r="D16" s="15" t="n">
        <x:v>832</x:v>
      </x:c>
      <x:c r="E16" s="15" t="n">
        <x:v>170</x:v>
      </x:c>
      <x:c r="F16" s="15" t="n">
        <x:v>0</x:v>
      </x:c>
    </x:row>
    <x:row r="17" ht="23" customHeight="1">
      <x:c r="A17" s="17" t="str">
        <x:v>Retain protein mean pLDDT &gt;=70</x:v>
      </x:c>
      <x:c r="B17" s="18" t="n">
        <x:v>788</x:v>
      </x:c>
      <x:c r="C17" s="18" t="n">
        <x:v>214</x:v>
      </x:c>
      <x:c r="D17" s="18" t="n">
        <x:v>631</x:v>
      </x:c>
      <x:c r="E17" s="18" t="n">
        <x:v>157</x:v>
      </x:c>
      <x:c r="F17" s="18" t="n">
        <x:v>0</x:v>
      </x:c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0" t="str">
        <x:v>Sensitivity: NED vs ED + UN</x:v>
      </x:c>
      <x:c r="B20" s="2"/>
      <x:c r="C20" s="2"/>
      <x:c r="D20" s="2"/>
      <x:c r="E20" s="2"/>
      <x:c r="F20" s="2"/>
    </x:row>
    <x:row r="21" ht="36" customHeight="1">
      <x:c r="A21" s="7" t="str">
        <x:v>Sequential step</x:v>
      </x:c>
      <x:c r="B21" s="8" t="str">
        <x:v>Remaining</x:v>
      </x:c>
      <x:c r="C21" s="8" t="str">
        <x:v>Removed</x:v>
      </x:c>
      <x:c r="D21" s="8" t="str">
        <x:v>ED</x:v>
      </x:c>
      <x:c r="E21" s="8" t="str">
        <x:v>NED</x:v>
      </x:c>
      <x:c r="F21" s="9" t="str">
        <x:v>UN</x:v>
      </x:c>
    </x:row>
    <x:row r="22" ht="23" customHeight="1">
      <x:c r="A22" s="2" t="str">
        <x:v>Select experimental degradation categories</x:v>
      </x:c>
      <x:c r="B22" s="15" t="n">
        <x:v>3292</x:v>
      </x:c>
      <x:c r="C22" s="15"/>
      <x:c r="D22" s="15" t="n">
        <x:v>1622</x:v>
      </x:c>
      <x:c r="E22" s="15" t="n">
        <x:v>331</x:v>
      </x:c>
      <x:c r="F22" s="15" t="n">
        <x:v>1339</x:v>
      </x:c>
    </x:row>
    <x:row r="23" ht="23" customHeight="1">
      <x:c r="A23" s="2" t="str">
        <x:v>Require exact native accession match</x:v>
      </x:c>
      <x:c r="B23" s="15" t="n">
        <x:v>2438</x:v>
      </x:c>
      <x:c r="C23" s="15" t="n">
        <x:v>854</x:v>
      </x:c>
      <x:c r="D23" s="15" t="n">
        <x:v>1169</x:v>
      </x:c>
      <x:c r="E23" s="15" t="n">
        <x:v>269</x:v>
      </x:c>
      <x:c r="F23" s="15" t="n">
        <x:v>1000</x:v>
      </x:c>
    </x:row>
    <x:row r="24" ht="23" customHeight="1">
      <x:c r="A24" s="2" t="str">
        <x:v>Require binary native NCLE status</x:v>
      </x:c>
      <x:c r="B24" s="15" t="n">
        <x:v>2411</x:v>
      </x:c>
      <x:c r="C24" s="15" t="n">
        <x:v>27</x:v>
      </x:c>
      <x:c r="D24" s="15" t="n">
        <x:v>1158</x:v>
      </x:c>
      <x:c r="E24" s="15" t="n">
        <x:v>267</x:v>
      </x:c>
      <x:c r="F24" s="15" t="n">
        <x:v>986</x:v>
      </x:c>
    </x:row>
    <x:row r="25" ht="23" customHeight="1">
      <x:c r="A25" s="2" t="str">
        <x:v>Exclude supplied knotted proteins</x:v>
      </x:c>
      <x:c r="B25" s="15" t="n">
        <x:v>2356</x:v>
      </x:c>
      <x:c r="C25" s="15" t="n">
        <x:v>55</x:v>
      </x:c>
      <x:c r="D25" s="15" t="n">
        <x:v>1122</x:v>
      </x:c>
      <x:c r="E25" s="15" t="n">
        <x:v>265</x:v>
      </x:c>
      <x:c r="F25" s="15" t="n">
        <x:v>969</x:v>
      </x:c>
    </x:row>
    <x:row r="26" ht="23" customHeight="1">
      <x:c r="A26" s="2" t="str">
        <x:v>Exclude supplied or detected covalent lassos</x:v>
      </x:c>
      <x:c r="B26" s="15" t="n">
        <x:v>2350</x:v>
      </x:c>
      <x:c r="C26" s="15" t="n">
        <x:v>6</x:v>
      </x:c>
      <x:c r="D26" s="15" t="n">
        <x:v>1120</x:v>
      </x:c>
      <x:c r="E26" s="15" t="n">
        <x:v>264</x:v>
      </x:c>
      <x:c r="F26" s="15" t="n">
        <x:v>966</x:v>
      </x:c>
    </x:row>
    <x:row r="27" ht="23" customHeight="1">
      <x:c r="A27" s="2" t="str">
        <x:v>Require mouse UniProt keyword coverage</x:v>
      </x:c>
      <x:c r="B27" s="15" t="n">
        <x:v>2350</x:v>
      </x:c>
      <x:c r="C27" s="15" t="n">
        <x:v>0</x:v>
      </x:c>
      <x:c r="D27" s="15" t="n">
        <x:v>1120</x:v>
      </x:c>
      <x:c r="E27" s="15" t="n">
        <x:v>264</x:v>
      </x:c>
      <x:c r="F27" s="15" t="n">
        <x:v>966</x:v>
      </x:c>
    </x:row>
    <x:row r="28" ht="23" customHeight="1">
      <x:c r="A28" s="2" t="str">
        <x:v>Exclude UniProt Membrane keyword</x:v>
      </x:c>
      <x:c r="B28" s="15" t="n">
        <x:v>1684</x:v>
      </x:c>
      <x:c r="C28" s="15" t="n">
        <x:v>666</x:v>
      </x:c>
      <x:c r="D28" s="15" t="n">
        <x:v>849</x:v>
      </x:c>
      <x:c r="E28" s="15" t="n">
        <x:v>173</x:v>
      </x:c>
      <x:c r="F28" s="15" t="n">
        <x:v>662</x:v>
      </x:c>
    </x:row>
    <x:row r="29" ht="23" customHeight="1">
      <x:c r="A29" s="2" t="str">
        <x:v>Exclude UniProt Secreted keyword</x:v>
      </x:c>
      <x:c r="B29" s="15" t="n">
        <x:v>1653</x:v>
      </x:c>
      <x:c r="C29" s="15" t="n">
        <x:v>31</x:v>
      </x:c>
      <x:c r="D29" s="15" t="n">
        <x:v>832</x:v>
      </x:c>
      <x:c r="E29" s="15" t="n">
        <x:v>170</x:v>
      </x:c>
      <x:c r="F29" s="15" t="n">
        <x:v>651</x:v>
      </x:c>
    </x:row>
    <x:row r="30" ht="23" customHeight="1">
      <x:c r="A30" s="2" t="str">
        <x:v>Require matching v6 metadata and residue confidence</x:v>
      </x:c>
      <x:c r="B30" s="15" t="n">
        <x:v>1653</x:v>
      </x:c>
      <x:c r="C30" s="15" t="n">
        <x:v>0</x:v>
      </x:c>
      <x:c r="D30" s="15" t="n">
        <x:v>832</x:v>
      </x:c>
      <x:c r="E30" s="15" t="n">
        <x:v>170</x:v>
      </x:c>
      <x:c r="F30" s="15" t="n">
        <x:v>651</x:v>
      </x:c>
    </x:row>
    <x:row r="31" ht="23" customHeight="1">
      <x:c r="A31" s="17" t="str">
        <x:v>Retain protein mean pLDDT &gt;=70</x:v>
      </x:c>
      <x:c r="B31" s="18" t="n">
        <x:v>1302</x:v>
      </x:c>
      <x:c r="C31" s="18" t="n">
        <x:v>351</x:v>
      </x:c>
      <x:c r="D31" s="18" t="n">
        <x:v>631</x:v>
      </x:c>
      <x:c r="E31" s="18" t="n">
        <x:v>157</x:v>
      </x:c>
      <x:c r="F31" s="18" t="n">
        <x:v>514</x:v>
      </x:c>
    </x:row>
    <x:row r="32" ht="23" customHeight="1">
      <x:c r="A32" s="2"/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67" hidden="0" customWidth="1"/>
    <x:col min="16" max="16" width="17" hidden="0" customWidth="1"/>
    <x:col min="17" max="17" width="38" hidden="0" customWidth="1"/>
    <x:col min="18" max="18" width="30" hidden="0" customWidth="1"/>
    <x:col min="19" max="19" width="17" hidden="0" customWidth="1"/>
    <x:col min="20" max="20" width="17" hidden="0" customWidth="1"/>
    <x:col min="22" max="22" width="34" hidden="0" customWidth="1"/>
    <x:col min="23" max="23" width="37" hidden="0" customWidth="1"/>
    <x:col min="24" max="24" width="62" hidden="0" customWidth="1"/>
    <x:col min="25" max="25" width="89" hidden="0" customWidth="1"/>
  </x:cols>
  <x:sheetData>
    <x:row r="1" ht="36" customHeight="1">
      <x:c r="A1" s="7" t="str">
        <x:v>UniProt_ID</x:v>
      </x:c>
      <x:c r="B1" s="8" t="str">
        <x:v>Degradation_profile</x:v>
      </x:c>
      <x:c r="C1" s="8" t="str">
        <x:v>NCLE_any</x:v>
      </x:c>
      <x:c r="D1" s="8" t="str">
        <x:v>NCLE_High_only</x:v>
      </x:c>
      <x:c r="E1" s="8" t="str">
        <x:v>Mean_pLDDT</x:v>
      </x:c>
      <x:c r="F1" s="8" t="str">
        <x:v>Protein_length</x:v>
      </x:c>
      <x:c r="G1" s="8" t="str">
        <x:v>Knotted</x:v>
      </x:c>
      <x:c r="H1" s="8" t="str">
        <x:v>Covalent_any_source</x:v>
      </x:c>
      <x:c r="I1" s="8" t="str">
        <x:v>Membrane_keyword</x:v>
      </x:c>
      <x:c r="J1" s="8" t="str">
        <x:v>Secreted_keyword</x:v>
      </x:c>
      <x:c r="K1" s="8" t="str">
        <x:v>Core_eligible</x:v>
      </x:c>
      <x:c r="L1" s="8" t="str">
        <x:v>NED_binary</x:v>
      </x:c>
      <x:c r="M1" s="8" t="str">
        <x:v>Primary_included</x:v>
      </x:c>
      <x:c r="N1" s="8" t="str">
        <x:v>Sensitivity_included</x:v>
      </x:c>
      <x:c r="O1" s="8" t="str">
        <x:v>First_exclusion</x:v>
      </x:c>
      <x:c r="P1" s="8" t="str">
        <x:v>AF_UniProt_length_disagreement</x:v>
      </x:c>
      <x:c r="Q1" s="8" t="str">
        <x:v>Model_ID</x:v>
      </x:c>
      <x:c r="R1" s="8" t="str">
        <x:v>Metadata_status</x:v>
      </x:c>
      <x:c r="S1" s="8" t="str">
        <x:v>Source_Excel_row</x:v>
      </x:c>
      <x:c r="T1" s="9" t="str">
        <x:v>Current_UniProt_length</x:v>
      </x:c>
      <x:c r="V1" s="7" t="str">
        <x:v>Source</x:v>
      </x:c>
      <x:c r="W1" s="8" t="str">
        <x:v>Fields</x:v>
      </x:c>
      <x:c r="X1" s="8" t="str">
        <x:v>Frozen source</x:v>
      </x:c>
      <x:c r="Y1" s="9" t="str">
        <x:v>Interpretation</x:v>
      </x:c>
    </x:row>
    <x:row r="2" ht="23" customHeight="1">
      <x:c r="A2" s="2" t="str">
        <x:v>A0A067XG53</x:v>
      </x:c>
      <x:c r="B2" s="2" t="str">
        <x:v>UN</x:v>
      </x:c>
      <x:c r="C2" s="2"/>
      <x:c r="D2" s="2"/>
      <x:c r="E2" s="10"/>
      <x:c r="F2" s="11"/>
      <x:c r="G2" s="11" t="n">
        <x:v>0</x:v>
      </x:c>
      <x:c r="H2" s="11" t="n">
        <x:v>0</x:v>
      </x:c>
      <x:c r="I2" s="11" t="n">
        <x:v>1</x:v>
      </x:c>
      <x:c r="J2" s="11" t="n">
        <x:v>0</x:v>
      </x:c>
      <x:c r="K2" s="11" t="n">
        <x:v>0</x:v>
      </x:c>
      <x:c r="L2" s="11" t="n">
        <x:f>IF(B2="NED",1,IF(OR(B2="ED",B2="UN"),0,""))</x:f>
        <x:v>0</x:v>
      </x:c>
      <x:c r="M2" s="11" t="n">
        <x:f>IF(AND(K2=1,OR(B2="ED",B2="NED")),1,0)</x:f>
        <x:v>0</x:v>
      </x:c>
      <x:c r="N2" s="11" t="n">
        <x:f>IF(K2=1,1,0)</x:f>
        <x:v>0</x:v>
      </x:c>
      <x:c r="O2" s="12" t="str">
        <x:v>Require exact native accession match</x:v>
      </x:c>
      <x:c r="P2" s="11" t="n">
        <x:v>0</x:v>
      </x:c>
      <x:c r="Q2" s="12"/>
      <x:c r="R2" s="12"/>
      <x:c r="S2" s="11" t="n">
        <x:v>2743</x:v>
      </x:c>
      <x:c r="T2" s="11" t="n">
        <x:v>871</x:v>
      </x:c>
      <x:c r="V2" s="2" t="str">
        <x:v>McShane 2016 mouse supplement</x:v>
      </x:c>
      <x:c r="W2" s="2" t="str">
        <x:v>UniProt accession and ED/NED/UN</x:v>
      </x:c>
      <x:c r="X2" s="2" t="str">
        <x:v>McShane_mouse_mmc1.xlsx; FinalTable_PostNorm_3T3_</x:v>
      </x:c>
      <x:c r="Y2" s="2" t="str">
        <x:v>ED=0; NED=1; UN only in NED-vs-non-NED sensitivity</x:v>
      </x:c>
    </x:row>
    <x:row r="3" ht="23" customHeight="1">
      <x:c r="A3" s="2" t="str">
        <x:v>A0A087WNL7</x:v>
      </x:c>
      <x:c r="B3" s="2" t="str">
        <x:v>ED</x:v>
      </x:c>
      <x:c r="C3" s="2"/>
      <x:c r="D3" s="2"/>
      <x:c r="E3" s="10"/>
      <x:c r="F3" s="11"/>
      <x:c r="G3" s="11" t="n">
        <x:v>0</x:v>
      </x:c>
      <x:c r="H3" s="11" t="n">
        <x:v>0</x:v>
      </x:c>
      <x:c r="I3" s="11" t="n">
        <x:v>0</x:v>
      </x:c>
      <x:c r="J3" s="11" t="n">
        <x:v>0</x:v>
      </x:c>
      <x:c r="K3" s="11" t="n">
        <x:v>0</x:v>
      </x:c>
      <x:c r="L3" s="11" t="n">
        <x:f>IF(B3="NED",1,IF(OR(B3="ED",B3="UN"),0,""))</x:f>
        <x:v>0</x:v>
      </x:c>
      <x:c r="M3" s="11" t="n">
        <x:f>IF(AND(K3=1,OR(B3="ED",B3="NED")),1,0)</x:f>
        <x:v>0</x:v>
      </x:c>
      <x:c r="N3" s="11" t="n">
        <x:f>IF(K3=1,1,0)</x:f>
        <x:v>0</x:v>
      </x:c>
      <x:c r="O3" s="12" t="str">
        <x:v>Require exact native accession match</x:v>
      </x:c>
      <x:c r="P3" s="11" t="n">
        <x:v>0</x:v>
      </x:c>
      <x:c r="Q3" s="12"/>
      <x:c r="R3" s="12"/>
      <x:c r="S3" s="11" t="n">
        <x:v>2744</x:v>
      </x:c>
      <x:c r="T3" s="11" t="n">
        <x:v>3210</x:v>
      </x:c>
      <x:c r="V3" s="2" t="str">
        <x:v>Supplied native archive</x:v>
      </x:c>
      <x:c r="W3" s="2" t="str">
        <x:v>Native detection and covalent flags</x:v>
      </x:c>
      <x:c r="X3" s="2" t="str">
        <x:v>Mouse_Native_HQ_GE.zip; model_v6.csv files</x:v>
      </x:c>
      <x:c r="Y3" s="2" t="str">
        <x:v>Any CCbond=True excludes; noncovalent ENT=True establishes the main positive call</x:v>
      </x:c>
    </x:row>
    <x:row r="4" ht="23" customHeight="1">
      <x:c r="A4" s="2" t="str">
        <x:v>A0A087WNV1</x:v>
      </x:c>
      <x:c r="B4" s="2" t="str">
        <x:v>ED</x:v>
      </x:c>
      <x:c r="C4" s="2"/>
      <x:c r="D4" s="2"/>
      <x:c r="E4" s="10"/>
      <x:c r="F4" s="11"/>
      <x:c r="G4" s="11" t="n">
        <x:v>0</x:v>
      </x:c>
      <x:c r="H4" s="11" t="n">
        <x:v>0</x:v>
      </x:c>
      <x:c r="I4" s="11" t="n">
        <x:v>0</x:v>
      </x:c>
      <x:c r="J4" s="11" t="n">
        <x:v>0</x:v>
      </x:c>
      <x:c r="K4" s="11" t="n">
        <x:v>0</x:v>
      </x:c>
      <x:c r="L4" s="11" t="n">
        <x:f>IF(B4="NED",1,IF(OR(B4="ED",B4="UN"),0,""))</x:f>
        <x:v>0</x:v>
      </x:c>
      <x:c r="M4" s="11" t="n">
        <x:f>IF(AND(K4=1,OR(B4="ED",B4="NED")),1,0)</x:f>
        <x:v>0</x:v>
      </x:c>
      <x:c r="N4" s="11" t="n">
        <x:f>IF(K4=1,1,0)</x:f>
        <x:v>0</x:v>
      </x:c>
      <x:c r="O4" s="12" t="str">
        <x:v>Require exact native accession match</x:v>
      </x:c>
      <x:c r="P4" s="11" t="n">
        <x:v>0</x:v>
      </x:c>
      <x:c r="Q4" s="12"/>
      <x:c r="R4" s="12"/>
      <x:c r="S4" s="11" t="n">
        <x:v>2745</x:v>
      </x:c>
      <x:c r="T4" s="11" t="n">
        <x:v>521</x:v>
      </x:c>
      <x:c r="V4" s="2" t="str">
        <x:v>Official AlphaFold DB API</x:v>
      </x:c>
      <x:c r="W4" s="2" t="str">
        <x:v>Model identity, sequence length</x:v>
      </x:c>
      <x:c r="X4" s="2" t="str">
        <x:v>api/prediction/{UniProt_ID}; exact F1/v6</x:v>
      </x:c>
      <x:c r="Y4" s="2" t="str">
        <x:v>Full 1..N sequence required; model version and species verified</x:v>
      </x:c>
    </x:row>
    <x:row r="5" ht="23" customHeight="1">
      <x:c r="A5" s="2" t="str">
        <x:v>A0A087WNZ7</x:v>
      </x:c>
      <x:c r="B5" s="2" t="str">
        <x:v>UN</x:v>
      </x:c>
      <x:c r="C5" s="2"/>
      <x:c r="D5" s="2"/>
      <x:c r="E5" s="10"/>
      <x:c r="F5" s="11"/>
      <x:c r="G5" s="11" t="n">
        <x:v>0</x:v>
      </x:c>
      <x:c r="H5" s="11" t="n">
        <x:v>0</x:v>
      </x:c>
      <x:c r="I5" s="11" t="n">
        <x:v>0</x:v>
      </x:c>
      <x:c r="J5" s="11" t="n">
        <x:v>0</x:v>
      </x:c>
      <x:c r="K5" s="11" t="n">
        <x:v>0</x:v>
      </x:c>
      <x:c r="L5" s="11" t="n">
        <x:f>IF(B5="NED",1,IF(OR(B5="ED",B5="UN"),0,""))</x:f>
        <x:v>0</x:v>
      </x:c>
      <x:c r="M5" s="11" t="n">
        <x:f>IF(AND(K5=1,OR(B5="ED",B5="NED")),1,0)</x:f>
        <x:v>0</x:v>
      </x:c>
      <x:c r="N5" s="11" t="n">
        <x:f>IF(K5=1,1,0)</x:f>
        <x:v>0</x:v>
      </x:c>
      <x:c r="O5" s="12" t="str">
        <x:v>Require exact native accession match</x:v>
      </x:c>
      <x:c r="P5" s="11" t="n">
        <x:v>0</x:v>
      </x:c>
      <x:c r="Q5" s="12"/>
      <x:c r="R5" s="12"/>
      <x:c r="S5" s="11" t="n">
        <x:v>2746</x:v>
      </x:c>
      <x:c r="T5" s="11" t="n">
        <x:v>1992</x:v>
      </x:c>
      <x:c r="V5" s="2" t="str">
        <x:v>Official AlphaFold confidence</x:v>
      </x:c>
      <x:c r="W5" s="2" t="str">
        <x:v>Average protein pLDDT</x:v>
      </x:c>
      <x:c r="X5" s="2" t="str">
        <x:v>AF-{ID}-F1-confidence_v6.json</x:v>
      </x:c>
      <x:c r="Y5" s="2" t="str">
        <x:v>Arithmetic mean of one score per residue; retain mean &gt;=70</x:v>
      </x:c>
    </x:row>
    <x:row r="6" ht="23" customHeight="1">
      <x:c r="A6" s="2" t="str">
        <x:v>A0A087WPF8</x:v>
      </x:c>
      <x:c r="B6" s="2" t="str">
        <x:v>UN</x:v>
      </x:c>
      <x:c r="C6" s="2"/>
      <x:c r="D6" s="2"/>
      <x:c r="E6" s="10"/>
      <x:c r="F6" s="11"/>
      <x:c r="G6" s="11" t="n">
        <x:v>0</x:v>
      </x:c>
      <x:c r="H6" s="11" t="n">
        <x:v>0</x:v>
      </x:c>
      <x:c r="I6" s="11" t="n">
        <x:v>0</x:v>
      </x:c>
      <x:c r="J6" s="11" t="n">
        <x:v>0</x:v>
      </x:c>
      <x:c r="K6" s="11" t="n">
        <x:v>0</x:v>
      </x:c>
      <x:c r="L6" s="11" t="n">
        <x:f>IF(B6="NED",1,IF(OR(B6="ED",B6="UN"),0,""))</x:f>
        <x:v>0</x:v>
      </x:c>
      <x:c r="M6" s="11" t="n">
        <x:f>IF(AND(K6=1,OR(B6="ED",B6="NED")),1,0)</x:f>
        <x:v>0</x:v>
      </x:c>
      <x:c r="N6" s="11" t="n">
        <x:f>IF(K6=1,1,0)</x:f>
        <x:v>0</x:v>
      </x:c>
      <x:c r="O6" s="12" t="str">
        <x:v>Require exact native accession match</x:v>
      </x:c>
      <x:c r="P6" s="11" t="n">
        <x:v>0</x:v>
      </x:c>
      <x:c r="Q6" s="12"/>
      <x:c r="R6" s="12"/>
      <x:c r="S6" s="11" t="n">
        <x:v>2747</x:v>
      </x:c>
      <x:c r="T6" s="11" t="n">
        <x:v>174</x:v>
      </x:c>
      <x:c r="V6" s="2" t="str">
        <x:v>Supplied knots</x:v>
      </x:c>
      <x:c r="W6" s="2" t="str">
        <x:v>Knotted flag</x:v>
      </x:c>
      <x:c r="X6" s="2" t="str">
        <x:v>knot_all.txt</x:v>
      </x:c>
      <x:c r="Y6" s="2" t="str">
        <x:v>Exact accession membership; retain isoform suffixes</x:v>
      </x:c>
    </x:row>
    <x:row r="7" ht="23" customHeight="1">
      <x:c r="A7" s="2" t="str">
        <x:v>A0A087WQ11</x:v>
      </x:c>
      <x:c r="B7" s="2" t="str">
        <x:v>ED</x:v>
      </x:c>
      <x:c r="C7" s="2"/>
      <x:c r="D7" s="2"/>
      <x:c r="E7" s="10"/>
      <x:c r="F7" s="11"/>
      <x:c r="G7" s="11" t="n">
        <x:v>0</x:v>
      </x:c>
      <x:c r="H7" s="11" t="n">
        <x:v>0</x:v>
      </x:c>
      <x:c r="I7" s="11" t="n">
        <x:v>0</x:v>
      </x:c>
      <x:c r="J7" s="11" t="n">
        <x:v>0</x:v>
      </x:c>
      <x:c r="K7" s="11" t="n">
        <x:v>0</x:v>
      </x:c>
      <x:c r="L7" s="11" t="n">
        <x:f>IF(B7="NED",1,IF(OR(B7="ED",B7="UN"),0,""))</x:f>
        <x:v>0</x:v>
      </x:c>
      <x:c r="M7" s="11" t="n">
        <x:f>IF(AND(K7=1,OR(B7="ED",B7="NED")),1,0)</x:f>
        <x:v>0</x:v>
      </x:c>
      <x:c r="N7" s="11" t="n">
        <x:f>IF(K7=1,1,0)</x:f>
        <x:v>0</x:v>
      </x:c>
      <x:c r="O7" s="12" t="str">
        <x:v>Require exact native accession match</x:v>
      </x:c>
      <x:c r="P7" s="11" t="n">
        <x:v>0</x:v>
      </x:c>
      <x:c r="Q7" s="12"/>
      <x:c r="R7" s="12"/>
      <x:c r="S7" s="11" t="n">
        <x:v>2748</x:v>
      </x:c>
      <x:c r="T7" s="11" t="n">
        <x:v>389</x:v>
      </x:c>
      <x:c r="V7" s="2" t="str">
        <x:v>Supplied covalent lassos</x:v>
      </x:c>
      <x:c r="W7" s="2" t="str">
        <x:v>Covalent flag</x:v>
      </x:c>
      <x:c r="X7" s="2" t="str">
        <x:v>AlphaLasso.zip; Organism=Mouse</x:v>
      </x:c>
      <x:c r="Y7" s="2" t="str">
        <x:v>Remove terminal -F&lt;number&gt;; exclude matches in all four tables</x:v>
      </x:c>
    </x:row>
    <x:row r="8" ht="23" customHeight="1">
      <x:c r="A8" s="2" t="str">
        <x:v>A0A087WQE6</x:v>
      </x:c>
      <x:c r="B8" s="2" t="str">
        <x:v>ED</x:v>
      </x:c>
      <x:c r="C8" s="2"/>
      <x:c r="D8" s="2"/>
      <x:c r="E8" s="10"/>
      <x:c r="F8" s="11"/>
      <x:c r="G8" s="11" t="n">
        <x:v>0</x:v>
      </x:c>
      <x:c r="H8" s="11" t="n">
        <x:v>0</x:v>
      </x:c>
      <x:c r="I8" s="11" t="n">
        <x:v>0</x:v>
      </x:c>
      <x:c r="J8" s="11" t="n">
        <x:v>0</x:v>
      </x:c>
      <x:c r="K8" s="11" t="n">
        <x:v>0</x:v>
      </x:c>
      <x:c r="L8" s="11" t="n">
        <x:f>IF(B8="NED",1,IF(OR(B8="ED",B8="UN"),0,""))</x:f>
        <x:v>0</x:v>
      </x:c>
      <x:c r="M8" s="11" t="n">
        <x:f>IF(AND(K8=1,OR(B8="ED",B8="NED")),1,0)</x:f>
        <x:v>0</x:v>
      </x:c>
      <x:c r="N8" s="11" t="n">
        <x:f>IF(K8=1,1,0)</x:f>
        <x:v>0</x:v>
      </x:c>
      <x:c r="O8" s="12" t="str">
        <x:v>Require exact native accession match</x:v>
      </x:c>
      <x:c r="P8" s="11" t="n">
        <x:v>0</x:v>
      </x:c>
      <x:c r="Q8" s="12"/>
      <x:c r="R8" s="12"/>
      <x:c r="S8" s="11" t="n">
        <x:v>2749</x:v>
      </x:c>
      <x:c r="T8" s="11" t="n">
        <x:v>95</x:v>
      </x:c>
      <x:c r="V8" s="2" t="str">
        <x:v>Frozen UniProt mouse query</x:v>
      </x:c>
      <x:c r="W8" s="2" t="str">
        <x:v>Membrane and Secreted keyword flags</x:v>
      </x:c>
      <x:c r="X8" s="2" t="str">
        <x:v>organism_id:10090; release 2026_03; retrieved 2026-10-10</x:v>
      </x:c>
      <x:c r="Y8" s="2" t="str">
        <x:v>KW-0472 and KW-0964; missing entry remains missing</x:v>
      </x:c>
    </x:row>
    <x:row r="9" ht="23" customHeight="1">
      <x:c r="A9" s="2" t="str">
        <x:v>A0A087WQN7</x:v>
      </x:c>
      <x:c r="B9" s="2" t="str">
        <x:v>ED</x:v>
      </x:c>
      <x:c r="C9" s="2"/>
      <x:c r="D9" s="2"/>
      <x:c r="E9" s="10"/>
      <x:c r="F9" s="11"/>
      <x:c r="G9" s="11" t="n">
        <x:v>0</x:v>
      </x:c>
      <x:c r="H9" s="11" t="n">
        <x:v>0</x:v>
      </x:c>
      <x:c r="I9" s="11" t="n">
        <x:v>0</x:v>
      </x:c>
      <x:c r="J9" s="11" t="n">
        <x:v>0</x:v>
      </x:c>
      <x:c r="K9" s="11" t="n">
        <x:v>0</x:v>
      </x:c>
      <x:c r="L9" s="11" t="n">
        <x:f>IF(B9="NED",1,IF(OR(B9="ED",B9="UN"),0,""))</x:f>
        <x:v>0</x:v>
      </x:c>
      <x:c r="M9" s="11" t="n">
        <x:f>IF(AND(K9=1,OR(B9="ED",B9="NED")),1,0)</x:f>
        <x:v>0</x:v>
      </x:c>
      <x:c r="N9" s="11" t="n">
        <x:f>IF(K9=1,1,0)</x:f>
        <x:v>0</x:v>
      </x:c>
      <x:c r="O9" s="12" t="str">
        <x:v>Require exact native accession match</x:v>
      </x:c>
      <x:c r="P9" s="11" t="n">
        <x:v>0</x:v>
      </x:c>
      <x:c r="Q9" s="12"/>
      <x:c r="R9" s="12"/>
      <x:c r="S9" s="11" t="n">
        <x:v>2750</x:v>
      </x:c>
      <x:c r="T9" s="11" t="n">
        <x:v>1719</x:v>
      </x:c>
      <x:c r="V9" s="2" t="str">
        <x:v>Statistical method</x:v>
      </x:c>
      <x:c r="W9" s="2" t="str">
        <x:v>Crude and Model 1 estimates</x:v>
      </x:c>
      <x:c r="X9" s="2" t="str">
        <x:v>NED ~ NCLE + z(protein length)</x:v>
      </x:c>
      <x:c r="Y9" s="2" t="str">
        <x:v>MLE logistic; sample SD (ddof=1); Fisher crude P; Wald intervals and regression P</x:v>
      </x:c>
    </x:row>
    <x:row r="10" ht="23" customHeight="1">
      <x:c r="A10" s="2" t="str">
        <x:v>A0A087WQQ5</x:v>
      </x:c>
      <x:c r="B10" s="2" t="str">
        <x:v>UN</x:v>
      </x:c>
      <x:c r="C10" s="2"/>
      <x:c r="D10" s="2"/>
      <x:c r="E10" s="10"/>
      <x:c r="F10" s="11"/>
      <x:c r="G10" s="11" t="n">
        <x:v>0</x:v>
      </x:c>
      <x:c r="H10" s="11" t="n">
        <x:v>0</x:v>
      </x:c>
      <x:c r="I10" s="11" t="n">
        <x:v>1</x:v>
      </x:c>
      <x:c r="J10" s="11" t="n">
        <x:v>0</x:v>
      </x:c>
      <x:c r="K10" s="11" t="n">
        <x:v>0</x:v>
      </x:c>
      <x:c r="L10" s="11" t="n">
        <x:f>IF(B10="NED",1,IF(OR(B10="ED",B10="UN"),0,""))</x:f>
        <x:v>0</x:v>
      </x:c>
      <x:c r="M10" s="11" t="n">
        <x:f>IF(AND(K10=1,OR(B10="ED",B10="NED")),1,0)</x:f>
        <x:v>0</x:v>
      </x:c>
      <x:c r="N10" s="11" t="n">
        <x:f>IF(K10=1,1,0)</x:f>
        <x:v>0</x:v>
      </x:c>
      <x:c r="O10" s="12" t="str">
        <x:v>Require exact native accession match</x:v>
      </x:c>
      <x:c r="P10" s="11" t="n">
        <x:v>0</x:v>
      </x:c>
      <x:c r="Q10" s="12"/>
      <x:c r="R10" s="12"/>
      <x:c r="S10" s="11" t="n">
        <x:v>2751</x:v>
      </x:c>
      <x:c r="T10" s="11" t="n">
        <x:v>1275</x:v>
      </x:c>
      <x:c r="V10" s="2" t="str">
        <x:v>Conservative local-quality check</x:v>
      </x:c>
      <x:c r="W10" s="2" t="str">
        <x:v>NCLE_High_only</x:v>
      </x:c>
      <x:c r="X10" s="2" t="str">
        <x:v>Require Quality=High for a positive detection</x:v>
      </x:c>
      <x:c r="Y10" s="2" t="str">
        <x:v>Low-only detections are excluded from this check, not assigned to the negative group</x:v>
      </x:c>
    </x:row>
    <x:row r="11" ht="23" customHeight="1">
      <x:c r="A11" s="2" t="str">
        <x:v>A0A087WR75</x:v>
      </x:c>
      <x:c r="B11" s="2" t="str">
        <x:v>ED</x:v>
      </x:c>
      <x:c r="C11" s="2"/>
      <x:c r="D11" s="2"/>
      <x:c r="E11" s="10"/>
      <x:c r="F11" s="11"/>
      <x:c r="G11" s="11" t="n">
        <x:v>0</x:v>
      </x:c>
      <x:c r="H11" s="11" t="n">
        <x:v>0</x:v>
      </x:c>
      <x:c r="I11" s="11" t="n">
        <x:v>0</x:v>
      </x:c>
      <x:c r="J11" s="11" t="n">
        <x:v>0</x:v>
      </x:c>
      <x:c r="K11" s="11" t="n">
        <x:v>0</x:v>
      </x:c>
      <x:c r="L11" s="11" t="n">
        <x:f>IF(B11="NED",1,IF(OR(B11="ED",B11="UN"),0,""))</x:f>
        <x:v>0</x:v>
      </x:c>
      <x:c r="M11" s="11" t="n">
        <x:f>IF(AND(K11=1,OR(B11="ED",B11="NED")),1,0)</x:f>
        <x:v>0</x:v>
      </x:c>
      <x:c r="N11" s="11" t="n">
        <x:f>IF(K11=1,1,0)</x:f>
        <x:v>0</x:v>
      </x:c>
      <x:c r="O11" s="12" t="str">
        <x:v>Require exact native accession match</x:v>
      </x:c>
      <x:c r="P11" s="11" t="n">
        <x:v>0</x:v>
      </x:c>
      <x:c r="Q11" s="12"/>
      <x:c r="R11" s="12"/>
      <x:c r="S11" s="11" t="n">
        <x:v>2752</x:v>
      </x:c>
      <x:c r="T11" s="11" t="n">
        <x:v>969</x:v>
      </x:c>
    </x:row>
    <x:row r="12" ht="23" customHeight="1">
      <x:c r="A12" s="2" t="str">
        <x:v>A0A087WS18</x:v>
      </x:c>
      <x:c r="B12" s="2" t="str">
        <x:v>ED</x:v>
      </x:c>
      <x:c r="C12" s="2"/>
      <x:c r="D12" s="2"/>
      <x:c r="E12" s="10"/>
      <x:c r="F12" s="11"/>
      <x:c r="G12" s="11" t="n">
        <x:v>0</x:v>
      </x:c>
      <x:c r="H12" s="11" t="n">
        <x:v>0</x:v>
      </x:c>
      <x:c r="I12" s="11" t="n">
        <x:v>0</x:v>
      </x:c>
      <x:c r="J12" s="11" t="n">
        <x:v>0</x:v>
      </x:c>
      <x:c r="K12" s="11" t="n">
        <x:v>0</x:v>
      </x:c>
      <x:c r="L12" s="11" t="n">
        <x:f>IF(B12="NED",1,IF(OR(B12="ED",B12="UN"),0,""))</x:f>
        <x:v>0</x:v>
      </x:c>
      <x:c r="M12" s="11" t="n">
        <x:f>IF(AND(K12=1,OR(B12="ED",B12="NED")),1,0)</x:f>
        <x:v>0</x:v>
      </x:c>
      <x:c r="N12" s="11" t="n">
        <x:f>IF(K12=1,1,0)</x:f>
        <x:v>0</x:v>
      </x:c>
      <x:c r="O12" s="12" t="str">
        <x:v>Require exact native accession match</x:v>
      </x:c>
      <x:c r="P12" s="11" t="n">
        <x:v>0</x:v>
      </x:c>
      <x:c r="Q12" s="12"/>
      <x:c r="R12" s="12"/>
      <x:c r="S12" s="11" t="n">
        <x:v>2753</x:v>
      </x:c>
      <x:c r="T12" s="11" t="n">
        <x:v>1460</x:v>
      </x:c>
    </x:row>
    <x:row r="13" ht="23" customHeight="1">
      <x:c r="A13" s="2" t="str">
        <x:v>A2A432</x:v>
      </x:c>
      <x:c r="B13" s="2" t="str">
        <x:v>ED</x:v>
      </x:c>
      <x:c r="C13" s="2" t="n">
        <x:v>1</x:v>
      </x:c>
      <x:c r="D13" s="2" t="n">
        <x:v>1</x:v>
      </x:c>
      <x:c r="E13" s="10" t="n">
        <x:v>76.0159793814433</x:v>
      </x:c>
      <x:c r="F13" s="11" t="n">
        <x:v>970</x:v>
      </x:c>
      <x:c r="G13" s="11" t="n">
        <x:v>0</x:v>
      </x:c>
      <x:c r="H13" s="11" t="n">
        <x:v>0</x:v>
      </x:c>
      <x:c r="I13" s="11" t="n">
        <x:v>0</x:v>
      </x:c>
      <x:c r="J13" s="11" t="n">
        <x:v>0</x:v>
      </x:c>
      <x:c r="K13" s="11" t="n">
        <x:v>1</x:v>
      </x:c>
      <x:c r="L13" s="11" t="n">
        <x:f>IF(B13="NED",1,IF(OR(B13="ED",B13="UN"),0,""))</x:f>
        <x:v>0</x:v>
      </x:c>
      <x:c r="M13" s="11" t="n">
        <x:f>IF(AND(K13=1,OR(B13="ED",B13="NED")),1,0)</x:f>
        <x:v>1</x:v>
      </x:c>
      <x:c r="N13" s="11" t="n">
        <x:f>IF(K13=1,1,0)</x:f>
        <x:v>1</x:v>
      </x:c>
      <x:c r="O13" s="12"/>
      <x:c r="P13" s="11" t="n">
        <x:v>0</x:v>
      </x:c>
      <x:c r="Q13" s="12" t="str">
        <x:v>AF-A2A432-F1-model_v6</x:v>
      </x:c>
      <x:c r="R13" s="12" t="str">
        <x:v>ok</x:v>
      </x:c>
      <x:c r="S13" s="11" t="n">
        <x:v>2</x:v>
      </x:c>
      <x:c r="T13" s="11" t="n">
        <x:v>970</x:v>
      </x:c>
    </x:row>
    <x:row r="14" ht="23" customHeight="1">
      <x:c r="A14" s="2" t="str">
        <x:v>A2A485</x:v>
      </x:c>
      <x:c r="B14" s="2" t="str">
        <x:v>UN</x:v>
      </x:c>
      <x:c r="C14" s="2"/>
      <x:c r="D14" s="2"/>
      <x:c r="E14" s="10"/>
      <x:c r="F14" s="11"/>
      <x:c r="G14" s="11" t="n">
        <x:v>0</x:v>
      </x:c>
      <x:c r="H14" s="11" t="n">
        <x:v>0</x:v>
      </x:c>
      <x:c r="I14" s="11" t="n">
        <x:v>0</x:v>
      </x:c>
      <x:c r="J14" s="11" t="n">
        <x:v>0</x:v>
      </x:c>
      <x:c r="K14" s="11" t="n">
        <x:v>0</x:v>
      </x:c>
      <x:c r="L14" s="11" t="n">
        <x:f>IF(B14="NED",1,IF(OR(B14="ED",B14="UN"),0,""))</x:f>
        <x:v>0</x:v>
      </x:c>
      <x:c r="M14" s="11" t="n">
        <x:f>IF(AND(K14=1,OR(B14="ED",B14="NED")),1,0)</x:f>
        <x:v>0</x:v>
      </x:c>
      <x:c r="N14" s="11" t="n">
        <x:f>IF(K14=1,1,0)</x:f>
        <x:v>0</x:v>
      </x:c>
      <x:c r="O14" s="12" t="str">
        <x:v>Require exact native accession match</x:v>
      </x:c>
      <x:c r="P14" s="11" t="n">
        <x:v>0</x:v>
      </x:c>
      <x:c r="Q14" s="12"/>
      <x:c r="R14" s="12"/>
      <x:c r="S14" s="11" t="n">
        <x:v>2754</x:v>
      </x:c>
      <x:c r="T14" s="11" t="n">
        <x:v>1094</x:v>
      </x:c>
    </x:row>
    <x:row r="15" ht="23" customHeight="1">
      <x:c r="A15" s="2" t="str">
        <x:v>A2A4A6</x:v>
      </x:c>
      <x:c r="B15" s="2" t="str">
        <x:v>ED</x:v>
      </x:c>
      <x:c r="C15" s="2"/>
      <x:c r="D15" s="2"/>
      <x:c r="E15" s="10"/>
      <x:c r="F15" s="11"/>
      <x:c r="G15" s="11" t="n">
        <x:v>0</x:v>
      </x:c>
      <x:c r="H15" s="11" t="n">
        <x:v>0</x:v>
      </x:c>
      <x:c r="I15" s="11" t="n">
        <x:v>0</x:v>
      </x:c>
      <x:c r="J15" s="11" t="n">
        <x:v>0</x:v>
      </x:c>
      <x:c r="K15" s="11" t="n">
        <x:v>0</x:v>
      </x:c>
      <x:c r="L15" s="11" t="n">
        <x:f>IF(B15="NED",1,IF(OR(B15="ED",B15="UN"),0,""))</x:f>
        <x:v>0</x:v>
      </x:c>
      <x:c r="M15" s="11" t="n">
        <x:f>IF(AND(K15=1,OR(B15="ED",B15="NED")),1,0)</x:f>
        <x:v>0</x:v>
      </x:c>
      <x:c r="N15" s="11" t="n">
        <x:f>IF(K15=1,1,0)</x:f>
        <x:v>0</x:v>
      </x:c>
      <x:c r="O15" s="12" t="str">
        <x:v>Require exact native accession match</x:v>
      </x:c>
      <x:c r="P15" s="11" t="n">
        <x:v>0</x:v>
      </x:c>
      <x:c r="Q15" s="12"/>
      <x:c r="R15" s="12"/>
      <x:c r="S15" s="11" t="n">
        <x:v>2755</x:v>
      </x:c>
      <x:c r="T15" s="11" t="n">
        <x:v>1290</x:v>
      </x:c>
    </x:row>
    <x:row r="16" ht="23" customHeight="1">
      <x:c r="A16" s="2" t="str">
        <x:v>A2A4P0</x:v>
      </x:c>
      <x:c r="B16" s="2" t="str">
        <x:v>UN</x:v>
      </x:c>
      <x:c r="C16" s="2" t="n">
        <x:v>1</x:v>
      </x:c>
      <x:c r="D16" s="2" t="n">
        <x:v>1</x:v>
      </x:c>
      <x:c r="E16" s="10" t="n">
        <x:v>72.75672025723473</x:v>
      </x:c>
      <x:c r="F16" s="11" t="n">
        <x:v>1244</x:v>
      </x:c>
      <x:c r="G16" s="11" t="n">
        <x:v>0</x:v>
      </x:c>
      <x:c r="H16" s="11" t="n">
        <x:v>0</x:v>
      </x:c>
      <x:c r="I16" s="11" t="n">
        <x:v>0</x:v>
      </x:c>
      <x:c r="J16" s="11" t="n">
        <x:v>0</x:v>
      </x:c>
      <x:c r="K16" s="11" t="n">
        <x:v>1</x:v>
      </x:c>
      <x:c r="L16" s="11" t="n">
        <x:f>IF(B16="NED",1,IF(OR(B16="ED",B16="UN"),0,""))</x:f>
        <x:v>0</x:v>
      </x:c>
      <x:c r="M16" s="11" t="n">
        <x:f>IF(AND(K16=1,OR(B16="ED",B16="NED")),1,0)</x:f>
        <x:v>0</x:v>
      </x:c>
      <x:c r="N16" s="11" t="n">
        <x:f>IF(K16=1,1,0)</x:f>
        <x:v>1</x:v>
      </x:c>
      <x:c r="O16" s="12"/>
      <x:c r="P16" s="11" t="n">
        <x:v>0</x:v>
      </x:c>
      <x:c r="Q16" s="12" t="str">
        <x:v>AF-A2A4P0-F1-model_v6</x:v>
      </x:c>
      <x:c r="R16" s="12" t="str">
        <x:v>ok</x:v>
      </x:c>
      <x:c r="S16" s="11" t="n">
        <x:v>3</x:v>
      </x:c>
      <x:c r="T16" s="11" t="n">
        <x:v>1244</x:v>
      </x:c>
    </x:row>
    <x:row r="17" ht="23" customHeight="1">
      <x:c r="A17" s="2" t="str">
        <x:v>A2A4Z1</x:v>
      </x:c>
      <x:c r="B17" s="2" t="str">
        <x:v>UN</x:v>
      </x:c>
      <x:c r="C17" s="2"/>
      <x:c r="D17" s="2"/>
      <x:c r="E17" s="10"/>
      <x:c r="F17" s="11"/>
      <x:c r="G17" s="11" t="n">
        <x:v>0</x:v>
      </x:c>
      <x:c r="H17" s="11" t="n">
        <x:v>0</x:v>
      </x:c>
      <x:c r="I17" s="11" t="n">
        <x:v>0</x:v>
      </x:c>
      <x:c r="J17" s="11" t="n">
        <x:v>0</x:v>
      </x:c>
      <x:c r="K17" s="11" t="n">
        <x:v>0</x:v>
      </x:c>
      <x:c r="L17" s="11" t="n">
        <x:f>IF(B17="NED",1,IF(OR(B17="ED",B17="UN"),0,""))</x:f>
        <x:v>0</x:v>
      </x:c>
      <x:c r="M17" s="11" t="n">
        <x:f>IF(AND(K17=1,OR(B17="ED",B17="NED")),1,0)</x:f>
        <x:v>0</x:v>
      </x:c>
      <x:c r="N17" s="11" t="n">
        <x:f>IF(K17=1,1,0)</x:f>
        <x:v>0</x:v>
      </x:c>
      <x:c r="O17" s="12" t="str">
        <x:v>Require exact native accession match</x:v>
      </x:c>
      <x:c r="P17" s="11" t="n">
        <x:v>0</x:v>
      </x:c>
      <x:c r="Q17" s="12"/>
      <x:c r="R17" s="12"/>
      <x:c r="S17" s="11" t="n">
        <x:v>2756</x:v>
      </x:c>
      <x:c r="T17" s="11" t="n">
        <x:v>171</x:v>
      </x:c>
    </x:row>
    <x:row r="18" ht="23" customHeight="1">
      <x:c r="A18" s="2" t="str">
        <x:v>A2A5K6</x:v>
      </x:c>
      <x:c r="B18" s="2" t="str">
        <x:v>UN</x:v>
      </x:c>
      <x:c r="C18" s="2" t="n">
        <x:v>1</x:v>
      </x:c>
      <x:c r="D18" s="2"/>
      <x:c r="E18" s="10" t="n">
        <x:v>50.68103964098729</x:v>
      </x:c>
      <x:c r="F18" s="11" t="n">
        <x:v>1337</x:v>
      </x:c>
      <x:c r="G18" s="11" t="n">
        <x:v>0</x:v>
      </x:c>
      <x:c r="H18" s="11" t="n">
        <x:v>0</x:v>
      </x:c>
      <x:c r="I18" s="11" t="n">
        <x:v>0</x:v>
      </x:c>
      <x:c r="J18" s="11" t="n">
        <x:v>0</x:v>
      </x:c>
      <x:c r="K18" s="11" t="n">
        <x:v>0</x:v>
      </x:c>
      <x:c r="L18" s="11" t="n">
        <x:f>IF(B18="NED",1,IF(OR(B18="ED",B18="UN"),0,""))</x:f>
        <x:v>0</x:v>
      </x:c>
      <x:c r="M18" s="11" t="n">
        <x:f>IF(AND(K18=1,OR(B18="ED",B18="NED")),1,0)</x:f>
        <x:v>0</x:v>
      </x:c>
      <x:c r="N18" s="11" t="n">
        <x:f>IF(K18=1,1,0)</x:f>
        <x:v>0</x:v>
      </x:c>
      <x:c r="O18" s="12" t="str">
        <x:v>Retain protein mean pLDDT &gt;=70</x:v>
      </x:c>
      <x:c r="P18" s="11" t="n">
        <x:v>0</x:v>
      </x:c>
      <x:c r="Q18" s="12" t="str">
        <x:v>AF-A2A5K6-F1-model_v6</x:v>
      </x:c>
      <x:c r="R18" s="12" t="str">
        <x:v>ok</x:v>
      </x:c>
      <x:c r="S18" s="11" t="n">
        <x:v>4</x:v>
      </x:c>
      <x:c r="T18" s="11" t="n">
        <x:v>1337</x:v>
      </x:c>
    </x:row>
    <x:row r="19" ht="23" customHeight="1">
      <x:c r="A19" s="2" t="str">
        <x:v>A2A5R2</x:v>
      </x:c>
      <x:c r="B19" s="2" t="str">
        <x:v>ED</x:v>
      </x:c>
      <x:c r="C19" s="2" t="n">
        <x:v>1</x:v>
      </x:c>
      <x:c r="D19" s="2" t="n">
        <x:v>1</x:v>
      </x:c>
      <x:c r="E19" s="10"/>
      <x:c r="F19" s="11" t="n">
        <x:v>1792</x:v>
      </x:c>
      <x:c r="G19" s="11" t="n">
        <x:v>0</x:v>
      </x:c>
      <x:c r="H19" s="11" t="n">
        <x:v>0</x:v>
      </x:c>
      <x:c r="I19" s="11" t="n">
        <x:v>1</x:v>
      </x:c>
      <x:c r="J19" s="11" t="n">
        <x:v>0</x:v>
      </x:c>
      <x:c r="K19" s="11" t="n">
        <x:v>0</x:v>
      </x:c>
      <x:c r="L19" s="11" t="n">
        <x:f>IF(B19="NED",1,IF(OR(B19="ED",B19="UN"),0,""))</x:f>
        <x:v>0</x:v>
      </x:c>
      <x:c r="M19" s="11" t="n">
        <x:f>IF(AND(K19=1,OR(B19="ED",B19="NED")),1,0)</x:f>
        <x:v>0</x:v>
      </x:c>
      <x:c r="N19" s="11" t="n">
        <x:f>IF(K19=1,1,0)</x:f>
        <x:v>0</x:v>
      </x:c>
      <x:c r="O19" s="12" t="str">
        <x:v>Exclude UniProt Membrane keyword</x:v>
      </x:c>
      <x:c r="P19" s="11" t="n">
        <x:v>0</x:v>
      </x:c>
      <x:c r="Q19" s="12" t="str">
        <x:v>AF-A2A5R2-F1-model_v6</x:v>
      </x:c>
      <x:c r="R19" s="12" t="str">
        <x:v>ok</x:v>
      </x:c>
      <x:c r="S19" s="11" t="n">
        <x:v>5</x:v>
      </x:c>
      <x:c r="T19" s="11" t="n">
        <x:v>1792</x:v>
      </x:c>
    </x:row>
    <x:row r="20" ht="23" customHeight="1">
      <x:c r="A20" s="2" t="str">
        <x:v>A2A5S3</x:v>
      </x:c>
      <x:c r="B20" s="2" t="str">
        <x:v>ED</x:v>
      </x:c>
      <x:c r="C20" s="2"/>
      <x:c r="D20" s="2"/>
      <x:c r="E20" s="10"/>
      <x:c r="F20" s="11"/>
      <x:c r="G20" s="11" t="n">
        <x:v>0</x:v>
      </x:c>
      <x:c r="H20" s="11" t="n">
        <x:v>0</x:v>
      </x:c>
      <x:c r="I20" s="11" t="n">
        <x:v>0</x:v>
      </x:c>
      <x:c r="J20" s="11" t="n">
        <x:v>0</x:v>
      </x:c>
      <x:c r="K20" s="11" t="n">
        <x:v>0</x:v>
      </x:c>
      <x:c r="L20" s="11" t="n">
        <x:f>IF(B20="NED",1,IF(OR(B20="ED",B20="UN"),0,""))</x:f>
        <x:v>0</x:v>
      </x:c>
      <x:c r="M20" s="11" t="n">
        <x:f>IF(AND(K20=1,OR(B20="ED",B20="NED")),1,0)</x:f>
        <x:v>0</x:v>
      </x:c>
      <x:c r="N20" s="11" t="n">
        <x:f>IF(K20=1,1,0)</x:f>
        <x:v>0</x:v>
      </x:c>
      <x:c r="O20" s="12" t="str">
        <x:v>Require exact native accession match</x:v>
      </x:c>
      <x:c r="P20" s="11" t="n">
        <x:v>0</x:v>
      </x:c>
      <x:c r="Q20" s="12"/>
      <x:c r="R20" s="12"/>
      <x:c r="S20" s="11" t="n">
        <x:v>2757</x:v>
      </x:c>
      <x:c r="T20" s="11" t="n">
        <x:v>495</x:v>
      </x:c>
    </x:row>
    <x:row r="21" ht="23" customHeight="1">
      <x:c r="A21" s="2" t="str">
        <x:v>A2A6Q5-2</x:v>
      </x:c>
      <x:c r="B21" s="2" t="str">
        <x:v>UN</x:v>
      </x:c>
      <x:c r="C21" s="2"/>
      <x:c r="D21" s="2"/>
      <x:c r="E21" s="10"/>
      <x:c r="F21" s="11"/>
      <x:c r="G21" s="11" t="n">
        <x:v>0</x:v>
      </x:c>
      <x:c r="H21" s="11" t="n">
        <x:v>0</x:v>
      </x:c>
      <x:c r="I21" s="11"/>
      <x:c r="J21" s="11"/>
      <x:c r="K21" s="11" t="n">
        <x:v>0</x:v>
      </x:c>
      <x:c r="L21" s="11" t="n">
        <x:f>IF(B21="NED",1,IF(OR(B21="ED",B21="UN"),0,""))</x:f>
        <x:v>0</x:v>
      </x:c>
      <x:c r="M21" s="11" t="n">
        <x:f>IF(AND(K21=1,OR(B21="ED",B21="NED")),1,0)</x:f>
        <x:v>0</x:v>
      </x:c>
      <x:c r="N21" s="11" t="n">
        <x:f>IF(K21=1,1,0)</x:f>
        <x:v>0</x:v>
      </x:c>
      <x:c r="O21" s="12" t="str">
        <x:v>Require exact native accession match</x:v>
      </x:c>
      <x:c r="P21" s="11" t="n">
        <x:v>0</x:v>
      </x:c>
      <x:c r="Q21" s="12"/>
      <x:c r="R21" s="12"/>
      <x:c r="S21" s="11" t="n">
        <x:v>6</x:v>
      </x:c>
      <x:c r="T21" s="11"/>
    </x:row>
    <x:row r="22" ht="23" customHeight="1">
      <x:c r="A22" s="2" t="str">
        <x:v>A2A7B5</x:v>
      </x:c>
      <x:c r="B22" s="2" t="str">
        <x:v>UN</x:v>
      </x:c>
      <x:c r="C22" s="2" t="n">
        <x:v>1</x:v>
      </x:c>
      <x:c r="D22" s="2" t="n">
        <x:v>1</x:v>
      </x:c>
      <x:c r="E22" s="10" t="n">
        <x:v>47.15165008777063</x:v>
      </x:c>
      <x:c r="F22" s="11" t="n">
        <x:v>1709</x:v>
      </x:c>
      <x:c r="G22" s="11" t="n">
        <x:v>0</x:v>
      </x:c>
      <x:c r="H22" s="11" t="n">
        <x:v>0</x:v>
      </x:c>
      <x:c r="I22" s="11" t="n">
        <x:v>0</x:v>
      </x:c>
      <x:c r="J22" s="11" t="n">
        <x:v>0</x:v>
      </x:c>
      <x:c r="K22" s="11" t="n">
        <x:v>0</x:v>
      </x:c>
      <x:c r="L22" s="11" t="n">
        <x:f>IF(B22="NED",1,IF(OR(B22="ED",B22="UN"),0,""))</x:f>
        <x:v>0</x:v>
      </x:c>
      <x:c r="M22" s="11" t="n">
        <x:f>IF(AND(K22=1,OR(B22="ED",B22="NED")),1,0)</x:f>
        <x:v>0</x:v>
      </x:c>
      <x:c r="N22" s="11" t="n">
        <x:f>IF(K22=1,1,0)</x:f>
        <x:v>0</x:v>
      </x:c>
      <x:c r="O22" s="12" t="str">
        <x:v>Retain protein mean pLDDT &gt;=70</x:v>
      </x:c>
      <x:c r="P22" s="11" t="n">
        <x:v>0</x:v>
      </x:c>
      <x:c r="Q22" s="12" t="str">
        <x:v>AF-A2A7B5-F1-model_v6</x:v>
      </x:c>
      <x:c r="R22" s="12" t="str">
        <x:v>ok</x:v>
      </x:c>
      <x:c r="S22" s="11" t="n">
        <x:v>2758</x:v>
      </x:c>
      <x:c r="T22" s="11" t="n">
        <x:v>1709</x:v>
      </x:c>
    </x:row>
    <x:row r="23" ht="23" customHeight="1">
      <x:c r="A23" s="2" t="str">
        <x:v>A2A7T8</x:v>
      </x:c>
      <x:c r="B23" s="2" t="str">
        <x:v>ED</x:v>
      </x:c>
      <x:c r="C23" s="2"/>
      <x:c r="D23" s="2"/>
      <x:c r="E23" s="10"/>
      <x:c r="F23" s="11"/>
      <x:c r="G23" s="11" t="n">
        <x:v>0</x:v>
      </x:c>
      <x:c r="H23" s="11" t="n">
        <x:v>0</x:v>
      </x:c>
      <x:c r="I23" s="11" t="n">
        <x:v>0</x:v>
      </x:c>
      <x:c r="J23" s="11" t="n">
        <x:v>0</x:v>
      </x:c>
      <x:c r="K23" s="11" t="n">
        <x:v>0</x:v>
      </x:c>
      <x:c r="L23" s="11" t="n">
        <x:f>IF(B23="NED",1,IF(OR(B23="ED",B23="UN"),0,""))</x:f>
        <x:v>0</x:v>
      </x:c>
      <x:c r="M23" s="11" t="n">
        <x:f>IF(AND(K23=1,OR(B23="ED",B23="NED")),1,0)</x:f>
        <x:v>0</x:v>
      </x:c>
      <x:c r="N23" s="11" t="n">
        <x:f>IF(K23=1,1,0)</x:f>
        <x:v>0</x:v>
      </x:c>
      <x:c r="O23" s="12" t="str">
        <x:v>Require exact native accession match</x:v>
      </x:c>
      <x:c r="P23" s="11" t="n">
        <x:v>0</x:v>
      </x:c>
      <x:c r="Q23" s="12"/>
      <x:c r="R23" s="12"/>
      <x:c r="S23" s="11" t="n">
        <x:v>2759</x:v>
      </x:c>
      <x:c r="T23" s="11" t="n">
        <x:v>885</x:v>
      </x:c>
    </x:row>
    <x:row r="24" ht="23" customHeight="1">
      <x:c r="A24" s="2" t="str">
        <x:v>A2A8E2</x:v>
      </x:c>
      <x:c r="B24" s="2" t="str">
        <x:v>UN</x:v>
      </x:c>
      <x:c r="C24" s="2"/>
      <x:c r="D24" s="2"/>
      <x:c r="E24" s="10"/>
      <x:c r="F24" s="11"/>
      <x:c r="G24" s="11" t="n">
        <x:v>0</x:v>
      </x:c>
      <x:c r="H24" s="11" t="n">
        <x:v>0</x:v>
      </x:c>
      <x:c r="I24" s="11" t="n">
        <x:v>0</x:v>
      </x:c>
      <x:c r="J24" s="11" t="n">
        <x:v>0</x:v>
      </x:c>
      <x:c r="K24" s="11" t="n">
        <x:v>0</x:v>
      </x:c>
      <x:c r="L24" s="11" t="n">
        <x:f>IF(B24="NED",1,IF(OR(B24="ED",B24="UN"),0,""))</x:f>
        <x:v>0</x:v>
      </x:c>
      <x:c r="M24" s="11" t="n">
        <x:f>IF(AND(K24=1,OR(B24="ED",B24="NED")),1,0)</x:f>
        <x:v>0</x:v>
      </x:c>
      <x:c r="N24" s="11" t="n">
        <x:f>IF(K24=1,1,0)</x:f>
        <x:v>0</x:v>
      </x:c>
      <x:c r="O24" s="12" t="str">
        <x:v>Require exact native accession match</x:v>
      </x:c>
      <x:c r="P24" s="11" t="n">
        <x:v>0</x:v>
      </x:c>
      <x:c r="Q24" s="12"/>
      <x:c r="R24" s="12"/>
      <x:c r="S24" s="11" t="n">
        <x:v>2760</x:v>
      </x:c>
      <x:c r="T24" s="11" t="n">
        <x:v>138</x:v>
      </x:c>
    </x:row>
    <x:row r="25" ht="23" customHeight="1">
      <x:c r="A25" s="2" t="str">
        <x:v>A2A934</x:v>
      </x:c>
      <x:c r="B25" s="2" t="str">
        <x:v>UN</x:v>
      </x:c>
      <x:c r="C25" s="2"/>
      <x:c r="D25" s="2"/>
      <x:c r="E25" s="10"/>
      <x:c r="F25" s="11"/>
      <x:c r="G25" s="11" t="n">
        <x:v>0</x:v>
      </x:c>
      <x:c r="H25" s="11" t="n">
        <x:v>0</x:v>
      </x:c>
      <x:c r="I25" s="11" t="n">
        <x:v>0</x:v>
      </x:c>
      <x:c r="J25" s="11" t="n">
        <x:v>0</x:v>
      </x:c>
      <x:c r="K25" s="11" t="n">
        <x:v>0</x:v>
      </x:c>
      <x:c r="L25" s="11" t="n">
        <x:f>IF(B25="NED",1,IF(OR(B25="ED",B25="UN"),0,""))</x:f>
        <x:v>0</x:v>
      </x:c>
      <x:c r="M25" s="11" t="n">
        <x:f>IF(AND(K25=1,OR(B25="ED",B25="NED")),1,0)</x:f>
        <x:v>0</x:v>
      </x:c>
      <x:c r="N25" s="11" t="n">
        <x:f>IF(K25=1,1,0)</x:f>
        <x:v>0</x:v>
      </x:c>
      <x:c r="O25" s="12" t="str">
        <x:v>Require exact native accession match</x:v>
      </x:c>
      <x:c r="P25" s="11" t="n">
        <x:v>0</x:v>
      </x:c>
      <x:c r="Q25" s="12"/>
      <x:c r="R25" s="12"/>
      <x:c r="S25" s="11" t="n">
        <x:v>2761</x:v>
      </x:c>
      <x:c r="T25" s="11" t="n">
        <x:v>1177</x:v>
      </x:c>
    </x:row>
    <x:row r="26" ht="23" customHeight="1">
      <x:c r="A26" s="2" t="str">
        <x:v>A2A9I0</x:v>
      </x:c>
      <x:c r="B26" s="2" t="str">
        <x:v>UN</x:v>
      </x:c>
      <x:c r="C26" s="2"/>
      <x:c r="D26" s="2"/>
      <x:c r="E26" s="10"/>
      <x:c r="F26" s="11"/>
      <x:c r="G26" s="11" t="n">
        <x:v>0</x:v>
      </x:c>
      <x:c r="H26" s="11" t="n">
        <x:v>0</x:v>
      </x:c>
      <x:c r="I26" s="11" t="n">
        <x:v>1</x:v>
      </x:c>
      <x:c r="J26" s="11" t="n">
        <x:v>0</x:v>
      </x:c>
      <x:c r="K26" s="11" t="n">
        <x:v>0</x:v>
      </x:c>
      <x:c r="L26" s="11" t="n">
        <x:f>IF(B26="NED",1,IF(OR(B26="ED",B26="UN"),0,""))</x:f>
        <x:v>0</x:v>
      </x:c>
      <x:c r="M26" s="11" t="n">
        <x:f>IF(AND(K26=1,OR(B26="ED",B26="NED")),1,0)</x:f>
        <x:v>0</x:v>
      </x:c>
      <x:c r="N26" s="11" t="n">
        <x:f>IF(K26=1,1,0)</x:f>
        <x:v>0</x:v>
      </x:c>
      <x:c r="O26" s="12" t="str">
        <x:v>Require exact native accession match</x:v>
      </x:c>
      <x:c r="P26" s="11" t="n">
        <x:v>0</x:v>
      </x:c>
      <x:c r="Q26" s="12"/>
      <x:c r="R26" s="12"/>
      <x:c r="S26" s="11" t="n">
        <x:v>2762</x:v>
      </x:c>
      <x:c r="T26" s="11" t="n">
        <x:v>165</x:v>
      </x:c>
    </x:row>
    <x:row r="27" ht="23" customHeight="1">
      <x:c r="A27" s="2" t="str">
        <x:v>A2A9K3</x:v>
      </x:c>
      <x:c r="B27" s="2" t="str">
        <x:v>ED</x:v>
      </x:c>
      <x:c r="C27" s="2"/>
      <x:c r="D27" s="2"/>
      <x:c r="E27" s="10"/>
      <x:c r="F27" s="11"/>
      <x:c r="G27" s="11" t="n">
        <x:v>0</x:v>
      </x:c>
      <x:c r="H27" s="11" t="n">
        <x:v>0</x:v>
      </x:c>
      <x:c r="I27" s="11" t="n">
        <x:v>0</x:v>
      </x:c>
      <x:c r="J27" s="11" t="n">
        <x:v>0</x:v>
      </x:c>
      <x:c r="K27" s="11" t="n">
        <x:v>0</x:v>
      </x:c>
      <x:c r="L27" s="11" t="n">
        <x:f>IF(B27="NED",1,IF(OR(B27="ED",B27="UN"),0,""))</x:f>
        <x:v>0</x:v>
      </x:c>
      <x:c r="M27" s="11" t="n">
        <x:f>IF(AND(K27=1,OR(B27="ED",B27="NED")),1,0)</x:f>
        <x:v>0</x:v>
      </x:c>
      <x:c r="N27" s="11" t="n">
        <x:f>IF(K27=1,1,0)</x:f>
        <x:v>0</x:v>
      </x:c>
      <x:c r="O27" s="12" t="str">
        <x:v>Require exact native accession match</x:v>
      </x:c>
      <x:c r="P27" s="11" t="n">
        <x:v>0</x:v>
      </x:c>
      <x:c r="Q27" s="12"/>
      <x:c r="R27" s="12"/>
      <x:c r="S27" s="11" t="n">
        <x:v>2763</x:v>
      </x:c>
      <x:c r="T27" s="11" t="n">
        <x:v>759</x:v>
      </x:c>
    </x:row>
    <x:row r="28" ht="23" customHeight="1">
      <x:c r="A28" s="2" t="str">
        <x:v>A2ABV5</x:v>
      </x:c>
      <x:c r="B28" s="2" t="str">
        <x:v>UN</x:v>
      </x:c>
      <x:c r="C28" s="2" t="n">
        <x:v>1</x:v>
      </x:c>
      <x:c r="D28" s="2" t="n">
        <x:v>1</x:v>
      </x:c>
      <x:c r="E28" s="10" t="n">
        <x:v>72.5503084304318</x:v>
      </x:c>
      <x:c r="F28" s="11" t="n">
        <x:v>1459</x:v>
      </x:c>
      <x:c r="G28" s="11" t="n">
        <x:v>0</x:v>
      </x:c>
      <x:c r="H28" s="11" t="n">
        <x:v>0</x:v>
      </x:c>
      <x:c r="I28" s="11" t="n">
        <x:v>0</x:v>
      </x:c>
      <x:c r="J28" s="11" t="n">
        <x:v>0</x:v>
      </x:c>
      <x:c r="K28" s="11" t="n">
        <x:v>1</x:v>
      </x:c>
      <x:c r="L28" s="11" t="n">
        <x:f>IF(B28="NED",1,IF(OR(B28="ED",B28="UN"),0,""))</x:f>
        <x:v>0</x:v>
      </x:c>
      <x:c r="M28" s="11" t="n">
        <x:f>IF(AND(K28=1,OR(B28="ED",B28="NED")),1,0)</x:f>
        <x:v>0</x:v>
      </x:c>
      <x:c r="N28" s="11" t="n">
        <x:f>IF(K28=1,1,0)</x:f>
        <x:v>1</x:v>
      </x:c>
      <x:c r="O28" s="12"/>
      <x:c r="P28" s="11" t="n">
        <x:v>0</x:v>
      </x:c>
      <x:c r="Q28" s="12" t="str">
        <x:v>AF-A2ABV5-F1-model_v6</x:v>
      </x:c>
      <x:c r="R28" s="12" t="str">
        <x:v>ok</x:v>
      </x:c>
      <x:c r="S28" s="11" t="n">
        <x:v>7</x:v>
      </x:c>
      <x:c r="T28" s="11" t="n">
        <x:v>1459</x:v>
      </x:c>
    </x:row>
    <x:row r="29" ht="23" customHeight="1">
      <x:c r="A29" s="2" t="str">
        <x:v>A2ABY3</x:v>
      </x:c>
      <x:c r="B29" s="2" t="str">
        <x:v>ED</x:v>
      </x:c>
      <x:c r="C29" s="2"/>
      <x:c r="D29" s="2"/>
      <x:c r="E29" s="10"/>
      <x:c r="F29" s="11"/>
      <x:c r="G29" s="11" t="n">
        <x:v>0</x:v>
      </x:c>
      <x:c r="H29" s="11" t="n">
        <x:v>0</x:v>
      </x:c>
      <x:c r="I29" s="11" t="n">
        <x:v>0</x:v>
      </x:c>
      <x:c r="J29" s="11" t="n">
        <x:v>0</x:v>
      </x:c>
      <x:c r="K29" s="11" t="n">
        <x:v>0</x:v>
      </x:c>
      <x:c r="L29" s="11" t="n">
        <x:f>IF(B29="NED",1,IF(OR(B29="ED",B29="UN"),0,""))</x:f>
        <x:v>0</x:v>
      </x:c>
      <x:c r="M29" s="11" t="n">
        <x:f>IF(AND(K29=1,OR(B29="ED",B29="NED")),1,0)</x:f>
        <x:v>0</x:v>
      </x:c>
      <x:c r="N29" s="11" t="n">
        <x:f>IF(K29=1,1,0)</x:f>
        <x:v>0</x:v>
      </x:c>
      <x:c r="O29" s="12" t="str">
        <x:v>Require exact native accession match</x:v>
      </x:c>
      <x:c r="P29" s="11" t="n">
        <x:v>0</x:v>
      </x:c>
      <x:c r="Q29" s="12"/>
      <x:c r="R29" s="12"/>
      <x:c r="S29" s="11" t="n">
        <x:v>2764</x:v>
      </x:c>
      <x:c r="T29" s="11" t="n">
        <x:v>386</x:v>
      </x:c>
    </x:row>
    <x:row r="30" ht="23" customHeight="1">
      <x:c r="A30" s="2" t="str">
        <x:v>A2ACV5</x:v>
      </x:c>
      <x:c r="B30" s="2" t="str">
        <x:v>UN</x:v>
      </x:c>
      <x:c r="C30" s="2"/>
      <x:c r="D30" s="2"/>
      <x:c r="E30" s="10"/>
      <x:c r="F30" s="11"/>
      <x:c r="G30" s="11" t="n">
        <x:v>0</x:v>
      </x:c>
      <x:c r="H30" s="11" t="n">
        <x:v>0</x:v>
      </x:c>
      <x:c r="I30" s="11" t="n">
        <x:v>0</x:v>
      </x:c>
      <x:c r="J30" s="11" t="n">
        <x:v>0</x:v>
      </x:c>
      <x:c r="K30" s="11" t="n">
        <x:v>0</x:v>
      </x:c>
      <x:c r="L30" s="11" t="n">
        <x:f>IF(B30="NED",1,IF(OR(B30="ED",B30="UN"),0,""))</x:f>
        <x:v>0</x:v>
      </x:c>
      <x:c r="M30" s="11" t="n">
        <x:f>IF(AND(K30=1,OR(B30="ED",B30="NED")),1,0)</x:f>
        <x:v>0</x:v>
      </x:c>
      <x:c r="N30" s="11" t="n">
        <x:f>IF(K30=1,1,0)</x:f>
        <x:v>0</x:v>
      </x:c>
      <x:c r="O30" s="12" t="str">
        <x:v>Require exact native accession match</x:v>
      </x:c>
      <x:c r="P30" s="11" t="n">
        <x:v>0</x:v>
      </x:c>
      <x:c r="Q30" s="12"/>
      <x:c r="R30" s="12"/>
      <x:c r="S30" s="11" t="n">
        <x:v>2765</x:v>
      </x:c>
      <x:c r="T30" s="11" t="n">
        <x:v>232</x:v>
      </x:c>
    </x:row>
    <x:row r="31" ht="23" customHeight="1">
      <x:c r="A31" s="2" t="str">
        <x:v>A2ADB1</x:v>
      </x:c>
      <x:c r="B31" s="2" t="str">
        <x:v>ED</x:v>
      </x:c>
      <x:c r="C31" s="2"/>
      <x:c r="D31" s="2"/>
      <x:c r="E31" s="10"/>
      <x:c r="F31" s="11"/>
      <x:c r="G31" s="11" t="n">
        <x:v>0</x:v>
      </x:c>
      <x:c r="H31" s="11" t="n">
        <x:v>0</x:v>
      </x:c>
      <x:c r="I31" s="11" t="n">
        <x:v>0</x:v>
      </x:c>
      <x:c r="J31" s="11" t="n">
        <x:v>0</x:v>
      </x:c>
      <x:c r="K31" s="11" t="n">
        <x:v>0</x:v>
      </x:c>
      <x:c r="L31" s="11" t="n">
        <x:f>IF(B31="NED",1,IF(OR(B31="ED",B31="UN"),0,""))</x:f>
        <x:v>0</x:v>
      </x:c>
      <x:c r="M31" s="11" t="n">
        <x:f>IF(AND(K31=1,OR(B31="ED",B31="NED")),1,0)</x:f>
        <x:v>0</x:v>
      </x:c>
      <x:c r="N31" s="11" t="n">
        <x:f>IF(K31=1,1,0)</x:f>
        <x:v>0</x:v>
      </x:c>
      <x:c r="O31" s="12" t="str">
        <x:v>Require exact native accession match</x:v>
      </x:c>
      <x:c r="P31" s="11" t="n">
        <x:v>0</x:v>
      </x:c>
      <x:c r="Q31" s="12"/>
      <x:c r="R31" s="12"/>
      <x:c r="S31" s="11" t="n">
        <x:v>2766</x:v>
      </x:c>
      <x:c r="T31" s="11" t="n">
        <x:v>3620</x:v>
      </x:c>
    </x:row>
    <x:row r="32" ht="23" customHeight="1">
      <x:c r="A32" s="2" t="str">
        <x:v>A2ADE0</x:v>
      </x:c>
      <x:c r="B32" s="2" t="str">
        <x:v>ED</x:v>
      </x:c>
      <x:c r="C32" s="2"/>
      <x:c r="D32" s="2"/>
      <x:c r="E32" s="10"/>
      <x:c r="F32" s="11"/>
      <x:c r="G32" s="11" t="n">
        <x:v>0</x:v>
      </x:c>
      <x:c r="H32" s="11" t="n">
        <x:v>0</x:v>
      </x:c>
      <x:c r="I32" s="11" t="n">
        <x:v>1</x:v>
      </x:c>
      <x:c r="J32" s="11" t="n">
        <x:v>0</x:v>
      </x:c>
      <x:c r="K32" s="11" t="n">
        <x:v>0</x:v>
      </x:c>
      <x:c r="L32" s="11" t="n">
        <x:f>IF(B32="NED",1,IF(OR(B32="ED",B32="UN"),0,""))</x:f>
        <x:v>0</x:v>
      </x:c>
      <x:c r="M32" s="11" t="n">
        <x:f>IF(AND(K32=1,OR(B32="ED",B32="NED")),1,0)</x:f>
        <x:v>0</x:v>
      </x:c>
      <x:c r="N32" s="11" t="n">
        <x:f>IF(K32=1,1,0)</x:f>
        <x:v>0</x:v>
      </x:c>
      <x:c r="O32" s="12" t="str">
        <x:v>Require exact native accession match</x:v>
      </x:c>
      <x:c r="P32" s="11" t="n">
        <x:v>0</x:v>
      </x:c>
      <x:c r="Q32" s="12"/>
      <x:c r="R32" s="12"/>
      <x:c r="S32" s="11" t="n">
        <x:v>2767</x:v>
      </x:c>
      <x:c r="T32" s="11" t="n">
        <x:v>1013</x:v>
      </x:c>
    </x:row>
    <x:row r="33" ht="23" customHeight="1">
      <x:c r="A33" s="2" t="str">
        <x:v>A2ADR8</x:v>
      </x:c>
      <x:c r="B33" s="2" t="str">
        <x:v>ED</x:v>
      </x:c>
      <x:c r="C33" s="2"/>
      <x:c r="D33" s="2"/>
      <x:c r="E33" s="10"/>
      <x:c r="F33" s="11"/>
      <x:c r="G33" s="11" t="n">
        <x:v>0</x:v>
      </x:c>
      <x:c r="H33" s="11" t="n">
        <x:v>0</x:v>
      </x:c>
      <x:c r="I33" s="11" t="n">
        <x:v>0</x:v>
      </x:c>
      <x:c r="J33" s="11" t="n">
        <x:v>0</x:v>
      </x:c>
      <x:c r="K33" s="11" t="n">
        <x:v>0</x:v>
      </x:c>
      <x:c r="L33" s="11" t="n">
        <x:f>IF(B33="NED",1,IF(OR(B33="ED",B33="UN"),0,""))</x:f>
        <x:v>0</x:v>
      </x:c>
      <x:c r="M33" s="11" t="n">
        <x:f>IF(AND(K33=1,OR(B33="ED",B33="NED")),1,0)</x:f>
        <x:v>0</x:v>
      </x:c>
      <x:c r="N33" s="11" t="n">
        <x:f>IF(K33=1,1,0)</x:f>
        <x:v>0</x:v>
      </x:c>
      <x:c r="O33" s="12" t="str">
        <x:v>Require exact native accession match</x:v>
      </x:c>
      <x:c r="P33" s="11" t="n">
        <x:v>0</x:v>
      </x:c>
      <x:c r="Q33" s="12"/>
      <x:c r="R33" s="12"/>
      <x:c r="S33" s="11" t="n">
        <x:v>2768</x:v>
      </x:c>
      <x:c r="T33" s="11" t="n">
        <x:v>350</x:v>
      </x:c>
    </x:row>
    <x:row r="34" ht="23" customHeight="1">
      <x:c r="A34" s="2" t="str">
        <x:v>A2AEE4</x:v>
      </x:c>
      <x:c r="B34" s="2" t="str">
        <x:v>ED</x:v>
      </x:c>
      <x:c r="C34" s="2"/>
      <x:c r="D34" s="2"/>
      <x:c r="E34" s="10"/>
      <x:c r="F34" s="11"/>
      <x:c r="G34" s="11" t="n">
        <x:v>0</x:v>
      </x:c>
      <x:c r="H34" s="11" t="n">
        <x:v>0</x:v>
      </x:c>
      <x:c r="I34" s="11"/>
      <x:c r="J34" s="11"/>
      <x:c r="K34" s="11" t="n">
        <x:v>0</x:v>
      </x:c>
      <x:c r="L34" s="11" t="n">
        <x:f>IF(B34="NED",1,IF(OR(B34="ED",B34="UN"),0,""))</x:f>
        <x:v>0</x:v>
      </x:c>
      <x:c r="M34" s="11" t="n">
        <x:f>IF(AND(K34=1,OR(B34="ED",B34="NED")),1,0)</x:f>
        <x:v>0</x:v>
      </x:c>
      <x:c r="N34" s="11" t="n">
        <x:f>IF(K34=1,1,0)</x:f>
        <x:v>0</x:v>
      </x:c>
      <x:c r="O34" s="12" t="str">
        <x:v>Require exact native accession match</x:v>
      </x:c>
      <x:c r="P34" s="11" t="n">
        <x:v>0</x:v>
      </x:c>
      <x:c r="Q34" s="12"/>
      <x:c r="R34" s="12"/>
      <x:c r="S34" s="11" t="n">
        <x:v>2769</x:v>
      </x:c>
      <x:c r="T34" s="11"/>
    </x:row>
    <x:row r="35" ht="23" customHeight="1">
      <x:c r="A35" s="2" t="str">
        <x:v>A2AF47</x:v>
      </x:c>
      <x:c r="B35" s="2" t="str">
        <x:v>ED</x:v>
      </x:c>
      <x:c r="C35" s="2" t="n">
        <x:v>1</x:v>
      </x:c>
      <x:c r="D35" s="2" t="n">
        <x:v>1</x:v>
      </x:c>
      <x:c r="E35" s="10" t="n">
        <x:v>78.94283646888567</x:v>
      </x:c>
      <x:c r="F35" s="11" t="n">
        <x:v>2073</x:v>
      </x:c>
      <x:c r="G35" s="11" t="n">
        <x:v>0</x:v>
      </x:c>
      <x:c r="H35" s="11" t="n">
        <x:v>0</x:v>
      </x:c>
      <x:c r="I35" s="11" t="n">
        <x:v>0</x:v>
      </x:c>
      <x:c r="J35" s="11" t="n">
        <x:v>0</x:v>
      </x:c>
      <x:c r="K35" s="11" t="n">
        <x:v>1</x:v>
      </x:c>
      <x:c r="L35" s="11" t="n">
        <x:f>IF(B35="NED",1,IF(OR(B35="ED",B35="UN"),0,""))</x:f>
        <x:v>0</x:v>
      </x:c>
      <x:c r="M35" s="11" t="n">
        <x:f>IF(AND(K35=1,OR(B35="ED",B35="NED")),1,0)</x:f>
        <x:v>1</x:v>
      </x:c>
      <x:c r="N35" s="11" t="n">
        <x:f>IF(K35=1,1,0)</x:f>
        <x:v>1</x:v>
      </x:c>
      <x:c r="O35" s="12"/>
      <x:c r="P35" s="11" t="n">
        <x:v>0</x:v>
      </x:c>
      <x:c r="Q35" s="12" t="str">
        <x:v>AF-A2AF47-F1-model_v6</x:v>
      </x:c>
      <x:c r="R35" s="12" t="str">
        <x:v>ok</x:v>
      </x:c>
      <x:c r="S35" s="11" t="n">
        <x:v>8</x:v>
      </x:c>
      <x:c r="T35" s="11" t="n">
        <x:v>2073</x:v>
      </x:c>
    </x:row>
    <x:row r="36" ht="23" customHeight="1">
      <x:c r="A36" s="2" t="str">
        <x:v>A2AG58-2</x:v>
      </x:c>
      <x:c r="B36" s="2" t="str">
        <x:v>ED</x:v>
      </x:c>
      <x:c r="C36" s="2"/>
      <x:c r="D36" s="2"/>
      <x:c r="E36" s="10"/>
      <x:c r="F36" s="11"/>
      <x:c r="G36" s="11" t="n">
        <x:v>0</x:v>
      </x:c>
      <x:c r="H36" s="11" t="n">
        <x:v>0</x:v>
      </x:c>
      <x:c r="I36" s="11"/>
      <x:c r="J36" s="11"/>
      <x:c r="K36" s="11" t="n">
        <x:v>0</x:v>
      </x:c>
      <x:c r="L36" s="11" t="n">
        <x:f>IF(B36="NED",1,IF(OR(B36="ED",B36="UN"),0,""))</x:f>
        <x:v>0</x:v>
      </x:c>
      <x:c r="M36" s="11" t="n">
        <x:f>IF(AND(K36=1,OR(B36="ED",B36="NED")),1,0)</x:f>
        <x:v>0</x:v>
      </x:c>
      <x:c r="N36" s="11" t="n">
        <x:f>IF(K36=1,1,0)</x:f>
        <x:v>0</x:v>
      </x:c>
      <x:c r="O36" s="12" t="str">
        <x:v>Require exact native accession match</x:v>
      </x:c>
      <x:c r="P36" s="11" t="n">
        <x:v>0</x:v>
      </x:c>
      <x:c r="Q36" s="12"/>
      <x:c r="R36" s="12"/>
      <x:c r="S36" s="11" t="n">
        <x:v>9</x:v>
      </x:c>
      <x:c r="T36" s="11"/>
    </x:row>
    <x:row r="37" ht="23" customHeight="1">
      <x:c r="A37" s="2" t="str">
        <x:v>A2AGH8</x:v>
      </x:c>
      <x:c r="B37" s="2" t="str">
        <x:v>UN</x:v>
      </x:c>
      <x:c r="C37" s="2"/>
      <x:c r="D37" s="2"/>
      <x:c r="E37" s="10"/>
      <x:c r="F37" s="11"/>
      <x:c r="G37" s="11" t="n">
        <x:v>0</x:v>
      </x:c>
      <x:c r="H37" s="11" t="n">
        <x:v>0</x:v>
      </x:c>
      <x:c r="I37" s="11" t="n">
        <x:v>0</x:v>
      </x:c>
      <x:c r="J37" s="11" t="n">
        <x:v>0</x:v>
      </x:c>
      <x:c r="K37" s="11" t="n">
        <x:v>0</x:v>
      </x:c>
      <x:c r="L37" s="11" t="n">
        <x:f>IF(B37="NED",1,IF(OR(B37="ED",B37="UN"),0,""))</x:f>
        <x:v>0</x:v>
      </x:c>
      <x:c r="M37" s="11" t="n">
        <x:f>IF(AND(K37=1,OR(B37="ED",B37="NED")),1,0)</x:f>
        <x:v>0</x:v>
      </x:c>
      <x:c r="N37" s="11" t="n">
        <x:f>IF(K37=1,1,0)</x:f>
        <x:v>0</x:v>
      </x:c>
      <x:c r="O37" s="12" t="str">
        <x:v>Require exact native accession match</x:v>
      </x:c>
      <x:c r="P37" s="11" t="n">
        <x:v>0</x:v>
      </x:c>
      <x:c r="Q37" s="12"/>
      <x:c r="R37" s="12"/>
      <x:c r="S37" s="11" t="n">
        <x:v>2770</x:v>
      </x:c>
      <x:c r="T37" s="11" t="n">
        <x:v>2157</x:v>
      </x:c>
    </x:row>
    <x:row r="38" ht="23" customHeight="1">
      <x:c r="A38" s="2" t="str">
        <x:v>A2AH22-2</x:v>
      </x:c>
      <x:c r="B38" s="2" t="str">
        <x:v>UN</x:v>
      </x:c>
      <x:c r="C38" s="2"/>
      <x:c r="D38" s="2"/>
      <x:c r="E38" s="10"/>
      <x:c r="F38" s="11"/>
      <x:c r="G38" s="11" t="n">
        <x:v>0</x:v>
      </x:c>
      <x:c r="H38" s="11" t="n">
        <x:v>0</x:v>
      </x:c>
      <x:c r="I38" s="11"/>
      <x:c r="J38" s="11"/>
      <x:c r="K38" s="11" t="n">
        <x:v>0</x:v>
      </x:c>
      <x:c r="L38" s="11" t="n">
        <x:f>IF(B38="NED",1,IF(OR(B38="ED",B38="UN"),0,""))</x:f>
        <x:v>0</x:v>
      </x:c>
      <x:c r="M38" s="11" t="n">
        <x:f>IF(AND(K38=1,OR(B38="ED",B38="NED")),1,0)</x:f>
        <x:v>0</x:v>
      </x:c>
      <x:c r="N38" s="11" t="n">
        <x:f>IF(K38=1,1,0)</x:f>
        <x:v>0</x:v>
      </x:c>
      <x:c r="O38" s="12" t="str">
        <x:v>Require exact native accession match</x:v>
      </x:c>
      <x:c r="P38" s="11" t="n">
        <x:v>0</x:v>
      </x:c>
      <x:c r="Q38" s="12"/>
      <x:c r="R38" s="12"/>
      <x:c r="S38" s="11" t="n">
        <x:v>10</x:v>
      </x:c>
      <x:c r="T38" s="11"/>
    </x:row>
    <x:row r="39" ht="23" customHeight="1">
      <x:c r="A39" s="2" t="str">
        <x:v>A2AHC3</x:v>
      </x:c>
      <x:c r="B39" s="2" t="str">
        <x:v>ED</x:v>
      </x:c>
      <x:c r="C39" s="2" t="n">
        <x:v>1</x:v>
      </x:c>
      <x:c r="D39" s="2" t="n">
        <x:v>1</x:v>
      </x:c>
      <x:c r="E39" s="10" t="n">
        <x:v>54.36264389626818</x:v>
      </x:c>
      <x:c r="F39" s="11" t="n">
        <x:v>1581</x:v>
      </x:c>
      <x:c r="G39" s="11" t="n">
        <x:v>0</x:v>
      </x:c>
      <x:c r="H39" s="11" t="n">
        <x:v>0</x:v>
      </x:c>
      <x:c r="I39" s="11" t="n">
        <x:v>0</x:v>
      </x:c>
      <x:c r="J39" s="11" t="n">
        <x:v>0</x:v>
      </x:c>
      <x:c r="K39" s="11" t="n">
        <x:v>0</x:v>
      </x:c>
      <x:c r="L39" s="11" t="n">
        <x:f>IF(B39="NED",1,IF(OR(B39="ED",B39="UN"),0,""))</x:f>
        <x:v>0</x:v>
      </x:c>
      <x:c r="M39" s="11" t="n">
        <x:f>IF(AND(K39=1,OR(B39="ED",B39="NED")),1,0)</x:f>
        <x:v>0</x:v>
      </x:c>
      <x:c r="N39" s="11" t="n">
        <x:f>IF(K39=1,1,0)</x:f>
        <x:v>0</x:v>
      </x:c>
      <x:c r="O39" s="12" t="str">
        <x:v>Retain protein mean pLDDT &gt;=70</x:v>
      </x:c>
      <x:c r="P39" s="11" t="n">
        <x:v>0</x:v>
      </x:c>
      <x:c r="Q39" s="12" t="str">
        <x:v>AF-A2AHC3-F1-model_v6</x:v>
      </x:c>
      <x:c r="R39" s="12" t="str">
        <x:v>ok</x:v>
      </x:c>
      <x:c r="S39" s="11" t="n">
        <x:v>11</x:v>
      </x:c>
      <x:c r="T39" s="11" t="n">
        <x:v>1581</x:v>
      </x:c>
    </x:row>
    <x:row r="40" ht="23" customHeight="1">
      <x:c r="A40" s="2" t="str">
        <x:v>A2AIV2</x:v>
      </x:c>
      <x:c r="B40" s="2" t="str">
        <x:v>NED</x:v>
      </x:c>
      <x:c r="C40" s="2" t="n">
        <x:v>1</x:v>
      </x:c>
      <x:c r="D40" s="2" t="n">
        <x:v>1</x:v>
      </x:c>
      <x:c r="E40" s="10" t="n">
        <x:v>69.77736057426836</x:v>
      </x:c>
      <x:c r="F40" s="11" t="n">
        <x:v>1811</x:v>
      </x:c>
      <x:c r="G40" s="11" t="n">
        <x:v>0</x:v>
      </x:c>
      <x:c r="H40" s="11" t="n">
        <x:v>0</x:v>
      </x:c>
      <x:c r="I40" s="11" t="n">
        <x:v>0</x:v>
      </x:c>
      <x:c r="J40" s="11" t="n">
        <x:v>0</x:v>
      </x:c>
      <x:c r="K40" s="11" t="n">
        <x:v>0</x:v>
      </x:c>
      <x:c r="L40" s="11" t="n">
        <x:f>IF(B40="NED",1,IF(OR(B40="ED",B40="UN"),0,""))</x:f>
        <x:v>1</x:v>
      </x:c>
      <x:c r="M40" s="11" t="n">
        <x:f>IF(AND(K40=1,OR(B40="ED",B40="NED")),1,0)</x:f>
        <x:v>0</x:v>
      </x:c>
      <x:c r="N40" s="11" t="n">
        <x:f>IF(K40=1,1,0)</x:f>
        <x:v>0</x:v>
      </x:c>
      <x:c r="O40" s="12" t="str">
        <x:v>Retain protein mean pLDDT &gt;=70</x:v>
      </x:c>
      <x:c r="P40" s="11" t="n">
        <x:v>0</x:v>
      </x:c>
      <x:c r="Q40" s="12" t="str">
        <x:v>AF-A2AIV2-F1-model_v6</x:v>
      </x:c>
      <x:c r="R40" s="12" t="str">
        <x:v>ok</x:v>
      </x:c>
      <x:c r="S40" s="11" t="n">
        <x:v>12</x:v>
      </x:c>
      <x:c r="T40" s="11" t="n">
        <x:v>1811</x:v>
      </x:c>
    </x:row>
    <x:row r="41" ht="23" customHeight="1">
      <x:c r="A41" s="2" t="str">
        <x:v>A2AJ72</x:v>
      </x:c>
      <x:c r="B41" s="2" t="str">
        <x:v>ED</x:v>
      </x:c>
      <x:c r="C41" s="2" t="n">
        <x:v>1</x:v>
      </x:c>
      <x:c r="D41" s="2" t="n">
        <x:v>1</x:v>
      </x:c>
      <x:c r="E41" s="10" t="n">
        <x:v>66.44463971880492</x:v>
      </x:c>
      <x:c r="F41" s="11" t="n">
        <x:v>569</x:v>
      </x:c>
      <x:c r="G41" s="11" t="n">
        <x:v>0</x:v>
      </x:c>
      <x:c r="H41" s="11" t="n">
        <x:v>0</x:v>
      </x:c>
      <x:c r="I41" s="11" t="n">
        <x:v>0</x:v>
      </x:c>
      <x:c r="J41" s="11" t="n">
        <x:v>0</x:v>
      </x:c>
      <x:c r="K41" s="11" t="n">
        <x:v>0</x:v>
      </x:c>
      <x:c r="L41" s="11" t="n">
        <x:f>IF(B41="NED",1,IF(OR(B41="ED",B41="UN"),0,""))</x:f>
        <x:v>0</x:v>
      </x:c>
      <x:c r="M41" s="11" t="n">
        <x:f>IF(AND(K41=1,OR(B41="ED",B41="NED")),1,0)</x:f>
        <x:v>0</x:v>
      </x:c>
      <x:c r="N41" s="11" t="n">
        <x:f>IF(K41=1,1,0)</x:f>
        <x:v>0</x:v>
      </x:c>
      <x:c r="O41" s="12" t="str">
        <x:v>Retain protein mean pLDDT &gt;=70</x:v>
      </x:c>
      <x:c r="P41" s="11" t="n">
        <x:v>0</x:v>
      </x:c>
      <x:c r="Q41" s="12" t="str">
        <x:v>AF-A2AJ72-F1-model_v6</x:v>
      </x:c>
      <x:c r="R41" s="12" t="str">
        <x:v>ok</x:v>
      </x:c>
      <x:c r="S41" s="11" t="n">
        <x:v>2771</x:v>
      </x:c>
      <x:c r="T41" s="11" t="n">
        <x:v>569</x:v>
      </x:c>
    </x:row>
    <x:row r="42" ht="23" customHeight="1">
      <x:c r="A42" s="2" t="str">
        <x:v>A2AJI0</x:v>
      </x:c>
      <x:c r="B42" s="2" t="str">
        <x:v>ED</x:v>
      </x:c>
      <x:c r="C42" s="2" t="n">
        <x:v>0</x:v>
      </x:c>
      <x:c r="D42" s="2" t="n">
        <x:v>0</x:v>
      </x:c>
      <x:c r="E42" s="10" t="n">
        <x:v>58.57890070921986</x:v>
      </x:c>
      <x:c r="F42" s="11" t="n">
        <x:v>846</x:v>
      </x:c>
      <x:c r="G42" s="11" t="n">
        <x:v>0</x:v>
      </x:c>
      <x:c r="H42" s="11" t="n">
        <x:v>0</x:v>
      </x:c>
      <x:c r="I42" s="11" t="n">
        <x:v>0</x:v>
      </x:c>
      <x:c r="J42" s="11" t="n">
        <x:v>0</x:v>
      </x:c>
      <x:c r="K42" s="11" t="n">
        <x:v>0</x:v>
      </x:c>
      <x:c r="L42" s="11" t="n">
        <x:f>IF(B42="NED",1,IF(OR(B42="ED",B42="UN"),0,""))</x:f>
        <x:v>0</x:v>
      </x:c>
      <x:c r="M42" s="11" t="n">
        <x:f>IF(AND(K42=1,OR(B42="ED",B42="NED")),1,0)</x:f>
        <x:v>0</x:v>
      </x:c>
      <x:c r="N42" s="11" t="n">
        <x:f>IF(K42=1,1,0)</x:f>
        <x:v>0</x:v>
      </x:c>
      <x:c r="O42" s="12" t="str">
        <x:v>Retain protein mean pLDDT &gt;=70</x:v>
      </x:c>
      <x:c r="P42" s="11" t="n">
        <x:v>0</x:v>
      </x:c>
      <x:c r="Q42" s="12" t="str">
        <x:v>AF-A2AJI0-F1-model_v6</x:v>
      </x:c>
      <x:c r="R42" s="12" t="str">
        <x:v>ok</x:v>
      </x:c>
      <x:c r="S42" s="11" t="n">
        <x:v>13</x:v>
      </x:c>
      <x:c r="T42" s="11" t="n">
        <x:v>846</x:v>
      </x:c>
    </x:row>
    <x:row r="43" ht="23" customHeight="1">
      <x:c r="A43" s="2" t="str">
        <x:v>A2AMY5</x:v>
      </x:c>
      <x:c r="B43" s="2" t="str">
        <x:v>ED</x:v>
      </x:c>
      <x:c r="C43" s="2"/>
      <x:c r="D43" s="2"/>
      <x:c r="E43" s="10"/>
      <x:c r="F43" s="11"/>
      <x:c r="G43" s="11" t="n">
        <x:v>0</x:v>
      </x:c>
      <x:c r="H43" s="11" t="n">
        <x:v>0</x:v>
      </x:c>
      <x:c r="I43" s="11" t="n">
        <x:v>0</x:v>
      </x:c>
      <x:c r="J43" s="11" t="n">
        <x:v>0</x:v>
      </x:c>
      <x:c r="K43" s="11" t="n">
        <x:v>0</x:v>
      </x:c>
      <x:c r="L43" s="11" t="n">
        <x:f>IF(B43="NED",1,IF(OR(B43="ED",B43="UN"),0,""))</x:f>
        <x:v>0</x:v>
      </x:c>
      <x:c r="M43" s="11" t="n">
        <x:f>IF(AND(K43=1,OR(B43="ED",B43="NED")),1,0)</x:f>
        <x:v>0</x:v>
      </x:c>
      <x:c r="N43" s="11" t="n">
        <x:f>IF(K43=1,1,0)</x:f>
        <x:v>0</x:v>
      </x:c>
      <x:c r="O43" s="12" t="str">
        <x:v>Require exact native accession match</x:v>
      </x:c>
      <x:c r="P43" s="11" t="n">
        <x:v>0</x:v>
      </x:c>
      <x:c r="Q43" s="12"/>
      <x:c r="R43" s="12"/>
      <x:c r="S43" s="11" t="n">
        <x:v>2772</x:v>
      </x:c>
      <x:c r="T43" s="11" t="n">
        <x:v>1131</x:v>
      </x:c>
    </x:row>
    <x:row r="44" ht="23" customHeight="1">
      <x:c r="A44" s="2" t="str">
        <x:v>A2AN08-3</x:v>
      </x:c>
      <x:c r="B44" s="2" t="str">
        <x:v>UN</x:v>
      </x:c>
      <x:c r="C44" s="2"/>
      <x:c r="D44" s="2"/>
      <x:c r="E44" s="10"/>
      <x:c r="F44" s="11"/>
      <x:c r="G44" s="11" t="n">
        <x:v>0</x:v>
      </x:c>
      <x:c r="H44" s="11" t="n">
        <x:v>0</x:v>
      </x:c>
      <x:c r="I44" s="11"/>
      <x:c r="J44" s="11"/>
      <x:c r="K44" s="11" t="n">
        <x:v>0</x:v>
      </x:c>
      <x:c r="L44" s="11" t="n">
        <x:f>IF(B44="NED",1,IF(OR(B44="ED",B44="UN"),0,""))</x:f>
        <x:v>0</x:v>
      </x:c>
      <x:c r="M44" s="11" t="n">
        <x:f>IF(AND(K44=1,OR(B44="ED",B44="NED")),1,0)</x:f>
        <x:v>0</x:v>
      </x:c>
      <x:c r="N44" s="11" t="n">
        <x:f>IF(K44=1,1,0)</x:f>
        <x:v>0</x:v>
      </x:c>
      <x:c r="O44" s="12" t="str">
        <x:v>Require exact native accession match</x:v>
      </x:c>
      <x:c r="P44" s="11" t="n">
        <x:v>0</x:v>
      </x:c>
      <x:c r="Q44" s="12"/>
      <x:c r="R44" s="12"/>
      <x:c r="S44" s="11" t="n">
        <x:v>14</x:v>
      </x:c>
      <x:c r="T44" s="11"/>
    </x:row>
    <x:row r="45" ht="23" customHeight="1">
      <x:c r="A45" s="2" t="str">
        <x:v>A2AN61</x:v>
      </x:c>
      <x:c r="B45" s="2" t="str">
        <x:v>ED</x:v>
      </x:c>
      <x:c r="C45" s="2"/>
      <x:c r="D45" s="2"/>
      <x:c r="E45" s="10"/>
      <x:c r="F45" s="11"/>
      <x:c r="G45" s="11" t="n">
        <x:v>0</x:v>
      </x:c>
      <x:c r="H45" s="11" t="n">
        <x:v>0</x:v>
      </x:c>
      <x:c r="I45" s="11" t="n">
        <x:v>0</x:v>
      </x:c>
      <x:c r="J45" s="11" t="n">
        <x:v>0</x:v>
      </x:c>
      <x:c r="K45" s="11" t="n">
        <x:v>0</x:v>
      </x:c>
      <x:c r="L45" s="11" t="n">
        <x:f>IF(B45="NED",1,IF(OR(B45="ED",B45="UN"),0,""))</x:f>
        <x:v>0</x:v>
      </x:c>
      <x:c r="M45" s="11" t="n">
        <x:f>IF(AND(K45=1,OR(B45="ED",B45="NED")),1,0)</x:f>
        <x:v>0</x:v>
      </x:c>
      <x:c r="N45" s="11" t="n">
        <x:f>IF(K45=1,1,0)</x:f>
        <x:v>0</x:v>
      </x:c>
      <x:c r="O45" s="12" t="str">
        <x:v>Require exact native accession match</x:v>
      </x:c>
      <x:c r="P45" s="11" t="n">
        <x:v>0</x:v>
      </x:c>
      <x:c r="Q45" s="12"/>
      <x:c r="R45" s="12"/>
      <x:c r="S45" s="11" t="n">
        <x:v>2773</x:v>
      </x:c>
      <x:c r="T45" s="11" t="n">
        <x:v>821</x:v>
      </x:c>
    </x:row>
    <x:row r="46" ht="23" customHeight="1">
      <x:c r="A46" s="2" t="str">
        <x:v>A2AP78</x:v>
      </x:c>
      <x:c r="B46" s="2" t="str">
        <x:v>ED</x:v>
      </x:c>
      <x:c r="C46" s="2"/>
      <x:c r="D46" s="2"/>
      <x:c r="E46" s="10"/>
      <x:c r="F46" s="11"/>
      <x:c r="G46" s="11" t="n">
        <x:v>0</x:v>
      </x:c>
      <x:c r="H46" s="11" t="n">
        <x:v>0</x:v>
      </x:c>
      <x:c r="I46" s="11" t="n">
        <x:v>0</x:v>
      </x:c>
      <x:c r="J46" s="11" t="n">
        <x:v>0</x:v>
      </x:c>
      <x:c r="K46" s="11" t="n">
        <x:v>0</x:v>
      </x:c>
      <x:c r="L46" s="11" t="n">
        <x:f>IF(B46="NED",1,IF(OR(B46="ED",B46="UN"),0,""))</x:f>
        <x:v>0</x:v>
      </x:c>
      <x:c r="M46" s="11" t="n">
        <x:f>IF(AND(K46=1,OR(B46="ED",B46="NED")),1,0)</x:f>
        <x:v>0</x:v>
      </x:c>
      <x:c r="N46" s="11" t="n">
        <x:f>IF(K46=1,1,0)</x:f>
        <x:v>0</x:v>
      </x:c>
      <x:c r="O46" s="12" t="str">
        <x:v>Require exact native accession match</x:v>
      </x:c>
      <x:c r="P46" s="11" t="n">
        <x:v>0</x:v>
      </x:c>
      <x:c r="Q46" s="12"/>
      <x:c r="R46" s="12"/>
      <x:c r="S46" s="11" t="n">
        <x:v>2774</x:v>
      </x:c>
      <x:c r="T46" s="11" t="n">
        <x:v>159</x:v>
      </x:c>
    </x:row>
    <x:row r="47" ht="23" customHeight="1">
      <x:c r="A47" s="2" t="str">
        <x:v>A2APB8</x:v>
      </x:c>
      <x:c r="B47" s="2" t="str">
        <x:v>UN</x:v>
      </x:c>
      <x:c r="C47" s="2" t="n">
        <x:v>0</x:v>
      </x:c>
      <x:c r="D47" s="2" t="n">
        <x:v>0</x:v>
      </x:c>
      <x:c r="E47" s="10" t="n">
        <x:v>63.35507382550336</x:v>
      </x:c>
      <x:c r="F47" s="11" t="n">
        <x:v>745</x:v>
      </x:c>
      <x:c r="G47" s="11" t="n">
        <x:v>0</x:v>
      </x:c>
      <x:c r="H47" s="11" t="n">
        <x:v>0</x:v>
      </x:c>
      <x:c r="I47" s="11" t="n">
        <x:v>0</x:v>
      </x:c>
      <x:c r="J47" s="11" t="n">
        <x:v>0</x:v>
      </x:c>
      <x:c r="K47" s="11" t="n">
        <x:v>0</x:v>
      </x:c>
      <x:c r="L47" s="11" t="n">
        <x:f>IF(B47="NED",1,IF(OR(B47="ED",B47="UN"),0,""))</x:f>
        <x:v>0</x:v>
      </x:c>
      <x:c r="M47" s="11" t="n">
        <x:f>IF(AND(K47=1,OR(B47="ED",B47="NED")),1,0)</x:f>
        <x:v>0</x:v>
      </x:c>
      <x:c r="N47" s="11" t="n">
        <x:f>IF(K47=1,1,0)</x:f>
        <x:v>0</x:v>
      </x:c>
      <x:c r="O47" s="12" t="str">
        <x:v>Retain protein mean pLDDT &gt;=70</x:v>
      </x:c>
      <x:c r="P47" s="11" t="n">
        <x:v>0</x:v>
      </x:c>
      <x:c r="Q47" s="12" t="str">
        <x:v>AF-A2APB8-F1-model_v6</x:v>
      </x:c>
      <x:c r="R47" s="12" t="str">
        <x:v>ok</x:v>
      </x:c>
      <x:c r="S47" s="11" t="n">
        <x:v>15</x:v>
      </x:c>
      <x:c r="T47" s="11" t="n">
        <x:v>745</x:v>
      </x:c>
    </x:row>
    <x:row r="48" ht="23" customHeight="1">
      <x:c r="A48" s="2" t="str">
        <x:v>A2AQA7</x:v>
      </x:c>
      <x:c r="B48" s="2" t="str">
        <x:v>UN</x:v>
      </x:c>
      <x:c r="C48" s="2"/>
      <x:c r="D48" s="2"/>
      <x:c r="E48" s="10"/>
      <x:c r="F48" s="11"/>
      <x:c r="G48" s="11" t="n">
        <x:v>0</x:v>
      </x:c>
      <x:c r="H48" s="11" t="n">
        <x:v>0</x:v>
      </x:c>
      <x:c r="I48" s="11" t="n">
        <x:v>0</x:v>
      </x:c>
      <x:c r="J48" s="11" t="n">
        <x:v>0</x:v>
      </x:c>
      <x:c r="K48" s="11" t="n">
        <x:v>0</x:v>
      </x:c>
      <x:c r="L48" s="11" t="n">
        <x:f>IF(B48="NED",1,IF(OR(B48="ED",B48="UN"),0,""))</x:f>
        <x:v>0</x:v>
      </x:c>
      <x:c r="M48" s="11" t="n">
        <x:f>IF(AND(K48=1,OR(B48="ED",B48="NED")),1,0)</x:f>
        <x:v>0</x:v>
      </x:c>
      <x:c r="N48" s="11" t="n">
        <x:f>IF(K48=1,1,0)</x:f>
        <x:v>0</x:v>
      </x:c>
      <x:c r="O48" s="12" t="str">
        <x:v>Require exact native accession match</x:v>
      </x:c>
      <x:c r="P48" s="11" t="n">
        <x:v>0</x:v>
      </x:c>
      <x:c r="Q48" s="12"/>
      <x:c r="R48" s="12"/>
      <x:c r="S48" s="11" t="n">
        <x:v>2775</x:v>
      </x:c>
      <x:c r="T48" s="11" t="n">
        <x:v>1400</x:v>
      </x:c>
    </x:row>
    <x:row r="49" ht="23" customHeight="1">
      <x:c r="A49" s="2" t="str">
        <x:v>A2AQJ7</x:v>
      </x:c>
      <x:c r="B49" s="2" t="str">
        <x:v>UN</x:v>
      </x:c>
      <x:c r="C49" s="2"/>
      <x:c r="D49" s="2"/>
      <x:c r="E49" s="10"/>
      <x:c r="F49" s="11"/>
      <x:c r="G49" s="11" t="n">
        <x:v>0</x:v>
      </x:c>
      <x:c r="H49" s="11" t="n">
        <x:v>1</x:v>
      </x:c>
      <x:c r="I49" s="11" t="n">
        <x:v>1</x:v>
      </x:c>
      <x:c r="J49" s="11" t="n">
        <x:v>0</x:v>
      </x:c>
      <x:c r="K49" s="11" t="n">
        <x:v>0</x:v>
      </x:c>
      <x:c r="L49" s="11" t="n">
        <x:f>IF(B49="NED",1,IF(OR(B49="ED",B49="UN"),0,""))</x:f>
        <x:v>0</x:v>
      </x:c>
      <x:c r="M49" s="11" t="n">
        <x:f>IF(AND(K49=1,OR(B49="ED",B49="NED")),1,0)</x:f>
        <x:v>0</x:v>
      </x:c>
      <x:c r="N49" s="11" t="n">
        <x:f>IF(K49=1,1,0)</x:f>
        <x:v>0</x:v>
      </x:c>
      <x:c r="O49" s="12" t="str">
        <x:v>Require exact native accession match</x:v>
      </x:c>
      <x:c r="P49" s="11" t="n">
        <x:v>0</x:v>
      </x:c>
      <x:c r="Q49" s="12"/>
      <x:c r="R49" s="12"/>
      <x:c r="S49" s="11" t="n">
        <x:v>2776</x:v>
      </x:c>
      <x:c r="T49" s="11" t="n">
        <x:v>500</x:v>
      </x:c>
    </x:row>
    <x:row r="50" ht="23" customHeight="1">
      <x:c r="A50" s="2" t="str">
        <x:v>A2AR02</x:v>
      </x:c>
      <x:c r="B50" s="2" t="str">
        <x:v>ED</x:v>
      </x:c>
      <x:c r="C50" s="2" t="n">
        <x:v>1</x:v>
      </x:c>
      <x:c r="D50" s="2" t="n">
        <x:v>1</x:v>
      </x:c>
      <x:c r="E50" s="10" t="n">
        <x:v>55.79714095744681</x:v>
      </x:c>
      <x:c r="F50" s="11" t="n">
        <x:v>752</x:v>
      </x:c>
      <x:c r="G50" s="11" t="n">
        <x:v>0</x:v>
      </x:c>
      <x:c r="H50" s="11" t="n">
        <x:v>0</x:v>
      </x:c>
      <x:c r="I50" s="11" t="n">
        <x:v>0</x:v>
      </x:c>
      <x:c r="J50" s="11" t="n">
        <x:v>0</x:v>
      </x:c>
      <x:c r="K50" s="11" t="n">
        <x:v>0</x:v>
      </x:c>
      <x:c r="L50" s="11" t="n">
        <x:f>IF(B50="NED",1,IF(OR(B50="ED",B50="UN"),0,""))</x:f>
        <x:v>0</x:v>
      </x:c>
      <x:c r="M50" s="11" t="n">
        <x:f>IF(AND(K50=1,OR(B50="ED",B50="NED")),1,0)</x:f>
        <x:v>0</x:v>
      </x:c>
      <x:c r="N50" s="11" t="n">
        <x:f>IF(K50=1,1,0)</x:f>
        <x:v>0</x:v>
      </x:c>
      <x:c r="O50" s="12" t="str">
        <x:v>Retain protein mean pLDDT &gt;=70</x:v>
      </x:c>
      <x:c r="P50" s="11" t="n">
        <x:v>0</x:v>
      </x:c>
      <x:c r="Q50" s="12" t="str">
        <x:v>AF-A2AR02-F1-model_v6</x:v>
      </x:c>
      <x:c r="R50" s="12" t="str">
        <x:v>ok</x:v>
      </x:c>
      <x:c r="S50" s="11" t="n">
        <x:v>16</x:v>
      </x:c>
      <x:c r="T50" s="11" t="n">
        <x:v>752</x:v>
      </x:c>
    </x:row>
    <x:row r="51" ht="23" customHeight="1">
      <x:c r="A51" s="2" t="str">
        <x:v>A2AS05</x:v>
      </x:c>
      <x:c r="B51" s="2" t="str">
        <x:v>ED</x:v>
      </x:c>
      <x:c r="C51" s="2"/>
      <x:c r="D51" s="2"/>
      <x:c r="E51" s="10"/>
      <x:c r="F51" s="11"/>
      <x:c r="G51" s="11" t="n">
        <x:v>0</x:v>
      </x:c>
      <x:c r="H51" s="11" t="n">
        <x:v>0</x:v>
      </x:c>
      <x:c r="I51" s="11" t="n">
        <x:v>0</x:v>
      </x:c>
      <x:c r="J51" s="11" t="n">
        <x:v>0</x:v>
      </x:c>
      <x:c r="K51" s="11" t="n">
        <x:v>0</x:v>
      </x:c>
      <x:c r="L51" s="11" t="n">
        <x:f>IF(B51="NED",1,IF(OR(B51="ED",B51="UN"),0,""))</x:f>
        <x:v>0</x:v>
      </x:c>
      <x:c r="M51" s="11" t="n">
        <x:f>IF(AND(K51=1,OR(B51="ED",B51="NED")),1,0)</x:f>
        <x:v>0</x:v>
      </x:c>
      <x:c r="N51" s="11" t="n">
        <x:f>IF(K51=1,1,0)</x:f>
        <x:v>0</x:v>
      </x:c>
      <x:c r="O51" s="12" t="str">
        <x:v>Require exact native accession match</x:v>
      </x:c>
      <x:c r="P51" s="11" t="n">
        <x:v>0</x:v>
      </x:c>
      <x:c r="Q51" s="12"/>
      <x:c r="R51" s="12"/>
      <x:c r="S51" s="11" t="n">
        <x:v>2777</x:v>
      </x:c>
      <x:c r="T51" s="11" t="n">
        <x:v>2903</x:v>
      </x:c>
    </x:row>
    <x:row r="52" ht="23" customHeight="1">
      <x:c r="A52" s="2" t="str">
        <x:v>A2AT37</x:v>
      </x:c>
      <x:c r="B52" s="2" t="str">
        <x:v>ED</x:v>
      </x:c>
      <x:c r="C52" s="2" t="n">
        <x:v>1</x:v>
      </x:c>
      <x:c r="D52" s="2" t="n">
        <x:v>1</x:v>
      </x:c>
      <x:c r="E52" s="10" t="n">
        <x:v>76.48013396375099</x:v>
      </x:c>
      <x:c r="F52" s="11" t="n">
        <x:v>1269</x:v>
      </x:c>
      <x:c r="G52" s="11" t="n">
        <x:v>0</x:v>
      </x:c>
      <x:c r="H52" s="11" t="n">
        <x:v>0</x:v>
      </x:c>
      <x:c r="I52" s="11" t="n">
        <x:v>0</x:v>
      </x:c>
      <x:c r="J52" s="11" t="n">
        <x:v>0</x:v>
      </x:c>
      <x:c r="K52" s="11" t="n">
        <x:v>1</x:v>
      </x:c>
      <x:c r="L52" s="11" t="n">
        <x:f>IF(B52="NED",1,IF(OR(B52="ED",B52="UN"),0,""))</x:f>
        <x:v>0</x:v>
      </x:c>
      <x:c r="M52" s="11" t="n">
        <x:f>IF(AND(K52=1,OR(B52="ED",B52="NED")),1,0)</x:f>
        <x:v>1</x:v>
      </x:c>
      <x:c r="N52" s="11" t="n">
        <x:f>IF(K52=1,1,0)</x:f>
        <x:v>1</x:v>
      </x:c>
      <x:c r="O52" s="12"/>
      <x:c r="P52" s="11" t="n">
        <x:v>0</x:v>
      </x:c>
      <x:c r="Q52" s="12" t="str">
        <x:v>AF-A2AT37-F1-model_v6</x:v>
      </x:c>
      <x:c r="R52" s="12" t="str">
        <x:v>ok</x:v>
      </x:c>
      <x:c r="S52" s="11" t="n">
        <x:v>2778</x:v>
      </x:c>
      <x:c r="T52" s="11" t="n">
        <x:v>1269</x:v>
      </x:c>
    </x:row>
    <x:row r="53" ht="23" customHeight="1">
      <x:c r="A53" s="2" t="str">
        <x:v>A2AUF7</x:v>
      </x:c>
      <x:c r="B53" s="2" t="str">
        <x:v>ED</x:v>
      </x:c>
      <x:c r="C53" s="2"/>
      <x:c r="D53" s="2"/>
      <x:c r="E53" s="10"/>
      <x:c r="F53" s="11"/>
      <x:c r="G53" s="11" t="n">
        <x:v>0</x:v>
      </x:c>
      <x:c r="H53" s="11" t="n">
        <x:v>0</x:v>
      </x:c>
      <x:c r="I53" s="11" t="n">
        <x:v>0</x:v>
      </x:c>
      <x:c r="J53" s="11" t="n">
        <x:v>0</x:v>
      </x:c>
      <x:c r="K53" s="11" t="n">
        <x:v>0</x:v>
      </x:c>
      <x:c r="L53" s="11" t="n">
        <x:f>IF(B53="NED",1,IF(OR(B53="ED",B53="UN"),0,""))</x:f>
        <x:v>0</x:v>
      </x:c>
      <x:c r="M53" s="11" t="n">
        <x:f>IF(AND(K53=1,OR(B53="ED",B53="NED")),1,0)</x:f>
        <x:v>0</x:v>
      </x:c>
      <x:c r="N53" s="11" t="n">
        <x:f>IF(K53=1,1,0)</x:f>
        <x:v>0</x:v>
      </x:c>
      <x:c r="O53" s="12" t="str">
        <x:v>Require exact native accession match</x:v>
      </x:c>
      <x:c r="P53" s="11" t="n">
        <x:v>0</x:v>
      </x:c>
      <x:c r="Q53" s="12"/>
      <x:c r="R53" s="12"/>
      <x:c r="S53" s="11" t="n">
        <x:v>2779</x:v>
      </x:c>
      <x:c r="T53" s="11" t="n">
        <x:v>321</x:v>
      </x:c>
    </x:row>
    <x:row r="54" ht="23" customHeight="1">
      <x:c r="A54" s="2" t="str">
        <x:v>A2AV19</x:v>
      </x:c>
      <x:c r="B54" s="2" t="str">
        <x:v>UN</x:v>
      </x:c>
      <x:c r="C54" s="2"/>
      <x:c r="D54" s="2"/>
      <x:c r="E54" s="10"/>
      <x:c r="F54" s="11"/>
      <x:c r="G54" s="11" t="n">
        <x:v>0</x:v>
      </x:c>
      <x:c r="H54" s="11" t="n">
        <x:v>0</x:v>
      </x:c>
      <x:c r="I54" s="11" t="n">
        <x:v>0</x:v>
      </x:c>
      <x:c r="J54" s="11" t="n">
        <x:v>0</x:v>
      </x:c>
      <x:c r="K54" s="11" t="n">
        <x:v>0</x:v>
      </x:c>
      <x:c r="L54" s="11" t="n">
        <x:f>IF(B54="NED",1,IF(OR(B54="ED",B54="UN"),0,""))</x:f>
        <x:v>0</x:v>
      </x:c>
      <x:c r="M54" s="11" t="n">
        <x:f>IF(AND(K54=1,OR(B54="ED",B54="NED")),1,0)</x:f>
        <x:v>0</x:v>
      </x:c>
      <x:c r="N54" s="11" t="n">
        <x:f>IF(K54=1,1,0)</x:f>
        <x:v>0</x:v>
      </x:c>
      <x:c r="O54" s="12" t="str">
        <x:v>Require exact native accession match</x:v>
      </x:c>
      <x:c r="P54" s="11" t="n">
        <x:v>0</x:v>
      </x:c>
      <x:c r="Q54" s="12"/>
      <x:c r="R54" s="12"/>
      <x:c r="S54" s="11" t="n">
        <x:v>2780</x:v>
      </x:c>
      <x:c r="T54" s="11" t="n">
        <x:v>247</x:v>
      </x:c>
    </x:row>
    <x:row r="55" ht="23" customHeight="1">
      <x:c r="A55" s="2" t="str">
        <x:v>A2AVJ7</x:v>
      </x:c>
      <x:c r="B55" s="2" t="str">
        <x:v>UN</x:v>
      </x:c>
      <x:c r="C55" s="2"/>
      <x:c r="D55" s="2"/>
      <x:c r="E55" s="10"/>
      <x:c r="F55" s="11"/>
      <x:c r="G55" s="11" t="n">
        <x:v>0</x:v>
      </x:c>
      <x:c r="H55" s="11" t="n">
        <x:v>0</x:v>
      </x:c>
      <x:c r="I55" s="11" t="n">
        <x:v>1</x:v>
      </x:c>
      <x:c r="J55" s="11" t="n">
        <x:v>0</x:v>
      </x:c>
      <x:c r="K55" s="11" t="n">
        <x:v>0</x:v>
      </x:c>
      <x:c r="L55" s="11" t="n">
        <x:f>IF(B55="NED",1,IF(OR(B55="ED",B55="UN"),0,""))</x:f>
        <x:v>0</x:v>
      </x:c>
      <x:c r="M55" s="11" t="n">
        <x:f>IF(AND(K55=1,OR(B55="ED",B55="NED")),1,0)</x:f>
        <x:v>0</x:v>
      </x:c>
      <x:c r="N55" s="11" t="n">
        <x:f>IF(K55=1,1,0)</x:f>
        <x:v>0</x:v>
      </x:c>
      <x:c r="O55" s="12" t="str">
        <x:v>Require exact native accession match</x:v>
      </x:c>
      <x:c r="P55" s="11" t="n">
        <x:v>0</x:v>
      </x:c>
      <x:c r="Q55" s="12"/>
      <x:c r="R55" s="12"/>
      <x:c r="S55" s="11" t="n">
        <x:v>2781</x:v>
      </x:c>
      <x:c r="T55" s="11" t="n">
        <x:v>1464</x:v>
      </x:c>
    </x:row>
    <x:row r="56" ht="23" customHeight="1">
      <x:c r="A56" s="2" t="str">
        <x:v>A2AW05</x:v>
      </x:c>
      <x:c r="B56" s="2" t="str">
        <x:v>NED</x:v>
      </x:c>
      <x:c r="C56" s="2"/>
      <x:c r="D56" s="2"/>
      <x:c r="E56" s="10"/>
      <x:c r="F56" s="11"/>
      <x:c r="G56" s="11" t="n">
        <x:v>0</x:v>
      </x:c>
      <x:c r="H56" s="11" t="n">
        <x:v>0</x:v>
      </x:c>
      <x:c r="I56" s="11" t="n">
        <x:v>0</x:v>
      </x:c>
      <x:c r="J56" s="11" t="n">
        <x:v>0</x:v>
      </x:c>
      <x:c r="K56" s="11" t="n">
        <x:v>0</x:v>
      </x:c>
      <x:c r="L56" s="11" t="n">
        <x:f>IF(B56="NED",1,IF(OR(B56="ED",B56="UN"),0,""))</x:f>
        <x:v>1</x:v>
      </x:c>
      <x:c r="M56" s="11" t="n">
        <x:f>IF(AND(K56=1,OR(B56="ED",B56="NED")),1,0)</x:f>
        <x:v>0</x:v>
      </x:c>
      <x:c r="N56" s="11" t="n">
        <x:f>IF(K56=1,1,0)</x:f>
        <x:v>0</x:v>
      </x:c>
      <x:c r="O56" s="12" t="str">
        <x:v>Require exact native accession match</x:v>
      </x:c>
      <x:c r="P56" s="11" t="n">
        <x:v>0</x:v>
      </x:c>
      <x:c r="Q56" s="12"/>
      <x:c r="R56" s="12"/>
      <x:c r="S56" s="11" t="n">
        <x:v>2782</x:v>
      </x:c>
      <x:c r="T56" s="11" t="n">
        <x:v>623</x:v>
      </x:c>
    </x:row>
    <x:row r="57" ht="23" customHeight="1">
      <x:c r="A57" s="2" t="str">
        <x:v>A2AWA9</x:v>
      </x:c>
      <x:c r="B57" s="2" t="str">
        <x:v>ED</x:v>
      </x:c>
      <x:c r="C57" s="2" t="n">
        <x:v>1</x:v>
      </x:c>
      <x:c r="D57" s="2" t="n">
        <x:v>1</x:v>
      </x:c>
      <x:c r="E57" s="10" t="n">
        <x:v>76.32803571428572</x:v>
      </x:c>
      <x:c r="F57" s="11" t="n">
        <x:v>1064</x:v>
      </x:c>
      <x:c r="G57" s="11" t="n">
        <x:v>0</x:v>
      </x:c>
      <x:c r="H57" s="11" t="n">
        <x:v>0</x:v>
      </x:c>
      <x:c r="I57" s="11" t="n">
        <x:v>0</x:v>
      </x:c>
      <x:c r="J57" s="11" t="n">
        <x:v>0</x:v>
      </x:c>
      <x:c r="K57" s="11" t="n">
        <x:v>1</x:v>
      </x:c>
      <x:c r="L57" s="11" t="n">
        <x:f>IF(B57="NED",1,IF(OR(B57="ED",B57="UN"),0,""))</x:f>
        <x:v>0</x:v>
      </x:c>
      <x:c r="M57" s="11" t="n">
        <x:f>IF(AND(K57=1,OR(B57="ED",B57="NED")),1,0)</x:f>
        <x:v>1</x:v>
      </x:c>
      <x:c r="N57" s="11" t="n">
        <x:f>IF(K57=1,1,0)</x:f>
        <x:v>1</x:v>
      </x:c>
      <x:c r="O57" s="12"/>
      <x:c r="P57" s="11" t="n">
        <x:v>0</x:v>
      </x:c>
      <x:c r="Q57" s="12" t="str">
        <x:v>AF-A2AWA9-F1-model_v6</x:v>
      </x:c>
      <x:c r="R57" s="12" t="str">
        <x:v>ok</x:v>
      </x:c>
      <x:c r="S57" s="11" t="n">
        <x:v>17</x:v>
      </x:c>
      <x:c r="T57" s="11" t="n">
        <x:v>1064</x:v>
      </x:c>
    </x:row>
    <x:row r="58" ht="23" customHeight="1">
      <x:c r="A58" s="2" t="str">
        <x:v>A2AWP8-3</x:v>
      </x:c>
      <x:c r="B58" s="2" t="str">
        <x:v>ED</x:v>
      </x:c>
      <x:c r="C58" s="2"/>
      <x:c r="D58" s="2"/>
      <x:c r="E58" s="10"/>
      <x:c r="F58" s="11"/>
      <x:c r="G58" s="11" t="n">
        <x:v>0</x:v>
      </x:c>
      <x:c r="H58" s="11" t="n">
        <x:v>0</x:v>
      </x:c>
      <x:c r="I58" s="11"/>
      <x:c r="J58" s="11"/>
      <x:c r="K58" s="11" t="n">
        <x:v>0</x:v>
      </x:c>
      <x:c r="L58" s="11" t="n">
        <x:f>IF(B58="NED",1,IF(OR(B58="ED",B58="UN"),0,""))</x:f>
        <x:v>0</x:v>
      </x:c>
      <x:c r="M58" s="11" t="n">
        <x:f>IF(AND(K58=1,OR(B58="ED",B58="NED")),1,0)</x:f>
        <x:v>0</x:v>
      </x:c>
      <x:c r="N58" s="11" t="n">
        <x:f>IF(K58=1,1,0)</x:f>
        <x:v>0</x:v>
      </x:c>
      <x:c r="O58" s="12" t="str">
        <x:v>Require exact native accession match</x:v>
      </x:c>
      <x:c r="P58" s="11" t="n">
        <x:v>0</x:v>
      </x:c>
      <x:c r="Q58" s="12"/>
      <x:c r="R58" s="12"/>
      <x:c r="S58" s="11" t="n">
        <x:v>18</x:v>
      </x:c>
      <x:c r="T58" s="11"/>
    </x:row>
    <x:row r="59" ht="23" customHeight="1">
      <x:c r="A59" s="2" t="str">
        <x:v>A2AWT6</x:v>
      </x:c>
      <x:c r="B59" s="2" t="str">
        <x:v>UN</x:v>
      </x:c>
      <x:c r="C59" s="2"/>
      <x:c r="D59" s="2"/>
      <x:c r="E59" s="10"/>
      <x:c r="F59" s="11"/>
      <x:c r="G59" s="11" t="n">
        <x:v>0</x:v>
      </x:c>
      <x:c r="H59" s="11" t="n">
        <x:v>0</x:v>
      </x:c>
      <x:c r="I59" s="11" t="n">
        <x:v>0</x:v>
      </x:c>
      <x:c r="J59" s="11" t="n">
        <x:v>0</x:v>
      </x:c>
      <x:c r="K59" s="11" t="n">
        <x:v>0</x:v>
      </x:c>
      <x:c r="L59" s="11" t="n">
        <x:f>IF(B59="NED",1,IF(OR(B59="ED",B59="UN"),0,""))</x:f>
        <x:v>0</x:v>
      </x:c>
      <x:c r="M59" s="11" t="n">
        <x:f>IF(AND(K59=1,OR(B59="ED",B59="NED")),1,0)</x:f>
        <x:v>0</x:v>
      </x:c>
      <x:c r="N59" s="11" t="n">
        <x:f>IF(K59=1,1,0)</x:f>
        <x:v>0</x:v>
      </x:c>
      <x:c r="O59" s="12" t="str">
        <x:v>Require exact native accession match</x:v>
      </x:c>
      <x:c r="P59" s="11" t="n">
        <x:v>0</x:v>
      </x:c>
      <x:c r="Q59" s="12"/>
      <x:c r="R59" s="12"/>
      <x:c r="S59" s="11" t="n">
        <x:v>2783</x:v>
      </x:c>
      <x:c r="T59" s="11" t="n">
        <x:v>727</x:v>
      </x:c>
    </x:row>
    <x:row r="60" ht="23" customHeight="1">
      <x:c r="A60" s="2" t="str">
        <x:v>A2BDX0</x:v>
      </x:c>
      <x:c r="B60" s="2" t="str">
        <x:v>UN</x:v>
      </x:c>
      <x:c r="C60" s="2"/>
      <x:c r="D60" s="2"/>
      <x:c r="E60" s="10"/>
      <x:c r="F60" s="11"/>
      <x:c r="G60" s="11" t="n">
        <x:v>0</x:v>
      </x:c>
      <x:c r="H60" s="11" t="n">
        <x:v>0</x:v>
      </x:c>
      <x:c r="I60" s="11"/>
      <x:c r="J60" s="11"/>
      <x:c r="K60" s="11" t="n">
        <x:v>0</x:v>
      </x:c>
      <x:c r="L60" s="11" t="n">
        <x:f>IF(B60="NED",1,IF(OR(B60="ED",B60="UN"),0,""))</x:f>
        <x:v>0</x:v>
      </x:c>
      <x:c r="M60" s="11" t="n">
        <x:f>IF(AND(K60=1,OR(B60="ED",B60="NED")),1,0)</x:f>
        <x:v>0</x:v>
      </x:c>
      <x:c r="N60" s="11" t="n">
        <x:f>IF(K60=1,1,0)</x:f>
        <x:v>0</x:v>
      </x:c>
      <x:c r="O60" s="12" t="str">
        <x:v>Require exact native accession match</x:v>
      </x:c>
      <x:c r="P60" s="11" t="n">
        <x:v>0</x:v>
      </x:c>
      <x:c r="Q60" s="12"/>
      <x:c r="R60" s="12"/>
      <x:c r="S60" s="11" t="n">
        <x:v>2784</x:v>
      </x:c>
      <x:c r="T60" s="11"/>
    </x:row>
    <x:row r="61" ht="23" customHeight="1">
      <x:c r="A61" s="2" t="str">
        <x:v>A2BE28-2</x:v>
      </x:c>
      <x:c r="B61" s="2" t="str">
        <x:v>NED</x:v>
      </x:c>
      <x:c r="C61" s="2"/>
      <x:c r="D61" s="2"/>
      <x:c r="E61" s="10"/>
      <x:c r="F61" s="11"/>
      <x:c r="G61" s="11" t="n">
        <x:v>0</x:v>
      </x:c>
      <x:c r="H61" s="11" t="n">
        <x:v>0</x:v>
      </x:c>
      <x:c r="I61" s="11"/>
      <x:c r="J61" s="11"/>
      <x:c r="K61" s="11" t="n">
        <x:v>0</x:v>
      </x:c>
      <x:c r="L61" s="11" t="n">
        <x:f>IF(B61="NED",1,IF(OR(B61="ED",B61="UN"),0,""))</x:f>
        <x:v>1</x:v>
      </x:c>
      <x:c r="M61" s="11" t="n">
        <x:f>IF(AND(K61=1,OR(B61="ED",B61="NED")),1,0)</x:f>
        <x:v>0</x:v>
      </x:c>
      <x:c r="N61" s="11" t="n">
        <x:f>IF(K61=1,1,0)</x:f>
        <x:v>0</x:v>
      </x:c>
      <x:c r="O61" s="12" t="str">
        <x:v>Require exact native accession match</x:v>
      </x:c>
      <x:c r="P61" s="11" t="n">
        <x:v>0</x:v>
      </x:c>
      <x:c r="Q61" s="12"/>
      <x:c r="R61" s="12"/>
      <x:c r="S61" s="11" t="n">
        <x:v>19</x:v>
      </x:c>
      <x:c r="T61" s="11"/>
    </x:row>
    <x:row r="62" ht="23" customHeight="1">
      <x:c r="A62" s="2" t="str">
        <x:v>A2BG75</x:v>
      </x:c>
      <x:c r="B62" s="2" t="str">
        <x:v>UN</x:v>
      </x:c>
      <x:c r="C62" s="2"/>
      <x:c r="D62" s="2"/>
      <x:c r="E62" s="10"/>
      <x:c r="F62" s="11"/>
      <x:c r="G62" s="11" t="n">
        <x:v>0</x:v>
      </x:c>
      <x:c r="H62" s="11" t="n">
        <x:v>0</x:v>
      </x:c>
      <x:c r="I62" s="11" t="n">
        <x:v>0</x:v>
      </x:c>
      <x:c r="J62" s="11" t="n">
        <x:v>0</x:v>
      </x:c>
      <x:c r="K62" s="11" t="n">
        <x:v>0</x:v>
      </x:c>
      <x:c r="L62" s="11" t="n">
        <x:f>IF(B62="NED",1,IF(OR(B62="ED",B62="UN"),0,""))</x:f>
        <x:v>0</x:v>
      </x:c>
      <x:c r="M62" s="11" t="n">
        <x:f>IF(AND(K62=1,OR(B62="ED",B62="NED")),1,0)</x:f>
        <x:v>0</x:v>
      </x:c>
      <x:c r="N62" s="11" t="n">
        <x:f>IF(K62=1,1,0)</x:f>
        <x:v>0</x:v>
      </x:c>
      <x:c r="O62" s="12" t="str">
        <x:v>Require exact native accession match</x:v>
      </x:c>
      <x:c r="P62" s="11" t="n">
        <x:v>0</x:v>
      </x:c>
      <x:c r="Q62" s="12"/>
      <x:c r="R62" s="12"/>
      <x:c r="S62" s="11" t="n">
        <x:v>2785</x:v>
      </x:c>
      <x:c r="T62" s="11" t="n">
        <x:v>560</x:v>
      </x:c>
    </x:row>
    <x:row r="63" ht="23" customHeight="1">
      <x:c r="A63" s="2" t="str">
        <x:v>A2BH40-3</x:v>
      </x:c>
      <x:c r="B63" s="2" t="str">
        <x:v>UN</x:v>
      </x:c>
      <x:c r="C63" s="2"/>
      <x:c r="D63" s="2"/>
      <x:c r="E63" s="10"/>
      <x:c r="F63" s="11"/>
      <x:c r="G63" s="11" t="n">
        <x:v>0</x:v>
      </x:c>
      <x:c r="H63" s="11" t="n">
        <x:v>0</x:v>
      </x:c>
      <x:c r="I63" s="11"/>
      <x:c r="J63" s="11"/>
      <x:c r="K63" s="11" t="n">
        <x:v>0</x:v>
      </x:c>
      <x:c r="L63" s="11" t="n">
        <x:f>IF(B63="NED",1,IF(OR(B63="ED",B63="UN"),0,""))</x:f>
        <x:v>0</x:v>
      </x:c>
      <x:c r="M63" s="11" t="n">
        <x:f>IF(AND(K63=1,OR(B63="ED",B63="NED")),1,0)</x:f>
        <x:v>0</x:v>
      </x:c>
      <x:c r="N63" s="11" t="n">
        <x:f>IF(K63=1,1,0)</x:f>
        <x:v>0</x:v>
      </x:c>
      <x:c r="O63" s="12" t="str">
        <x:v>Require exact native accession match</x:v>
      </x:c>
      <x:c r="P63" s="11" t="n">
        <x:v>0</x:v>
      </x:c>
      <x:c r="Q63" s="12"/>
      <x:c r="R63" s="12"/>
      <x:c r="S63" s="11" t="n">
        <x:v>20</x:v>
      </x:c>
      <x:c r="T63" s="11"/>
    </x:row>
    <x:row r="64" ht="23" customHeight="1">
      <x:c r="A64" s="2" t="str">
        <x:v>A2CG76</x:v>
      </x:c>
      <x:c r="B64" s="2" t="str">
        <x:v>UN</x:v>
      </x:c>
      <x:c r="C64" s="2"/>
      <x:c r="D64" s="2"/>
      <x:c r="E64" s="10"/>
      <x:c r="F64" s="11"/>
      <x:c r="G64" s="11" t="n">
        <x:v>0</x:v>
      </x:c>
      <x:c r="H64" s="11" t="n">
        <x:v>0</x:v>
      </x:c>
      <x:c r="I64" s="11" t="n">
        <x:v>0</x:v>
      </x:c>
      <x:c r="J64" s="11" t="n">
        <x:v>0</x:v>
      </x:c>
      <x:c r="K64" s="11" t="n">
        <x:v>0</x:v>
      </x:c>
      <x:c r="L64" s="11" t="n">
        <x:f>IF(B64="NED",1,IF(OR(B64="ED",B64="UN"),0,""))</x:f>
        <x:v>0</x:v>
      </x:c>
      <x:c r="M64" s="11" t="n">
        <x:f>IF(AND(K64=1,OR(B64="ED",B64="NED")),1,0)</x:f>
        <x:v>0</x:v>
      </x:c>
      <x:c r="N64" s="11" t="n">
        <x:f>IF(K64=1,1,0)</x:f>
        <x:v>0</x:v>
      </x:c>
      <x:c r="O64" s="12" t="str">
        <x:v>Require exact native accession match</x:v>
      </x:c>
      <x:c r="P64" s="11" t="n">
        <x:v>0</x:v>
      </x:c>
      <x:c r="Q64" s="12"/>
      <x:c r="R64" s="12"/>
      <x:c r="S64" s="11" t="n">
        <x:v>2786</x:v>
      </x:c>
      <x:c r="T64" s="11" t="n">
        <x:v>1229</x:v>
      </x:c>
    </x:row>
    <x:row r="65" ht="23" customHeight="1">
      <x:c r="A65" s="2" t="str">
        <x:v>A2RS43</x:v>
      </x:c>
      <x:c r="B65" s="2" t="str">
        <x:v>ED</x:v>
      </x:c>
      <x:c r="C65" s="2" t="n">
        <x:v>1</x:v>
      </x:c>
      <x:c r="D65" s="2" t="n">
        <x:v>1</x:v>
      </x:c>
      <x:c r="E65" s="10"/>
      <x:c r="F65" s="11" t="n">
        <x:v>1069</x:v>
      </x:c>
      <x:c r="G65" s="11" t="n">
        <x:v>0</x:v>
      </x:c>
      <x:c r="H65" s="11" t="n">
        <x:v>0</x:v>
      </x:c>
      <x:c r="I65" s="11" t="n">
        <x:v>1</x:v>
      </x:c>
      <x:c r="J65" s="11" t="n">
        <x:v>0</x:v>
      </x:c>
      <x:c r="K65" s="11" t="n">
        <x:v>0</x:v>
      </x:c>
      <x:c r="L65" s="11" t="n">
        <x:f>IF(B65="NED",1,IF(OR(B65="ED",B65="UN"),0,""))</x:f>
        <x:v>0</x:v>
      </x:c>
      <x:c r="M65" s="11" t="n">
        <x:f>IF(AND(K65=1,OR(B65="ED",B65="NED")),1,0)</x:f>
        <x:v>0</x:v>
      </x:c>
      <x:c r="N65" s="11" t="n">
        <x:f>IF(K65=1,1,0)</x:f>
        <x:v>0</x:v>
      </x:c>
      <x:c r="O65" s="12" t="str">
        <x:v>Exclude UniProt Membrane keyword</x:v>
      </x:c>
      <x:c r="P65" s="11" t="n">
        <x:v>0</x:v>
      </x:c>
      <x:c r="Q65" s="12" t="str">
        <x:v>AF-A2RS43-F1-model_v6</x:v>
      </x:c>
      <x:c r="R65" s="12" t="str">
        <x:v>ok</x:v>
      </x:c>
      <x:c r="S65" s="11" t="n">
        <x:v>2787</x:v>
      </x:c>
      <x:c r="T65" s="11" t="n">
        <x:v>1069</x:v>
      </x:c>
    </x:row>
    <x:row r="66" ht="23" customHeight="1">
      <x:c r="A66" s="2" t="str">
        <x:v>A2RSJ4</x:v>
      </x:c>
      <x:c r="B66" s="2" t="str">
        <x:v>UN</x:v>
      </x:c>
      <x:c r="C66" s="2" t="n">
        <x:v>0</x:v>
      </x:c>
      <x:c r="D66" s="2" t="n">
        <x:v>0</x:v>
      </x:c>
      <x:c r="E66" s="10" t="n">
        <x:v>66.71473575840768</x:v>
      </x:c>
      <x:c r="F66" s="11" t="n">
        <x:v>1457</x:v>
      </x:c>
      <x:c r="G66" s="11" t="n">
        <x:v>0</x:v>
      </x:c>
      <x:c r="H66" s="11" t="n">
        <x:v>0</x:v>
      </x:c>
      <x:c r="I66" s="11" t="n">
        <x:v>0</x:v>
      </x:c>
      <x:c r="J66" s="11" t="n">
        <x:v>0</x:v>
      </x:c>
      <x:c r="K66" s="11" t="n">
        <x:v>0</x:v>
      </x:c>
      <x:c r="L66" s="11" t="n">
        <x:f>IF(B66="NED",1,IF(OR(B66="ED",B66="UN"),0,""))</x:f>
        <x:v>0</x:v>
      </x:c>
      <x:c r="M66" s="11" t="n">
        <x:f>IF(AND(K66=1,OR(B66="ED",B66="NED")),1,0)</x:f>
        <x:v>0</x:v>
      </x:c>
      <x:c r="N66" s="11" t="n">
        <x:f>IF(K66=1,1,0)</x:f>
        <x:v>0</x:v>
      </x:c>
      <x:c r="O66" s="12" t="str">
        <x:v>Retain protein mean pLDDT &gt;=70</x:v>
      </x:c>
      <x:c r="P66" s="11" t="n">
        <x:v>0</x:v>
      </x:c>
      <x:c r="Q66" s="12" t="str">
        <x:v>AF-A2RSJ4-F1-model_v6</x:v>
      </x:c>
      <x:c r="R66" s="12" t="str">
        <x:v>ok</x:v>
      </x:c>
      <x:c r="S66" s="11" t="n">
        <x:v>21</x:v>
      </x:c>
      <x:c r="T66" s="11" t="n">
        <x:v>1457</x:v>
      </x:c>
    </x:row>
    <x:row r="67" ht="23" customHeight="1">
      <x:c r="A67" s="2" t="str">
        <x:v>A2RSY1-3</x:v>
      </x:c>
      <x:c r="B67" s="2" t="str">
        <x:v>ED</x:v>
      </x:c>
      <x:c r="C67" s="2"/>
      <x:c r="D67" s="2"/>
      <x:c r="E67" s="10"/>
      <x:c r="F67" s="11"/>
      <x:c r="G67" s="11" t="n">
        <x:v>0</x:v>
      </x:c>
      <x:c r="H67" s="11" t="n">
        <x:v>0</x:v>
      </x:c>
      <x:c r="I67" s="11"/>
      <x:c r="J67" s="11"/>
      <x:c r="K67" s="11" t="n">
        <x:v>0</x:v>
      </x:c>
      <x:c r="L67" s="11" t="n">
        <x:f>IF(B67="NED",1,IF(OR(B67="ED",B67="UN"),0,""))</x:f>
        <x:v>0</x:v>
      </x:c>
      <x:c r="M67" s="11" t="n">
        <x:f>IF(AND(K67=1,OR(B67="ED",B67="NED")),1,0)</x:f>
        <x:v>0</x:v>
      </x:c>
      <x:c r="N67" s="11" t="n">
        <x:f>IF(K67=1,1,0)</x:f>
        <x:v>0</x:v>
      </x:c>
      <x:c r="O67" s="12" t="str">
        <x:v>Require exact native accession match</x:v>
      </x:c>
      <x:c r="P67" s="11" t="n">
        <x:v>0</x:v>
      </x:c>
      <x:c r="Q67" s="12"/>
      <x:c r="R67" s="12"/>
      <x:c r="S67" s="11" t="n">
        <x:v>22</x:v>
      </x:c>
      <x:c r="T67" s="11"/>
    </x:row>
    <x:row r="68" ht="23" customHeight="1">
      <x:c r="A68" s="2" t="str">
        <x:v>A2RSY6</x:v>
      </x:c>
      <x:c r="B68" s="2" t="str">
        <x:v>UN</x:v>
      </x:c>
      <x:c r="C68" s="2" t="n">
        <x:v>1</x:v>
      </x:c>
      <x:c r="D68" s="2" t="n">
        <x:v>1</x:v>
      </x:c>
      <x:c r="E68" s="10" t="n">
        <x:v>72.14903846153847</x:v>
      </x:c>
      <x:c r="F68" s="11" t="n">
        <x:v>728</x:v>
      </x:c>
      <x:c r="G68" s="11" t="n">
        <x:v>0</x:v>
      </x:c>
      <x:c r="H68" s="11" t="n">
        <x:v>0</x:v>
      </x:c>
      <x:c r="I68" s="11" t="n">
        <x:v>0</x:v>
      </x:c>
      <x:c r="J68" s="11" t="n">
        <x:v>0</x:v>
      </x:c>
      <x:c r="K68" s="11" t="n">
        <x:v>1</x:v>
      </x:c>
      <x:c r="L68" s="11" t="n">
        <x:f>IF(B68="NED",1,IF(OR(B68="ED",B68="UN"),0,""))</x:f>
        <x:v>0</x:v>
      </x:c>
      <x:c r="M68" s="11" t="n">
        <x:f>IF(AND(K68=1,OR(B68="ED",B68="NED")),1,0)</x:f>
        <x:v>0</x:v>
      </x:c>
      <x:c r="N68" s="11" t="n">
        <x:f>IF(K68=1,1,0)</x:f>
        <x:v>1</x:v>
      </x:c>
      <x:c r="O68" s="12"/>
      <x:c r="P68" s="11" t="n">
        <x:v>0</x:v>
      </x:c>
      <x:c r="Q68" s="12" t="str">
        <x:v>AF-A2RSY6-F1-model_v6</x:v>
      </x:c>
      <x:c r="R68" s="12" t="str">
        <x:v>ok</x:v>
      </x:c>
      <x:c r="S68" s="11" t="n">
        <x:v>23</x:v>
      </x:c>
      <x:c r="T68" s="11" t="n">
        <x:v>728</x:v>
      </x:c>
    </x:row>
    <x:row r="69" ht="23" customHeight="1">
      <x:c r="A69" s="2" t="str">
        <x:v>A3KFU5</x:v>
      </x:c>
      <x:c r="B69" s="2" t="str">
        <x:v>ED</x:v>
      </x:c>
      <x:c r="C69" s="2"/>
      <x:c r="D69" s="2"/>
      <x:c r="E69" s="10"/>
      <x:c r="F69" s="11"/>
      <x:c r="G69" s="11" t="n">
        <x:v>0</x:v>
      </x:c>
      <x:c r="H69" s="11" t="n">
        <x:v>0</x:v>
      </x:c>
      <x:c r="I69" s="11" t="n">
        <x:v>0</x:v>
      </x:c>
      <x:c r="J69" s="11" t="n">
        <x:v>0</x:v>
      </x:c>
      <x:c r="K69" s="11" t="n">
        <x:v>0</x:v>
      </x:c>
      <x:c r="L69" s="11" t="n">
        <x:f>IF(B69="NED",1,IF(OR(B69="ED",B69="UN"),0,""))</x:f>
        <x:v>0</x:v>
      </x:c>
      <x:c r="M69" s="11" t="n">
        <x:f>IF(AND(K69=1,OR(B69="ED",B69="NED")),1,0)</x:f>
        <x:v>0</x:v>
      </x:c>
      <x:c r="N69" s="11" t="n">
        <x:f>IF(K69=1,1,0)</x:f>
        <x:v>0</x:v>
      </x:c>
      <x:c r="O69" s="12" t="str">
        <x:v>Require exact native accession match</x:v>
      </x:c>
      <x:c r="P69" s="11" t="n">
        <x:v>0</x:v>
      </x:c>
      <x:c r="Q69" s="12"/>
      <x:c r="R69" s="12"/>
      <x:c r="S69" s="11" t="n">
        <x:v>2788</x:v>
      </x:c>
      <x:c r="T69" s="11" t="n">
        <x:v>631</x:v>
      </x:c>
    </x:row>
    <x:row r="70" ht="23" customHeight="1">
      <x:c r="A70" s="2" t="str">
        <x:v>A3KGB4</x:v>
      </x:c>
      <x:c r="B70" s="2" t="str">
        <x:v>ED</x:v>
      </x:c>
      <x:c r="C70" s="2" t="n">
        <x:v>1</x:v>
      </x:c>
      <x:c r="D70" s="2" t="n">
        <x:v>1</x:v>
      </x:c>
      <x:c r="E70" s="10" t="n">
        <x:v>79.63715439856372</x:v>
      </x:c>
      <x:c r="F70" s="11" t="n">
        <x:v>1114</x:v>
      </x:c>
      <x:c r="G70" s="11" t="n">
        <x:v>0</x:v>
      </x:c>
      <x:c r="H70" s="11" t="n">
        <x:v>0</x:v>
      </x:c>
      <x:c r="I70" s="11" t="n">
        <x:v>0</x:v>
      </x:c>
      <x:c r="J70" s="11" t="n">
        <x:v>0</x:v>
      </x:c>
      <x:c r="K70" s="11" t="n">
        <x:v>1</x:v>
      </x:c>
      <x:c r="L70" s="11" t="n">
        <x:f>IF(B70="NED",1,IF(OR(B70="ED",B70="UN"),0,""))</x:f>
        <x:v>0</x:v>
      </x:c>
      <x:c r="M70" s="11" t="n">
        <x:f>IF(AND(K70=1,OR(B70="ED",B70="NED")),1,0)</x:f>
        <x:v>1</x:v>
      </x:c>
      <x:c r="N70" s="11" t="n">
        <x:f>IF(K70=1,1,0)</x:f>
        <x:v>1</x:v>
      </x:c>
      <x:c r="O70" s="12"/>
      <x:c r="P70" s="11" t="n">
        <x:v>0</x:v>
      </x:c>
      <x:c r="Q70" s="12" t="str">
        <x:v>AF-A3KGB4-F1-model_v6</x:v>
      </x:c>
      <x:c r="R70" s="12" t="str">
        <x:v>ok</x:v>
      </x:c>
      <x:c r="S70" s="11" t="n">
        <x:v>24</x:v>
      </x:c>
      <x:c r="T70" s="11" t="n">
        <x:v>1114</x:v>
      </x:c>
    </x:row>
    <x:row r="71" ht="23" customHeight="1">
      <x:c r="A71" s="2" t="str">
        <x:v>A3KGG8</x:v>
      </x:c>
      <x:c r="B71" s="2" t="str">
        <x:v>ED</x:v>
      </x:c>
      <x:c r="C71" s="2"/>
      <x:c r="D71" s="2"/>
      <x:c r="E71" s="10"/>
      <x:c r="F71" s="11"/>
      <x:c r="G71" s="11" t="n">
        <x:v>0</x:v>
      </x:c>
      <x:c r="H71" s="11" t="n">
        <x:v>0</x:v>
      </x:c>
      <x:c r="I71" s="11" t="n">
        <x:v>0</x:v>
      </x:c>
      <x:c r="J71" s="11" t="n">
        <x:v>0</x:v>
      </x:c>
      <x:c r="K71" s="11" t="n">
        <x:v>0</x:v>
      </x:c>
      <x:c r="L71" s="11" t="n">
        <x:f>IF(B71="NED",1,IF(OR(B71="ED",B71="UN"),0,""))</x:f>
        <x:v>0</x:v>
      </x:c>
      <x:c r="M71" s="11" t="n">
        <x:f>IF(AND(K71=1,OR(B71="ED",B71="NED")),1,0)</x:f>
        <x:v>0</x:v>
      </x:c>
      <x:c r="N71" s="11" t="n">
        <x:f>IF(K71=1,1,0)</x:f>
        <x:v>0</x:v>
      </x:c>
      <x:c r="O71" s="12" t="str">
        <x:v>Require exact native accession match</x:v>
      </x:c>
      <x:c r="P71" s="11" t="n">
        <x:v>0</x:v>
      </x:c>
      <x:c r="Q71" s="12"/>
      <x:c r="R71" s="12"/>
      <x:c r="S71" s="11" t="n">
        <x:v>2789</x:v>
      </x:c>
      <x:c r="T71" s="11" t="n">
        <x:v>234</x:v>
      </x:c>
    </x:row>
    <x:row r="72" ht="23" customHeight="1">
      <x:c r="A72" s="2" t="str">
        <x:v>A6H5Y3</x:v>
      </x:c>
      <x:c r="B72" s="2" t="str">
        <x:v>ED</x:v>
      </x:c>
      <x:c r="C72" s="2" t="n">
        <x:v>1</x:v>
      </x:c>
      <x:c r="D72" s="2" t="n">
        <x:v>1</x:v>
      </x:c>
      <x:c r="E72" s="10" t="n">
        <x:v>89.44346368715084</x:v>
      </x:c>
      <x:c r="F72" s="11" t="n">
        <x:v>1253</x:v>
      </x:c>
      <x:c r="G72" s="11" t="n">
        <x:v>0</x:v>
      </x:c>
      <x:c r="H72" s="11" t="n">
        <x:v>0</x:v>
      </x:c>
      <x:c r="I72" s="11" t="n">
        <x:v>0</x:v>
      </x:c>
      <x:c r="J72" s="11" t="n">
        <x:v>0</x:v>
      </x:c>
      <x:c r="K72" s="11" t="n">
        <x:v>1</x:v>
      </x:c>
      <x:c r="L72" s="11" t="n">
        <x:f>IF(B72="NED",1,IF(OR(B72="ED",B72="UN"),0,""))</x:f>
        <x:v>0</x:v>
      </x:c>
      <x:c r="M72" s="11" t="n">
        <x:f>IF(AND(K72=1,OR(B72="ED",B72="NED")),1,0)</x:f>
        <x:v>1</x:v>
      </x:c>
      <x:c r="N72" s="11" t="n">
        <x:f>IF(K72=1,1,0)</x:f>
        <x:v>1</x:v>
      </x:c>
      <x:c r="O72" s="12"/>
      <x:c r="P72" s="11" t="n">
        <x:v>0</x:v>
      </x:c>
      <x:c r="Q72" s="12" t="str">
        <x:v>AF-A6H5Y3-F1-model_v6</x:v>
      </x:c>
      <x:c r="R72" s="12" t="str">
        <x:v>ok</x:v>
      </x:c>
      <x:c r="S72" s="11" t="n">
        <x:v>25</x:v>
      </x:c>
      <x:c r="T72" s="11" t="n">
        <x:v>1253</x:v>
      </x:c>
    </x:row>
    <x:row r="73" ht="23" customHeight="1">
      <x:c r="A73" s="2" t="str">
        <x:v>A6H5Z3</x:v>
      </x:c>
      <x:c r="B73" s="2" t="str">
        <x:v>UN</x:v>
      </x:c>
      <x:c r="C73" s="2" t="n">
        <x:v>0</x:v>
      </x:c>
      <x:c r="D73" s="2" t="n">
        <x:v>0</x:v>
      </x:c>
      <x:c r="E73" s="10" t="n">
        <x:v>81.09654320987654</x:v>
      </x:c>
      <x:c r="F73" s="11" t="n">
        <x:v>810</x:v>
      </x:c>
      <x:c r="G73" s="11" t="n">
        <x:v>0</x:v>
      </x:c>
      <x:c r="H73" s="11" t="n">
        <x:v>0</x:v>
      </x:c>
      <x:c r="I73" s="11" t="n">
        <x:v>0</x:v>
      </x:c>
      <x:c r="J73" s="11" t="n">
        <x:v>0</x:v>
      </x:c>
      <x:c r="K73" s="11" t="n">
        <x:v>1</x:v>
      </x:c>
      <x:c r="L73" s="11" t="n">
        <x:f>IF(B73="NED",1,IF(OR(B73="ED",B73="UN"),0,""))</x:f>
        <x:v>0</x:v>
      </x:c>
      <x:c r="M73" s="11" t="n">
        <x:f>IF(AND(K73=1,OR(B73="ED",B73="NED")),1,0)</x:f>
        <x:v>0</x:v>
      </x:c>
      <x:c r="N73" s="11" t="n">
        <x:f>IF(K73=1,1,0)</x:f>
        <x:v>1</x:v>
      </x:c>
      <x:c r="O73" s="12"/>
      <x:c r="P73" s="11" t="n">
        <x:v>0</x:v>
      </x:c>
      <x:c r="Q73" s="12" t="str">
        <x:v>AF-A6H5Z3-F1-model_v6</x:v>
      </x:c>
      <x:c r="R73" s="12" t="str">
        <x:v>ok</x:v>
      </x:c>
      <x:c r="S73" s="11" t="n">
        <x:v>26</x:v>
      </x:c>
      <x:c r="T73" s="11" t="n">
        <x:v>810</x:v>
      </x:c>
    </x:row>
    <x:row r="74" ht="23" customHeight="1">
      <x:c r="A74" s="2" t="str">
        <x:v>A6H8H2</x:v>
      </x:c>
      <x:c r="B74" s="2" t="str">
        <x:v>UN</x:v>
      </x:c>
      <x:c r="C74" s="2" t="n">
        <x:v>1</x:v>
      </x:c>
      <x:c r="D74" s="2" t="n">
        <x:v>1</x:v>
      </x:c>
      <x:c r="E74" s="10"/>
      <x:c r="F74" s="11" t="n">
        <x:v>1906</x:v>
      </x:c>
      <x:c r="G74" s="11" t="n">
        <x:v>0</x:v>
      </x:c>
      <x:c r="H74" s="11" t="n">
        <x:v>0</x:v>
      </x:c>
      <x:c r="I74" s="11" t="n">
        <x:v>1</x:v>
      </x:c>
      <x:c r="J74" s="11" t="n">
        <x:v>0</x:v>
      </x:c>
      <x:c r="K74" s="11" t="n">
        <x:v>0</x:v>
      </x:c>
      <x:c r="L74" s="11" t="n">
        <x:f>IF(B74="NED",1,IF(OR(B74="ED",B74="UN"),0,""))</x:f>
        <x:v>0</x:v>
      </x:c>
      <x:c r="M74" s="11" t="n">
        <x:f>IF(AND(K74=1,OR(B74="ED",B74="NED")),1,0)</x:f>
        <x:v>0</x:v>
      </x:c>
      <x:c r="N74" s="11" t="n">
        <x:f>IF(K74=1,1,0)</x:f>
        <x:v>0</x:v>
      </x:c>
      <x:c r="O74" s="12" t="str">
        <x:v>Exclude UniProt Membrane keyword</x:v>
      </x:c>
      <x:c r="P74" s="11" t="n">
        <x:v>0</x:v>
      </x:c>
      <x:c r="Q74" s="12" t="str">
        <x:v>AF-A6H8H2-F1-model_v6</x:v>
      </x:c>
      <x:c r="R74" s="12" t="str">
        <x:v>ok</x:v>
      </x:c>
      <x:c r="S74" s="11" t="n">
        <x:v>27</x:v>
      </x:c>
      <x:c r="T74" s="11" t="n">
        <x:v>1906</x:v>
      </x:c>
    </x:row>
    <x:row r="75" ht="23" customHeight="1">
      <x:c r="A75" s="2" t="str">
        <x:v>A6X8Z5</x:v>
      </x:c>
      <x:c r="B75" s="2" t="str">
        <x:v>ED</x:v>
      </x:c>
      <x:c r="C75" s="2" t="n">
        <x:v>1</x:v>
      </x:c>
      <x:c r="D75" s="2" t="n">
        <x:v>1</x:v>
      </x:c>
      <x:c r="E75" s="10" t="n">
        <x:v>42.97598596491228</x:v>
      </x:c>
      <x:c r="F75" s="11" t="n">
        <x:v>1425</x:v>
      </x:c>
      <x:c r="G75" s="11" t="n">
        <x:v>0</x:v>
      </x:c>
      <x:c r="H75" s="11" t="n">
        <x:v>0</x:v>
      </x:c>
      <x:c r="I75" s="11" t="n">
        <x:v>0</x:v>
      </x:c>
      <x:c r="J75" s="11" t="n">
        <x:v>0</x:v>
      </x:c>
      <x:c r="K75" s="11" t="n">
        <x:v>0</x:v>
      </x:c>
      <x:c r="L75" s="11" t="n">
        <x:f>IF(B75="NED",1,IF(OR(B75="ED",B75="UN"),0,""))</x:f>
        <x:v>0</x:v>
      </x:c>
      <x:c r="M75" s="11" t="n">
        <x:f>IF(AND(K75=1,OR(B75="ED",B75="NED")),1,0)</x:f>
        <x:v>0</x:v>
      </x:c>
      <x:c r="N75" s="11" t="n">
        <x:f>IF(K75=1,1,0)</x:f>
        <x:v>0</x:v>
      </x:c>
      <x:c r="O75" s="12" t="str">
        <x:v>Retain protein mean pLDDT &gt;=70</x:v>
      </x:c>
      <x:c r="P75" s="11" t="n">
        <x:v>0</x:v>
      </x:c>
      <x:c r="Q75" s="12" t="str">
        <x:v>AF-A6X8Z5-F1-model_v6</x:v>
      </x:c>
      <x:c r="R75" s="12" t="str">
        <x:v>ok</x:v>
      </x:c>
      <x:c r="S75" s="11" t="n">
        <x:v>28</x:v>
      </x:c>
      <x:c r="T75" s="11" t="n">
        <x:v>1425</x:v>
      </x:c>
    </x:row>
    <x:row r="76" ht="23" customHeight="1">
      <x:c r="A76" s="2" t="str">
        <x:v>A8C756</x:v>
      </x:c>
      <x:c r="B76" s="2" t="str">
        <x:v>UN</x:v>
      </x:c>
      <x:c r="C76" s="2" t="n">
        <x:v>1</x:v>
      </x:c>
      <x:c r="D76" s="2" t="n">
        <x:v>1</x:v>
      </x:c>
      <x:c r="E76" s="10" t="n">
        <x:v>79.7611713106295</x:v>
      </x:c>
      <x:c r="F76" s="11" t="n">
        <x:v>1938</x:v>
      </x:c>
      <x:c r="G76" s="11" t="n">
        <x:v>0</x:v>
      </x:c>
      <x:c r="H76" s="11" t="n">
        <x:v>0</x:v>
      </x:c>
      <x:c r="I76" s="11" t="n">
        <x:v>0</x:v>
      </x:c>
      <x:c r="J76" s="11" t="n">
        <x:v>0</x:v>
      </x:c>
      <x:c r="K76" s="11" t="n">
        <x:v>1</x:v>
      </x:c>
      <x:c r="L76" s="11" t="n">
        <x:f>IF(B76="NED",1,IF(OR(B76="ED",B76="UN"),0,""))</x:f>
        <x:v>0</x:v>
      </x:c>
      <x:c r="M76" s="11" t="n">
        <x:f>IF(AND(K76=1,OR(B76="ED",B76="NED")),1,0)</x:f>
        <x:v>0</x:v>
      </x:c>
      <x:c r="N76" s="11" t="n">
        <x:f>IF(K76=1,1,0)</x:f>
        <x:v>1</x:v>
      </x:c>
      <x:c r="O76" s="12"/>
      <x:c r="P76" s="11" t="n">
        <x:v>0</x:v>
      </x:c>
      <x:c r="Q76" s="12" t="str">
        <x:v>AF-A8C756-F1-model_v6</x:v>
      </x:c>
      <x:c r="R76" s="12" t="str">
        <x:v>ok</x:v>
      </x:c>
      <x:c r="S76" s="11" t="n">
        <x:v>29</x:v>
      </x:c>
      <x:c r="T76" s="11" t="n">
        <x:v>1938</x:v>
      </x:c>
    </x:row>
    <x:row r="77" ht="23" customHeight="1">
      <x:c r="A77" s="2" t="str">
        <x:v>B0R030</x:v>
      </x:c>
      <x:c r="B77" s="2" t="str">
        <x:v>UN</x:v>
      </x:c>
      <x:c r="C77" s="2"/>
      <x:c r="D77" s="2"/>
      <x:c r="E77" s="10"/>
      <x:c r="F77" s="11"/>
      <x:c r="G77" s="11" t="n">
        <x:v>0</x:v>
      </x:c>
      <x:c r="H77" s="11" t="n">
        <x:v>0</x:v>
      </x:c>
      <x:c r="I77" s="11" t="n">
        <x:v>0</x:v>
      </x:c>
      <x:c r="J77" s="11" t="n">
        <x:v>0</x:v>
      </x:c>
      <x:c r="K77" s="11" t="n">
        <x:v>0</x:v>
      </x:c>
      <x:c r="L77" s="11" t="n">
        <x:f>IF(B77="NED",1,IF(OR(B77="ED",B77="UN"),0,""))</x:f>
        <x:v>0</x:v>
      </x:c>
      <x:c r="M77" s="11" t="n">
        <x:f>IF(AND(K77=1,OR(B77="ED",B77="NED")),1,0)</x:f>
        <x:v>0</x:v>
      </x:c>
      <x:c r="N77" s="11" t="n">
        <x:f>IF(K77=1,1,0)</x:f>
        <x:v>0</x:v>
      </x:c>
      <x:c r="O77" s="12" t="str">
        <x:v>Require exact native accession match</x:v>
      </x:c>
      <x:c r="P77" s="11" t="n">
        <x:v>0</x:v>
      </x:c>
      <x:c r="Q77" s="12"/>
      <x:c r="R77" s="12"/>
      <x:c r="S77" s="11" t="n">
        <x:v>2790</x:v>
      </x:c>
      <x:c r="T77" s="11" t="n">
        <x:v>161</x:v>
      </x:c>
    </x:row>
    <x:row r="78" ht="23" customHeight="1">
      <x:c r="A78" s="2" t="str">
        <x:v>B0R091</x:v>
      </x:c>
      <x:c r="B78" s="2" t="str">
        <x:v>UN</x:v>
      </x:c>
      <x:c r="C78" s="2"/>
      <x:c r="D78" s="2"/>
      <x:c r="E78" s="10"/>
      <x:c r="F78" s="11"/>
      <x:c r="G78" s="11" t="n">
        <x:v>0</x:v>
      </x:c>
      <x:c r="H78" s="11" t="n">
        <x:v>0</x:v>
      </x:c>
      <x:c r="I78" s="11" t="n">
        <x:v>1</x:v>
      </x:c>
      <x:c r="J78" s="11" t="n">
        <x:v>0</x:v>
      </x:c>
      <x:c r="K78" s="11" t="n">
        <x:v>0</x:v>
      </x:c>
      <x:c r="L78" s="11" t="n">
        <x:f>IF(B78="NED",1,IF(OR(B78="ED",B78="UN"),0,""))</x:f>
        <x:v>0</x:v>
      </x:c>
      <x:c r="M78" s="11" t="n">
        <x:f>IF(AND(K78=1,OR(B78="ED",B78="NED")),1,0)</x:f>
        <x:v>0</x:v>
      </x:c>
      <x:c r="N78" s="11" t="n">
        <x:f>IF(K78=1,1,0)</x:f>
        <x:v>0</x:v>
      </x:c>
      <x:c r="O78" s="12" t="str">
        <x:v>Require exact native accession match</x:v>
      </x:c>
      <x:c r="P78" s="11" t="n">
        <x:v>0</x:v>
      </x:c>
      <x:c r="Q78" s="12"/>
      <x:c r="R78" s="12"/>
      <x:c r="S78" s="11" t="n">
        <x:v>2791</x:v>
      </x:c>
      <x:c r="T78" s="11" t="n">
        <x:v>191</x:v>
      </x:c>
    </x:row>
    <x:row r="79" ht="23" customHeight="1">
      <x:c r="A79" s="2" t="str">
        <x:v>B1AQJ2</x:v>
      </x:c>
      <x:c r="B79" s="2" t="str">
        <x:v>UN</x:v>
      </x:c>
      <x:c r="C79" s="2" t="n">
        <x:v>1</x:v>
      </x:c>
      <x:c r="D79" s="2" t="n">
        <x:v>1</x:v>
      </x:c>
      <x:c r="E79" s="10" t="n">
        <x:v>55.96300546448087</x:v>
      </x:c>
      <x:c r="F79" s="11" t="n">
        <x:v>1098</x:v>
      </x:c>
      <x:c r="G79" s="11" t="n">
        <x:v>0</x:v>
      </x:c>
      <x:c r="H79" s="11" t="n">
        <x:v>0</x:v>
      </x:c>
      <x:c r="I79" s="11" t="n">
        <x:v>0</x:v>
      </x:c>
      <x:c r="J79" s="11" t="n">
        <x:v>0</x:v>
      </x:c>
      <x:c r="K79" s="11" t="n">
        <x:v>0</x:v>
      </x:c>
      <x:c r="L79" s="11" t="n">
        <x:f>IF(B79="NED",1,IF(OR(B79="ED",B79="UN"),0,""))</x:f>
        <x:v>0</x:v>
      </x:c>
      <x:c r="M79" s="11" t="n">
        <x:f>IF(AND(K79=1,OR(B79="ED",B79="NED")),1,0)</x:f>
        <x:v>0</x:v>
      </x:c>
      <x:c r="N79" s="11" t="n">
        <x:f>IF(K79=1,1,0)</x:f>
        <x:v>0</x:v>
      </x:c>
      <x:c r="O79" s="12" t="str">
        <x:v>Retain protein mean pLDDT &gt;=70</x:v>
      </x:c>
      <x:c r="P79" s="11" t="n">
        <x:v>0</x:v>
      </x:c>
      <x:c r="Q79" s="12" t="str">
        <x:v>AF-B1AQJ2-F1-model_v6</x:v>
      </x:c>
      <x:c r="R79" s="12" t="str">
        <x:v>ok</x:v>
      </x:c>
      <x:c r="S79" s="11" t="n">
        <x:v>30</x:v>
      </x:c>
      <x:c r="T79" s="11" t="n">
        <x:v>1098</x:v>
      </x:c>
    </x:row>
    <x:row r="80" ht="23" customHeight="1">
      <x:c r="A80" s="2" t="str">
        <x:v>B1ARD6</x:v>
      </x:c>
      <x:c r="B80" s="2" t="str">
        <x:v>ED</x:v>
      </x:c>
      <x:c r="C80" s="2" t="n">
        <x:v>1</x:v>
      </x:c>
      <x:c r="D80" s="2" t="n">
        <x:v>1</x:v>
      </x:c>
      <x:c r="E80" s="10" t="n">
        <x:v>86.64360439560438</x:v>
      </x:c>
      <x:c r="F80" s="11" t="n">
        <x:v>910</x:v>
      </x:c>
      <x:c r="G80" s="11" t="n">
        <x:v>0</x:v>
      </x:c>
      <x:c r="H80" s="11" t="n">
        <x:v>0</x:v>
      </x:c>
      <x:c r="I80" s="11" t="n">
        <x:v>0</x:v>
      </x:c>
      <x:c r="J80" s="11" t="n">
        <x:v>0</x:v>
      </x:c>
      <x:c r="K80" s="11" t="n">
        <x:v>1</x:v>
      </x:c>
      <x:c r="L80" s="11" t="n">
        <x:f>IF(B80="NED",1,IF(OR(B80="ED",B80="UN"),0,""))</x:f>
        <x:v>0</x:v>
      </x:c>
      <x:c r="M80" s="11" t="n">
        <x:f>IF(AND(K80=1,OR(B80="ED",B80="NED")),1,0)</x:f>
        <x:v>1</x:v>
      </x:c>
      <x:c r="N80" s="11" t="n">
        <x:f>IF(K80=1,1,0)</x:f>
        <x:v>1</x:v>
      </x:c>
      <x:c r="O80" s="12"/>
      <x:c r="P80" s="11" t="n">
        <x:v>0</x:v>
      </x:c>
      <x:c r="Q80" s="12" t="str">
        <x:v>AF-B1ARD6-F1-model_v6</x:v>
      </x:c>
      <x:c r="R80" s="12" t="str">
        <x:v>ok</x:v>
      </x:c>
      <x:c r="S80" s="11" t="n">
        <x:v>2792</x:v>
      </x:c>
      <x:c r="T80" s="11" t="n">
        <x:v>910</x:v>
      </x:c>
    </x:row>
    <x:row r="81" ht="23" customHeight="1">
      <x:c r="A81" s="2" t="str">
        <x:v>B1ARM8</x:v>
      </x:c>
      <x:c r="B81" s="2" t="str">
        <x:v>UN</x:v>
      </x:c>
      <x:c r="C81" s="2"/>
      <x:c r="D81" s="2"/>
      <x:c r="E81" s="10"/>
      <x:c r="F81" s="11"/>
      <x:c r="G81" s="11" t="n">
        <x:v>0</x:v>
      </x:c>
      <x:c r="H81" s="11" t="n">
        <x:v>0</x:v>
      </x:c>
      <x:c r="I81" s="11"/>
      <x:c r="J81" s="11"/>
      <x:c r="K81" s="11" t="n">
        <x:v>0</x:v>
      </x:c>
      <x:c r="L81" s="11" t="n">
        <x:f>IF(B81="NED",1,IF(OR(B81="ED",B81="UN"),0,""))</x:f>
        <x:v>0</x:v>
      </x:c>
      <x:c r="M81" s="11" t="n">
        <x:f>IF(AND(K81=1,OR(B81="ED",B81="NED")),1,0)</x:f>
        <x:v>0</x:v>
      </x:c>
      <x:c r="N81" s="11" t="n">
        <x:f>IF(K81=1,1,0)</x:f>
        <x:v>0</x:v>
      </x:c>
      <x:c r="O81" s="12" t="str">
        <x:v>Require exact native accession match</x:v>
      </x:c>
      <x:c r="P81" s="11" t="n">
        <x:v>0</x:v>
      </x:c>
      <x:c r="Q81" s="12"/>
      <x:c r="R81" s="12"/>
      <x:c r="S81" s="11" t="n">
        <x:v>2793</x:v>
      </x:c>
      <x:c r="T81" s="11"/>
    </x:row>
    <x:row r="82" ht="23" customHeight="1">
      <x:c r="A82" s="2" t="str">
        <x:v>B1ASU9</x:v>
      </x:c>
      <x:c r="B82" s="2" t="str">
        <x:v>ED</x:v>
      </x:c>
      <x:c r="C82" s="2"/>
      <x:c r="D82" s="2"/>
      <x:c r="E82" s="10"/>
      <x:c r="F82" s="11"/>
      <x:c r="G82" s="11" t="n">
        <x:v>0</x:v>
      </x:c>
      <x:c r="H82" s="11" t="n">
        <x:v>0</x:v>
      </x:c>
      <x:c r="I82" s="11" t="n">
        <x:v>0</x:v>
      </x:c>
      <x:c r="J82" s="11" t="n">
        <x:v>0</x:v>
      </x:c>
      <x:c r="K82" s="11" t="n">
        <x:v>0</x:v>
      </x:c>
      <x:c r="L82" s="11" t="n">
        <x:f>IF(B82="NED",1,IF(OR(B82="ED",B82="UN"),0,""))</x:f>
        <x:v>0</x:v>
      </x:c>
      <x:c r="M82" s="11" t="n">
        <x:f>IF(AND(K82=1,OR(B82="ED",B82="NED")),1,0)</x:f>
        <x:v>0</x:v>
      </x:c>
      <x:c r="N82" s="11" t="n">
        <x:f>IF(K82=1,1,0)</x:f>
        <x:v>0</x:v>
      </x:c>
      <x:c r="O82" s="12" t="str">
        <x:v>Require exact native accession match</x:v>
      </x:c>
      <x:c r="P82" s="11" t="n">
        <x:v>0</x:v>
      </x:c>
      <x:c r="Q82" s="12"/>
      <x:c r="R82" s="12"/>
      <x:c r="S82" s="11" t="n">
        <x:v>2794</x:v>
      </x:c>
      <x:c r="T82" s="11" t="n">
        <x:v>750</x:v>
      </x:c>
    </x:row>
    <x:row r="83" ht="23" customHeight="1">
      <x:c r="A83" s="2" t="str">
        <x:v>B1AT82</x:v>
      </x:c>
      <x:c r="B83" s="2" t="str">
        <x:v>UN</x:v>
      </x:c>
      <x:c r="C83" s="2"/>
      <x:c r="D83" s="2"/>
      <x:c r="E83" s="10"/>
      <x:c r="F83" s="11"/>
      <x:c r="G83" s="11" t="n">
        <x:v>0</x:v>
      </x:c>
      <x:c r="H83" s="11" t="n">
        <x:v>0</x:v>
      </x:c>
      <x:c r="I83" s="11" t="n">
        <x:v>0</x:v>
      </x:c>
      <x:c r="J83" s="11" t="n">
        <x:v>0</x:v>
      </x:c>
      <x:c r="K83" s="11" t="n">
        <x:v>0</x:v>
      </x:c>
      <x:c r="L83" s="11" t="n">
        <x:f>IF(B83="NED",1,IF(OR(B83="ED",B83="UN"),0,""))</x:f>
        <x:v>0</x:v>
      </x:c>
      <x:c r="M83" s="11" t="n">
        <x:f>IF(AND(K83=1,OR(B83="ED",B83="NED")),1,0)</x:f>
        <x:v>0</x:v>
      </x:c>
      <x:c r="N83" s="11" t="n">
        <x:f>IF(K83=1,1,0)</x:f>
        <x:v>0</x:v>
      </x:c>
      <x:c r="O83" s="12" t="str">
        <x:v>Require exact native accession match</x:v>
      </x:c>
      <x:c r="P83" s="11" t="n">
        <x:v>0</x:v>
      </x:c>
      <x:c r="Q83" s="12"/>
      <x:c r="R83" s="12"/>
      <x:c r="S83" s="11" t="n">
        <x:v>2795</x:v>
      </x:c>
      <x:c r="T83" s="11" t="n">
        <x:v>385</x:v>
      </x:c>
    </x:row>
    <x:row r="84" ht="23" customHeight="1">
      <x:c r="A84" s="2" t="str">
        <x:v>B1ATD5</x:v>
      </x:c>
      <x:c r="B84" s="2" t="str">
        <x:v>UN</x:v>
      </x:c>
      <x:c r="C84" s="2"/>
      <x:c r="D84" s="2"/>
      <x:c r="E84" s="10"/>
      <x:c r="F84" s="11"/>
      <x:c r="G84" s="11" t="n">
        <x:v>0</x:v>
      </x:c>
      <x:c r="H84" s="11" t="n">
        <x:v>0</x:v>
      </x:c>
      <x:c r="I84" s="11" t="n">
        <x:v>1</x:v>
      </x:c>
      <x:c r="J84" s="11" t="n">
        <x:v>0</x:v>
      </x:c>
      <x:c r="K84" s="11" t="n">
        <x:v>0</x:v>
      </x:c>
      <x:c r="L84" s="11" t="n">
        <x:f>IF(B84="NED",1,IF(OR(B84="ED",B84="UN"),0,""))</x:f>
        <x:v>0</x:v>
      </x:c>
      <x:c r="M84" s="11" t="n">
        <x:f>IF(AND(K84=1,OR(B84="ED",B84="NED")),1,0)</x:f>
        <x:v>0</x:v>
      </x:c>
      <x:c r="N84" s="11" t="n">
        <x:f>IF(K84=1,1,0)</x:f>
        <x:v>0</x:v>
      </x:c>
      <x:c r="O84" s="12" t="str">
        <x:v>Require exact native accession match</x:v>
      </x:c>
      <x:c r="P84" s="11" t="n">
        <x:v>0</x:v>
      </x:c>
      <x:c r="Q84" s="12"/>
      <x:c r="R84" s="12"/>
      <x:c r="S84" s="11" t="n">
        <x:v>2796</x:v>
      </x:c>
      <x:c r="T84" s="11" t="n">
        <x:v>1159</x:v>
      </x:c>
    </x:row>
    <x:row r="85" ht="23" customHeight="1">
      <x:c r="A85" s="2" t="str">
        <x:v>B1ATZ0</x:v>
      </x:c>
      <x:c r="B85" s="2" t="str">
        <x:v>ED</x:v>
      </x:c>
      <x:c r="C85" s="2"/>
      <x:c r="D85" s="2"/>
      <x:c r="E85" s="10"/>
      <x:c r="F85" s="11"/>
      <x:c r="G85" s="11" t="n">
        <x:v>0</x:v>
      </x:c>
      <x:c r="H85" s="11" t="n">
        <x:v>0</x:v>
      </x:c>
      <x:c r="I85" s="11"/>
      <x:c r="J85" s="11"/>
      <x:c r="K85" s="11" t="n">
        <x:v>0</x:v>
      </x:c>
      <x:c r="L85" s="11" t="n">
        <x:f>IF(B85="NED",1,IF(OR(B85="ED",B85="UN"),0,""))</x:f>
        <x:v>0</x:v>
      </x:c>
      <x:c r="M85" s="11" t="n">
        <x:f>IF(AND(K85=1,OR(B85="ED",B85="NED")),1,0)</x:f>
        <x:v>0</x:v>
      </x:c>
      <x:c r="N85" s="11" t="n">
        <x:f>IF(K85=1,1,0)</x:f>
        <x:v>0</x:v>
      </x:c>
      <x:c r="O85" s="12" t="str">
        <x:v>Require exact native accession match</x:v>
      </x:c>
      <x:c r="P85" s="11" t="n">
        <x:v>0</x:v>
      </x:c>
      <x:c r="Q85" s="12"/>
      <x:c r="R85" s="12"/>
      <x:c r="S85" s="11" t="n">
        <x:v>2797</x:v>
      </x:c>
      <x:c r="T85" s="11"/>
    </x:row>
    <x:row r="86" ht="23" customHeight="1">
      <x:c r="A86" s="2" t="str">
        <x:v>B1AU25</x:v>
      </x:c>
      <x:c r="B86" s="2" t="str">
        <x:v>NED</x:v>
      </x:c>
      <x:c r="C86" s="2"/>
      <x:c r="D86" s="2"/>
      <x:c r="E86" s="10"/>
      <x:c r="F86" s="11"/>
      <x:c r="G86" s="11" t="n">
        <x:v>1</x:v>
      </x:c>
      <x:c r="H86" s="11" t="n">
        <x:v>0</x:v>
      </x:c>
      <x:c r="I86" s="11" t="n">
        <x:v>1</x:v>
      </x:c>
      <x:c r="J86" s="11" t="n">
        <x:v>0</x:v>
      </x:c>
      <x:c r="K86" s="11" t="n">
        <x:v>0</x:v>
      </x:c>
      <x:c r="L86" s="11" t="n">
        <x:f>IF(B86="NED",1,IF(OR(B86="ED",B86="UN"),0,""))</x:f>
        <x:v>1</x:v>
      </x:c>
      <x:c r="M86" s="11" t="n">
        <x:f>IF(AND(K86=1,OR(B86="ED",B86="NED")),1,0)</x:f>
        <x:v>0</x:v>
      </x:c>
      <x:c r="N86" s="11" t="n">
        <x:f>IF(K86=1,1,0)</x:f>
        <x:v>0</x:v>
      </x:c>
      <x:c r="O86" s="12" t="str">
        <x:v>Require exact native accession match</x:v>
      </x:c>
      <x:c r="P86" s="11" t="n">
        <x:v>0</x:v>
      </x:c>
      <x:c r="Q86" s="12"/>
      <x:c r="R86" s="12"/>
      <x:c r="S86" s="11" t="n">
        <x:v>2798</x:v>
      </x:c>
      <x:c r="T86" s="11" t="n">
        <x:v>608</x:v>
      </x:c>
    </x:row>
    <x:row r="87" ht="23" customHeight="1">
      <x:c r="A87" s="2" t="str">
        <x:v>B1AU75</x:v>
      </x:c>
      <x:c r="B87" s="2" t="str">
        <x:v>UN</x:v>
      </x:c>
      <x:c r="C87" s="2"/>
      <x:c r="D87" s="2"/>
      <x:c r="E87" s="10"/>
      <x:c r="F87" s="11"/>
      <x:c r="G87" s="11" t="n">
        <x:v>0</x:v>
      </x:c>
      <x:c r="H87" s="11" t="n">
        <x:v>0</x:v>
      </x:c>
      <x:c r="I87" s="11" t="n">
        <x:v>0</x:v>
      </x:c>
      <x:c r="J87" s="11" t="n">
        <x:v>0</x:v>
      </x:c>
      <x:c r="K87" s="11" t="n">
        <x:v>0</x:v>
      </x:c>
      <x:c r="L87" s="11" t="n">
        <x:f>IF(B87="NED",1,IF(OR(B87="ED",B87="UN"),0,""))</x:f>
        <x:v>0</x:v>
      </x:c>
      <x:c r="M87" s="11" t="n">
        <x:f>IF(AND(K87=1,OR(B87="ED",B87="NED")),1,0)</x:f>
        <x:v>0</x:v>
      </x:c>
      <x:c r="N87" s="11" t="n">
        <x:f>IF(K87=1,1,0)</x:f>
        <x:v>0</x:v>
      </x:c>
      <x:c r="O87" s="12" t="str">
        <x:v>Require exact native accession match</x:v>
      </x:c>
      <x:c r="P87" s="11" t="n">
        <x:v>0</x:v>
      </x:c>
      <x:c r="Q87" s="12"/>
      <x:c r="R87" s="12"/>
      <x:c r="S87" s="11" t="n">
        <x:v>2799</x:v>
      </x:c>
      <x:c r="T87" s="11" t="n">
        <x:v>773</x:v>
      </x:c>
    </x:row>
    <x:row r="88" ht="23" customHeight="1">
      <x:c r="A88" s="2" t="str">
        <x:v>B1AUN3</x:v>
      </x:c>
      <x:c r="B88" s="2" t="str">
        <x:v>UN</x:v>
      </x:c>
      <x:c r="C88" s="2"/>
      <x:c r="D88" s="2"/>
      <x:c r="E88" s="10"/>
      <x:c r="F88" s="11"/>
      <x:c r="G88" s="11" t="n">
        <x:v>0</x:v>
      </x:c>
      <x:c r="H88" s="11" t="n">
        <x:v>0</x:v>
      </x:c>
      <x:c r="I88" s="11" t="n">
        <x:v>0</x:v>
      </x:c>
      <x:c r="J88" s="11" t="n">
        <x:v>0</x:v>
      </x:c>
      <x:c r="K88" s="11" t="n">
        <x:v>0</x:v>
      </x:c>
      <x:c r="L88" s="11" t="n">
        <x:f>IF(B88="NED",1,IF(OR(B88="ED",B88="UN"),0,""))</x:f>
        <x:v>0</x:v>
      </x:c>
      <x:c r="M88" s="11" t="n">
        <x:f>IF(AND(K88=1,OR(B88="ED",B88="NED")),1,0)</x:f>
        <x:v>0</x:v>
      </x:c>
      <x:c r="N88" s="11" t="n">
        <x:f>IF(K88=1,1,0)</x:f>
        <x:v>0</x:v>
      </x:c>
      <x:c r="O88" s="12" t="str">
        <x:v>Require exact native accession match</x:v>
      </x:c>
      <x:c r="P88" s="11" t="n">
        <x:v>0</x:v>
      </x:c>
      <x:c r="Q88" s="12"/>
      <x:c r="R88" s="12"/>
      <x:c r="S88" s="11" t="n">
        <x:v>2800</x:v>
      </x:c>
      <x:c r="T88" s="11" t="n">
        <x:v>401</x:v>
      </x:c>
    </x:row>
    <x:row r="89" ht="23" customHeight="1">
      <x:c r="A89" s="2" t="str">
        <x:v>B1AUR6-2</x:v>
      </x:c>
      <x:c r="B89" s="2" t="str">
        <x:v>ED</x:v>
      </x:c>
      <x:c r="C89" s="2"/>
      <x:c r="D89" s="2"/>
      <x:c r="E89" s="10"/>
      <x:c r="F89" s="11"/>
      <x:c r="G89" s="11" t="n">
        <x:v>0</x:v>
      </x:c>
      <x:c r="H89" s="11" t="n">
        <x:v>0</x:v>
      </x:c>
      <x:c r="I89" s="11"/>
      <x:c r="J89" s="11"/>
      <x:c r="K89" s="11" t="n">
        <x:v>0</x:v>
      </x:c>
      <x:c r="L89" s="11" t="n">
        <x:f>IF(B89="NED",1,IF(OR(B89="ED",B89="UN"),0,""))</x:f>
        <x:v>0</x:v>
      </x:c>
      <x:c r="M89" s="11" t="n">
        <x:f>IF(AND(K89=1,OR(B89="ED",B89="NED")),1,0)</x:f>
        <x:v>0</x:v>
      </x:c>
      <x:c r="N89" s="11" t="n">
        <x:f>IF(K89=1,1,0)</x:f>
        <x:v>0</x:v>
      </x:c>
      <x:c r="O89" s="12" t="str">
        <x:v>Require exact native accession match</x:v>
      </x:c>
      <x:c r="P89" s="11" t="n">
        <x:v>0</x:v>
      </x:c>
      <x:c r="Q89" s="12"/>
      <x:c r="R89" s="12"/>
      <x:c r="S89" s="11" t="n">
        <x:v>31</x:v>
      </x:c>
      <x:c r="T89" s="11"/>
    </x:row>
    <x:row r="90" ht="23" customHeight="1">
      <x:c r="A90" s="2" t="str">
        <x:v>B1AVZ0</x:v>
      </x:c>
      <x:c r="B90" s="2" t="str">
        <x:v>UN</x:v>
      </x:c>
      <x:c r="C90" s="2" t="n">
        <x:v>1</x:v>
      </x:c>
      <x:c r="D90" s="2" t="n">
        <x:v>1</x:v>
      </x:c>
      <x:c r="E90" s="10" t="n">
        <x:v>75.16951612903226</x:v>
      </x:c>
      <x:c r="F90" s="11" t="n">
        <x:v>310</x:v>
      </x:c>
      <x:c r="G90" s="11" t="n">
        <x:v>0</x:v>
      </x:c>
      <x:c r="H90" s="11" t="n">
        <x:v>0</x:v>
      </x:c>
      <x:c r="I90" s="11" t="n">
        <x:v>0</x:v>
      </x:c>
      <x:c r="J90" s="11" t="n">
        <x:v>0</x:v>
      </x:c>
      <x:c r="K90" s="11" t="n">
        <x:v>1</x:v>
      </x:c>
      <x:c r="L90" s="11" t="n">
        <x:f>IF(B90="NED",1,IF(OR(B90="ED",B90="UN"),0,""))</x:f>
        <x:v>0</x:v>
      </x:c>
      <x:c r="M90" s="11" t="n">
        <x:f>IF(AND(K90=1,OR(B90="ED",B90="NED")),1,0)</x:f>
        <x:v>0</x:v>
      </x:c>
      <x:c r="N90" s="11" t="n">
        <x:f>IF(K90=1,1,0)</x:f>
        <x:v>1</x:v>
      </x:c>
      <x:c r="O90" s="12"/>
      <x:c r="P90" s="11" t="n">
        <x:v>0</x:v>
      </x:c>
      <x:c r="Q90" s="12" t="str">
        <x:v>AF-B1AVZ0-F1-model_v6</x:v>
      </x:c>
      <x:c r="R90" s="12" t="str">
        <x:v>ok</x:v>
      </x:c>
      <x:c r="S90" s="11" t="n">
        <x:v>32</x:v>
      </x:c>
      <x:c r="T90" s="11" t="n">
        <x:v>310</x:v>
      </x:c>
    </x:row>
    <x:row r="91" ht="23" customHeight="1">
      <x:c r="A91" s="2" t="str">
        <x:v>B1AW21</x:v>
      </x:c>
      <x:c r="B91" s="2" t="str">
        <x:v>UN</x:v>
      </x:c>
      <x:c r="C91" s="2"/>
      <x:c r="D91" s="2"/>
      <x:c r="E91" s="10"/>
      <x:c r="F91" s="11"/>
      <x:c r="G91" s="11" t="n">
        <x:v>0</x:v>
      </x:c>
      <x:c r="H91" s="11" t="n">
        <x:v>0</x:v>
      </x:c>
      <x:c r="I91" s="11" t="n">
        <x:v>1</x:v>
      </x:c>
      <x:c r="J91" s="11" t="n">
        <x:v>0</x:v>
      </x:c>
      <x:c r="K91" s="11" t="n">
        <x:v>0</x:v>
      </x:c>
      <x:c r="L91" s="11" t="n">
        <x:f>IF(B91="NED",1,IF(OR(B91="ED",B91="UN"),0,""))</x:f>
        <x:v>0</x:v>
      </x:c>
      <x:c r="M91" s="11" t="n">
        <x:f>IF(AND(K91=1,OR(B91="ED",B91="NED")),1,0)</x:f>
        <x:v>0</x:v>
      </x:c>
      <x:c r="N91" s="11" t="n">
        <x:f>IF(K91=1,1,0)</x:f>
        <x:v>0</x:v>
      </x:c>
      <x:c r="O91" s="12" t="str">
        <x:v>Require exact native accession match</x:v>
      </x:c>
      <x:c r="P91" s="11" t="n">
        <x:v>0</x:v>
      </x:c>
      <x:c r="Q91" s="12"/>
      <x:c r="R91" s="12"/>
      <x:c r="S91" s="11" t="n">
        <x:v>2801</x:v>
      </x:c>
      <x:c r="T91" s="11" t="n">
        <x:v>572</x:v>
      </x:c>
    </x:row>
    <x:row r="92" ht="23" customHeight="1">
      <x:c r="A92" s="2" t="str">
        <x:v>B1AWE0</x:v>
      </x:c>
      <x:c r="B92" s="2" t="str">
        <x:v>ED</x:v>
      </x:c>
      <x:c r="C92" s="2"/>
      <x:c r="D92" s="2"/>
      <x:c r="E92" s="10"/>
      <x:c r="F92" s="11"/>
      <x:c r="G92" s="11" t="n">
        <x:v>0</x:v>
      </x:c>
      <x:c r="H92" s="11" t="n">
        <x:v>0</x:v>
      </x:c>
      <x:c r="I92" s="11" t="n">
        <x:v>1</x:v>
      </x:c>
      <x:c r="J92" s="11" t="n">
        <x:v>0</x:v>
      </x:c>
      <x:c r="K92" s="11" t="n">
        <x:v>0</x:v>
      </x:c>
      <x:c r="L92" s="11" t="n">
        <x:f>IF(B92="NED",1,IF(OR(B92="ED",B92="UN"),0,""))</x:f>
        <x:v>0</x:v>
      </x:c>
      <x:c r="M92" s="11" t="n">
        <x:f>IF(AND(K92=1,OR(B92="ED",B92="NED")),1,0)</x:f>
        <x:v>0</x:v>
      </x:c>
      <x:c r="N92" s="11" t="n">
        <x:f>IF(K92=1,1,0)</x:f>
        <x:v>0</x:v>
      </x:c>
      <x:c r="O92" s="12" t="str">
        <x:v>Require exact native accession match</x:v>
      </x:c>
      <x:c r="P92" s="11" t="n">
        <x:v>0</x:v>
      </x:c>
      <x:c r="Q92" s="12"/>
      <x:c r="R92" s="12"/>
      <x:c r="S92" s="11" t="n">
        <x:v>2802</x:v>
      </x:c>
      <x:c r="T92" s="11" t="n">
        <x:v>216</x:v>
      </x:c>
    </x:row>
    <x:row r="93" ht="23" customHeight="1">
      <x:c r="A93" s="2" t="str">
        <x:v>B1AWL2</x:v>
      </x:c>
      <x:c r="B93" s="2" t="str">
        <x:v>UN</x:v>
      </x:c>
      <x:c r="C93" s="2" t="n">
        <x:v>1</x:v>
      </x:c>
      <x:c r="D93" s="2" t="n">
        <x:v>1</x:v>
      </x:c>
      <x:c r="E93" s="10" t="n">
        <x:v>48.30436873747495</x:v>
      </x:c>
      <x:c r="F93" s="11" t="n">
        <x:v>2495</x:v>
      </x:c>
      <x:c r="G93" s="11" t="n">
        <x:v>0</x:v>
      </x:c>
      <x:c r="H93" s="11" t="n">
        <x:v>0</x:v>
      </x:c>
      <x:c r="I93" s="11" t="n">
        <x:v>0</x:v>
      </x:c>
      <x:c r="J93" s="11" t="n">
        <x:v>0</x:v>
      </x:c>
      <x:c r="K93" s="11" t="n">
        <x:v>0</x:v>
      </x:c>
      <x:c r="L93" s="11" t="n">
        <x:f>IF(B93="NED",1,IF(OR(B93="ED",B93="UN"),0,""))</x:f>
        <x:v>0</x:v>
      </x:c>
      <x:c r="M93" s="11" t="n">
        <x:f>IF(AND(K93=1,OR(B93="ED",B93="NED")),1,0)</x:f>
        <x:v>0</x:v>
      </x:c>
      <x:c r="N93" s="11" t="n">
        <x:f>IF(K93=1,1,0)</x:f>
        <x:v>0</x:v>
      </x:c>
      <x:c r="O93" s="12" t="str">
        <x:v>Retain protein mean pLDDT &gt;=70</x:v>
      </x:c>
      <x:c r="P93" s="11" t="n">
        <x:v>0</x:v>
      </x:c>
      <x:c r="Q93" s="12" t="str">
        <x:v>AF-B1AWL2-F1-model_v6</x:v>
      </x:c>
      <x:c r="R93" s="12" t="str">
        <x:v>ok</x:v>
      </x:c>
      <x:c r="S93" s="11" t="n">
        <x:v>2803</x:v>
      </x:c>
      <x:c r="T93" s="11" t="n">
        <x:v>2495</x:v>
      </x:c>
    </x:row>
    <x:row r="94" ht="23" customHeight="1">
      <x:c r="A94" s="2" t="str">
        <x:v>B1AY10</x:v>
      </x:c>
      <x:c r="B94" s="2" t="str">
        <x:v>ED</x:v>
      </x:c>
      <x:c r="C94" s="2" t="n">
        <x:v>1</x:v>
      </x:c>
      <x:c r="D94" s="2" t="n">
        <x:v>1</x:v>
      </x:c>
      <x:c r="E94" s="10" t="n">
        <x:v>64.55368940754039</x:v>
      </x:c>
      <x:c r="F94" s="11" t="n">
        <x:v>1114</x:v>
      </x:c>
      <x:c r="G94" s="11" t="n">
        <x:v>0</x:v>
      </x:c>
      <x:c r="H94" s="11" t="n">
        <x:v>0</x:v>
      </x:c>
      <x:c r="I94" s="11" t="n">
        <x:v>0</x:v>
      </x:c>
      <x:c r="J94" s="11" t="n">
        <x:v>0</x:v>
      </x:c>
      <x:c r="K94" s="11" t="n">
        <x:v>0</x:v>
      </x:c>
      <x:c r="L94" s="11" t="n">
        <x:f>IF(B94="NED",1,IF(OR(B94="ED",B94="UN"),0,""))</x:f>
        <x:v>0</x:v>
      </x:c>
      <x:c r="M94" s="11" t="n">
        <x:f>IF(AND(K94=1,OR(B94="ED",B94="NED")),1,0)</x:f>
        <x:v>0</x:v>
      </x:c>
      <x:c r="N94" s="11" t="n">
        <x:f>IF(K94=1,1,0)</x:f>
        <x:v>0</x:v>
      </x:c>
      <x:c r="O94" s="12" t="str">
        <x:v>Retain protein mean pLDDT &gt;=70</x:v>
      </x:c>
      <x:c r="P94" s="11" t="n">
        <x:v>0</x:v>
      </x:c>
      <x:c r="Q94" s="12" t="str">
        <x:v>AF-B1AY10-F1-model_v6</x:v>
      </x:c>
      <x:c r="R94" s="12" t="str">
        <x:v>ok</x:v>
      </x:c>
      <x:c r="S94" s="11" t="n">
        <x:v>33</x:v>
      </x:c>
      <x:c r="T94" s="11" t="n">
        <x:v>1114</x:v>
      </x:c>
    </x:row>
    <x:row r="95" ht="23" customHeight="1">
      <x:c r="A95" s="2" t="str">
        <x:v>B1AY13</x:v>
      </x:c>
      <x:c r="B95" s="2" t="str">
        <x:v>ED</x:v>
      </x:c>
      <x:c r="C95" s="2" t="n">
        <x:v>1</x:v>
      </x:c>
      <x:c r="D95" s="2" t="n">
        <x:v>1</x:v>
      </x:c>
      <x:c r="E95" s="10" t="n">
        <x:v>75.2323576614444</x:v>
      </x:c>
      <x:c r="F95" s="11" t="n">
        <x:v>2617</x:v>
      </x:c>
      <x:c r="G95" s="11" t="n">
        <x:v>0</x:v>
      </x:c>
      <x:c r="H95" s="11" t="n">
        <x:v>0</x:v>
      </x:c>
      <x:c r="I95" s="11" t="n">
        <x:v>0</x:v>
      </x:c>
      <x:c r="J95" s="11" t="n">
        <x:v>0</x:v>
      </x:c>
      <x:c r="K95" s="11" t="n">
        <x:v>1</x:v>
      </x:c>
      <x:c r="L95" s="11" t="n">
        <x:f>IF(B95="NED",1,IF(OR(B95="ED",B95="UN"),0,""))</x:f>
        <x:v>0</x:v>
      </x:c>
      <x:c r="M95" s="11" t="n">
        <x:f>IF(AND(K95=1,OR(B95="ED",B95="NED")),1,0)</x:f>
        <x:v>1</x:v>
      </x:c>
      <x:c r="N95" s="11" t="n">
        <x:f>IF(K95=1,1,0)</x:f>
        <x:v>1</x:v>
      </x:c>
      <x:c r="O95" s="12"/>
      <x:c r="P95" s="11" t="n">
        <x:v>0</x:v>
      </x:c>
      <x:c r="Q95" s="12" t="str">
        <x:v>AF-B1AY13-F1-model_v6</x:v>
      </x:c>
      <x:c r="R95" s="12" t="str">
        <x:v>ok</x:v>
      </x:c>
      <x:c r="S95" s="11" t="n">
        <x:v>34</x:v>
      </x:c>
      <x:c r="T95" s="11" t="n">
        <x:v>2617</x:v>
      </x:c>
    </x:row>
    <x:row r="96" ht="23" customHeight="1">
      <x:c r="A96" s="2" t="str">
        <x:v>B1AZI6</x:v>
      </x:c>
      <x:c r="B96" s="2" t="str">
        <x:v>NED</x:v>
      </x:c>
      <x:c r="C96" s="2" t="n">
        <x:v>1</x:v>
      </x:c>
      <x:c r="D96" s="2" t="n">
        <x:v>1</x:v>
      </x:c>
      <x:c r="E96" s="10" t="n">
        <x:v>72.0861668757842</x:v>
      </x:c>
      <x:c r="F96" s="11" t="n">
        <x:v>1594</x:v>
      </x:c>
      <x:c r="G96" s="11" t="n">
        <x:v>0</x:v>
      </x:c>
      <x:c r="H96" s="11" t="n">
        <x:v>0</x:v>
      </x:c>
      <x:c r="I96" s="11" t="n">
        <x:v>0</x:v>
      </x:c>
      <x:c r="J96" s="11" t="n">
        <x:v>0</x:v>
      </x:c>
      <x:c r="K96" s="11" t="n">
        <x:v>1</x:v>
      </x:c>
      <x:c r="L96" s="11" t="n">
        <x:f>IF(B96="NED",1,IF(OR(B96="ED",B96="UN"),0,""))</x:f>
        <x:v>1</x:v>
      </x:c>
      <x:c r="M96" s="11" t="n">
        <x:f>IF(AND(K96=1,OR(B96="ED",B96="NED")),1,0)</x:f>
        <x:v>1</x:v>
      </x:c>
      <x:c r="N96" s="11" t="n">
        <x:f>IF(K96=1,1,0)</x:f>
        <x:v>1</x:v>
      </x:c>
      <x:c r="O96" s="12"/>
      <x:c r="P96" s="11" t="n">
        <x:v>0</x:v>
      </x:c>
      <x:c r="Q96" s="12" t="str">
        <x:v>AF-B1AZI6-F1-model_v6</x:v>
      </x:c>
      <x:c r="R96" s="12" t="str">
        <x:v>ok</x:v>
      </x:c>
      <x:c r="S96" s="11" t="n">
        <x:v>35</x:v>
      </x:c>
      <x:c r="T96" s="11" t="n">
        <x:v>1594</x:v>
      </x:c>
    </x:row>
    <x:row r="97" ht="23" customHeight="1">
      <x:c r="A97" s="2" t="str">
        <x:v>B2RQ57</x:v>
      </x:c>
      <x:c r="B97" s="2" t="str">
        <x:v>ED</x:v>
      </x:c>
      <x:c r="C97" s="2"/>
      <x:c r="D97" s="2"/>
      <x:c r="E97" s="10"/>
      <x:c r="F97" s="11"/>
      <x:c r="G97" s="11" t="n">
        <x:v>0</x:v>
      </x:c>
      <x:c r="H97" s="11" t="n">
        <x:v>0</x:v>
      </x:c>
      <x:c r="I97" s="11" t="n">
        <x:v>0</x:v>
      </x:c>
      <x:c r="J97" s="11" t="n">
        <x:v>0</x:v>
      </x:c>
      <x:c r="K97" s="11" t="n">
        <x:v>0</x:v>
      </x:c>
      <x:c r="L97" s="11" t="n">
        <x:f>IF(B97="NED",1,IF(OR(B97="ED",B97="UN"),0,""))</x:f>
        <x:v>0</x:v>
      </x:c>
      <x:c r="M97" s="11" t="n">
        <x:f>IF(AND(K97=1,OR(B97="ED",B97="NED")),1,0)</x:f>
        <x:v>0</x:v>
      </x:c>
      <x:c r="N97" s="11" t="n">
        <x:f>IF(K97=1,1,0)</x:f>
        <x:v>0</x:v>
      </x:c>
      <x:c r="O97" s="12" t="str">
        <x:v>Require exact native accession match</x:v>
      </x:c>
      <x:c r="P97" s="11" t="n">
        <x:v>0</x:v>
      </x:c>
      <x:c r="Q97" s="12"/>
      <x:c r="R97" s="12"/>
      <x:c r="S97" s="11" t="n">
        <x:v>2804</x:v>
      </x:c>
      <x:c r="T97" s="11" t="n">
        <x:v>1078</x:v>
      </x:c>
    </x:row>
    <x:row r="98" ht="23" customHeight="1">
      <x:c r="A98" s="2" t="str">
        <x:v>B2RQC6</x:v>
      </x:c>
      <x:c r="B98" s="2" t="str">
        <x:v>UN</x:v>
      </x:c>
      <x:c r="C98" s="2" t="n">
        <x:v>1</x:v>
      </x:c>
      <x:c r="D98" s="2" t="n">
        <x:v>1</x:v>
      </x:c>
      <x:c r="E98" s="10" t="n">
        <x:v>87.29597752808988</x:v>
      </x:c>
      <x:c r="F98" s="11" t="n">
        <x:v>2225</x:v>
      </x:c>
      <x:c r="G98" s="11" t="n">
        <x:v>0</x:v>
      </x:c>
      <x:c r="H98" s="11" t="n">
        <x:v>0</x:v>
      </x:c>
      <x:c r="I98" s="11" t="n">
        <x:v>0</x:v>
      </x:c>
      <x:c r="J98" s="11" t="n">
        <x:v>0</x:v>
      </x:c>
      <x:c r="K98" s="11" t="n">
        <x:v>1</x:v>
      </x:c>
      <x:c r="L98" s="11" t="n">
        <x:f>IF(B98="NED",1,IF(OR(B98="ED",B98="UN"),0,""))</x:f>
        <x:v>0</x:v>
      </x:c>
      <x:c r="M98" s="11" t="n">
        <x:f>IF(AND(K98=1,OR(B98="ED",B98="NED")),1,0)</x:f>
        <x:v>0</x:v>
      </x:c>
      <x:c r="N98" s="11" t="n">
        <x:f>IF(K98=1,1,0)</x:f>
        <x:v>1</x:v>
      </x:c>
      <x:c r="O98" s="12"/>
      <x:c r="P98" s="11" t="n">
        <x:v>0</x:v>
      </x:c>
      <x:c r="Q98" s="12" t="str">
        <x:v>AF-B2RQC6-F1-model_v6</x:v>
      </x:c>
      <x:c r="R98" s="12" t="str">
        <x:v>ok</x:v>
      </x:c>
      <x:c r="S98" s="11" t="n">
        <x:v>36</x:v>
      </x:c>
      <x:c r="T98" s="11" t="n">
        <x:v>2225</x:v>
      </x:c>
    </x:row>
    <x:row r="99" ht="23" customHeight="1">
      <x:c r="A99" s="2" t="str">
        <x:v>B2RRE7</x:v>
      </x:c>
      <x:c r="B99" s="2" t="str">
        <x:v>ED</x:v>
      </x:c>
      <x:c r="C99" s="2" t="n">
        <x:v>1</x:v>
      </x:c>
      <x:c r="D99" s="2" t="n">
        <x:v>1</x:v>
      </x:c>
      <x:c r="E99" s="10" t="n">
        <x:v>48.50661246612466</x:v>
      </x:c>
      <x:c r="F99" s="11" t="n">
        <x:v>1107</x:v>
      </x:c>
      <x:c r="G99" s="11" t="n">
        <x:v>0</x:v>
      </x:c>
      <x:c r="H99" s="11" t="n">
        <x:v>0</x:v>
      </x:c>
      <x:c r="I99" s="11" t="n">
        <x:v>0</x:v>
      </x:c>
      <x:c r="J99" s="11" t="n">
        <x:v>0</x:v>
      </x:c>
      <x:c r="K99" s="11" t="n">
        <x:v>0</x:v>
      </x:c>
      <x:c r="L99" s="11" t="n">
        <x:f>IF(B99="NED",1,IF(OR(B99="ED",B99="UN"),0,""))</x:f>
        <x:v>0</x:v>
      </x:c>
      <x:c r="M99" s="11" t="n">
        <x:f>IF(AND(K99=1,OR(B99="ED",B99="NED")),1,0)</x:f>
        <x:v>0</x:v>
      </x:c>
      <x:c r="N99" s="11" t="n">
        <x:f>IF(K99=1,1,0)</x:f>
        <x:v>0</x:v>
      </x:c>
      <x:c r="O99" s="12" t="str">
        <x:v>Retain protein mean pLDDT &gt;=70</x:v>
      </x:c>
      <x:c r="P99" s="11" t="n">
        <x:v>0</x:v>
      </x:c>
      <x:c r="Q99" s="12" t="str">
        <x:v>AF-B2RRE7-F1-model_v6</x:v>
      </x:c>
      <x:c r="R99" s="12" t="str">
        <x:v>ok</x:v>
      </x:c>
      <x:c r="S99" s="11" t="n">
        <x:v>37</x:v>
      </x:c>
      <x:c r="T99" s="11" t="n">
        <x:v>1107</x:v>
      </x:c>
    </x:row>
    <x:row r="100" ht="23" customHeight="1">
      <x:c r="A100" s="2" t="str">
        <x:v>B2RRI2</x:v>
      </x:c>
      <x:c r="B100" s="2" t="str">
        <x:v>UN</x:v>
      </x:c>
      <x:c r="C100" s="2"/>
      <x:c r="D100" s="2"/>
      <x:c r="E100" s="10"/>
      <x:c r="F100" s="11"/>
      <x:c r="G100" s="11" t="n">
        <x:v>0</x:v>
      </x:c>
      <x:c r="H100" s="11" t="n">
        <x:v>0</x:v>
      </x:c>
      <x:c r="I100" s="11" t="n">
        <x:v>0</x:v>
      </x:c>
      <x:c r="J100" s="11" t="n">
        <x:v>0</x:v>
      </x:c>
      <x:c r="K100" s="11" t="n">
        <x:v>0</x:v>
      </x:c>
      <x:c r="L100" s="11" t="n">
        <x:f>IF(B100="NED",1,IF(OR(B100="ED",B100="UN"),0,""))</x:f>
        <x:v>0</x:v>
      </x:c>
      <x:c r="M100" s="11" t="n">
        <x:f>IF(AND(K100=1,OR(B100="ED",B100="NED")),1,0)</x:f>
        <x:v>0</x:v>
      </x:c>
      <x:c r="N100" s="11" t="n">
        <x:f>IF(K100=1,1,0)</x:f>
        <x:v>0</x:v>
      </x:c>
      <x:c r="O100" s="12" t="str">
        <x:v>Require exact native accession match</x:v>
      </x:c>
      <x:c r="P100" s="11" t="n">
        <x:v>0</x:v>
      </x:c>
      <x:c r="Q100" s="12"/>
      <x:c r="R100" s="12"/>
      <x:c r="S100" s="11" t="n">
        <x:v>2805</x:v>
      </x:c>
      <x:c r="T100" s="11" t="n">
        <x:v>1391</x:v>
      </x:c>
    </x:row>
    <x:row r="101" ht="23" customHeight="1">
      <x:c r="A101" s="2" t="str">
        <x:v>B2RUJ2</x:v>
      </x:c>
      <x:c r="B101" s="2" t="str">
        <x:v>ED</x:v>
      </x:c>
      <x:c r="C101" s="2"/>
      <x:c r="D101" s="2"/>
      <x:c r="E101" s="10"/>
      <x:c r="F101" s="11"/>
      <x:c r="G101" s="11" t="n">
        <x:v>0</x:v>
      </x:c>
      <x:c r="H101" s="11" t="n">
        <x:v>0</x:v>
      </x:c>
      <x:c r="I101" s="11" t="n">
        <x:v>1</x:v>
      </x:c>
      <x:c r="J101" s="11" t="n">
        <x:v>0</x:v>
      </x:c>
      <x:c r="K101" s="11" t="n">
        <x:v>0</x:v>
      </x:c>
      <x:c r="L101" s="11" t="n">
        <x:f>IF(B101="NED",1,IF(OR(B101="ED",B101="UN"),0,""))</x:f>
        <x:v>0</x:v>
      </x:c>
      <x:c r="M101" s="11" t="n">
        <x:f>IF(AND(K101=1,OR(B101="ED",B101="NED")),1,0)</x:f>
        <x:v>0</x:v>
      </x:c>
      <x:c r="N101" s="11" t="n">
        <x:f>IF(K101=1,1,0)</x:f>
        <x:v>0</x:v>
      </x:c>
      <x:c r="O101" s="12" t="str">
        <x:v>Require exact native accession match</x:v>
      </x:c>
      <x:c r="P101" s="11" t="n">
        <x:v>0</x:v>
      </x:c>
      <x:c r="Q101" s="12"/>
      <x:c r="R101" s="12"/>
      <x:c r="S101" s="11" t="n">
        <x:v>2806</x:v>
      </x:c>
      <x:c r="T101" s="11" t="n">
        <x:v>1294</x:v>
      </x:c>
    </x:row>
    <x:row r="102" ht="23" customHeight="1">
      <x:c r="A102" s="2" t="str">
        <x:v>B2RUR8</x:v>
      </x:c>
      <x:c r="B102" s="2" t="str">
        <x:v>UN</x:v>
      </x:c>
      <x:c r="C102" s="2" t="n">
        <x:v>1</x:v>
      </x:c>
      <x:c r="D102" s="2" t="n">
        <x:v>1</x:v>
      </x:c>
      <x:c r="E102" s="10" t="n">
        <x:v>66.14211904761905</x:v>
      </x:c>
      <x:c r="F102" s="11" t="n">
        <x:v>840</x:v>
      </x:c>
      <x:c r="G102" s="11" t="n">
        <x:v>0</x:v>
      </x:c>
      <x:c r="H102" s="11" t="n">
        <x:v>0</x:v>
      </x:c>
      <x:c r="I102" s="11" t="n">
        <x:v>0</x:v>
      </x:c>
      <x:c r="J102" s="11" t="n">
        <x:v>0</x:v>
      </x:c>
      <x:c r="K102" s="11" t="n">
        <x:v>0</x:v>
      </x:c>
      <x:c r="L102" s="11" t="n">
        <x:f>IF(B102="NED",1,IF(OR(B102="ED",B102="UN"),0,""))</x:f>
        <x:v>0</x:v>
      </x:c>
      <x:c r="M102" s="11" t="n">
        <x:f>IF(AND(K102=1,OR(B102="ED",B102="NED")),1,0)</x:f>
        <x:v>0</x:v>
      </x:c>
      <x:c r="N102" s="11" t="n">
        <x:f>IF(K102=1,1,0)</x:f>
        <x:v>0</x:v>
      </x:c>
      <x:c r="O102" s="12" t="str">
        <x:v>Retain protein mean pLDDT &gt;=70</x:v>
      </x:c>
      <x:c r="P102" s="11" t="n">
        <x:v>0</x:v>
      </x:c>
      <x:c r="Q102" s="12" t="str">
        <x:v>AF-B2RUR8-F1-model_v6</x:v>
      </x:c>
      <x:c r="R102" s="12" t="str">
        <x:v>ok</x:v>
      </x:c>
      <x:c r="S102" s="11" t="n">
        <x:v>38</x:v>
      </x:c>
      <x:c r="T102" s="11" t="n">
        <x:v>840</x:v>
      </x:c>
    </x:row>
    <x:row r="103" ht="23" customHeight="1">
      <x:c r="A103" s="2" t="str">
        <x:v>B2RWS6</x:v>
      </x:c>
      <x:c r="B103" s="2" t="str">
        <x:v>UN</x:v>
      </x:c>
      <x:c r="C103" s="2" t="n">
        <x:v>1</x:v>
      </x:c>
      <x:c r="D103" s="2" t="n">
        <x:v>1</x:v>
      </x:c>
      <x:c r="E103" s="10"/>
      <x:c r="F103" s="11" t="n">
        <x:v>2412</x:v>
      </x:c>
      <x:c r="G103" s="11" t="n">
        <x:v>1</x:v>
      </x:c>
      <x:c r="H103" s="11" t="n">
        <x:v>0</x:v>
      </x:c>
      <x:c r="I103" s="11" t="n">
        <x:v>0</x:v>
      </x:c>
      <x:c r="J103" s="11" t="n">
        <x:v>0</x:v>
      </x:c>
      <x:c r="K103" s="11" t="n">
        <x:v>0</x:v>
      </x:c>
      <x:c r="L103" s="11" t="n">
        <x:f>IF(B103="NED",1,IF(OR(B103="ED",B103="UN"),0,""))</x:f>
        <x:v>0</x:v>
      </x:c>
      <x:c r="M103" s="11" t="n">
        <x:f>IF(AND(K103=1,OR(B103="ED",B103="NED")),1,0)</x:f>
        <x:v>0</x:v>
      </x:c>
      <x:c r="N103" s="11" t="n">
        <x:f>IF(K103=1,1,0)</x:f>
        <x:v>0</x:v>
      </x:c>
      <x:c r="O103" s="12" t="str">
        <x:v>Exclude supplied knotted proteins</x:v>
      </x:c>
      <x:c r="P103" s="11" t="n">
        <x:v>0</x:v>
      </x:c>
      <x:c r="Q103" s="12" t="str">
        <x:v>AF-B2RWS6-F1-model_v6</x:v>
      </x:c>
      <x:c r="R103" s="12" t="str">
        <x:v>ok</x:v>
      </x:c>
      <x:c r="S103" s="11" t="n">
        <x:v>39</x:v>
      </x:c>
      <x:c r="T103" s="11" t="n">
        <x:v>2412</x:v>
      </x:c>
    </x:row>
    <x:row r="104" ht="23" customHeight="1">
      <x:c r="A104" s="2" t="str">
        <x:v>B2RX14</x:v>
      </x:c>
      <x:c r="B104" s="2" t="str">
        <x:v>ED</x:v>
      </x:c>
      <x:c r="C104" s="2" t="n">
        <x:v>1</x:v>
      </x:c>
      <x:c r="D104" s="2" t="n">
        <x:v>1</x:v>
      </x:c>
      <x:c r="E104" s="10" t="n">
        <x:v>62.65682481751825</x:v>
      </x:c>
      <x:c r="F104" s="11" t="n">
        <x:v>1644</x:v>
      </x:c>
      <x:c r="G104" s="11" t="n">
        <x:v>0</x:v>
      </x:c>
      <x:c r="H104" s="11" t="n">
        <x:v>0</x:v>
      </x:c>
      <x:c r="I104" s="11" t="n">
        <x:v>0</x:v>
      </x:c>
      <x:c r="J104" s="11" t="n">
        <x:v>0</x:v>
      </x:c>
      <x:c r="K104" s="11" t="n">
        <x:v>0</x:v>
      </x:c>
      <x:c r="L104" s="11" t="n">
        <x:f>IF(B104="NED",1,IF(OR(B104="ED",B104="UN"),0,""))</x:f>
        <x:v>0</x:v>
      </x:c>
      <x:c r="M104" s="11" t="n">
        <x:f>IF(AND(K104=1,OR(B104="ED",B104="NED")),1,0)</x:f>
        <x:v>0</x:v>
      </x:c>
      <x:c r="N104" s="11" t="n">
        <x:f>IF(K104=1,1,0)</x:f>
        <x:v>0</x:v>
      </x:c>
      <x:c r="O104" s="12" t="str">
        <x:v>Retain protein mean pLDDT &gt;=70</x:v>
      </x:c>
      <x:c r="P104" s="11" t="n">
        <x:v>0</x:v>
      </x:c>
      <x:c r="Q104" s="12" t="str">
        <x:v>AF-B2RX14-F1-model_v6</x:v>
      </x:c>
      <x:c r="R104" s="12" t="str">
        <x:v>ok</x:v>
      </x:c>
      <x:c r="S104" s="11" t="n">
        <x:v>40</x:v>
      </x:c>
      <x:c r="T104" s="11" t="n">
        <x:v>1644</x:v>
      </x:c>
    </x:row>
    <x:row r="105" ht="23" customHeight="1">
      <x:c r="A105" s="2" t="str">
        <x:v>B2RXC1</x:v>
      </x:c>
      <x:c r="B105" s="2" t="str">
        <x:v>UN</x:v>
      </x:c>
      <x:c r="C105" s="2" t="n">
        <x:v>1</x:v>
      </x:c>
      <x:c r="D105" s="2" t="n">
        <x:v>1</x:v>
      </x:c>
      <x:c r="E105" s="10" t="n">
        <x:v>88.03428067078552</x:v>
      </x:c>
      <x:c r="F105" s="11" t="n">
        <x:v>1133</x:v>
      </x:c>
      <x:c r="G105" s="11" t="n">
        <x:v>0</x:v>
      </x:c>
      <x:c r="H105" s="11" t="n">
        <x:v>0</x:v>
      </x:c>
      <x:c r="I105" s="11" t="n">
        <x:v>0</x:v>
      </x:c>
      <x:c r="J105" s="11" t="n">
        <x:v>0</x:v>
      </x:c>
      <x:c r="K105" s="11" t="n">
        <x:v>1</x:v>
      </x:c>
      <x:c r="L105" s="11" t="n">
        <x:f>IF(B105="NED",1,IF(OR(B105="ED",B105="UN"),0,""))</x:f>
        <x:v>0</x:v>
      </x:c>
      <x:c r="M105" s="11" t="n">
        <x:f>IF(AND(K105=1,OR(B105="ED",B105="NED")),1,0)</x:f>
        <x:v>0</x:v>
      </x:c>
      <x:c r="N105" s="11" t="n">
        <x:f>IF(K105=1,1,0)</x:f>
        <x:v>1</x:v>
      </x:c>
      <x:c r="O105" s="12"/>
      <x:c r="P105" s="11" t="n">
        <x:v>0</x:v>
      </x:c>
      <x:c r="Q105" s="12" t="str">
        <x:v>AF-B2RXC1-F1-model_v6</x:v>
      </x:c>
      <x:c r="R105" s="12" t="str">
        <x:v>ok</x:v>
      </x:c>
      <x:c r="S105" s="11" t="n">
        <x:v>41</x:v>
      </x:c>
      <x:c r="T105" s="11" t="n">
        <x:v>1133</x:v>
      </x:c>
    </x:row>
    <x:row r="106" ht="23" customHeight="1">
      <x:c r="A106" s="2" t="str">
        <x:v>B2RXC6</x:v>
      </x:c>
      <x:c r="B106" s="2" t="str">
        <x:v>ED</x:v>
      </x:c>
      <x:c r="C106" s="2" t="n">
        <x:v>1</x:v>
      </x:c>
      <x:c r="D106" s="2" t="n">
        <x:v>1</x:v>
      </x:c>
      <x:c r="E106" s="10" t="n">
        <x:v>91.54925179856116</x:v>
      </x:c>
      <x:c r="F106" s="11" t="n">
        <x:v>1390</x:v>
      </x:c>
      <x:c r="G106" s="11" t="n">
        <x:v>0</x:v>
      </x:c>
      <x:c r="H106" s="11" t="n">
        <x:v>0</x:v>
      </x:c>
      <x:c r="I106" s="11" t="n">
        <x:v>0</x:v>
      </x:c>
      <x:c r="J106" s="11" t="n">
        <x:v>0</x:v>
      </x:c>
      <x:c r="K106" s="11" t="n">
        <x:v>1</x:v>
      </x:c>
      <x:c r="L106" s="11" t="n">
        <x:f>IF(B106="NED",1,IF(OR(B106="ED",B106="UN"),0,""))</x:f>
        <x:v>0</x:v>
      </x:c>
      <x:c r="M106" s="11" t="n">
        <x:f>IF(AND(K106=1,OR(B106="ED",B106="NED")),1,0)</x:f>
        <x:v>1</x:v>
      </x:c>
      <x:c r="N106" s="11" t="n">
        <x:f>IF(K106=1,1,0)</x:f>
        <x:v>1</x:v>
      </x:c>
      <x:c r="O106" s="12"/>
      <x:c r="P106" s="11" t="n">
        <x:v>0</x:v>
      </x:c>
      <x:c r="Q106" s="12" t="str">
        <x:v>AF-B2RXC6-F1-model_v6</x:v>
      </x:c>
      <x:c r="R106" s="12" t="str">
        <x:v>ok</x:v>
      </x:c>
      <x:c r="S106" s="11" t="n">
        <x:v>2807</x:v>
      </x:c>
      <x:c r="T106" s="11" t="n">
        <x:v>1390</x:v>
      </x:c>
    </x:row>
    <x:row r="107" ht="23" customHeight="1">
      <x:c r="A107" s="2" t="str">
        <x:v>B2RXS4</x:v>
      </x:c>
      <x:c r="B107" s="2" t="str">
        <x:v>ED</x:v>
      </x:c>
      <x:c r="C107" s="2" t="n">
        <x:v>1</x:v>
      </x:c>
      <x:c r="D107" s="2" t="n">
        <x:v>1</x:v>
      </x:c>
      <x:c r="E107" s="10"/>
      <x:c r="F107" s="11" t="n">
        <x:v>1842</x:v>
      </x:c>
      <x:c r="G107" s="11" t="n">
        <x:v>0</x:v>
      </x:c>
      <x:c r="H107" s="11" t="n">
        <x:v>0</x:v>
      </x:c>
      <x:c r="I107" s="11" t="n">
        <x:v>1</x:v>
      </x:c>
      <x:c r="J107" s="11" t="n">
        <x:v>0</x:v>
      </x:c>
      <x:c r="K107" s="11" t="n">
        <x:v>0</x:v>
      </x:c>
      <x:c r="L107" s="11" t="n">
        <x:f>IF(B107="NED",1,IF(OR(B107="ED",B107="UN"),0,""))</x:f>
        <x:v>0</x:v>
      </x:c>
      <x:c r="M107" s="11" t="n">
        <x:f>IF(AND(K107=1,OR(B107="ED",B107="NED")),1,0)</x:f>
        <x:v>0</x:v>
      </x:c>
      <x:c r="N107" s="11" t="n">
        <x:f>IF(K107=1,1,0)</x:f>
        <x:v>0</x:v>
      </x:c>
      <x:c r="O107" s="12" t="str">
        <x:v>Exclude UniProt Membrane keyword</x:v>
      </x:c>
      <x:c r="P107" s="11" t="n">
        <x:v>0</x:v>
      </x:c>
      <x:c r="Q107" s="12" t="str">
        <x:v>AF-B2RXS4-F1-model_v6</x:v>
      </x:c>
      <x:c r="R107" s="12" t="str">
        <x:v>ok</x:v>
      </x:c>
      <x:c r="S107" s="11" t="n">
        <x:v>42</x:v>
      </x:c>
      <x:c r="T107" s="11" t="n">
        <x:v>1842</x:v>
      </x:c>
    </x:row>
    <x:row r="108" ht="23" customHeight="1">
      <x:c r="A108" s="2" t="str">
        <x:v>B2RXW8</x:v>
      </x:c>
      <x:c r="B108" s="2" t="str">
        <x:v>UN</x:v>
      </x:c>
      <x:c r="C108" s="2"/>
      <x:c r="D108" s="2"/>
      <x:c r="E108" s="10"/>
      <x:c r="F108" s="11"/>
      <x:c r="G108" s="11" t="n">
        <x:v>0</x:v>
      </x:c>
      <x:c r="H108" s="11" t="n">
        <x:v>0</x:v>
      </x:c>
      <x:c r="I108" s="11" t="n">
        <x:v>0</x:v>
      </x:c>
      <x:c r="J108" s="11" t="n">
        <x:v>0</x:v>
      </x:c>
      <x:c r="K108" s="11" t="n">
        <x:v>0</x:v>
      </x:c>
      <x:c r="L108" s="11" t="n">
        <x:f>IF(B108="NED",1,IF(OR(B108="ED",B108="UN"),0,""))</x:f>
        <x:v>0</x:v>
      </x:c>
      <x:c r="M108" s="11" t="n">
        <x:f>IF(AND(K108=1,OR(B108="ED",B108="NED")),1,0)</x:f>
        <x:v>0</x:v>
      </x:c>
      <x:c r="N108" s="11" t="n">
        <x:f>IF(K108=1,1,0)</x:f>
        <x:v>0</x:v>
      </x:c>
      <x:c r="O108" s="12" t="str">
        <x:v>Require exact native accession match</x:v>
      </x:c>
      <x:c r="P108" s="11" t="n">
        <x:v>0</x:v>
      </x:c>
      <x:c r="Q108" s="12"/>
      <x:c r="R108" s="12"/>
      <x:c r="S108" s="11" t="n">
        <x:v>2808</x:v>
      </x:c>
      <x:c r="T108" s="11" t="n">
        <x:v>1241</x:v>
      </x:c>
    </x:row>
    <x:row r="109" ht="23" customHeight="1">
      <x:c r="A109" s="2" t="str">
        <x:v>B2RY56</x:v>
      </x:c>
      <x:c r="B109" s="2" t="str">
        <x:v>UN</x:v>
      </x:c>
      <x:c r="C109" s="2" t="n">
        <x:v>1</x:v>
      </x:c>
      <x:c r="D109" s="2" t="n">
        <x:v>1</x:v>
      </x:c>
      <x:c r="E109" s="10" t="n">
        <x:v>67.59874701670644</x:v>
      </x:c>
      <x:c r="F109" s="11" t="n">
        <x:v>838</x:v>
      </x:c>
      <x:c r="G109" s="11" t="n">
        <x:v>0</x:v>
      </x:c>
      <x:c r="H109" s="11" t="n">
        <x:v>0</x:v>
      </x:c>
      <x:c r="I109" s="11" t="n">
        <x:v>0</x:v>
      </x:c>
      <x:c r="J109" s="11" t="n">
        <x:v>0</x:v>
      </x:c>
      <x:c r="K109" s="11" t="n">
        <x:v>0</x:v>
      </x:c>
      <x:c r="L109" s="11" t="n">
        <x:f>IF(B109="NED",1,IF(OR(B109="ED",B109="UN"),0,""))</x:f>
        <x:v>0</x:v>
      </x:c>
      <x:c r="M109" s="11" t="n">
        <x:f>IF(AND(K109=1,OR(B109="ED",B109="NED")),1,0)</x:f>
        <x:v>0</x:v>
      </x:c>
      <x:c r="N109" s="11" t="n">
        <x:f>IF(K109=1,1,0)</x:f>
        <x:v>0</x:v>
      </x:c>
      <x:c r="O109" s="12" t="str">
        <x:v>Retain protein mean pLDDT &gt;=70</x:v>
      </x:c>
      <x:c r="P109" s="11" t="n">
        <x:v>0</x:v>
      </x:c>
      <x:c r="Q109" s="12" t="str">
        <x:v>AF-B2RY56-F1-model_v6</x:v>
      </x:c>
      <x:c r="R109" s="12" t="str">
        <x:v>ok</x:v>
      </x:c>
      <x:c r="S109" s="11" t="n">
        <x:v>43</x:v>
      </x:c>
      <x:c r="T109" s="11" t="n">
        <x:v>838</x:v>
      </x:c>
    </x:row>
    <x:row r="110" ht="23" customHeight="1">
      <x:c r="A110" s="2" t="str">
        <x:v>B7FAU9</x:v>
      </x:c>
      <x:c r="B110" s="2" t="str">
        <x:v>ED</x:v>
      </x:c>
      <x:c r="C110" s="2"/>
      <x:c r="D110" s="2"/>
      <x:c r="E110" s="10"/>
      <x:c r="F110" s="11"/>
      <x:c r="G110" s="11" t="n">
        <x:v>0</x:v>
      </x:c>
      <x:c r="H110" s="11" t="n">
        <x:v>0</x:v>
      </x:c>
      <x:c r="I110" s="11" t="n">
        <x:v>0</x:v>
      </x:c>
      <x:c r="J110" s="11" t="n">
        <x:v>0</x:v>
      </x:c>
      <x:c r="K110" s="11" t="n">
        <x:v>0</x:v>
      </x:c>
      <x:c r="L110" s="11" t="n">
        <x:f>IF(B110="NED",1,IF(OR(B110="ED",B110="UN"),0,""))</x:f>
        <x:v>0</x:v>
      </x:c>
      <x:c r="M110" s="11" t="n">
        <x:f>IF(AND(K110=1,OR(B110="ED",B110="NED")),1,0)</x:f>
        <x:v>0</x:v>
      </x:c>
      <x:c r="N110" s="11" t="n">
        <x:f>IF(K110=1,1,0)</x:f>
        <x:v>0</x:v>
      </x:c>
      <x:c r="O110" s="12" t="str">
        <x:v>Require exact native accession match</x:v>
      </x:c>
      <x:c r="P110" s="11" t="n">
        <x:v>0</x:v>
      </x:c>
      <x:c r="Q110" s="12"/>
      <x:c r="R110" s="12"/>
      <x:c r="S110" s="11" t="n">
        <x:v>2809</x:v>
      </x:c>
      <x:c r="T110" s="11" t="n">
        <x:v>2639</x:v>
      </x:c>
    </x:row>
    <x:row r="111" ht="23" customHeight="1">
      <x:c r="A111" s="2" t="str">
        <x:v>B7ZNP0</x:v>
      </x:c>
      <x:c r="B111" s="2" t="str">
        <x:v>UN</x:v>
      </x:c>
      <x:c r="C111" s="2"/>
      <x:c r="D111" s="2"/>
      <x:c r="E111" s="10"/>
      <x:c r="F111" s="11"/>
      <x:c r="G111" s="11" t="n">
        <x:v>0</x:v>
      </x:c>
      <x:c r="H111" s="11" t="n">
        <x:v>1</x:v>
      </x:c>
      <x:c r="I111" s="11" t="n">
        <x:v>0</x:v>
      </x:c>
      <x:c r="J111" s="11" t="n">
        <x:v>0</x:v>
      </x:c>
      <x:c r="K111" s="11" t="n">
        <x:v>0</x:v>
      </x:c>
      <x:c r="L111" s="11" t="n">
        <x:f>IF(B111="NED",1,IF(OR(B111="ED",B111="UN"),0,""))</x:f>
        <x:v>0</x:v>
      </x:c>
      <x:c r="M111" s="11" t="n">
        <x:f>IF(AND(K111=1,OR(B111="ED",B111="NED")),1,0)</x:f>
        <x:v>0</x:v>
      </x:c>
      <x:c r="N111" s="11" t="n">
        <x:f>IF(K111=1,1,0)</x:f>
        <x:v>0</x:v>
      </x:c>
      <x:c r="O111" s="12" t="str">
        <x:v>Require exact native accession match</x:v>
      </x:c>
      <x:c r="P111" s="11" t="n">
        <x:v>0</x:v>
      </x:c>
      <x:c r="Q111" s="12"/>
      <x:c r="R111" s="12"/>
      <x:c r="S111" s="11" t="n">
        <x:v>2810</x:v>
      </x:c>
      <x:c r="T111" s="11" t="n">
        <x:v>913</x:v>
      </x:c>
    </x:row>
    <x:row r="112" ht="23" customHeight="1">
      <x:c r="A112" s="2" t="str">
        <x:v>B7ZP47</x:v>
      </x:c>
      <x:c r="B112" s="2" t="str">
        <x:v>UN</x:v>
      </x:c>
      <x:c r="C112" s="2"/>
      <x:c r="D112" s="2"/>
      <x:c r="E112" s="10"/>
      <x:c r="F112" s="11"/>
      <x:c r="G112" s="11" t="n">
        <x:v>0</x:v>
      </x:c>
      <x:c r="H112" s="11" t="n">
        <x:v>0</x:v>
      </x:c>
      <x:c r="I112" s="11" t="n">
        <x:v>0</x:v>
      </x:c>
      <x:c r="J112" s="11" t="n">
        <x:v>0</x:v>
      </x:c>
      <x:c r="K112" s="11" t="n">
        <x:v>0</x:v>
      </x:c>
      <x:c r="L112" s="11" t="n">
        <x:f>IF(B112="NED",1,IF(OR(B112="ED",B112="UN"),0,""))</x:f>
        <x:v>0</x:v>
      </x:c>
      <x:c r="M112" s="11" t="n">
        <x:f>IF(AND(K112=1,OR(B112="ED",B112="NED")),1,0)</x:f>
        <x:v>0</x:v>
      </x:c>
      <x:c r="N112" s="11" t="n">
        <x:f>IF(K112=1,1,0)</x:f>
        <x:v>0</x:v>
      </x:c>
      <x:c r="O112" s="12" t="str">
        <x:v>Require exact native accession match</x:v>
      </x:c>
      <x:c r="P112" s="11" t="n">
        <x:v>0</x:v>
      </x:c>
      <x:c r="Q112" s="12"/>
      <x:c r="R112" s="12"/>
      <x:c r="S112" s="11" t="n">
        <x:v>2811</x:v>
      </x:c>
      <x:c r="T112" s="11" t="n">
        <x:v>1194</x:v>
      </x:c>
    </x:row>
    <x:row r="113" ht="23" customHeight="1">
      <x:c r="A113" s="2" t="str">
        <x:v>B9EHJ3</x:v>
      </x:c>
      <x:c r="B113" s="2" t="str">
        <x:v>UN</x:v>
      </x:c>
      <x:c r="C113" s="2"/>
      <x:c r="D113" s="2"/>
      <x:c r="E113" s="10"/>
      <x:c r="F113" s="11"/>
      <x:c r="G113" s="11" t="n">
        <x:v>0</x:v>
      </x:c>
      <x:c r="H113" s="11" t="n">
        <x:v>0</x:v>
      </x:c>
      <x:c r="I113" s="11" t="n">
        <x:v>1</x:v>
      </x:c>
      <x:c r="J113" s="11" t="n">
        <x:v>0</x:v>
      </x:c>
      <x:c r="K113" s="11" t="n">
        <x:v>0</x:v>
      </x:c>
      <x:c r="L113" s="11" t="n">
        <x:f>IF(B113="NED",1,IF(OR(B113="ED",B113="UN"),0,""))</x:f>
        <x:v>0</x:v>
      </x:c>
      <x:c r="M113" s="11" t="n">
        <x:f>IF(AND(K113=1,OR(B113="ED",B113="NED")),1,0)</x:f>
        <x:v>0</x:v>
      </x:c>
      <x:c r="N113" s="11" t="n">
        <x:f>IF(K113=1,1,0)</x:f>
        <x:v>0</x:v>
      </x:c>
      <x:c r="O113" s="12" t="str">
        <x:v>Require exact native accession match</x:v>
      </x:c>
      <x:c r="P113" s="11" t="n">
        <x:v>0</x:v>
      </x:c>
      <x:c r="Q113" s="12"/>
      <x:c r="R113" s="12"/>
      <x:c r="S113" s="11" t="n">
        <x:v>2812</x:v>
      </x:c>
      <x:c r="T113" s="11" t="n">
        <x:v>1685</x:v>
      </x:c>
    </x:row>
    <x:row r="114" ht="23" customHeight="1">
      <x:c r="A114" s="2" t="str">
        <x:v>B9EI21</x:v>
      </x:c>
      <x:c r="B114" s="2" t="str">
        <x:v>ED</x:v>
      </x:c>
      <x:c r="C114" s="2"/>
      <x:c r="D114" s="2"/>
      <x:c r="E114" s="10"/>
      <x:c r="F114" s="11"/>
      <x:c r="G114" s="11" t="n">
        <x:v>0</x:v>
      </x:c>
      <x:c r="H114" s="11" t="n">
        <x:v>0</x:v>
      </x:c>
      <x:c r="I114" s="11" t="n">
        <x:v>0</x:v>
      </x:c>
      <x:c r="J114" s="11" t="n">
        <x:v>0</x:v>
      </x:c>
      <x:c r="K114" s="11" t="n">
        <x:v>0</x:v>
      </x:c>
      <x:c r="L114" s="11" t="n">
        <x:f>IF(B114="NED",1,IF(OR(B114="ED",B114="UN"),0,""))</x:f>
        <x:v>0</x:v>
      </x:c>
      <x:c r="M114" s="11" t="n">
        <x:f>IF(AND(K114=1,OR(B114="ED",B114="NED")),1,0)</x:f>
        <x:v>0</x:v>
      </x:c>
      <x:c r="N114" s="11" t="n">
        <x:f>IF(K114=1,1,0)</x:f>
        <x:v>0</x:v>
      </x:c>
      <x:c r="O114" s="12" t="str">
        <x:v>Require exact native accession match</x:v>
      </x:c>
      <x:c r="P114" s="11" t="n">
        <x:v>0</x:v>
      </x:c>
      <x:c r="Q114" s="12"/>
      <x:c r="R114" s="12"/>
      <x:c r="S114" s="11" t="n">
        <x:v>2813</x:v>
      </x:c>
      <x:c r="T114" s="11" t="n">
        <x:v>290</x:v>
      </x:c>
    </x:row>
    <x:row r="115" ht="23" customHeight="1">
      <x:c r="A115" s="2" t="str">
        <x:v>B9EJ54</x:v>
      </x:c>
      <x:c r="B115" s="2" t="str">
        <x:v>NED</x:v>
      </x:c>
      <x:c r="C115" s="2" t="n">
        <x:v>1</x:v>
      </x:c>
      <x:c r="D115" s="2" t="n">
        <x:v>1</x:v>
      </x:c>
      <x:c r="E115" s="10" t="n">
        <x:v>78.70262450199203</x:v>
      </x:c>
      <x:c r="F115" s="11" t="n">
        <x:v>2008</x:v>
      </x:c>
      <x:c r="G115" s="11" t="n">
        <x:v>0</x:v>
      </x:c>
      <x:c r="H115" s="11" t="n">
        <x:v>0</x:v>
      </x:c>
      <x:c r="I115" s="11" t="n">
        <x:v>0</x:v>
      </x:c>
      <x:c r="J115" s="11" t="n">
        <x:v>0</x:v>
      </x:c>
      <x:c r="K115" s="11" t="n">
        <x:v>1</x:v>
      </x:c>
      <x:c r="L115" s="11" t="n">
        <x:f>IF(B115="NED",1,IF(OR(B115="ED",B115="UN"),0,""))</x:f>
        <x:v>1</x:v>
      </x:c>
      <x:c r="M115" s="11" t="n">
        <x:f>IF(AND(K115=1,OR(B115="ED",B115="NED")),1,0)</x:f>
        <x:v>1</x:v>
      </x:c>
      <x:c r="N115" s="11" t="n">
        <x:f>IF(K115=1,1,0)</x:f>
        <x:v>1</x:v>
      </x:c>
      <x:c r="O115" s="12"/>
      <x:c r="P115" s="11" t="n">
        <x:v>0</x:v>
      </x:c>
      <x:c r="Q115" s="12" t="str">
        <x:v>AF-B9EJ54-F1-model_v6</x:v>
      </x:c>
      <x:c r="R115" s="12" t="str">
        <x:v>ok</x:v>
      </x:c>
      <x:c r="S115" s="11" t="n">
        <x:v>2814</x:v>
      </x:c>
      <x:c r="T115" s="11" t="n">
        <x:v>2008</x:v>
      </x:c>
    </x:row>
    <x:row r="116" ht="23" customHeight="1">
      <x:c r="A116" s="2" t="str">
        <x:v>B9EJR8</x:v>
      </x:c>
      <x:c r="B116" s="2" t="str">
        <x:v>ED</x:v>
      </x:c>
      <x:c r="C116" s="2" t="n">
        <x:v>0</x:v>
      </x:c>
      <x:c r="D116" s="2" t="n">
        <x:v>0</x:v>
      </x:c>
      <x:c r="E116" s="10" t="n">
        <x:v>93.02998827667058</x:v>
      </x:c>
      <x:c r="F116" s="11" t="n">
        <x:v>853</x:v>
      </x:c>
      <x:c r="G116" s="11" t="n">
        <x:v>0</x:v>
      </x:c>
      <x:c r="H116" s="11" t="n">
        <x:v>0</x:v>
      </x:c>
      <x:c r="I116" s="11" t="n">
        <x:v>0</x:v>
      </x:c>
      <x:c r="J116" s="11" t="n">
        <x:v>0</x:v>
      </x:c>
      <x:c r="K116" s="11" t="n">
        <x:v>1</x:v>
      </x:c>
      <x:c r="L116" s="11" t="n">
        <x:f>IF(B116="NED",1,IF(OR(B116="ED",B116="UN"),0,""))</x:f>
        <x:v>0</x:v>
      </x:c>
      <x:c r="M116" s="11" t="n">
        <x:f>IF(AND(K116=1,OR(B116="ED",B116="NED")),1,0)</x:f>
        <x:v>1</x:v>
      </x:c>
      <x:c r="N116" s="11" t="n">
        <x:f>IF(K116=1,1,0)</x:f>
        <x:v>1</x:v>
      </x:c>
      <x:c r="O116" s="12"/>
      <x:c r="P116" s="11" t="n">
        <x:v>0</x:v>
      </x:c>
      <x:c r="Q116" s="12" t="str">
        <x:v>AF-B9EJR8-F1-model_v6</x:v>
      </x:c>
      <x:c r="R116" s="12" t="str">
        <x:v>ok</x:v>
      </x:c>
      <x:c r="S116" s="11" t="n">
        <x:v>2815</x:v>
      </x:c>
      <x:c r="T116" s="11" t="n">
        <x:v>853</x:v>
      </x:c>
    </x:row>
    <x:row r="117" ht="23" customHeight="1">
      <x:c r="A117" s="2" t="str">
        <x:v>B9EKS2</x:v>
      </x:c>
      <x:c r="B117" s="2" t="str">
        <x:v>ED</x:v>
      </x:c>
      <x:c r="C117" s="2"/>
      <x:c r="D117" s="2"/>
      <x:c r="E117" s="10"/>
      <x:c r="F117" s="11"/>
      <x:c r="G117" s="11" t="n">
        <x:v>0</x:v>
      </x:c>
      <x:c r="H117" s="11" t="n">
        <x:v>0</x:v>
      </x:c>
      <x:c r="I117" s="11"/>
      <x:c r="J117" s="11"/>
      <x:c r="K117" s="11" t="n">
        <x:v>0</x:v>
      </x:c>
      <x:c r="L117" s="11" t="n">
        <x:f>IF(B117="NED",1,IF(OR(B117="ED",B117="UN"),0,""))</x:f>
        <x:v>0</x:v>
      </x:c>
      <x:c r="M117" s="11" t="n">
        <x:f>IF(AND(K117=1,OR(B117="ED",B117="NED")),1,0)</x:f>
        <x:v>0</x:v>
      </x:c>
      <x:c r="N117" s="11" t="n">
        <x:f>IF(K117=1,1,0)</x:f>
        <x:v>0</x:v>
      </x:c>
      <x:c r="O117" s="12" t="str">
        <x:v>Require exact native accession match</x:v>
      </x:c>
      <x:c r="P117" s="11" t="n">
        <x:v>0</x:v>
      </x:c>
      <x:c r="Q117" s="12"/>
      <x:c r="R117" s="12"/>
      <x:c r="S117" s="11" t="n">
        <x:v>2816</x:v>
      </x:c>
      <x:c r="T117" s="11"/>
    </x:row>
    <x:row r="118" ht="23" customHeight="1">
      <x:c r="A118" s="2" t="str">
        <x:v>D3YTQ9</x:v>
      </x:c>
      <x:c r="B118" s="2" t="str">
        <x:v>UN</x:v>
      </x:c>
      <x:c r="C118" s="2"/>
      <x:c r="D118" s="2"/>
      <x:c r="E118" s="10"/>
      <x:c r="F118" s="11"/>
      <x:c r="G118" s="11" t="n">
        <x:v>0</x:v>
      </x:c>
      <x:c r="H118" s="11" t="n">
        <x:v>0</x:v>
      </x:c>
      <x:c r="I118" s="11" t="n">
        <x:v>0</x:v>
      </x:c>
      <x:c r="J118" s="11" t="n">
        <x:v>0</x:v>
      </x:c>
      <x:c r="K118" s="11" t="n">
        <x:v>0</x:v>
      </x:c>
      <x:c r="L118" s="11" t="n">
        <x:f>IF(B118="NED",1,IF(OR(B118="ED",B118="UN"),0,""))</x:f>
        <x:v>0</x:v>
      </x:c>
      <x:c r="M118" s="11" t="n">
        <x:f>IF(AND(K118=1,OR(B118="ED",B118="NED")),1,0)</x:f>
        <x:v>0</x:v>
      </x:c>
      <x:c r="N118" s="11" t="n">
        <x:f>IF(K118=1,1,0)</x:f>
        <x:v>0</x:v>
      </x:c>
      <x:c r="O118" s="12" t="str">
        <x:v>Require exact native accession match</x:v>
      </x:c>
      <x:c r="P118" s="11" t="n">
        <x:v>0</x:v>
      </x:c>
      <x:c r="Q118" s="12"/>
      <x:c r="R118" s="12"/>
      <x:c r="S118" s="11" t="n">
        <x:v>2817</x:v>
      </x:c>
      <x:c r="T118" s="11" t="n">
        <x:v>118</x:v>
      </x:c>
    </x:row>
    <x:row r="119" ht="23" customHeight="1">
      <x:c r="A119" s="2" t="str">
        <x:v>D3YU12</x:v>
      </x:c>
      <x:c r="B119" s="2" t="str">
        <x:v>UN</x:v>
      </x:c>
      <x:c r="C119" s="2"/>
      <x:c r="D119" s="2"/>
      <x:c r="E119" s="10"/>
      <x:c r="F119" s="11"/>
      <x:c r="G119" s="11" t="n">
        <x:v>0</x:v>
      </x:c>
      <x:c r="H119" s="11" t="n">
        <x:v>0</x:v>
      </x:c>
      <x:c r="I119" s="11" t="n">
        <x:v>0</x:v>
      </x:c>
      <x:c r="J119" s="11" t="n">
        <x:v>0</x:v>
      </x:c>
      <x:c r="K119" s="11" t="n">
        <x:v>0</x:v>
      </x:c>
      <x:c r="L119" s="11" t="n">
        <x:f>IF(B119="NED",1,IF(OR(B119="ED",B119="UN"),0,""))</x:f>
        <x:v>0</x:v>
      </x:c>
      <x:c r="M119" s="11" t="n">
        <x:f>IF(AND(K119=1,OR(B119="ED",B119="NED")),1,0)</x:f>
        <x:v>0</x:v>
      </x:c>
      <x:c r="N119" s="11" t="n">
        <x:f>IF(K119=1,1,0)</x:f>
        <x:v>0</x:v>
      </x:c>
      <x:c r="O119" s="12" t="str">
        <x:v>Require exact native accession match</x:v>
      </x:c>
      <x:c r="P119" s="11" t="n">
        <x:v>0</x:v>
      </x:c>
      <x:c r="Q119" s="12"/>
      <x:c r="R119" s="12"/>
      <x:c r="S119" s="11" t="n">
        <x:v>2818</x:v>
      </x:c>
      <x:c r="T119" s="11" t="n">
        <x:v>299</x:v>
      </x:c>
    </x:row>
    <x:row r="120" ht="23" customHeight="1">
      <x:c r="A120" s="2" t="str">
        <x:v>D3YU17</x:v>
      </x:c>
      <x:c r="B120" s="2" t="str">
        <x:v>NED</x:v>
      </x:c>
      <x:c r="C120" s="2"/>
      <x:c r="D120" s="2"/>
      <x:c r="E120" s="10"/>
      <x:c r="F120" s="11"/>
      <x:c r="G120" s="11" t="n">
        <x:v>0</x:v>
      </x:c>
      <x:c r="H120" s="11" t="n">
        <x:v>0</x:v>
      </x:c>
      <x:c r="I120" s="11" t="n">
        <x:v>1</x:v>
      </x:c>
      <x:c r="J120" s="11" t="n">
        <x:v>0</x:v>
      </x:c>
      <x:c r="K120" s="11" t="n">
        <x:v>0</x:v>
      </x:c>
      <x:c r="L120" s="11" t="n">
        <x:f>IF(B120="NED",1,IF(OR(B120="ED",B120="UN"),0,""))</x:f>
        <x:v>1</x:v>
      </x:c>
      <x:c r="M120" s="11" t="n">
        <x:f>IF(AND(K120=1,OR(B120="ED",B120="NED")),1,0)</x:f>
        <x:v>0</x:v>
      </x:c>
      <x:c r="N120" s="11" t="n">
        <x:f>IF(K120=1,1,0)</x:f>
        <x:v>0</x:v>
      </x:c>
      <x:c r="O120" s="12" t="str">
        <x:v>Require exact native accession match</x:v>
      </x:c>
      <x:c r="P120" s="11" t="n">
        <x:v>0</x:v>
      </x:c>
      <x:c r="Q120" s="12"/>
      <x:c r="R120" s="12"/>
      <x:c r="S120" s="11" t="n">
        <x:v>2819</x:v>
      </x:c>
      <x:c r="T120" s="11" t="n">
        <x:v>562</x:v>
      </x:c>
    </x:row>
    <x:row r="121" ht="23" customHeight="1">
      <x:c r="A121" s="2" t="str">
        <x:v>D3YU58</x:v>
      </x:c>
      <x:c r="B121" s="2" t="str">
        <x:v>NED</x:v>
      </x:c>
      <x:c r="C121" s="2"/>
      <x:c r="D121" s="2"/>
      <x:c r="E121" s="10"/>
      <x:c r="F121" s="11"/>
      <x:c r="G121" s="11" t="n">
        <x:v>0</x:v>
      </x:c>
      <x:c r="H121" s="11" t="n">
        <x:v>0</x:v>
      </x:c>
      <x:c r="I121" s="11" t="n">
        <x:v>0</x:v>
      </x:c>
      <x:c r="J121" s="11" t="n">
        <x:v>0</x:v>
      </x:c>
      <x:c r="K121" s="11" t="n">
        <x:v>0</x:v>
      </x:c>
      <x:c r="L121" s="11" t="n">
        <x:f>IF(B121="NED",1,IF(OR(B121="ED",B121="UN"),0,""))</x:f>
        <x:v>1</x:v>
      </x:c>
      <x:c r="M121" s="11" t="n">
        <x:f>IF(AND(K121=1,OR(B121="ED",B121="NED")),1,0)</x:f>
        <x:v>0</x:v>
      </x:c>
      <x:c r="N121" s="11" t="n">
        <x:f>IF(K121=1,1,0)</x:f>
        <x:v>0</x:v>
      </x:c>
      <x:c r="O121" s="12" t="str">
        <x:v>Require exact native accession match</x:v>
      </x:c>
      <x:c r="P121" s="11" t="n">
        <x:v>0</x:v>
      </x:c>
      <x:c r="Q121" s="12"/>
      <x:c r="R121" s="12"/>
      <x:c r="S121" s="11" t="n">
        <x:v>2820</x:v>
      </x:c>
      <x:c r="T121" s="11" t="n">
        <x:v>503</x:v>
      </x:c>
    </x:row>
    <x:row r="122" ht="23" customHeight="1">
      <x:c r="A122" s="2" t="str">
        <x:v>D3YU96</x:v>
      </x:c>
      <x:c r="B122" s="2" t="str">
        <x:v>NED</x:v>
      </x:c>
      <x:c r="C122" s="2"/>
      <x:c r="D122" s="2"/>
      <x:c r="E122" s="10"/>
      <x:c r="F122" s="11"/>
      <x:c r="G122" s="11" t="n">
        <x:v>0</x:v>
      </x:c>
      <x:c r="H122" s="11" t="n">
        <x:v>0</x:v>
      </x:c>
      <x:c r="I122" s="11"/>
      <x:c r="J122" s="11"/>
      <x:c r="K122" s="11" t="n">
        <x:v>0</x:v>
      </x:c>
      <x:c r="L122" s="11" t="n">
        <x:f>IF(B122="NED",1,IF(OR(B122="ED",B122="UN"),0,""))</x:f>
        <x:v>1</x:v>
      </x:c>
      <x:c r="M122" s="11" t="n">
        <x:f>IF(AND(K122=1,OR(B122="ED",B122="NED")),1,0)</x:f>
        <x:v>0</x:v>
      </x:c>
      <x:c r="N122" s="11" t="n">
        <x:f>IF(K122=1,1,0)</x:f>
        <x:v>0</x:v>
      </x:c>
      <x:c r="O122" s="12" t="str">
        <x:v>Require exact native accession match</x:v>
      </x:c>
      <x:c r="P122" s="11" t="n">
        <x:v>0</x:v>
      </x:c>
      <x:c r="Q122" s="12"/>
      <x:c r="R122" s="12"/>
      <x:c r="S122" s="11" t="n">
        <x:v>2821</x:v>
      </x:c>
      <x:c r="T122" s="11"/>
    </x:row>
    <x:row r="123" ht="23" customHeight="1">
      <x:c r="A123" s="2" t="str">
        <x:v>D3YUC9</x:v>
      </x:c>
      <x:c r="B123" s="2" t="str">
        <x:v>UN</x:v>
      </x:c>
      <x:c r="C123" s="2"/>
      <x:c r="D123" s="2"/>
      <x:c r="E123" s="10"/>
      <x:c r="F123" s="11"/>
      <x:c r="G123" s="11" t="n">
        <x:v>0</x:v>
      </x:c>
      <x:c r="H123" s="11" t="n">
        <x:v>0</x:v>
      </x:c>
      <x:c r="I123" s="11" t="n">
        <x:v>0</x:v>
      </x:c>
      <x:c r="J123" s="11" t="n">
        <x:v>0</x:v>
      </x:c>
      <x:c r="K123" s="11" t="n">
        <x:v>0</x:v>
      </x:c>
      <x:c r="L123" s="11" t="n">
        <x:f>IF(B123="NED",1,IF(OR(B123="ED",B123="UN"),0,""))</x:f>
        <x:v>0</x:v>
      </x:c>
      <x:c r="M123" s="11" t="n">
        <x:f>IF(AND(K123=1,OR(B123="ED",B123="NED")),1,0)</x:f>
        <x:v>0</x:v>
      </x:c>
      <x:c r="N123" s="11" t="n">
        <x:f>IF(K123=1,1,0)</x:f>
        <x:v>0</x:v>
      </x:c>
      <x:c r="O123" s="12" t="str">
        <x:v>Require exact native accession match</x:v>
      </x:c>
      <x:c r="P123" s="11" t="n">
        <x:v>0</x:v>
      </x:c>
      <x:c r="Q123" s="12"/>
      <x:c r="R123" s="12"/>
      <x:c r="S123" s="11" t="n">
        <x:v>2822</x:v>
      </x:c>
      <x:c r="T123" s="11" t="n">
        <x:v>114</x:v>
      </x:c>
    </x:row>
    <x:row r="124" ht="23" customHeight="1">
      <x:c r="A124" s="2" t="str">
        <x:v>D3YUG5</x:v>
      </x:c>
      <x:c r="B124" s="2" t="str">
        <x:v>NED</x:v>
      </x:c>
      <x:c r="C124" s="2"/>
      <x:c r="D124" s="2"/>
      <x:c r="E124" s="10"/>
      <x:c r="F124" s="11"/>
      <x:c r="G124" s="11" t="n">
        <x:v>0</x:v>
      </x:c>
      <x:c r="H124" s="11" t="n">
        <x:v>0</x:v>
      </x:c>
      <x:c r="I124" s="11" t="n">
        <x:v>0</x:v>
      </x:c>
      <x:c r="J124" s="11" t="n">
        <x:v>0</x:v>
      </x:c>
      <x:c r="K124" s="11" t="n">
        <x:v>0</x:v>
      </x:c>
      <x:c r="L124" s="11" t="n">
        <x:f>IF(B124="NED",1,IF(OR(B124="ED",B124="UN"),0,""))</x:f>
        <x:v>1</x:v>
      </x:c>
      <x:c r="M124" s="11" t="n">
        <x:f>IF(AND(K124=1,OR(B124="ED",B124="NED")),1,0)</x:f>
        <x:v>0</x:v>
      </x:c>
      <x:c r="N124" s="11" t="n">
        <x:f>IF(K124=1,1,0)</x:f>
        <x:v>0</x:v>
      </x:c>
      <x:c r="O124" s="12" t="str">
        <x:v>Require exact native accession match</x:v>
      </x:c>
      <x:c r="P124" s="11" t="n">
        <x:v>0</x:v>
      </x:c>
      <x:c r="Q124" s="12"/>
      <x:c r="R124" s="12"/>
      <x:c r="S124" s="11" t="n">
        <x:v>2823</x:v>
      </x:c>
      <x:c r="T124" s="11" t="n">
        <x:v>705</x:v>
      </x:c>
    </x:row>
    <x:row r="125" ht="23" customHeight="1">
      <x:c r="A125" s="2" t="str">
        <x:v>D3YUM6</x:v>
      </x:c>
      <x:c r="B125" s="2" t="str">
        <x:v>UN</x:v>
      </x:c>
      <x:c r="C125" s="2"/>
      <x:c r="D125" s="2"/>
      <x:c r="E125" s="10"/>
      <x:c r="F125" s="11"/>
      <x:c r="G125" s="11" t="n">
        <x:v>0</x:v>
      </x:c>
      <x:c r="H125" s="11" t="n">
        <x:v>0</x:v>
      </x:c>
      <x:c r="I125" s="11" t="n">
        <x:v>1</x:v>
      </x:c>
      <x:c r="J125" s="11" t="n">
        <x:v>0</x:v>
      </x:c>
      <x:c r="K125" s="11" t="n">
        <x:v>0</x:v>
      </x:c>
      <x:c r="L125" s="11" t="n">
        <x:f>IF(B125="NED",1,IF(OR(B125="ED",B125="UN"),0,""))</x:f>
        <x:v>0</x:v>
      </x:c>
      <x:c r="M125" s="11" t="n">
        <x:f>IF(AND(K125=1,OR(B125="ED",B125="NED")),1,0)</x:f>
        <x:v>0</x:v>
      </x:c>
      <x:c r="N125" s="11" t="n">
        <x:f>IF(K125=1,1,0)</x:f>
        <x:v>0</x:v>
      </x:c>
      <x:c r="O125" s="12" t="str">
        <x:v>Require exact native accession match</x:v>
      </x:c>
      <x:c r="P125" s="11" t="n">
        <x:v>0</x:v>
      </x:c>
      <x:c r="Q125" s="12"/>
      <x:c r="R125" s="12"/>
      <x:c r="S125" s="11" t="n">
        <x:v>2824</x:v>
      </x:c>
      <x:c r="T125" s="11" t="n">
        <x:v>402</x:v>
      </x:c>
    </x:row>
    <x:row r="126" ht="23" customHeight="1">
      <x:c r="A126" s="2" t="str">
        <x:v>D3YUS5</x:v>
      </x:c>
      <x:c r="B126" s="2" t="str">
        <x:v>ED</x:v>
      </x:c>
      <x:c r="C126" s="2"/>
      <x:c r="D126" s="2"/>
      <x:c r="E126" s="10"/>
      <x:c r="F126" s="11"/>
      <x:c r="G126" s="11" t="n">
        <x:v>0</x:v>
      </x:c>
      <x:c r="H126" s="11" t="n">
        <x:v>0</x:v>
      </x:c>
      <x:c r="I126" s="11" t="n">
        <x:v>0</x:v>
      </x:c>
      <x:c r="J126" s="11" t="n">
        <x:v>0</x:v>
      </x:c>
      <x:c r="K126" s="11" t="n">
        <x:v>0</x:v>
      </x:c>
      <x:c r="L126" s="11" t="n">
        <x:f>IF(B126="NED",1,IF(OR(B126="ED",B126="UN"),0,""))</x:f>
        <x:v>0</x:v>
      </x:c>
      <x:c r="M126" s="11" t="n">
        <x:f>IF(AND(K126=1,OR(B126="ED",B126="NED")),1,0)</x:f>
        <x:v>0</x:v>
      </x:c>
      <x:c r="N126" s="11" t="n">
        <x:f>IF(K126=1,1,0)</x:f>
        <x:v>0</x:v>
      </x:c>
      <x:c r="O126" s="12" t="str">
        <x:v>Require exact native accession match</x:v>
      </x:c>
      <x:c r="P126" s="11" t="n">
        <x:v>0</x:v>
      </x:c>
      <x:c r="Q126" s="12"/>
      <x:c r="R126" s="12"/>
      <x:c r="S126" s="11" t="n">
        <x:v>2825</x:v>
      </x:c>
      <x:c r="T126" s="11" t="n">
        <x:v>1261</x:v>
      </x:c>
    </x:row>
    <x:row r="127" ht="23" customHeight="1">
      <x:c r="A127" s="2" t="str">
        <x:v>D3YUW8</x:v>
      </x:c>
      <x:c r="B127" s="2" t="str">
        <x:v>UN</x:v>
      </x:c>
      <x:c r="C127" s="2"/>
      <x:c r="D127" s="2"/>
      <x:c r="E127" s="10"/>
      <x:c r="F127" s="11"/>
      <x:c r="G127" s="11" t="n">
        <x:v>0</x:v>
      </x:c>
      <x:c r="H127" s="11" t="n">
        <x:v>0</x:v>
      </x:c>
      <x:c r="I127" s="11" t="n">
        <x:v>0</x:v>
      </x:c>
      <x:c r="J127" s="11" t="n">
        <x:v>0</x:v>
      </x:c>
      <x:c r="K127" s="11" t="n">
        <x:v>0</x:v>
      </x:c>
      <x:c r="L127" s="11" t="n">
        <x:f>IF(B127="NED",1,IF(OR(B127="ED",B127="UN"),0,""))</x:f>
        <x:v>0</x:v>
      </x:c>
      <x:c r="M127" s="11" t="n">
        <x:f>IF(AND(K127=1,OR(B127="ED",B127="NED")),1,0)</x:f>
        <x:v>0</x:v>
      </x:c>
      <x:c r="N127" s="11" t="n">
        <x:f>IF(K127=1,1,0)</x:f>
        <x:v>0</x:v>
      </x:c>
      <x:c r="O127" s="12" t="str">
        <x:v>Require exact native accession match</x:v>
      </x:c>
      <x:c r="P127" s="11" t="n">
        <x:v>0</x:v>
      </x:c>
      <x:c r="Q127" s="12"/>
      <x:c r="R127" s="12"/>
      <x:c r="S127" s="11" t="n">
        <x:v>2826</x:v>
      </x:c>
      <x:c r="T127" s="11" t="n">
        <x:v>1314</x:v>
      </x:c>
    </x:row>
    <x:row r="128" ht="23" customHeight="1">
      <x:c r="A128" s="2" t="str">
        <x:v>D3YVW2</x:v>
      </x:c>
      <x:c r="B128" s="2" t="str">
        <x:v>UN</x:v>
      </x:c>
      <x:c r="C128" s="2"/>
      <x:c r="D128" s="2"/>
      <x:c r="E128" s="10"/>
      <x:c r="F128" s="11"/>
      <x:c r="G128" s="11" t="n">
        <x:v>0</x:v>
      </x:c>
      <x:c r="H128" s="11" t="n">
        <x:v>0</x:v>
      </x:c>
      <x:c r="I128" s="11" t="n">
        <x:v>1</x:v>
      </x:c>
      <x:c r="J128" s="11" t="n">
        <x:v>0</x:v>
      </x:c>
      <x:c r="K128" s="11" t="n">
        <x:v>0</x:v>
      </x:c>
      <x:c r="L128" s="11" t="n">
        <x:f>IF(B128="NED",1,IF(OR(B128="ED",B128="UN"),0,""))</x:f>
        <x:v>0</x:v>
      </x:c>
      <x:c r="M128" s="11" t="n">
        <x:f>IF(AND(K128=1,OR(B128="ED",B128="NED")),1,0)</x:f>
        <x:v>0</x:v>
      </x:c>
      <x:c r="N128" s="11" t="n">
        <x:f>IF(K128=1,1,0)</x:f>
        <x:v>0</x:v>
      </x:c>
      <x:c r="O128" s="12" t="str">
        <x:v>Require exact native accession match</x:v>
      </x:c>
      <x:c r="P128" s="11" t="n">
        <x:v>0</x:v>
      </x:c>
      <x:c r="Q128" s="12"/>
      <x:c r="R128" s="12"/>
      <x:c r="S128" s="11" t="n">
        <x:v>2827</x:v>
      </x:c>
      <x:c r="T128" s="11" t="n">
        <x:v>683</x:v>
      </x:c>
    </x:row>
    <x:row r="129" ht="23" customHeight="1">
      <x:c r="A129" s="2" t="str">
        <x:v>D3YW48</x:v>
      </x:c>
      <x:c r="B129" s="2" t="str">
        <x:v>NED</x:v>
      </x:c>
      <x:c r="C129" s="2"/>
      <x:c r="D129" s="2"/>
      <x:c r="E129" s="10"/>
      <x:c r="F129" s="11"/>
      <x:c r="G129" s="11" t="n">
        <x:v>0</x:v>
      </x:c>
      <x:c r="H129" s="11" t="n">
        <x:v>0</x:v>
      </x:c>
      <x:c r="I129" s="11"/>
      <x:c r="J129" s="11"/>
      <x:c r="K129" s="11" t="n">
        <x:v>0</x:v>
      </x:c>
      <x:c r="L129" s="11" t="n">
        <x:f>IF(B129="NED",1,IF(OR(B129="ED",B129="UN"),0,""))</x:f>
        <x:v>1</x:v>
      </x:c>
      <x:c r="M129" s="11" t="n">
        <x:f>IF(AND(K129=1,OR(B129="ED",B129="NED")),1,0)</x:f>
        <x:v>0</x:v>
      </x:c>
      <x:c r="N129" s="11" t="n">
        <x:f>IF(K129=1,1,0)</x:f>
        <x:v>0</x:v>
      </x:c>
      <x:c r="O129" s="12" t="str">
        <x:v>Require exact native accession match</x:v>
      </x:c>
      <x:c r="P129" s="11" t="n">
        <x:v>0</x:v>
      </x:c>
      <x:c r="Q129" s="12"/>
      <x:c r="R129" s="12"/>
      <x:c r="S129" s="11" t="n">
        <x:v>2828</x:v>
      </x:c>
      <x:c r="T129" s="11"/>
    </x:row>
    <x:row r="130" ht="23" customHeight="1">
      <x:c r="A130" s="2" t="str">
        <x:v>D3YWC2</x:v>
      </x:c>
      <x:c r="B130" s="2" t="str">
        <x:v>ED</x:v>
      </x:c>
      <x:c r="C130" s="2"/>
      <x:c r="D130" s="2"/>
      <x:c r="E130" s="10"/>
      <x:c r="F130" s="11"/>
      <x:c r="G130" s="11" t="n">
        <x:v>0</x:v>
      </x:c>
      <x:c r="H130" s="11" t="n">
        <x:v>0</x:v>
      </x:c>
      <x:c r="I130" s="11" t="n">
        <x:v>0</x:v>
      </x:c>
      <x:c r="J130" s="11" t="n">
        <x:v>0</x:v>
      </x:c>
      <x:c r="K130" s="11" t="n">
        <x:v>0</x:v>
      </x:c>
      <x:c r="L130" s="11" t="n">
        <x:f>IF(B130="NED",1,IF(OR(B130="ED",B130="UN"),0,""))</x:f>
        <x:v>0</x:v>
      </x:c>
      <x:c r="M130" s="11" t="n">
        <x:f>IF(AND(K130=1,OR(B130="ED",B130="NED")),1,0)</x:f>
        <x:v>0</x:v>
      </x:c>
      <x:c r="N130" s="11" t="n">
        <x:f>IF(K130=1,1,0)</x:f>
        <x:v>0</x:v>
      </x:c>
      <x:c r="O130" s="12" t="str">
        <x:v>Require exact native accession match</x:v>
      </x:c>
      <x:c r="P130" s="11" t="n">
        <x:v>0</x:v>
      </x:c>
      <x:c r="Q130" s="12"/>
      <x:c r="R130" s="12"/>
      <x:c r="S130" s="11" t="n">
        <x:v>2829</x:v>
      </x:c>
      <x:c r="T130" s="11" t="n">
        <x:v>200</x:v>
      </x:c>
    </x:row>
    <x:row r="131" ht="23" customHeight="1">
      <x:c r="A131" s="2" t="str">
        <x:v>D3YWG1</x:v>
      </x:c>
      <x:c r="B131" s="2" t="str">
        <x:v>ED</x:v>
      </x:c>
      <x:c r="C131" s="2"/>
      <x:c r="D131" s="2"/>
      <x:c r="E131" s="10"/>
      <x:c r="F131" s="11"/>
      <x:c r="G131" s="11" t="n">
        <x:v>0</x:v>
      </x:c>
      <x:c r="H131" s="11" t="n">
        <x:v>0</x:v>
      </x:c>
      <x:c r="I131" s="11"/>
      <x:c r="J131" s="11"/>
      <x:c r="K131" s="11" t="n">
        <x:v>0</x:v>
      </x:c>
      <x:c r="L131" s="11" t="n">
        <x:f>IF(B131="NED",1,IF(OR(B131="ED",B131="UN"),0,""))</x:f>
        <x:v>0</x:v>
      </x:c>
      <x:c r="M131" s="11" t="n">
        <x:f>IF(AND(K131=1,OR(B131="ED",B131="NED")),1,0)</x:f>
        <x:v>0</x:v>
      </x:c>
      <x:c r="N131" s="11" t="n">
        <x:f>IF(K131=1,1,0)</x:f>
        <x:v>0</x:v>
      </x:c>
      <x:c r="O131" s="12" t="str">
        <x:v>Require exact native accession match</x:v>
      </x:c>
      <x:c r="P131" s="11" t="n">
        <x:v>0</x:v>
      </x:c>
      <x:c r="Q131" s="12"/>
      <x:c r="R131" s="12"/>
      <x:c r="S131" s="11" t="n">
        <x:v>2830</x:v>
      </x:c>
      <x:c r="T131" s="11"/>
    </x:row>
    <x:row r="132" ht="23" customHeight="1">
      <x:c r="A132" s="2" t="str">
        <x:v>D3YWG2</x:v>
      </x:c>
      <x:c r="B132" s="2" t="str">
        <x:v>UN</x:v>
      </x:c>
      <x:c r="C132" s="2"/>
      <x:c r="D132" s="2"/>
      <x:c r="E132" s="10"/>
      <x:c r="F132" s="11"/>
      <x:c r="G132" s="11" t="n">
        <x:v>0</x:v>
      </x:c>
      <x:c r="H132" s="11" t="n">
        <x:v>0</x:v>
      </x:c>
      <x:c r="I132" s="11" t="n">
        <x:v>0</x:v>
      </x:c>
      <x:c r="J132" s="11" t="n">
        <x:v>0</x:v>
      </x:c>
      <x:c r="K132" s="11" t="n">
        <x:v>0</x:v>
      </x:c>
      <x:c r="L132" s="11" t="n">
        <x:f>IF(B132="NED",1,IF(OR(B132="ED",B132="UN"),0,""))</x:f>
        <x:v>0</x:v>
      </x:c>
      <x:c r="M132" s="11" t="n">
        <x:f>IF(AND(K132=1,OR(B132="ED",B132="NED")),1,0)</x:f>
        <x:v>0</x:v>
      </x:c>
      <x:c r="N132" s="11" t="n">
        <x:f>IF(K132=1,1,0)</x:f>
        <x:v>0</x:v>
      </x:c>
      <x:c r="O132" s="12" t="str">
        <x:v>Require exact native accession match</x:v>
      </x:c>
      <x:c r="P132" s="11" t="n">
        <x:v>0</x:v>
      </x:c>
      <x:c r="Q132" s="12"/>
      <x:c r="R132" s="12"/>
      <x:c r="S132" s="11" t="n">
        <x:v>2831</x:v>
      </x:c>
      <x:c r="T132" s="11" t="n">
        <x:v>263</x:v>
      </x:c>
    </x:row>
    <x:row r="133" ht="23" customHeight="1">
      <x:c r="A133" s="2" t="str">
        <x:v>D3YWS8</x:v>
      </x:c>
      <x:c r="B133" s="2" t="str">
        <x:v>ED</x:v>
      </x:c>
      <x:c r="C133" s="2"/>
      <x:c r="D133" s="2"/>
      <x:c r="E133" s="10"/>
      <x:c r="F133" s="11"/>
      <x:c r="G133" s="11" t="n">
        <x:v>0</x:v>
      </x:c>
      <x:c r="H133" s="11" t="n">
        <x:v>0</x:v>
      </x:c>
      <x:c r="I133" s="11" t="n">
        <x:v>0</x:v>
      </x:c>
      <x:c r="J133" s="11" t="n">
        <x:v>0</x:v>
      </x:c>
      <x:c r="K133" s="11" t="n">
        <x:v>0</x:v>
      </x:c>
      <x:c r="L133" s="11" t="n">
        <x:f>IF(B133="NED",1,IF(OR(B133="ED",B133="UN"),0,""))</x:f>
        <x:v>0</x:v>
      </x:c>
      <x:c r="M133" s="11" t="n">
        <x:f>IF(AND(K133=1,OR(B133="ED",B133="NED")),1,0)</x:f>
        <x:v>0</x:v>
      </x:c>
      <x:c r="N133" s="11" t="n">
        <x:f>IF(K133=1,1,0)</x:f>
        <x:v>0</x:v>
      </x:c>
      <x:c r="O133" s="12" t="str">
        <x:v>Require exact native accession match</x:v>
      </x:c>
      <x:c r="P133" s="11" t="n">
        <x:v>0</x:v>
      </x:c>
      <x:c r="Q133" s="12"/>
      <x:c r="R133" s="12"/>
      <x:c r="S133" s="11" t="n">
        <x:v>2832</x:v>
      </x:c>
      <x:c r="T133" s="11" t="n">
        <x:v>801</x:v>
      </x:c>
    </x:row>
    <x:row r="134" ht="23" customHeight="1">
      <x:c r="A134" s="2" t="str">
        <x:v>D3YX57</x:v>
      </x:c>
      <x:c r="B134" s="2" t="str">
        <x:v>UN</x:v>
      </x:c>
      <x:c r="C134" s="2"/>
      <x:c r="D134" s="2"/>
      <x:c r="E134" s="10"/>
      <x:c r="F134" s="11"/>
      <x:c r="G134" s="11" t="n">
        <x:v>0</x:v>
      </x:c>
      <x:c r="H134" s="11" t="n">
        <x:v>0</x:v>
      </x:c>
      <x:c r="I134" s="11"/>
      <x:c r="J134" s="11"/>
      <x:c r="K134" s="11" t="n">
        <x:v>0</x:v>
      </x:c>
      <x:c r="L134" s="11" t="n">
        <x:f>IF(B134="NED",1,IF(OR(B134="ED",B134="UN"),0,""))</x:f>
        <x:v>0</x:v>
      </x:c>
      <x:c r="M134" s="11" t="n">
        <x:f>IF(AND(K134=1,OR(B134="ED",B134="NED")),1,0)</x:f>
        <x:v>0</x:v>
      </x:c>
      <x:c r="N134" s="11" t="n">
        <x:f>IF(K134=1,1,0)</x:f>
        <x:v>0</x:v>
      </x:c>
      <x:c r="O134" s="12" t="str">
        <x:v>Require exact native accession match</x:v>
      </x:c>
      <x:c r="P134" s="11" t="n">
        <x:v>0</x:v>
      </x:c>
      <x:c r="Q134" s="12"/>
      <x:c r="R134" s="12"/>
      <x:c r="S134" s="11" t="n">
        <x:v>2833</x:v>
      </x:c>
      <x:c r="T134" s="11"/>
    </x:row>
    <x:row r="135" ht="23" customHeight="1">
      <x:c r="A135" s="2" t="str">
        <x:v>D3YXJ0</x:v>
      </x:c>
      <x:c r="B135" s="2" t="str">
        <x:v>ED</x:v>
      </x:c>
      <x:c r="C135" s="2" t="n">
        <x:v>1</x:v>
      </x:c>
      <x:c r="D135" s="2" t="n">
        <x:v>1</x:v>
      </x:c>
      <x:c r="E135" s="10"/>
      <x:c r="F135" s="11" t="n">
        <x:v>1211</x:v>
      </x:c>
      <x:c r="G135" s="11" t="n">
        <x:v>0</x:v>
      </x:c>
      <x:c r="H135" s="11" t="n">
        <x:v>0</x:v>
      </x:c>
      <x:c r="I135" s="11" t="n">
        <x:v>1</x:v>
      </x:c>
      <x:c r="J135" s="11" t="n">
        <x:v>0</x:v>
      </x:c>
      <x:c r="K135" s="11" t="n">
        <x:v>0</x:v>
      </x:c>
      <x:c r="L135" s="11" t="n">
        <x:f>IF(B135="NED",1,IF(OR(B135="ED",B135="UN"),0,""))</x:f>
        <x:v>0</x:v>
      </x:c>
      <x:c r="M135" s="11" t="n">
        <x:f>IF(AND(K135=1,OR(B135="ED",B135="NED")),1,0)</x:f>
        <x:v>0</x:v>
      </x:c>
      <x:c r="N135" s="11" t="n">
        <x:f>IF(K135=1,1,0)</x:f>
        <x:v>0</x:v>
      </x:c>
      <x:c r="O135" s="12" t="str">
        <x:v>Exclude UniProt Membrane keyword</x:v>
      </x:c>
      <x:c r="P135" s="11" t="n">
        <x:v>0</x:v>
      </x:c>
      <x:c r="Q135" s="12" t="str">
        <x:v>AF-D3YXJ0-F1-model_v6</x:v>
      </x:c>
      <x:c r="R135" s="12" t="str">
        <x:v>ok</x:v>
      </x:c>
      <x:c r="S135" s="11" t="n">
        <x:v>2834</x:v>
      </x:c>
      <x:c r="T135" s="11" t="n">
        <x:v>1211</x:v>
      </x:c>
    </x:row>
    <x:row r="136" ht="23" customHeight="1">
      <x:c r="A136" s="2" t="str">
        <x:v>D3YXK2</x:v>
      </x:c>
      <x:c r="B136" s="2" t="str">
        <x:v>ED</x:v>
      </x:c>
      <x:c r="C136" s="2" t="n">
        <x:v>1</x:v>
      </x:c>
      <x:c r="D136" s="2"/>
      <x:c r="E136" s="10" t="n">
        <x:v>53.91676627534685</x:v>
      </x:c>
      <x:c r="F136" s="11" t="n">
        <x:v>937</x:v>
      </x:c>
      <x:c r="G136" s="11" t="n">
        <x:v>0</x:v>
      </x:c>
      <x:c r="H136" s="11" t="n">
        <x:v>0</x:v>
      </x:c>
      <x:c r="I136" s="11" t="n">
        <x:v>0</x:v>
      </x:c>
      <x:c r="J136" s="11" t="n">
        <x:v>0</x:v>
      </x:c>
      <x:c r="K136" s="11" t="n">
        <x:v>0</x:v>
      </x:c>
      <x:c r="L136" s="11" t="n">
        <x:f>IF(B136="NED",1,IF(OR(B136="ED",B136="UN"),0,""))</x:f>
        <x:v>0</x:v>
      </x:c>
      <x:c r="M136" s="11" t="n">
        <x:f>IF(AND(K136=1,OR(B136="ED",B136="NED")),1,0)</x:f>
        <x:v>0</x:v>
      </x:c>
      <x:c r="N136" s="11" t="n">
        <x:f>IF(K136=1,1,0)</x:f>
        <x:v>0</x:v>
      </x:c>
      <x:c r="O136" s="12" t="str">
        <x:v>Retain protein mean pLDDT &gt;=70</x:v>
      </x:c>
      <x:c r="P136" s="11" t="n">
        <x:v>0</x:v>
      </x:c>
      <x:c r="Q136" s="12" t="str">
        <x:v>AF-D3YXK2-F1-model_v6</x:v>
      </x:c>
      <x:c r="R136" s="12" t="str">
        <x:v>ok</x:v>
      </x:c>
      <x:c r="S136" s="11" t="n">
        <x:v>44</x:v>
      </x:c>
      <x:c r="T136" s="11" t="n">
        <x:v>937</x:v>
      </x:c>
    </x:row>
    <x:row r="137" ht="23" customHeight="1">
      <x:c r="A137" s="2" t="str">
        <x:v>D3YXZ3</x:v>
      </x:c>
      <x:c r="B137" s="2" t="str">
        <x:v>ED</x:v>
      </x:c>
      <x:c r="C137" s="2"/>
      <x:c r="D137" s="2"/>
      <x:c r="E137" s="10"/>
      <x:c r="F137" s="11"/>
      <x:c r="G137" s="11" t="n">
        <x:v>0</x:v>
      </x:c>
      <x:c r="H137" s="11" t="n">
        <x:v>0</x:v>
      </x:c>
      <x:c r="I137" s="11" t="n">
        <x:v>0</x:v>
      </x:c>
      <x:c r="J137" s="11" t="n">
        <x:v>0</x:v>
      </x:c>
      <x:c r="K137" s="11" t="n">
        <x:v>0</x:v>
      </x:c>
      <x:c r="L137" s="11" t="n">
        <x:f>IF(B137="NED",1,IF(OR(B137="ED",B137="UN"),0,""))</x:f>
        <x:v>0</x:v>
      </x:c>
      <x:c r="M137" s="11" t="n">
        <x:f>IF(AND(K137=1,OR(B137="ED",B137="NED")),1,0)</x:f>
        <x:v>0</x:v>
      </x:c>
      <x:c r="N137" s="11" t="n">
        <x:f>IF(K137=1,1,0)</x:f>
        <x:v>0</x:v>
      </x:c>
      <x:c r="O137" s="12" t="str">
        <x:v>Require exact native accession match</x:v>
      </x:c>
      <x:c r="P137" s="11" t="n">
        <x:v>0</x:v>
      </x:c>
      <x:c r="Q137" s="12"/>
      <x:c r="R137" s="12"/>
      <x:c r="S137" s="11" t="n">
        <x:v>2835</x:v>
      </x:c>
      <x:c r="T137" s="11" t="n">
        <x:v>617</x:v>
      </x:c>
    </x:row>
    <x:row r="138" ht="23" customHeight="1">
      <x:c r="A138" s="2" t="str">
        <x:v>D3YY34</x:v>
      </x:c>
      <x:c r="B138" s="2" t="str">
        <x:v>ED</x:v>
      </x:c>
      <x:c r="C138" s="2"/>
      <x:c r="D138" s="2"/>
      <x:c r="E138" s="10"/>
      <x:c r="F138" s="11"/>
      <x:c r="G138" s="11" t="n">
        <x:v>0</x:v>
      </x:c>
      <x:c r="H138" s="11" t="n">
        <x:v>0</x:v>
      </x:c>
      <x:c r="I138" s="11" t="n">
        <x:v>0</x:v>
      </x:c>
      <x:c r="J138" s="11" t="n">
        <x:v>0</x:v>
      </x:c>
      <x:c r="K138" s="11" t="n">
        <x:v>0</x:v>
      </x:c>
      <x:c r="L138" s="11" t="n">
        <x:f>IF(B138="NED",1,IF(OR(B138="ED",B138="UN"),0,""))</x:f>
        <x:v>0</x:v>
      </x:c>
      <x:c r="M138" s="11" t="n">
        <x:f>IF(AND(K138=1,OR(B138="ED",B138="NED")),1,0)</x:f>
        <x:v>0</x:v>
      </x:c>
      <x:c r="N138" s="11" t="n">
        <x:f>IF(K138=1,1,0)</x:f>
        <x:v>0</x:v>
      </x:c>
      <x:c r="O138" s="12" t="str">
        <x:v>Require exact native accession match</x:v>
      </x:c>
      <x:c r="P138" s="11" t="n">
        <x:v>0</x:v>
      </x:c>
      <x:c r="Q138" s="12"/>
      <x:c r="R138" s="12"/>
      <x:c r="S138" s="11" t="n">
        <x:v>2836</x:v>
      </x:c>
      <x:c r="T138" s="11" t="n">
        <x:v>948</x:v>
      </x:c>
    </x:row>
    <x:row r="139" ht="23" customHeight="1">
      <x:c r="A139" s="2" t="str">
        <x:v>D3YY41</x:v>
      </x:c>
      <x:c r="B139" s="2" t="str">
        <x:v>ED</x:v>
      </x:c>
      <x:c r="C139" s="2"/>
      <x:c r="D139" s="2"/>
      <x:c r="E139" s="10"/>
      <x:c r="F139" s="11"/>
      <x:c r="G139" s="11" t="n">
        <x:v>0</x:v>
      </x:c>
      <x:c r="H139" s="11" t="n">
        <x:v>0</x:v>
      </x:c>
      <x:c r="I139" s="11" t="n">
        <x:v>0</x:v>
      </x:c>
      <x:c r="J139" s="11" t="n">
        <x:v>0</x:v>
      </x:c>
      <x:c r="K139" s="11" t="n">
        <x:v>0</x:v>
      </x:c>
      <x:c r="L139" s="11" t="n">
        <x:f>IF(B139="NED",1,IF(OR(B139="ED",B139="UN"),0,""))</x:f>
        <x:v>0</x:v>
      </x:c>
      <x:c r="M139" s="11" t="n">
        <x:f>IF(AND(K139=1,OR(B139="ED",B139="NED")),1,0)</x:f>
        <x:v>0</x:v>
      </x:c>
      <x:c r="N139" s="11" t="n">
        <x:f>IF(K139=1,1,0)</x:f>
        <x:v>0</x:v>
      </x:c>
      <x:c r="O139" s="12" t="str">
        <x:v>Require exact native accession match</x:v>
      </x:c>
      <x:c r="P139" s="11" t="n">
        <x:v>0</x:v>
      </x:c>
      <x:c r="Q139" s="12"/>
      <x:c r="R139" s="12"/>
      <x:c r="S139" s="11" t="n">
        <x:v>2837</x:v>
      </x:c>
      <x:c r="T139" s="11" t="n">
        <x:v>946</x:v>
      </x:c>
    </x:row>
    <x:row r="140" ht="23" customHeight="1">
      <x:c r="A140" s="2" t="str">
        <x:v>D3YYC2</x:v>
      </x:c>
      <x:c r="B140" s="2" t="str">
        <x:v>UN</x:v>
      </x:c>
      <x:c r="C140" s="2"/>
      <x:c r="D140" s="2"/>
      <x:c r="E140" s="10"/>
      <x:c r="F140" s="11"/>
      <x:c r="G140" s="11" t="n">
        <x:v>0</x:v>
      </x:c>
      <x:c r="H140" s="11" t="n">
        <x:v>0</x:v>
      </x:c>
      <x:c r="I140" s="11" t="n">
        <x:v>0</x:v>
      </x:c>
      <x:c r="J140" s="11" t="n">
        <x:v>0</x:v>
      </x:c>
      <x:c r="K140" s="11" t="n">
        <x:v>0</x:v>
      </x:c>
      <x:c r="L140" s="11" t="n">
        <x:f>IF(B140="NED",1,IF(OR(B140="ED",B140="UN"),0,""))</x:f>
        <x:v>0</x:v>
      </x:c>
      <x:c r="M140" s="11" t="n">
        <x:f>IF(AND(K140=1,OR(B140="ED",B140="NED")),1,0)</x:f>
        <x:v>0</x:v>
      </x:c>
      <x:c r="N140" s="11" t="n">
        <x:f>IF(K140=1,1,0)</x:f>
        <x:v>0</x:v>
      </x:c>
      <x:c r="O140" s="12" t="str">
        <x:v>Require exact native accession match</x:v>
      </x:c>
      <x:c r="P140" s="11" t="n">
        <x:v>0</x:v>
      </x:c>
      <x:c r="Q140" s="12"/>
      <x:c r="R140" s="12"/>
      <x:c r="S140" s="11" t="n">
        <x:v>2838</x:v>
      </x:c>
      <x:c r="T140" s="11" t="n">
        <x:v>162</x:v>
      </x:c>
    </x:row>
    <x:row r="141" ht="23" customHeight="1">
      <x:c r="A141" s="2" t="str">
        <x:v>D3YYM6</x:v>
      </x:c>
      <x:c r="B141" s="2" t="str">
        <x:v>NED</x:v>
      </x:c>
      <x:c r="C141" s="2"/>
      <x:c r="D141" s="2"/>
      <x:c r="E141" s="10"/>
      <x:c r="F141" s="11"/>
      <x:c r="G141" s="11" t="n">
        <x:v>0</x:v>
      </x:c>
      <x:c r="H141" s="11" t="n">
        <x:v>0</x:v>
      </x:c>
      <x:c r="I141" s="11" t="n">
        <x:v>0</x:v>
      </x:c>
      <x:c r="J141" s="11" t="n">
        <x:v>0</x:v>
      </x:c>
      <x:c r="K141" s="11" t="n">
        <x:v>0</x:v>
      </x:c>
      <x:c r="L141" s="11" t="n">
        <x:f>IF(B141="NED",1,IF(OR(B141="ED",B141="UN"),0,""))</x:f>
        <x:v>1</x:v>
      </x:c>
      <x:c r="M141" s="11" t="n">
        <x:f>IF(AND(K141=1,OR(B141="ED",B141="NED")),1,0)</x:f>
        <x:v>0</x:v>
      </x:c>
      <x:c r="N141" s="11" t="n">
        <x:f>IF(K141=1,1,0)</x:f>
        <x:v>0</x:v>
      </x:c>
      <x:c r="O141" s="12" t="str">
        <x:v>Require exact native accession match</x:v>
      </x:c>
      <x:c r="P141" s="11" t="n">
        <x:v>0</x:v>
      </x:c>
      <x:c r="Q141" s="12"/>
      <x:c r="R141" s="12"/>
      <x:c r="S141" s="11" t="n">
        <x:v>2839</x:v>
      </x:c>
      <x:c r="T141" s="11" t="n">
        <x:v>182</x:v>
      </x:c>
    </x:row>
    <x:row r="142" ht="23" customHeight="1">
      <x:c r="A142" s="2" t="str">
        <x:v>D3YYP5</x:v>
      </x:c>
      <x:c r="B142" s="2" t="str">
        <x:v>ED</x:v>
      </x:c>
      <x:c r="C142" s="2"/>
      <x:c r="D142" s="2"/>
      <x:c r="E142" s="10"/>
      <x:c r="F142" s="11"/>
      <x:c r="G142" s="11" t="n">
        <x:v>0</x:v>
      </x:c>
      <x:c r="H142" s="11" t="n">
        <x:v>0</x:v>
      </x:c>
      <x:c r="I142" s="11" t="n">
        <x:v>1</x:v>
      </x:c>
      <x:c r="J142" s="11" t="n">
        <x:v>0</x:v>
      </x:c>
      <x:c r="K142" s="11" t="n">
        <x:v>0</x:v>
      </x:c>
      <x:c r="L142" s="11" t="n">
        <x:f>IF(B142="NED",1,IF(OR(B142="ED",B142="UN"),0,""))</x:f>
        <x:v>0</x:v>
      </x:c>
      <x:c r="M142" s="11" t="n">
        <x:f>IF(AND(K142=1,OR(B142="ED",B142="NED")),1,0)</x:f>
        <x:v>0</x:v>
      </x:c>
      <x:c r="N142" s="11" t="n">
        <x:f>IF(K142=1,1,0)</x:f>
        <x:v>0</x:v>
      </x:c>
      <x:c r="O142" s="12" t="str">
        <x:v>Require exact native accession match</x:v>
      </x:c>
      <x:c r="P142" s="11" t="n">
        <x:v>0</x:v>
      </x:c>
      <x:c r="Q142" s="12"/>
      <x:c r="R142" s="12"/>
      <x:c r="S142" s="11" t="n">
        <x:v>2840</x:v>
      </x:c>
      <x:c r="T142" s="11" t="n">
        <x:v>399</x:v>
      </x:c>
    </x:row>
    <x:row r="143" ht="23" customHeight="1">
      <x:c r="A143" s="2" t="str">
        <x:v>D3YYT1</x:v>
      </x:c>
      <x:c r="B143" s="2" t="str">
        <x:v>UN</x:v>
      </x:c>
      <x:c r="C143" s="2"/>
      <x:c r="D143" s="2"/>
      <x:c r="E143" s="10"/>
      <x:c r="F143" s="11"/>
      <x:c r="G143" s="11" t="n">
        <x:v>0</x:v>
      </x:c>
      <x:c r="H143" s="11" t="n">
        <x:v>0</x:v>
      </x:c>
      <x:c r="I143" s="11" t="n">
        <x:v>0</x:v>
      </x:c>
      <x:c r="J143" s="11" t="n">
        <x:v>0</x:v>
      </x:c>
      <x:c r="K143" s="11" t="n">
        <x:v>0</x:v>
      </x:c>
      <x:c r="L143" s="11" t="n">
        <x:f>IF(B143="NED",1,IF(OR(B143="ED",B143="UN"),0,""))</x:f>
        <x:v>0</x:v>
      </x:c>
      <x:c r="M143" s="11" t="n">
        <x:f>IF(AND(K143=1,OR(B143="ED",B143="NED")),1,0)</x:f>
        <x:v>0</x:v>
      </x:c>
      <x:c r="N143" s="11" t="n">
        <x:f>IF(K143=1,1,0)</x:f>
        <x:v>0</x:v>
      </x:c>
      <x:c r="O143" s="12" t="str">
        <x:v>Require exact native accession match</x:v>
      </x:c>
      <x:c r="P143" s="11" t="n">
        <x:v>0</x:v>
      </x:c>
      <x:c r="Q143" s="12"/>
      <x:c r="R143" s="12"/>
      <x:c r="S143" s="11" t="n">
        <x:v>2841</x:v>
      </x:c>
      <x:c r="T143" s="11" t="n">
        <x:v>552</x:v>
      </x:c>
    </x:row>
    <x:row r="144" ht="23" customHeight="1">
      <x:c r="A144" s="2" t="str">
        <x:v>D3YYU8</x:v>
      </x:c>
      <x:c r="B144" s="2" t="str">
        <x:v>UN</x:v>
      </x:c>
      <x:c r="C144" s="2" t="n">
        <x:v>1</x:v>
      </x:c>
      <x:c r="D144" s="2" t="n">
        <x:v>1</x:v>
      </x:c>
      <x:c r="E144" s="10" t="n">
        <x:v>80.43986141906875</x:v>
      </x:c>
      <x:c r="F144" s="11" t="n">
        <x:v>1804</x:v>
      </x:c>
      <x:c r="G144" s="11" t="n">
        <x:v>0</x:v>
      </x:c>
      <x:c r="H144" s="11" t="n">
        <x:v>0</x:v>
      </x:c>
      <x:c r="I144" s="11" t="n">
        <x:v>0</x:v>
      </x:c>
      <x:c r="J144" s="11" t="n">
        <x:v>0</x:v>
      </x:c>
      <x:c r="K144" s="11" t="n">
        <x:v>1</x:v>
      </x:c>
      <x:c r="L144" s="11" t="n">
        <x:f>IF(B144="NED",1,IF(OR(B144="ED",B144="UN"),0,""))</x:f>
        <x:v>0</x:v>
      </x:c>
      <x:c r="M144" s="11" t="n">
        <x:f>IF(AND(K144=1,OR(B144="ED",B144="NED")),1,0)</x:f>
        <x:v>0</x:v>
      </x:c>
      <x:c r="N144" s="11" t="n">
        <x:f>IF(K144=1,1,0)</x:f>
        <x:v>1</x:v>
      </x:c>
      <x:c r="O144" s="12"/>
      <x:c r="P144" s="11" t="n">
        <x:v>0</x:v>
      </x:c>
      <x:c r="Q144" s="12" t="str">
        <x:v>AF-D3YYU8-F1-model_v6</x:v>
      </x:c>
      <x:c r="R144" s="12" t="str">
        <x:v>ok</x:v>
      </x:c>
      <x:c r="S144" s="11" t="n">
        <x:v>45</x:v>
      </x:c>
      <x:c r="T144" s="11" t="n">
        <x:v>1804</x:v>
      </x:c>
    </x:row>
    <x:row r="145" ht="23" customHeight="1">
      <x:c r="A145" s="2" t="str">
        <x:v>D3YZ62</x:v>
      </x:c>
      <x:c r="B145" s="2" t="str">
        <x:v>NED</x:v>
      </x:c>
      <x:c r="C145" s="2"/>
      <x:c r="D145" s="2"/>
      <x:c r="E145" s="10"/>
      <x:c r="F145" s="11"/>
      <x:c r="G145" s="11" t="n">
        <x:v>0</x:v>
      </x:c>
      <x:c r="H145" s="11" t="n">
        <x:v>0</x:v>
      </x:c>
      <x:c r="I145" s="11" t="n">
        <x:v>0</x:v>
      </x:c>
      <x:c r="J145" s="11" t="n">
        <x:v>0</x:v>
      </x:c>
      <x:c r="K145" s="11" t="n">
        <x:v>0</x:v>
      </x:c>
      <x:c r="L145" s="11" t="n">
        <x:f>IF(B145="NED",1,IF(OR(B145="ED",B145="UN"),0,""))</x:f>
        <x:v>1</x:v>
      </x:c>
      <x:c r="M145" s="11" t="n">
        <x:f>IF(AND(K145=1,OR(B145="ED",B145="NED")),1,0)</x:f>
        <x:v>0</x:v>
      </x:c>
      <x:c r="N145" s="11" t="n">
        <x:f>IF(K145=1,1,0)</x:f>
        <x:v>0</x:v>
      </x:c>
      <x:c r="O145" s="12" t="str">
        <x:v>Require exact native accession match</x:v>
      </x:c>
      <x:c r="P145" s="11" t="n">
        <x:v>0</x:v>
      </x:c>
      <x:c r="Q145" s="12"/>
      <x:c r="R145" s="12"/>
      <x:c r="S145" s="11" t="n">
        <x:v>2842</x:v>
      </x:c>
      <x:c r="T145" s="11" t="n">
        <x:v>1828</x:v>
      </x:c>
    </x:row>
    <x:row r="146" ht="23" customHeight="1">
      <x:c r="A146" s="2" t="str">
        <x:v>D3YZC9</x:v>
      </x:c>
      <x:c r="B146" s="2" t="str">
        <x:v>ED</x:v>
      </x:c>
      <x:c r="C146" s="2"/>
      <x:c r="D146" s="2"/>
      <x:c r="E146" s="10"/>
      <x:c r="F146" s="11"/>
      <x:c r="G146" s="11" t="n">
        <x:v>0</x:v>
      </x:c>
      <x:c r="H146" s="11" t="n">
        <x:v>0</x:v>
      </x:c>
      <x:c r="I146" s="11" t="n">
        <x:v>0</x:v>
      </x:c>
      <x:c r="J146" s="11" t="n">
        <x:v>0</x:v>
      </x:c>
      <x:c r="K146" s="11" t="n">
        <x:v>0</x:v>
      </x:c>
      <x:c r="L146" s="11" t="n">
        <x:f>IF(B146="NED",1,IF(OR(B146="ED",B146="UN"),0,""))</x:f>
        <x:v>0</x:v>
      </x:c>
      <x:c r="M146" s="11" t="n">
        <x:f>IF(AND(K146=1,OR(B146="ED",B146="NED")),1,0)</x:f>
        <x:v>0</x:v>
      </x:c>
      <x:c r="N146" s="11" t="n">
        <x:f>IF(K146=1,1,0)</x:f>
        <x:v>0</x:v>
      </x:c>
      <x:c r="O146" s="12" t="str">
        <x:v>Require exact native accession match</x:v>
      </x:c>
      <x:c r="P146" s="11" t="n">
        <x:v>0</x:v>
      </x:c>
      <x:c r="Q146" s="12"/>
      <x:c r="R146" s="12"/>
      <x:c r="S146" s="11" t="n">
        <x:v>2843</x:v>
      </x:c>
      <x:c r="T146" s="11" t="n">
        <x:v>571</x:v>
      </x:c>
    </x:row>
    <x:row r="147" ht="23" customHeight="1">
      <x:c r="A147" s="2" t="str">
        <x:v>D3YZE7</x:v>
      </x:c>
      <x:c r="B147" s="2" t="str">
        <x:v>ED</x:v>
      </x:c>
      <x:c r="C147" s="2"/>
      <x:c r="D147" s="2"/>
      <x:c r="E147" s="10"/>
      <x:c r="F147" s="11"/>
      <x:c r="G147" s="11" t="n">
        <x:v>0</x:v>
      </x:c>
      <x:c r="H147" s="11" t="n">
        <x:v>0</x:v>
      </x:c>
      <x:c r="I147" s="11" t="n">
        <x:v>0</x:v>
      </x:c>
      <x:c r="J147" s="11" t="n">
        <x:v>0</x:v>
      </x:c>
      <x:c r="K147" s="11" t="n">
        <x:v>0</x:v>
      </x:c>
      <x:c r="L147" s="11" t="n">
        <x:f>IF(B147="NED",1,IF(OR(B147="ED",B147="UN"),0,""))</x:f>
        <x:v>0</x:v>
      </x:c>
      <x:c r="M147" s="11" t="n">
        <x:f>IF(AND(K147=1,OR(B147="ED",B147="NED")),1,0)</x:f>
        <x:v>0</x:v>
      </x:c>
      <x:c r="N147" s="11" t="n">
        <x:f>IF(K147=1,1,0)</x:f>
        <x:v>0</x:v>
      </x:c>
      <x:c r="O147" s="12" t="str">
        <x:v>Require exact native accession match</x:v>
      </x:c>
      <x:c r="P147" s="11" t="n">
        <x:v>0</x:v>
      </x:c>
      <x:c r="Q147" s="12"/>
      <x:c r="R147" s="12"/>
      <x:c r="S147" s="11" t="n">
        <x:v>2844</x:v>
      </x:c>
      <x:c r="T147" s="11" t="n">
        <x:v>1206</x:v>
      </x:c>
    </x:row>
    <x:row r="148" ht="23" customHeight="1">
      <x:c r="A148" s="2" t="str">
        <x:v>D3YZH4</x:v>
      </x:c>
      <x:c r="B148" s="2" t="str">
        <x:v>UN</x:v>
      </x:c>
      <x:c r="C148" s="2"/>
      <x:c r="D148" s="2"/>
      <x:c r="E148" s="10"/>
      <x:c r="F148" s="11"/>
      <x:c r="G148" s="11" t="n">
        <x:v>0</x:v>
      </x:c>
      <x:c r="H148" s="11" t="n">
        <x:v>0</x:v>
      </x:c>
      <x:c r="I148" s="11" t="n">
        <x:v>1</x:v>
      </x:c>
      <x:c r="J148" s="11" t="n">
        <x:v>0</x:v>
      </x:c>
      <x:c r="K148" s="11" t="n">
        <x:v>0</x:v>
      </x:c>
      <x:c r="L148" s="11" t="n">
        <x:f>IF(B148="NED",1,IF(OR(B148="ED",B148="UN"),0,""))</x:f>
        <x:v>0</x:v>
      </x:c>
      <x:c r="M148" s="11" t="n">
        <x:f>IF(AND(K148=1,OR(B148="ED",B148="NED")),1,0)</x:f>
        <x:v>0</x:v>
      </x:c>
      <x:c r="N148" s="11" t="n">
        <x:f>IF(K148=1,1,0)</x:f>
        <x:v>0</x:v>
      </x:c>
      <x:c r="O148" s="12" t="str">
        <x:v>Require exact native accession match</x:v>
      </x:c>
      <x:c r="P148" s="11" t="n">
        <x:v>0</x:v>
      </x:c>
      <x:c r="Q148" s="12"/>
      <x:c r="R148" s="12"/>
      <x:c r="S148" s="11" t="n">
        <x:v>2845</x:v>
      </x:c>
      <x:c r="T148" s="11" t="n">
        <x:v>160</x:v>
      </x:c>
    </x:row>
    <x:row r="149" ht="23" customHeight="1">
      <x:c r="A149" s="2" t="str">
        <x:v>D3Z030</x:v>
      </x:c>
      <x:c r="B149" s="2" t="str">
        <x:v>ED</x:v>
      </x:c>
      <x:c r="C149" s="2"/>
      <x:c r="D149" s="2"/>
      <x:c r="E149" s="10"/>
      <x:c r="F149" s="11"/>
      <x:c r="G149" s="11" t="n">
        <x:v>0</x:v>
      </x:c>
      <x:c r="H149" s="11" t="n">
        <x:v>0</x:v>
      </x:c>
      <x:c r="I149" s="11" t="n">
        <x:v>1</x:v>
      </x:c>
      <x:c r="J149" s="11" t="n">
        <x:v>0</x:v>
      </x:c>
      <x:c r="K149" s="11" t="n">
        <x:v>0</x:v>
      </x:c>
      <x:c r="L149" s="11" t="n">
        <x:f>IF(B149="NED",1,IF(OR(B149="ED",B149="UN"),0,""))</x:f>
        <x:v>0</x:v>
      </x:c>
      <x:c r="M149" s="11" t="n">
        <x:f>IF(AND(K149=1,OR(B149="ED",B149="NED")),1,0)</x:f>
        <x:v>0</x:v>
      </x:c>
      <x:c r="N149" s="11" t="n">
        <x:f>IF(K149=1,1,0)</x:f>
        <x:v>0</x:v>
      </x:c>
      <x:c r="O149" s="12" t="str">
        <x:v>Require exact native accession match</x:v>
      </x:c>
      <x:c r="P149" s="11" t="n">
        <x:v>0</x:v>
      </x:c>
      <x:c r="Q149" s="12"/>
      <x:c r="R149" s="12"/>
      <x:c r="S149" s="11" t="n">
        <x:v>2846</x:v>
      </x:c>
      <x:c r="T149" s="11" t="n">
        <x:v>1332</x:v>
      </x:c>
    </x:row>
    <x:row r="150" ht="23" customHeight="1">
      <x:c r="A150" s="2" t="str">
        <x:v>D3Z0F5</x:v>
      </x:c>
      <x:c r="B150" s="2" t="str">
        <x:v>NED</x:v>
      </x:c>
      <x:c r="C150" s="2"/>
      <x:c r="D150" s="2"/>
      <x:c r="E150" s="10"/>
      <x:c r="F150" s="11"/>
      <x:c r="G150" s="11" t="n">
        <x:v>0</x:v>
      </x:c>
      <x:c r="H150" s="11" t="n">
        <x:v>0</x:v>
      </x:c>
      <x:c r="I150" s="11" t="n">
        <x:v>0</x:v>
      </x:c>
      <x:c r="J150" s="11" t="n">
        <x:v>0</x:v>
      </x:c>
      <x:c r="K150" s="11" t="n">
        <x:v>0</x:v>
      </x:c>
      <x:c r="L150" s="11" t="n">
        <x:f>IF(B150="NED",1,IF(OR(B150="ED",B150="UN"),0,""))</x:f>
        <x:v>1</x:v>
      </x:c>
      <x:c r="M150" s="11" t="n">
        <x:f>IF(AND(K150=1,OR(B150="ED",B150="NED")),1,0)</x:f>
        <x:v>0</x:v>
      </x:c>
      <x:c r="N150" s="11" t="n">
        <x:f>IF(K150=1,1,0)</x:f>
        <x:v>0</x:v>
      </x:c>
      <x:c r="O150" s="12" t="str">
        <x:v>Require exact native accession match</x:v>
      </x:c>
      <x:c r="P150" s="11" t="n">
        <x:v>0</x:v>
      </x:c>
      <x:c r="Q150" s="12"/>
      <x:c r="R150" s="12"/>
      <x:c r="S150" s="11" t="n">
        <x:v>2847</x:v>
      </x:c>
      <x:c r="T150" s="11" t="n">
        <x:v>297</x:v>
      </x:c>
    </x:row>
    <x:row r="151" ht="23" customHeight="1">
      <x:c r="A151" s="2" t="str">
        <x:v>D3Z0M9</x:v>
      </x:c>
      <x:c r="B151" s="2" t="str">
        <x:v>ED</x:v>
      </x:c>
      <x:c r="C151" s="2" t="n">
        <x:v>1</x:v>
      </x:c>
      <x:c r="D151" s="2" t="n">
        <x:v>1</x:v>
      </x:c>
      <x:c r="E151" s="10" t="n">
        <x:v>77.9676923076923</x:v>
      </x:c>
      <x:c r="F151" s="11" t="n">
        <x:v>819</x:v>
      </x:c>
      <x:c r="G151" s="11" t="n">
        <x:v>0</x:v>
      </x:c>
      <x:c r="H151" s="11" t="n">
        <x:v>0</x:v>
      </x:c>
      <x:c r="I151" s="11" t="n">
        <x:v>0</x:v>
      </x:c>
      <x:c r="J151" s="11" t="n">
        <x:v>0</x:v>
      </x:c>
      <x:c r="K151" s="11" t="n">
        <x:v>1</x:v>
      </x:c>
      <x:c r="L151" s="11" t="n">
        <x:f>IF(B151="NED",1,IF(OR(B151="ED",B151="UN"),0,""))</x:f>
        <x:v>0</x:v>
      </x:c>
      <x:c r="M151" s="11" t="n">
        <x:f>IF(AND(K151=1,OR(B151="ED",B151="NED")),1,0)</x:f>
        <x:v>1</x:v>
      </x:c>
      <x:c r="N151" s="11" t="n">
        <x:f>IF(K151=1,1,0)</x:f>
        <x:v>1</x:v>
      </x:c>
      <x:c r="O151" s="12"/>
      <x:c r="P151" s="11" t="n">
        <x:v>0</x:v>
      </x:c>
      <x:c r="Q151" s="12" t="str">
        <x:v>AF-D3Z0M9-F1-model_v6</x:v>
      </x:c>
      <x:c r="R151" s="12" t="str">
        <x:v>ok</x:v>
      </x:c>
      <x:c r="S151" s="11" t="n">
        <x:v>2848</x:v>
      </x:c>
      <x:c r="T151" s="11" t="n">
        <x:v>819</x:v>
      </x:c>
    </x:row>
    <x:row r="152" ht="23" customHeight="1">
      <x:c r="A152" s="2" t="str">
        <x:v>D3Z0Q6</x:v>
      </x:c>
      <x:c r="B152" s="2" t="str">
        <x:v>NED</x:v>
      </x:c>
      <x:c r="C152" s="2"/>
      <x:c r="D152" s="2"/>
      <x:c r="E152" s="10"/>
      <x:c r="F152" s="11"/>
      <x:c r="G152" s="11" t="n">
        <x:v>0</x:v>
      </x:c>
      <x:c r="H152" s="11" t="n">
        <x:v>0</x:v>
      </x:c>
      <x:c r="I152" s="11"/>
      <x:c r="J152" s="11"/>
      <x:c r="K152" s="11" t="n">
        <x:v>0</x:v>
      </x:c>
      <x:c r="L152" s="11" t="n">
        <x:f>IF(B152="NED",1,IF(OR(B152="ED",B152="UN"),0,""))</x:f>
        <x:v>1</x:v>
      </x:c>
      <x:c r="M152" s="11" t="n">
        <x:f>IF(AND(K152=1,OR(B152="ED",B152="NED")),1,0)</x:f>
        <x:v>0</x:v>
      </x:c>
      <x:c r="N152" s="11" t="n">
        <x:f>IF(K152=1,1,0)</x:f>
        <x:v>0</x:v>
      </x:c>
      <x:c r="O152" s="12" t="str">
        <x:v>Require exact native accession match</x:v>
      </x:c>
      <x:c r="P152" s="11" t="n">
        <x:v>0</x:v>
      </x:c>
      <x:c r="Q152" s="12"/>
      <x:c r="R152" s="12"/>
      <x:c r="S152" s="11" t="n">
        <x:v>2849</x:v>
      </x:c>
      <x:c r="T152" s="11"/>
    </x:row>
    <x:row r="153" ht="23" customHeight="1">
      <x:c r="A153" s="2" t="str">
        <x:v>D3Z0V2</x:v>
      </x:c>
      <x:c r="B153" s="2" t="str">
        <x:v>ED</x:v>
      </x:c>
      <x:c r="C153" s="2"/>
      <x:c r="D153" s="2"/>
      <x:c r="E153" s="10"/>
      <x:c r="F153" s="11"/>
      <x:c r="G153" s="11" t="n">
        <x:v>0</x:v>
      </x:c>
      <x:c r="H153" s="11" t="n">
        <x:v>0</x:v>
      </x:c>
      <x:c r="I153" s="11" t="n">
        <x:v>0</x:v>
      </x:c>
      <x:c r="J153" s="11" t="n">
        <x:v>0</x:v>
      </x:c>
      <x:c r="K153" s="11" t="n">
        <x:v>0</x:v>
      </x:c>
      <x:c r="L153" s="11" t="n">
        <x:f>IF(B153="NED",1,IF(OR(B153="ED",B153="UN"),0,""))</x:f>
        <x:v>0</x:v>
      </x:c>
      <x:c r="M153" s="11" t="n">
        <x:f>IF(AND(K153=1,OR(B153="ED",B153="NED")),1,0)</x:f>
        <x:v>0</x:v>
      </x:c>
      <x:c r="N153" s="11" t="n">
        <x:f>IF(K153=1,1,0)</x:f>
        <x:v>0</x:v>
      </x:c>
      <x:c r="O153" s="12" t="str">
        <x:v>Require exact native accession match</x:v>
      </x:c>
      <x:c r="P153" s="11" t="n">
        <x:v>0</x:v>
      </x:c>
      <x:c r="Q153" s="12"/>
      <x:c r="R153" s="12"/>
      <x:c r="S153" s="11" t="n">
        <x:v>2850</x:v>
      </x:c>
      <x:c r="T153" s="11" t="n">
        <x:v>636</x:v>
      </x:c>
    </x:row>
    <x:row r="154" ht="23" customHeight="1">
      <x:c r="A154" s="2" t="str">
        <x:v>D3Z1X8</x:v>
      </x:c>
      <x:c r="B154" s="2" t="str">
        <x:v>UN</x:v>
      </x:c>
      <x:c r="C154" s="2"/>
      <x:c r="D154" s="2"/>
      <x:c r="E154" s="10"/>
      <x:c r="F154" s="11"/>
      <x:c r="G154" s="11" t="n">
        <x:v>0</x:v>
      </x:c>
      <x:c r="H154" s="11" t="n">
        <x:v>0</x:v>
      </x:c>
      <x:c r="I154" s="11"/>
      <x:c r="J154" s="11"/>
      <x:c r="K154" s="11" t="n">
        <x:v>0</x:v>
      </x:c>
      <x:c r="L154" s="11" t="n">
        <x:f>IF(B154="NED",1,IF(OR(B154="ED",B154="UN"),0,""))</x:f>
        <x:v>0</x:v>
      </x:c>
      <x:c r="M154" s="11" t="n">
        <x:f>IF(AND(K154=1,OR(B154="ED",B154="NED")),1,0)</x:f>
        <x:v>0</x:v>
      </x:c>
      <x:c r="N154" s="11" t="n">
        <x:f>IF(K154=1,1,0)</x:f>
        <x:v>0</x:v>
      </x:c>
      <x:c r="O154" s="12" t="str">
        <x:v>Require exact native accession match</x:v>
      </x:c>
      <x:c r="P154" s="11" t="n">
        <x:v>0</x:v>
      </x:c>
      <x:c r="Q154" s="12"/>
      <x:c r="R154" s="12"/>
      <x:c r="S154" s="11" t="n">
        <x:v>2851</x:v>
      </x:c>
      <x:c r="T154" s="11"/>
    </x:row>
    <x:row r="155" ht="23" customHeight="1">
      <x:c r="A155" s="2" t="str">
        <x:v>D3Z1Z0</x:v>
      </x:c>
      <x:c r="B155" s="2" t="str">
        <x:v>UN</x:v>
      </x:c>
      <x:c r="C155" s="2"/>
      <x:c r="D155" s="2"/>
      <x:c r="E155" s="10"/>
      <x:c r="F155" s="11"/>
      <x:c r="G155" s="11" t="n">
        <x:v>0</x:v>
      </x:c>
      <x:c r="H155" s="11" t="n">
        <x:v>0</x:v>
      </x:c>
      <x:c r="I155" s="11" t="n">
        <x:v>1</x:v>
      </x:c>
      <x:c r="J155" s="11" t="n">
        <x:v>0</x:v>
      </x:c>
      <x:c r="K155" s="11" t="n">
        <x:v>0</x:v>
      </x:c>
      <x:c r="L155" s="11" t="n">
        <x:f>IF(B155="NED",1,IF(OR(B155="ED",B155="UN"),0,""))</x:f>
        <x:v>0</x:v>
      </x:c>
      <x:c r="M155" s="11" t="n">
        <x:f>IF(AND(K155=1,OR(B155="ED",B155="NED")),1,0)</x:f>
        <x:v>0</x:v>
      </x:c>
      <x:c r="N155" s="11" t="n">
        <x:f>IF(K155=1,1,0)</x:f>
        <x:v>0</x:v>
      </x:c>
      <x:c r="O155" s="12" t="str">
        <x:v>Require exact native accession match</x:v>
      </x:c>
      <x:c r="P155" s="11" t="n">
        <x:v>0</x:v>
      </x:c>
      <x:c r="Q155" s="12"/>
      <x:c r="R155" s="12"/>
      <x:c r="S155" s="11" t="n">
        <x:v>2852</x:v>
      </x:c>
      <x:c r="T155" s="11" t="n">
        <x:v>97</x:v>
      </x:c>
    </x:row>
    <x:row r="156" ht="23" customHeight="1">
      <x:c r="A156" s="2" t="str">
        <x:v>D3Z1Z8</x:v>
      </x:c>
      <x:c r="B156" s="2" t="str">
        <x:v>ED</x:v>
      </x:c>
      <x:c r="C156" s="2"/>
      <x:c r="D156" s="2"/>
      <x:c r="E156" s="10"/>
      <x:c r="F156" s="11"/>
      <x:c r="G156" s="11" t="n">
        <x:v>0</x:v>
      </x:c>
      <x:c r="H156" s="11" t="n">
        <x:v>0</x:v>
      </x:c>
      <x:c r="I156" s="11" t="n">
        <x:v>0</x:v>
      </x:c>
      <x:c r="J156" s="11" t="n">
        <x:v>0</x:v>
      </x:c>
      <x:c r="K156" s="11" t="n">
        <x:v>0</x:v>
      </x:c>
      <x:c r="L156" s="11" t="n">
        <x:f>IF(B156="NED",1,IF(OR(B156="ED",B156="UN"),0,""))</x:f>
        <x:v>0</x:v>
      </x:c>
      <x:c r="M156" s="11" t="n">
        <x:f>IF(AND(K156=1,OR(B156="ED",B156="NED")),1,0)</x:f>
        <x:v>0</x:v>
      </x:c>
      <x:c r="N156" s="11" t="n">
        <x:f>IF(K156=1,1,0)</x:f>
        <x:v>0</x:v>
      </x:c>
      <x:c r="O156" s="12" t="str">
        <x:v>Require exact native accession match</x:v>
      </x:c>
      <x:c r="P156" s="11" t="n">
        <x:v>0</x:v>
      </x:c>
      <x:c r="Q156" s="12"/>
      <x:c r="R156" s="12"/>
      <x:c r="S156" s="11" t="n">
        <x:v>2853</x:v>
      </x:c>
      <x:c r="T156" s="11" t="n">
        <x:v>102</x:v>
      </x:c>
    </x:row>
    <x:row r="157" ht="23" customHeight="1">
      <x:c r="A157" s="2" t="str">
        <x:v>D3Z2E3</x:v>
      </x:c>
      <x:c r="B157" s="2" t="str">
        <x:v>UN</x:v>
      </x:c>
      <x:c r="C157" s="2"/>
      <x:c r="D157" s="2"/>
      <x:c r="E157" s="10"/>
      <x:c r="F157" s="11"/>
      <x:c r="G157" s="11" t="n">
        <x:v>0</x:v>
      </x:c>
      <x:c r="H157" s="11" t="n">
        <x:v>0</x:v>
      </x:c>
      <x:c r="I157" s="11" t="n">
        <x:v>0</x:v>
      </x:c>
      <x:c r="J157" s="11" t="n">
        <x:v>0</x:v>
      </x:c>
      <x:c r="K157" s="11" t="n">
        <x:v>0</x:v>
      </x:c>
      <x:c r="L157" s="11" t="n">
        <x:f>IF(B157="NED",1,IF(OR(B157="ED",B157="UN"),0,""))</x:f>
        <x:v>0</x:v>
      </x:c>
      <x:c r="M157" s="11" t="n">
        <x:f>IF(AND(K157=1,OR(B157="ED",B157="NED")),1,0)</x:f>
        <x:v>0</x:v>
      </x:c>
      <x:c r="N157" s="11" t="n">
        <x:f>IF(K157=1,1,0)</x:f>
        <x:v>0</x:v>
      </x:c>
      <x:c r="O157" s="12" t="str">
        <x:v>Require exact native accession match</x:v>
      </x:c>
      <x:c r="P157" s="11" t="n">
        <x:v>0</x:v>
      </x:c>
      <x:c r="Q157" s="12"/>
      <x:c r="R157" s="12"/>
      <x:c r="S157" s="11" t="n">
        <x:v>2854</x:v>
      </x:c>
      <x:c r="T157" s="11" t="n">
        <x:v>705</x:v>
      </x:c>
    </x:row>
    <x:row r="158" ht="23" customHeight="1">
      <x:c r="A158" s="2" t="str">
        <x:v>D3Z2J3</x:v>
      </x:c>
      <x:c r="B158" s="2" t="str">
        <x:v>UN</x:v>
      </x:c>
      <x:c r="C158" s="2"/>
      <x:c r="D158" s="2"/>
      <x:c r="E158" s="10"/>
      <x:c r="F158" s="11"/>
      <x:c r="G158" s="11" t="n">
        <x:v>0</x:v>
      </x:c>
      <x:c r="H158" s="11" t="n">
        <x:v>0</x:v>
      </x:c>
      <x:c r="I158" s="11"/>
      <x:c r="J158" s="11"/>
      <x:c r="K158" s="11" t="n">
        <x:v>0</x:v>
      </x:c>
      <x:c r="L158" s="11" t="n">
        <x:f>IF(B158="NED",1,IF(OR(B158="ED",B158="UN"),0,""))</x:f>
        <x:v>0</x:v>
      </x:c>
      <x:c r="M158" s="11" t="n">
        <x:f>IF(AND(K158=1,OR(B158="ED",B158="NED")),1,0)</x:f>
        <x:v>0</x:v>
      </x:c>
      <x:c r="N158" s="11" t="n">
        <x:f>IF(K158=1,1,0)</x:f>
        <x:v>0</x:v>
      </x:c>
      <x:c r="O158" s="12" t="str">
        <x:v>Require exact native accession match</x:v>
      </x:c>
      <x:c r="P158" s="11" t="n">
        <x:v>0</x:v>
      </x:c>
      <x:c r="Q158" s="12"/>
      <x:c r="R158" s="12"/>
      <x:c r="S158" s="11" t="n">
        <x:v>2855</x:v>
      </x:c>
      <x:c r="T158" s="11"/>
    </x:row>
    <x:row r="159" ht="23" customHeight="1">
      <x:c r="A159" s="2" t="str">
        <x:v>D3Z3A0</x:v>
      </x:c>
      <x:c r="B159" s="2" t="str">
        <x:v>ED</x:v>
      </x:c>
      <x:c r="C159" s="2"/>
      <x:c r="D159" s="2"/>
      <x:c r="E159" s="10"/>
      <x:c r="F159" s="11"/>
      <x:c r="G159" s="11" t="n">
        <x:v>0</x:v>
      </x:c>
      <x:c r="H159" s="11" t="n">
        <x:v>0</x:v>
      </x:c>
      <x:c r="I159" s="11" t="n">
        <x:v>0</x:v>
      </x:c>
      <x:c r="J159" s="11" t="n">
        <x:v>0</x:v>
      </x:c>
      <x:c r="K159" s="11" t="n">
        <x:v>0</x:v>
      </x:c>
      <x:c r="L159" s="11" t="n">
        <x:f>IF(B159="NED",1,IF(OR(B159="ED",B159="UN"),0,""))</x:f>
        <x:v>0</x:v>
      </x:c>
      <x:c r="M159" s="11" t="n">
        <x:f>IF(AND(K159=1,OR(B159="ED",B159="NED")),1,0)</x:f>
        <x:v>0</x:v>
      </x:c>
      <x:c r="N159" s="11" t="n">
        <x:f>IF(K159=1,1,0)</x:f>
        <x:v>0</x:v>
      </x:c>
      <x:c r="O159" s="12" t="str">
        <x:v>Require exact native accession match</x:v>
      </x:c>
      <x:c r="P159" s="11" t="n">
        <x:v>0</x:v>
      </x:c>
      <x:c r="Q159" s="12"/>
      <x:c r="R159" s="12"/>
      <x:c r="S159" s="11" t="n">
        <x:v>2856</x:v>
      </x:c>
      <x:c r="T159" s="11" t="n">
        <x:v>195</x:v>
      </x:c>
    </x:row>
    <x:row r="160" ht="23" customHeight="1">
      <x:c r="A160" s="2" t="str">
        <x:v>D3Z3D0</x:v>
      </x:c>
      <x:c r="B160" s="2" t="str">
        <x:v>UN</x:v>
      </x:c>
      <x:c r="C160" s="2"/>
      <x:c r="D160" s="2"/>
      <x:c r="E160" s="10"/>
      <x:c r="F160" s="11"/>
      <x:c r="G160" s="11" t="n">
        <x:v>0</x:v>
      </x:c>
      <x:c r="H160" s="11" t="n">
        <x:v>0</x:v>
      </x:c>
      <x:c r="I160" s="11" t="n">
        <x:v>0</x:v>
      </x:c>
      <x:c r="J160" s="11" t="n">
        <x:v>0</x:v>
      </x:c>
      <x:c r="K160" s="11" t="n">
        <x:v>0</x:v>
      </x:c>
      <x:c r="L160" s="11" t="n">
        <x:f>IF(B160="NED",1,IF(OR(B160="ED",B160="UN"),0,""))</x:f>
        <x:v>0</x:v>
      </x:c>
      <x:c r="M160" s="11" t="n">
        <x:f>IF(AND(K160=1,OR(B160="ED",B160="NED")),1,0)</x:f>
        <x:v>0</x:v>
      </x:c>
      <x:c r="N160" s="11" t="n">
        <x:f>IF(K160=1,1,0)</x:f>
        <x:v>0</x:v>
      </x:c>
      <x:c r="O160" s="12" t="str">
        <x:v>Require exact native accession match</x:v>
      </x:c>
      <x:c r="P160" s="11" t="n">
        <x:v>0</x:v>
      </x:c>
      <x:c r="Q160" s="12"/>
      <x:c r="R160" s="12"/>
      <x:c r="S160" s="11" t="n">
        <x:v>2857</x:v>
      </x:c>
      <x:c r="T160" s="11" t="n">
        <x:v>430</x:v>
      </x:c>
    </x:row>
    <x:row r="161" ht="23" customHeight="1">
      <x:c r="A161" s="2" t="str">
        <x:v>D3Z3H0</x:v>
      </x:c>
      <x:c r="B161" s="2" t="str">
        <x:v>UN</x:v>
      </x:c>
      <x:c r="C161" s="2" t="n">
        <x:v>0</x:v>
      </x:c>
      <x:c r="D161" s="2" t="n">
        <x:v>0</x:v>
      </x:c>
      <x:c r="E161" s="10" t="n">
        <x:v>66.09163934426229</x:v>
      </x:c>
      <x:c r="F161" s="11" t="n">
        <x:v>244</x:v>
      </x:c>
      <x:c r="G161" s="11" t="n">
        <x:v>0</x:v>
      </x:c>
      <x:c r="H161" s="11" t="n">
        <x:v>0</x:v>
      </x:c>
      <x:c r="I161" s="11" t="n">
        <x:v>0</x:v>
      </x:c>
      <x:c r="J161" s="11" t="n">
        <x:v>0</x:v>
      </x:c>
      <x:c r="K161" s="11" t="n">
        <x:v>0</x:v>
      </x:c>
      <x:c r="L161" s="11" t="n">
        <x:f>IF(B161="NED",1,IF(OR(B161="ED",B161="UN"),0,""))</x:f>
        <x:v>0</x:v>
      </x:c>
      <x:c r="M161" s="11" t="n">
        <x:f>IF(AND(K161=1,OR(B161="ED",B161="NED")),1,0)</x:f>
        <x:v>0</x:v>
      </x:c>
      <x:c r="N161" s="11" t="n">
        <x:f>IF(K161=1,1,0)</x:f>
        <x:v>0</x:v>
      </x:c>
      <x:c r="O161" s="12" t="str">
        <x:v>Retain protein mean pLDDT &gt;=70</x:v>
      </x:c>
      <x:c r="P161" s="11" t="n">
        <x:v>0</x:v>
      </x:c>
      <x:c r="Q161" s="12" t="str">
        <x:v>AF-D3Z3H0-F1-model_v6</x:v>
      </x:c>
      <x:c r="R161" s="12" t="str">
        <x:v>ok</x:v>
      </x:c>
      <x:c r="S161" s="11" t="n">
        <x:v>2858</x:v>
      </x:c>
      <x:c r="T161" s="11" t="n">
        <x:v>244</x:v>
      </x:c>
    </x:row>
    <x:row r="162" ht="23" customHeight="1">
      <x:c r="A162" s="2" t="str">
        <x:v>D3Z3J6</x:v>
      </x:c>
      <x:c r="B162" s="2" t="str">
        <x:v>ED</x:v>
      </x:c>
      <x:c r="C162" s="2"/>
      <x:c r="D162" s="2"/>
      <x:c r="E162" s="10"/>
      <x:c r="F162" s="11"/>
      <x:c r="G162" s="11" t="n">
        <x:v>0</x:v>
      </x:c>
      <x:c r="H162" s="11" t="n">
        <x:v>0</x:v>
      </x:c>
      <x:c r="I162" s="11" t="n">
        <x:v>0</x:v>
      </x:c>
      <x:c r="J162" s="11" t="n">
        <x:v>0</x:v>
      </x:c>
      <x:c r="K162" s="11" t="n">
        <x:v>0</x:v>
      </x:c>
      <x:c r="L162" s="11" t="n">
        <x:f>IF(B162="NED",1,IF(OR(B162="ED",B162="UN"),0,""))</x:f>
        <x:v>0</x:v>
      </x:c>
      <x:c r="M162" s="11" t="n">
        <x:f>IF(AND(K162=1,OR(B162="ED",B162="NED")),1,0)</x:f>
        <x:v>0</x:v>
      </x:c>
      <x:c r="N162" s="11" t="n">
        <x:f>IF(K162=1,1,0)</x:f>
        <x:v>0</x:v>
      </x:c>
      <x:c r="O162" s="12" t="str">
        <x:v>Require exact native accession match</x:v>
      </x:c>
      <x:c r="P162" s="11" t="n">
        <x:v>0</x:v>
      </x:c>
      <x:c r="Q162" s="12"/>
      <x:c r="R162" s="12"/>
      <x:c r="S162" s="11" t="n">
        <x:v>2859</x:v>
      </x:c>
      <x:c r="T162" s="11" t="n">
        <x:v>367</x:v>
      </x:c>
    </x:row>
    <x:row r="163" ht="23" customHeight="1">
      <x:c r="A163" s="2" t="str">
        <x:v>D3Z456</x:v>
      </x:c>
      <x:c r="B163" s="2" t="str">
        <x:v>NED</x:v>
      </x:c>
      <x:c r="C163" s="2"/>
      <x:c r="D163" s="2"/>
      <x:c r="E163" s="10"/>
      <x:c r="F163" s="11"/>
      <x:c r="G163" s="11" t="n">
        <x:v>0</x:v>
      </x:c>
      <x:c r="H163" s="11" t="n">
        <x:v>0</x:v>
      </x:c>
      <x:c r="I163" s="11" t="n">
        <x:v>0</x:v>
      </x:c>
      <x:c r="J163" s="11" t="n">
        <x:v>0</x:v>
      </x:c>
      <x:c r="K163" s="11" t="n">
        <x:v>0</x:v>
      </x:c>
      <x:c r="L163" s="11" t="n">
        <x:f>IF(B163="NED",1,IF(OR(B163="ED",B163="UN"),0,""))</x:f>
        <x:v>1</x:v>
      </x:c>
      <x:c r="M163" s="11" t="n">
        <x:f>IF(AND(K163=1,OR(B163="ED",B163="NED")),1,0)</x:f>
        <x:v>0</x:v>
      </x:c>
      <x:c r="N163" s="11" t="n">
        <x:f>IF(K163=1,1,0)</x:f>
        <x:v>0</x:v>
      </x:c>
      <x:c r="O163" s="12" t="str">
        <x:v>Require exact native accession match</x:v>
      </x:c>
      <x:c r="P163" s="11" t="n">
        <x:v>0</x:v>
      </x:c>
      <x:c r="Q163" s="12"/>
      <x:c r="R163" s="12"/>
      <x:c r="S163" s="11" t="n">
        <x:v>2860</x:v>
      </x:c>
      <x:c r="T163" s="11" t="n">
        <x:v>304</x:v>
      </x:c>
    </x:row>
    <x:row r="164" ht="23" customHeight="1">
      <x:c r="A164" s="2" t="str">
        <x:v>D3Z481</x:v>
      </x:c>
      <x:c r="B164" s="2" t="str">
        <x:v>ED</x:v>
      </x:c>
      <x:c r="C164" s="2"/>
      <x:c r="D164" s="2"/>
      <x:c r="E164" s="10"/>
      <x:c r="F164" s="11"/>
      <x:c r="G164" s="11" t="n">
        <x:v>0</x:v>
      </x:c>
      <x:c r="H164" s="11" t="n">
        <x:v>0</x:v>
      </x:c>
      <x:c r="I164" s="11"/>
      <x:c r="J164" s="11"/>
      <x:c r="K164" s="11" t="n">
        <x:v>0</x:v>
      </x:c>
      <x:c r="L164" s="11" t="n">
        <x:f>IF(B164="NED",1,IF(OR(B164="ED",B164="UN"),0,""))</x:f>
        <x:v>0</x:v>
      </x:c>
      <x:c r="M164" s="11" t="n">
        <x:f>IF(AND(K164=1,OR(B164="ED",B164="NED")),1,0)</x:f>
        <x:v>0</x:v>
      </x:c>
      <x:c r="N164" s="11" t="n">
        <x:f>IF(K164=1,1,0)</x:f>
        <x:v>0</x:v>
      </x:c>
      <x:c r="O164" s="12" t="str">
        <x:v>Require exact native accession match</x:v>
      </x:c>
      <x:c r="P164" s="11" t="n">
        <x:v>0</x:v>
      </x:c>
      <x:c r="Q164" s="12"/>
      <x:c r="R164" s="12"/>
      <x:c r="S164" s="11" t="n">
        <x:v>2861</x:v>
      </x:c>
      <x:c r="T164" s="11"/>
    </x:row>
    <x:row r="165" ht="23" customHeight="1">
      <x:c r="A165" s="2" t="str">
        <x:v>D3Z4T4</x:v>
      </x:c>
      <x:c r="B165" s="2" t="str">
        <x:v>ED</x:v>
      </x:c>
      <x:c r="C165" s="2"/>
      <x:c r="D165" s="2"/>
      <x:c r="E165" s="10"/>
      <x:c r="F165" s="11"/>
      <x:c r="G165" s="11" t="n">
        <x:v>0</x:v>
      </x:c>
      <x:c r="H165" s="11" t="n">
        <x:v>0</x:v>
      </x:c>
      <x:c r="I165" s="11"/>
      <x:c r="J165" s="11"/>
      <x:c r="K165" s="11" t="n">
        <x:v>0</x:v>
      </x:c>
      <x:c r="L165" s="11" t="n">
        <x:f>IF(B165="NED",1,IF(OR(B165="ED",B165="UN"),0,""))</x:f>
        <x:v>0</x:v>
      </x:c>
      <x:c r="M165" s="11" t="n">
        <x:f>IF(AND(K165=1,OR(B165="ED",B165="NED")),1,0)</x:f>
        <x:v>0</x:v>
      </x:c>
      <x:c r="N165" s="11" t="n">
        <x:f>IF(K165=1,1,0)</x:f>
        <x:v>0</x:v>
      </x:c>
      <x:c r="O165" s="12" t="str">
        <x:v>Require exact native accession match</x:v>
      </x:c>
      <x:c r="P165" s="11" t="n">
        <x:v>0</x:v>
      </x:c>
      <x:c r="Q165" s="12"/>
      <x:c r="R165" s="12"/>
      <x:c r="S165" s="11" t="n">
        <x:v>2862</x:v>
      </x:c>
      <x:c r="T165" s="11"/>
    </x:row>
    <x:row r="166" ht="23" customHeight="1">
      <x:c r="A166" s="2" t="str">
        <x:v>D3Z5I1</x:v>
      </x:c>
      <x:c r="B166" s="2" t="str">
        <x:v>NED</x:v>
      </x:c>
      <x:c r="C166" s="2"/>
      <x:c r="D166" s="2"/>
      <x:c r="E166" s="10"/>
      <x:c r="F166" s="11"/>
      <x:c r="G166" s="11" t="n">
        <x:v>0</x:v>
      </x:c>
      <x:c r="H166" s="11" t="n">
        <x:v>0</x:v>
      </x:c>
      <x:c r="I166" s="11"/>
      <x:c r="J166" s="11"/>
      <x:c r="K166" s="11" t="n">
        <x:v>0</x:v>
      </x:c>
      <x:c r="L166" s="11" t="n">
        <x:f>IF(B166="NED",1,IF(OR(B166="ED",B166="UN"),0,""))</x:f>
        <x:v>1</x:v>
      </x:c>
      <x:c r="M166" s="11" t="n">
        <x:f>IF(AND(K166=1,OR(B166="ED",B166="NED")),1,0)</x:f>
        <x:v>0</x:v>
      </x:c>
      <x:c r="N166" s="11" t="n">
        <x:f>IF(K166=1,1,0)</x:f>
        <x:v>0</x:v>
      </x:c>
      <x:c r="O166" s="12" t="str">
        <x:v>Require exact native accession match</x:v>
      </x:c>
      <x:c r="P166" s="11" t="n">
        <x:v>0</x:v>
      </x:c>
      <x:c r="Q166" s="12"/>
      <x:c r="R166" s="12"/>
      <x:c r="S166" s="11" t="n">
        <x:v>2863</x:v>
      </x:c>
      <x:c r="T166" s="11"/>
    </x:row>
    <x:row r="167" ht="23" customHeight="1">
      <x:c r="A167" s="2" t="str">
        <x:v>D3Z637</x:v>
      </x:c>
      <x:c r="B167" s="2" t="str">
        <x:v>ED</x:v>
      </x:c>
      <x:c r="C167" s="2"/>
      <x:c r="D167" s="2"/>
      <x:c r="E167" s="10"/>
      <x:c r="F167" s="11"/>
      <x:c r="G167" s="11" t="n">
        <x:v>0</x:v>
      </x:c>
      <x:c r="H167" s="11" t="n">
        <x:v>0</x:v>
      </x:c>
      <x:c r="I167" s="11" t="n">
        <x:v>0</x:v>
      </x:c>
      <x:c r="J167" s="11" t="n">
        <x:v>0</x:v>
      </x:c>
      <x:c r="K167" s="11" t="n">
        <x:v>0</x:v>
      </x:c>
      <x:c r="L167" s="11" t="n">
        <x:f>IF(B167="NED",1,IF(OR(B167="ED",B167="UN"),0,""))</x:f>
        <x:v>0</x:v>
      </x:c>
      <x:c r="M167" s="11" t="n">
        <x:f>IF(AND(K167=1,OR(B167="ED",B167="NED")),1,0)</x:f>
        <x:v>0</x:v>
      </x:c>
      <x:c r="N167" s="11" t="n">
        <x:f>IF(K167=1,1,0)</x:f>
        <x:v>0</x:v>
      </x:c>
      <x:c r="O167" s="12" t="str">
        <x:v>Require exact native accession match</x:v>
      </x:c>
      <x:c r="P167" s="11" t="n">
        <x:v>0</x:v>
      </x:c>
      <x:c r="Q167" s="12"/>
      <x:c r="R167" s="12"/>
      <x:c r="S167" s="11" t="n">
        <x:v>2864</x:v>
      </x:c>
      <x:c r="T167" s="11" t="n">
        <x:v>162</x:v>
      </x:c>
    </x:row>
    <x:row r="168" ht="23" customHeight="1">
      <x:c r="A168" s="2" t="str">
        <x:v>D3Z645</x:v>
      </x:c>
      <x:c r="B168" s="2" t="str">
        <x:v>ED</x:v>
      </x:c>
      <x:c r="C168" s="2"/>
      <x:c r="D168" s="2"/>
      <x:c r="E168" s="10"/>
      <x:c r="F168" s="11"/>
      <x:c r="G168" s="11" t="n">
        <x:v>0</x:v>
      </x:c>
      <x:c r="H168" s="11" t="n">
        <x:v>0</x:v>
      </x:c>
      <x:c r="I168" s="11" t="n">
        <x:v>0</x:v>
      </x:c>
      <x:c r="J168" s="11" t="n">
        <x:v>0</x:v>
      </x:c>
      <x:c r="K168" s="11" t="n">
        <x:v>0</x:v>
      </x:c>
      <x:c r="L168" s="11" t="n">
        <x:f>IF(B168="NED",1,IF(OR(B168="ED",B168="UN"),0,""))</x:f>
        <x:v>0</x:v>
      </x:c>
      <x:c r="M168" s="11" t="n">
        <x:f>IF(AND(K168=1,OR(B168="ED",B168="NED")),1,0)</x:f>
        <x:v>0</x:v>
      </x:c>
      <x:c r="N168" s="11" t="n">
        <x:f>IF(K168=1,1,0)</x:f>
        <x:v>0</x:v>
      </x:c>
      <x:c r="O168" s="12" t="str">
        <x:v>Require exact native accession match</x:v>
      </x:c>
      <x:c r="P168" s="11" t="n">
        <x:v>0</x:v>
      </x:c>
      <x:c r="Q168" s="12"/>
      <x:c r="R168" s="12"/>
      <x:c r="S168" s="11" t="n">
        <x:v>2865</x:v>
      </x:c>
      <x:c r="T168" s="11" t="n">
        <x:v>144</x:v>
      </x:c>
    </x:row>
    <x:row r="169" ht="23" customHeight="1">
      <x:c r="A169" s="2" t="str">
        <x:v>D3Z6H3</x:v>
      </x:c>
      <x:c r="B169" s="2" t="str">
        <x:v>ED</x:v>
      </x:c>
      <x:c r="C169" s="2"/>
      <x:c r="D169" s="2"/>
      <x:c r="E169" s="10"/>
      <x:c r="F169" s="11"/>
      <x:c r="G169" s="11" t="n">
        <x:v>0</x:v>
      </x:c>
      <x:c r="H169" s="11" t="n">
        <x:v>0</x:v>
      </x:c>
      <x:c r="I169" s="11" t="n">
        <x:v>0</x:v>
      </x:c>
      <x:c r="J169" s="11" t="n">
        <x:v>0</x:v>
      </x:c>
      <x:c r="K169" s="11" t="n">
        <x:v>0</x:v>
      </x:c>
      <x:c r="L169" s="11" t="n">
        <x:f>IF(B169="NED",1,IF(OR(B169="ED",B169="UN"),0,""))</x:f>
        <x:v>0</x:v>
      </x:c>
      <x:c r="M169" s="11" t="n">
        <x:f>IF(AND(K169=1,OR(B169="ED",B169="NED")),1,0)</x:f>
        <x:v>0</x:v>
      </x:c>
      <x:c r="N169" s="11" t="n">
        <x:f>IF(K169=1,1,0)</x:f>
        <x:v>0</x:v>
      </x:c>
      <x:c r="O169" s="12" t="str">
        <x:v>Require exact native accession match</x:v>
      </x:c>
      <x:c r="P169" s="11" t="n">
        <x:v>0</x:v>
      </x:c>
      <x:c r="Q169" s="12"/>
      <x:c r="R169" s="12"/>
      <x:c r="S169" s="11" t="n">
        <x:v>2866</x:v>
      </x:c>
      <x:c r="T169" s="11" t="n">
        <x:v>185</x:v>
      </x:c>
    </x:row>
    <x:row r="170" ht="23" customHeight="1">
      <x:c r="A170" s="2" t="str">
        <x:v>D3Z6I3</x:v>
      </x:c>
      <x:c r="B170" s="2" t="str">
        <x:v>UN</x:v>
      </x:c>
      <x:c r="C170" s="2"/>
      <x:c r="D170" s="2"/>
      <x:c r="E170" s="10"/>
      <x:c r="F170" s="11"/>
      <x:c r="G170" s="11" t="n">
        <x:v>0</x:v>
      </x:c>
      <x:c r="H170" s="11" t="n">
        <x:v>0</x:v>
      </x:c>
      <x:c r="I170" s="11"/>
      <x:c r="J170" s="11"/>
      <x:c r="K170" s="11" t="n">
        <x:v>0</x:v>
      </x:c>
      <x:c r="L170" s="11" t="n">
        <x:f>IF(B170="NED",1,IF(OR(B170="ED",B170="UN"),0,""))</x:f>
        <x:v>0</x:v>
      </x:c>
      <x:c r="M170" s="11" t="n">
        <x:f>IF(AND(K170=1,OR(B170="ED",B170="NED")),1,0)</x:f>
        <x:v>0</x:v>
      </x:c>
      <x:c r="N170" s="11" t="n">
        <x:f>IF(K170=1,1,0)</x:f>
        <x:v>0</x:v>
      </x:c>
      <x:c r="O170" s="12" t="str">
        <x:v>Require exact native accession match</x:v>
      </x:c>
      <x:c r="P170" s="11" t="n">
        <x:v>0</x:v>
      </x:c>
      <x:c r="Q170" s="12"/>
      <x:c r="R170" s="12"/>
      <x:c r="S170" s="11" t="n">
        <x:v>2867</x:v>
      </x:c>
      <x:c r="T170" s="11"/>
    </x:row>
    <x:row r="171" ht="23" customHeight="1">
      <x:c r="A171" s="2" t="str">
        <x:v>D3Z6Q3</x:v>
      </x:c>
      <x:c r="B171" s="2" t="str">
        <x:v>UN</x:v>
      </x:c>
      <x:c r="C171" s="2"/>
      <x:c r="D171" s="2"/>
      <x:c r="E171" s="10"/>
      <x:c r="F171" s="11"/>
      <x:c r="G171" s="11" t="n">
        <x:v>0</x:v>
      </x:c>
      <x:c r="H171" s="11" t="n">
        <x:v>0</x:v>
      </x:c>
      <x:c r="I171" s="11" t="n">
        <x:v>0</x:v>
      </x:c>
      <x:c r="J171" s="11" t="n">
        <x:v>0</x:v>
      </x:c>
      <x:c r="K171" s="11" t="n">
        <x:v>0</x:v>
      </x:c>
      <x:c r="L171" s="11" t="n">
        <x:f>IF(B171="NED",1,IF(OR(B171="ED",B171="UN"),0,""))</x:f>
        <x:v>0</x:v>
      </x:c>
      <x:c r="M171" s="11" t="n">
        <x:f>IF(AND(K171=1,OR(B171="ED",B171="NED")),1,0)</x:f>
        <x:v>0</x:v>
      </x:c>
      <x:c r="N171" s="11" t="n">
        <x:f>IF(K171=1,1,0)</x:f>
        <x:v>0</x:v>
      </x:c>
      <x:c r="O171" s="12" t="str">
        <x:v>Require exact native accession match</x:v>
      </x:c>
      <x:c r="P171" s="11" t="n">
        <x:v>0</x:v>
      </x:c>
      <x:c r="Q171" s="12"/>
      <x:c r="R171" s="12"/>
      <x:c r="S171" s="11" t="n">
        <x:v>2868</x:v>
      </x:c>
      <x:c r="T171" s="11" t="n">
        <x:v>706</x:v>
      </x:c>
    </x:row>
    <x:row r="172" ht="23" customHeight="1">
      <x:c r="A172" s="2" t="str">
        <x:v>D3Z6S3</x:v>
      </x:c>
      <x:c r="B172" s="2" t="str">
        <x:v>UN</x:v>
      </x:c>
      <x:c r="C172" s="2"/>
      <x:c r="D172" s="2"/>
      <x:c r="E172" s="10"/>
      <x:c r="F172" s="11"/>
      <x:c r="G172" s="11" t="n">
        <x:v>0</x:v>
      </x:c>
      <x:c r="H172" s="11" t="n">
        <x:v>0</x:v>
      </x:c>
      <x:c r="I172" s="11" t="n">
        <x:v>0</x:v>
      </x:c>
      <x:c r="J172" s="11" t="n">
        <x:v>0</x:v>
      </x:c>
      <x:c r="K172" s="11" t="n">
        <x:v>0</x:v>
      </x:c>
      <x:c r="L172" s="11" t="n">
        <x:f>IF(B172="NED",1,IF(OR(B172="ED",B172="UN"),0,""))</x:f>
        <x:v>0</x:v>
      </x:c>
      <x:c r="M172" s="11" t="n">
        <x:f>IF(AND(K172=1,OR(B172="ED",B172="NED")),1,0)</x:f>
        <x:v>0</x:v>
      </x:c>
      <x:c r="N172" s="11" t="n">
        <x:f>IF(K172=1,1,0)</x:f>
        <x:v>0</x:v>
      </x:c>
      <x:c r="O172" s="12" t="str">
        <x:v>Require exact native accession match</x:v>
      </x:c>
      <x:c r="P172" s="11" t="n">
        <x:v>0</x:v>
      </x:c>
      <x:c r="Q172" s="12"/>
      <x:c r="R172" s="12"/>
      <x:c r="S172" s="11" t="n">
        <x:v>2869</x:v>
      </x:c>
      <x:c r="T172" s="11" t="n">
        <x:v>196</x:v>
      </x:c>
    </x:row>
    <x:row r="173" ht="23" customHeight="1">
      <x:c r="A173" s="2" t="str">
        <x:v>D3Z726</x:v>
      </x:c>
      <x:c r="B173" s="2" t="str">
        <x:v>UN</x:v>
      </x:c>
      <x:c r="C173" s="2"/>
      <x:c r="D173" s="2"/>
      <x:c r="E173" s="10"/>
      <x:c r="F173" s="11"/>
      <x:c r="G173" s="11" t="n">
        <x:v>0</x:v>
      </x:c>
      <x:c r="H173" s="11" t="n">
        <x:v>0</x:v>
      </x:c>
      <x:c r="I173" s="11" t="n">
        <x:v>0</x:v>
      </x:c>
      <x:c r="J173" s="11" t="n">
        <x:v>0</x:v>
      </x:c>
      <x:c r="K173" s="11" t="n">
        <x:v>0</x:v>
      </x:c>
      <x:c r="L173" s="11" t="n">
        <x:f>IF(B173="NED",1,IF(OR(B173="ED",B173="UN"),0,""))</x:f>
        <x:v>0</x:v>
      </x:c>
      <x:c r="M173" s="11" t="n">
        <x:f>IF(AND(K173=1,OR(B173="ED",B173="NED")),1,0)</x:f>
        <x:v>0</x:v>
      </x:c>
      <x:c r="N173" s="11" t="n">
        <x:f>IF(K173=1,1,0)</x:f>
        <x:v>0</x:v>
      </x:c>
      <x:c r="O173" s="12" t="str">
        <x:v>Require exact native accession match</x:v>
      </x:c>
      <x:c r="P173" s="11" t="n">
        <x:v>0</x:v>
      </x:c>
      <x:c r="Q173" s="12"/>
      <x:c r="R173" s="12"/>
      <x:c r="S173" s="11" t="n">
        <x:v>2870</x:v>
      </x:c>
      <x:c r="T173" s="11" t="n">
        <x:v>683</x:v>
      </x:c>
    </x:row>
    <x:row r="174" ht="23" customHeight="1">
      <x:c r="A174" s="2" t="str">
        <x:v>D3Z7I0</x:v>
      </x:c>
      <x:c r="B174" s="2" t="str">
        <x:v>UN</x:v>
      </x:c>
      <x:c r="C174" s="2"/>
      <x:c r="D174" s="2"/>
      <x:c r="E174" s="10"/>
      <x:c r="F174" s="11"/>
      <x:c r="G174" s="11" t="n">
        <x:v>0</x:v>
      </x:c>
      <x:c r="H174" s="11" t="n">
        <x:v>0</x:v>
      </x:c>
      <x:c r="I174" s="11" t="n">
        <x:v>0</x:v>
      </x:c>
      <x:c r="J174" s="11" t="n">
        <x:v>0</x:v>
      </x:c>
      <x:c r="K174" s="11" t="n">
        <x:v>0</x:v>
      </x:c>
      <x:c r="L174" s="11" t="n">
        <x:f>IF(B174="NED",1,IF(OR(B174="ED",B174="UN"),0,""))</x:f>
        <x:v>0</x:v>
      </x:c>
      <x:c r="M174" s="11" t="n">
        <x:f>IF(AND(K174=1,OR(B174="ED",B174="NED")),1,0)</x:f>
        <x:v>0</x:v>
      </x:c>
      <x:c r="N174" s="11" t="n">
        <x:f>IF(K174=1,1,0)</x:f>
        <x:v>0</x:v>
      </x:c>
      <x:c r="O174" s="12" t="str">
        <x:v>Require exact native accession match</x:v>
      </x:c>
      <x:c r="P174" s="11" t="n">
        <x:v>0</x:v>
      </x:c>
      <x:c r="Q174" s="12"/>
      <x:c r="R174" s="12"/>
      <x:c r="S174" s="11" t="n">
        <x:v>2871</x:v>
      </x:c>
      <x:c r="T174" s="11" t="n">
        <x:v>950</x:v>
      </x:c>
    </x:row>
    <x:row r="175" ht="23" customHeight="1">
      <x:c r="A175" s="2" t="str">
        <x:v>D3Z7P3</x:v>
      </x:c>
      <x:c r="B175" s="2" t="str">
        <x:v>UN</x:v>
      </x:c>
      <x:c r="C175" s="2" t="n">
        <x:v>1</x:v>
      </x:c>
      <x:c r="D175" s="2" t="n">
        <x:v>1</x:v>
      </x:c>
      <x:c r="E175" s="10" t="n">
        <x:v>79.68933234421365</x:v>
      </x:c>
      <x:c r="F175" s="11" t="n">
        <x:v>674</x:v>
      </x:c>
      <x:c r="G175" s="11" t="n">
        <x:v>0</x:v>
      </x:c>
      <x:c r="H175" s="11" t="n">
        <x:v>0</x:v>
      </x:c>
      <x:c r="I175" s="11" t="n">
        <x:v>0</x:v>
      </x:c>
      <x:c r="J175" s="11" t="n">
        <x:v>0</x:v>
      </x:c>
      <x:c r="K175" s="11" t="n">
        <x:v>1</x:v>
      </x:c>
      <x:c r="L175" s="11" t="n">
        <x:f>IF(B175="NED",1,IF(OR(B175="ED",B175="UN"),0,""))</x:f>
        <x:v>0</x:v>
      </x:c>
      <x:c r="M175" s="11" t="n">
        <x:f>IF(AND(K175=1,OR(B175="ED",B175="NED")),1,0)</x:f>
        <x:v>0</x:v>
      </x:c>
      <x:c r="N175" s="11" t="n">
        <x:f>IF(K175=1,1,0)</x:f>
        <x:v>1</x:v>
      </x:c>
      <x:c r="O175" s="12"/>
      <x:c r="P175" s="11" t="n">
        <x:v>0</x:v>
      </x:c>
      <x:c r="Q175" s="12" t="str">
        <x:v>AF-D3Z7P3-F1-model_v6</x:v>
      </x:c>
      <x:c r="R175" s="12" t="str">
        <x:v>ok</x:v>
      </x:c>
      <x:c r="S175" s="11" t="n">
        <x:v>46</x:v>
      </x:c>
      <x:c r="T175" s="11" t="n">
        <x:v>674</x:v>
      </x:c>
    </x:row>
    <x:row r="176" ht="23" customHeight="1">
      <x:c r="A176" s="2" t="str">
        <x:v>D3Z7P3-2</x:v>
      </x:c>
      <x:c r="B176" s="2" t="str">
        <x:v>ED</x:v>
      </x:c>
      <x:c r="C176" s="2"/>
      <x:c r="D176" s="2"/>
      <x:c r="E176" s="10"/>
      <x:c r="F176" s="11"/>
      <x:c r="G176" s="11" t="n">
        <x:v>0</x:v>
      </x:c>
      <x:c r="H176" s="11" t="n">
        <x:v>0</x:v>
      </x:c>
      <x:c r="I176" s="11"/>
      <x:c r="J176" s="11"/>
      <x:c r="K176" s="11" t="n">
        <x:v>0</x:v>
      </x:c>
      <x:c r="L176" s="11" t="n">
        <x:f>IF(B176="NED",1,IF(OR(B176="ED",B176="UN"),0,""))</x:f>
        <x:v>0</x:v>
      </x:c>
      <x:c r="M176" s="11" t="n">
        <x:f>IF(AND(K176=1,OR(B176="ED",B176="NED")),1,0)</x:f>
        <x:v>0</x:v>
      </x:c>
      <x:c r="N176" s="11" t="n">
        <x:f>IF(K176=1,1,0)</x:f>
        <x:v>0</x:v>
      </x:c>
      <x:c r="O176" s="12" t="str">
        <x:v>Require exact native accession match</x:v>
      </x:c>
      <x:c r="P176" s="11" t="n">
        <x:v>0</x:v>
      </x:c>
      <x:c r="Q176" s="12"/>
      <x:c r="R176" s="12"/>
      <x:c r="S176" s="11" t="n">
        <x:v>47</x:v>
      </x:c>
      <x:c r="T176" s="11"/>
    </x:row>
    <x:row r="177" ht="23" customHeight="1">
      <x:c r="A177" s="2" t="str">
        <x:v>D3Z7Q3</x:v>
      </x:c>
      <x:c r="B177" s="2" t="str">
        <x:v>ED</x:v>
      </x:c>
      <x:c r="C177" s="2"/>
      <x:c r="D177" s="2"/>
      <x:c r="E177" s="10"/>
      <x:c r="F177" s="11"/>
      <x:c r="G177" s="11" t="n">
        <x:v>0</x:v>
      </x:c>
      <x:c r="H177" s="11" t="n">
        <x:v>0</x:v>
      </x:c>
      <x:c r="I177" s="11" t="n">
        <x:v>1</x:v>
      </x:c>
      <x:c r="J177" s="11" t="n">
        <x:v>0</x:v>
      </x:c>
      <x:c r="K177" s="11" t="n">
        <x:v>0</x:v>
      </x:c>
      <x:c r="L177" s="11" t="n">
        <x:f>IF(B177="NED",1,IF(OR(B177="ED",B177="UN"),0,""))</x:f>
        <x:v>0</x:v>
      </x:c>
      <x:c r="M177" s="11" t="n">
        <x:f>IF(AND(K177=1,OR(B177="ED",B177="NED")),1,0)</x:f>
        <x:v>0</x:v>
      </x:c>
      <x:c r="N177" s="11" t="n">
        <x:f>IF(K177=1,1,0)</x:f>
        <x:v>0</x:v>
      </x:c>
      <x:c r="O177" s="12" t="str">
        <x:v>Require exact native accession match</x:v>
      </x:c>
      <x:c r="P177" s="11" t="n">
        <x:v>0</x:v>
      </x:c>
      <x:c r="Q177" s="12"/>
      <x:c r="R177" s="12"/>
      <x:c r="S177" s="11" t="n">
        <x:v>2872</x:v>
      </x:c>
      <x:c r="T177" s="11" t="n">
        <x:v>67</x:v>
      </x:c>
    </x:row>
    <x:row r="178" ht="23" customHeight="1">
      <x:c r="A178" s="2" t="str">
        <x:v>D5MCW4</x:v>
      </x:c>
      <x:c r="B178" s="2" t="str">
        <x:v>ED</x:v>
      </x:c>
      <x:c r="C178" s="2"/>
      <x:c r="D178" s="2"/>
      <x:c r="E178" s="10"/>
      <x:c r="F178" s="11"/>
      <x:c r="G178" s="11" t="n">
        <x:v>0</x:v>
      </x:c>
      <x:c r="H178" s="11" t="n">
        <x:v>0</x:v>
      </x:c>
      <x:c r="I178" s="11" t="n">
        <x:v>0</x:v>
      </x:c>
      <x:c r="J178" s="11" t="n">
        <x:v>0</x:v>
      </x:c>
      <x:c r="K178" s="11" t="n">
        <x:v>0</x:v>
      </x:c>
      <x:c r="L178" s="11" t="n">
        <x:f>IF(B178="NED",1,IF(OR(B178="ED",B178="UN"),0,""))</x:f>
        <x:v>0</x:v>
      </x:c>
      <x:c r="M178" s="11" t="n">
        <x:f>IF(AND(K178=1,OR(B178="ED",B178="NED")),1,0)</x:f>
        <x:v>0</x:v>
      </x:c>
      <x:c r="N178" s="11" t="n">
        <x:f>IF(K178=1,1,0)</x:f>
        <x:v>0</x:v>
      </x:c>
      <x:c r="O178" s="12" t="str">
        <x:v>Require exact native accession match</x:v>
      </x:c>
      <x:c r="P178" s="11" t="n">
        <x:v>0</x:v>
      </x:c>
      <x:c r="Q178" s="12"/>
      <x:c r="R178" s="12"/>
      <x:c r="S178" s="11" t="n">
        <x:v>2873</x:v>
      </x:c>
      <x:c r="T178" s="11" t="n">
        <x:v>154</x:v>
      </x:c>
    </x:row>
    <x:row r="179" ht="23" customHeight="1">
      <x:c r="A179" s="2" t="str">
        <x:v>D6RFU9</x:v>
      </x:c>
      <x:c r="B179" s="2" t="str">
        <x:v>UN</x:v>
      </x:c>
      <x:c r="C179" s="2"/>
      <x:c r="D179" s="2"/>
      <x:c r="E179" s="10"/>
      <x:c r="F179" s="11"/>
      <x:c r="G179" s="11" t="n">
        <x:v>0</x:v>
      </x:c>
      <x:c r="H179" s="11" t="n">
        <x:v>0</x:v>
      </x:c>
      <x:c r="I179" s="11" t="n">
        <x:v>0</x:v>
      </x:c>
      <x:c r="J179" s="11" t="n">
        <x:v>0</x:v>
      </x:c>
      <x:c r="K179" s="11" t="n">
        <x:v>0</x:v>
      </x:c>
      <x:c r="L179" s="11" t="n">
        <x:f>IF(B179="NED",1,IF(OR(B179="ED",B179="UN"),0,""))</x:f>
        <x:v>0</x:v>
      </x:c>
      <x:c r="M179" s="11" t="n">
        <x:f>IF(AND(K179=1,OR(B179="ED",B179="NED")),1,0)</x:f>
        <x:v>0</x:v>
      </x:c>
      <x:c r="N179" s="11" t="n">
        <x:f>IF(K179=1,1,0)</x:f>
        <x:v>0</x:v>
      </x:c>
      <x:c r="O179" s="12" t="str">
        <x:v>Require exact native accession match</x:v>
      </x:c>
      <x:c r="P179" s="11" t="n">
        <x:v>0</x:v>
      </x:c>
      <x:c r="Q179" s="12"/>
      <x:c r="R179" s="12"/>
      <x:c r="S179" s="11" t="n">
        <x:v>2874</x:v>
      </x:c>
      <x:c r="T179" s="11" t="n">
        <x:v>79</x:v>
      </x:c>
    </x:row>
    <x:row r="180" ht="23" customHeight="1">
      <x:c r="A180" s="2" t="str">
        <x:v>E0CX20</x:v>
      </x:c>
      <x:c r="B180" s="2" t="str">
        <x:v>ED</x:v>
      </x:c>
      <x:c r="C180" s="2"/>
      <x:c r="D180" s="2"/>
      <x:c r="E180" s="10"/>
      <x:c r="F180" s="11"/>
      <x:c r="G180" s="11" t="n">
        <x:v>0</x:v>
      </x:c>
      <x:c r="H180" s="11" t="n">
        <x:v>0</x:v>
      </x:c>
      <x:c r="I180" s="11"/>
      <x:c r="J180" s="11"/>
      <x:c r="K180" s="11" t="n">
        <x:v>0</x:v>
      </x:c>
      <x:c r="L180" s="11" t="n">
        <x:f>IF(B180="NED",1,IF(OR(B180="ED",B180="UN"),0,""))</x:f>
        <x:v>0</x:v>
      </x:c>
      <x:c r="M180" s="11" t="n">
        <x:f>IF(AND(K180=1,OR(B180="ED",B180="NED")),1,0)</x:f>
        <x:v>0</x:v>
      </x:c>
      <x:c r="N180" s="11" t="n">
        <x:f>IF(K180=1,1,0)</x:f>
        <x:v>0</x:v>
      </x:c>
      <x:c r="O180" s="12" t="str">
        <x:v>Require exact native accession match</x:v>
      </x:c>
      <x:c r="P180" s="11" t="n">
        <x:v>0</x:v>
      </x:c>
      <x:c r="Q180" s="12"/>
      <x:c r="R180" s="12"/>
      <x:c r="S180" s="11" t="n">
        <x:v>2875</x:v>
      </x:c>
      <x:c r="T180" s="11"/>
    </x:row>
    <x:row r="181" ht="23" customHeight="1">
      <x:c r="A181" s="2" t="str">
        <x:v>E0CX79</x:v>
      </x:c>
      <x:c r="B181" s="2" t="str">
        <x:v>ED</x:v>
      </x:c>
      <x:c r="C181" s="2"/>
      <x:c r="D181" s="2"/>
      <x:c r="E181" s="10"/>
      <x:c r="F181" s="11"/>
      <x:c r="G181" s="11" t="n">
        <x:v>0</x:v>
      </x:c>
      <x:c r="H181" s="11" t="n">
        <x:v>0</x:v>
      </x:c>
      <x:c r="I181" s="11" t="n">
        <x:v>1</x:v>
      </x:c>
      <x:c r="J181" s="11" t="n">
        <x:v>0</x:v>
      </x:c>
      <x:c r="K181" s="11" t="n">
        <x:v>0</x:v>
      </x:c>
      <x:c r="L181" s="11" t="n">
        <x:f>IF(B181="NED",1,IF(OR(B181="ED",B181="UN"),0,""))</x:f>
        <x:v>0</x:v>
      </x:c>
      <x:c r="M181" s="11" t="n">
        <x:f>IF(AND(K181=1,OR(B181="ED",B181="NED")),1,0)</x:f>
        <x:v>0</x:v>
      </x:c>
      <x:c r="N181" s="11" t="n">
        <x:f>IF(K181=1,1,0)</x:f>
        <x:v>0</x:v>
      </x:c>
      <x:c r="O181" s="12" t="str">
        <x:v>Require exact native accession match</x:v>
      </x:c>
      <x:c r="P181" s="11" t="n">
        <x:v>0</x:v>
      </x:c>
      <x:c r="Q181" s="12"/>
      <x:c r="R181" s="12"/>
      <x:c r="S181" s="11" t="n">
        <x:v>2876</x:v>
      </x:c>
      <x:c r="T181" s="11" t="n">
        <x:v>129</x:v>
      </x:c>
    </x:row>
    <x:row r="182" ht="23" customHeight="1">
      <x:c r="A182" s="2" t="str">
        <x:v>E0CXS2</x:v>
      </x:c>
      <x:c r="B182" s="2" t="str">
        <x:v>ED</x:v>
      </x:c>
      <x:c r="C182" s="2"/>
      <x:c r="D182" s="2"/>
      <x:c r="E182" s="10"/>
      <x:c r="F182" s="11"/>
      <x:c r="G182" s="11" t="n">
        <x:v>0</x:v>
      </x:c>
      <x:c r="H182" s="11" t="n">
        <x:v>0</x:v>
      </x:c>
      <x:c r="I182" s="11" t="n">
        <x:v>0</x:v>
      </x:c>
      <x:c r="J182" s="11" t="n">
        <x:v>0</x:v>
      </x:c>
      <x:c r="K182" s="11" t="n">
        <x:v>0</x:v>
      </x:c>
      <x:c r="L182" s="11" t="n">
        <x:f>IF(B182="NED",1,IF(OR(B182="ED",B182="UN"),0,""))</x:f>
        <x:v>0</x:v>
      </x:c>
      <x:c r="M182" s="11" t="n">
        <x:f>IF(AND(K182=1,OR(B182="ED",B182="NED")),1,0)</x:f>
        <x:v>0</x:v>
      </x:c>
      <x:c r="N182" s="11" t="n">
        <x:f>IF(K182=1,1,0)</x:f>
        <x:v>0</x:v>
      </x:c>
      <x:c r="O182" s="12" t="str">
        <x:v>Require exact native accession match</x:v>
      </x:c>
      <x:c r="P182" s="11" t="n">
        <x:v>0</x:v>
      </x:c>
      <x:c r="Q182" s="12"/>
      <x:c r="R182" s="12"/>
      <x:c r="S182" s="11" t="n">
        <x:v>2877</x:v>
      </x:c>
      <x:c r="T182" s="11" t="n">
        <x:v>760</x:v>
      </x:c>
    </x:row>
    <x:row r="183" ht="23" customHeight="1">
      <x:c r="A183" s="2" t="str">
        <x:v>E0CY18</x:v>
      </x:c>
      <x:c r="B183" s="2" t="str">
        <x:v>ED</x:v>
      </x:c>
      <x:c r="C183" s="2"/>
      <x:c r="D183" s="2"/>
      <x:c r="E183" s="10"/>
      <x:c r="F183" s="11"/>
      <x:c r="G183" s="11" t="n">
        <x:v>0</x:v>
      </x:c>
      <x:c r="H183" s="11" t="n">
        <x:v>0</x:v>
      </x:c>
      <x:c r="I183" s="11" t="n">
        <x:v>0</x:v>
      </x:c>
      <x:c r="J183" s="11" t="n">
        <x:v>0</x:v>
      </x:c>
      <x:c r="K183" s="11" t="n">
        <x:v>0</x:v>
      </x:c>
      <x:c r="L183" s="11" t="n">
        <x:f>IF(B183="NED",1,IF(OR(B183="ED",B183="UN"),0,""))</x:f>
        <x:v>0</x:v>
      </x:c>
      <x:c r="M183" s="11" t="n">
        <x:f>IF(AND(K183=1,OR(B183="ED",B183="NED")),1,0)</x:f>
        <x:v>0</x:v>
      </x:c>
      <x:c r="N183" s="11" t="n">
        <x:f>IF(K183=1,1,0)</x:f>
        <x:v>0</x:v>
      </x:c>
      <x:c r="O183" s="12" t="str">
        <x:v>Require exact native accession match</x:v>
      </x:c>
      <x:c r="P183" s="11" t="n">
        <x:v>0</x:v>
      </x:c>
      <x:c r="Q183" s="12"/>
      <x:c r="R183" s="12"/>
      <x:c r="S183" s="11" t="n">
        <x:v>2878</x:v>
      </x:c>
      <x:c r="T183" s="11" t="n">
        <x:v>218</x:v>
      </x:c>
    </x:row>
    <x:row r="184" ht="23" customHeight="1">
      <x:c r="A184" s="2" t="str">
        <x:v>E0CZE0</x:v>
      </x:c>
      <x:c r="B184" s="2" t="str">
        <x:v>ED</x:v>
      </x:c>
      <x:c r="C184" s="2"/>
      <x:c r="D184" s="2"/>
      <x:c r="E184" s="10"/>
      <x:c r="F184" s="11"/>
      <x:c r="G184" s="11" t="n">
        <x:v>0</x:v>
      </x:c>
      <x:c r="H184" s="11" t="n">
        <x:v>0</x:v>
      </x:c>
      <x:c r="I184" s="11" t="n">
        <x:v>0</x:v>
      </x:c>
      <x:c r="J184" s="11" t="n">
        <x:v>0</x:v>
      </x:c>
      <x:c r="K184" s="11" t="n">
        <x:v>0</x:v>
      </x:c>
      <x:c r="L184" s="11" t="n">
        <x:f>IF(B184="NED",1,IF(OR(B184="ED",B184="UN"),0,""))</x:f>
        <x:v>0</x:v>
      </x:c>
      <x:c r="M184" s="11" t="n">
        <x:f>IF(AND(K184=1,OR(B184="ED",B184="NED")),1,0)</x:f>
        <x:v>0</x:v>
      </x:c>
      <x:c r="N184" s="11" t="n">
        <x:f>IF(K184=1,1,0)</x:f>
        <x:v>0</x:v>
      </x:c>
      <x:c r="O184" s="12" t="str">
        <x:v>Require exact native accession match</x:v>
      </x:c>
      <x:c r="P184" s="11" t="n">
        <x:v>0</x:v>
      </x:c>
      <x:c r="Q184" s="12"/>
      <x:c r="R184" s="12"/>
      <x:c r="S184" s="11" t="n">
        <x:v>2879</x:v>
      </x:c>
      <x:c r="T184" s="11" t="n">
        <x:v>510</x:v>
      </x:c>
    </x:row>
    <x:row r="185" ht="23" customHeight="1">
      <x:c r="A185" s="2" t="str">
        <x:v>E1U8D0</x:v>
      </x:c>
      <x:c r="B185" s="2" t="str">
        <x:v>ED</x:v>
      </x:c>
      <x:c r="C185" s="2" t="n">
        <x:v>1</x:v>
      </x:c>
      <x:c r="D185" s="2"/>
      <x:c r="E185" s="10"/>
      <x:c r="F185" s="11" t="n">
        <x:v>1654</x:v>
      </x:c>
      <x:c r="G185" s="11" t="n">
        <x:v>0</x:v>
      </x:c>
      <x:c r="H185" s="11" t="n">
        <x:v>0</x:v>
      </x:c>
      <x:c r="I185" s="11" t="n">
        <x:v>1</x:v>
      </x:c>
      <x:c r="J185" s="11" t="n">
        <x:v>1</x:v>
      </x:c>
      <x:c r="K185" s="11" t="n">
        <x:v>0</x:v>
      </x:c>
      <x:c r="L185" s="11" t="n">
        <x:f>IF(B185="NED",1,IF(OR(B185="ED",B185="UN"),0,""))</x:f>
        <x:v>0</x:v>
      </x:c>
      <x:c r="M185" s="11" t="n">
        <x:f>IF(AND(K185=1,OR(B185="ED",B185="NED")),1,0)</x:f>
        <x:v>0</x:v>
      </x:c>
      <x:c r="N185" s="11" t="n">
        <x:f>IF(K185=1,1,0)</x:f>
        <x:v>0</x:v>
      </x:c>
      <x:c r="O185" s="12" t="str">
        <x:v>Exclude UniProt Membrane keyword</x:v>
      </x:c>
      <x:c r="P185" s="11" t="n">
        <x:v>0</x:v>
      </x:c>
      <x:c r="Q185" s="12" t="str">
        <x:v>AF-E1U8D0-F1-model_v6</x:v>
      </x:c>
      <x:c r="R185" s="12" t="str">
        <x:v>ok</x:v>
      </x:c>
      <x:c r="S185" s="11" t="n">
        <x:v>48</x:v>
      </x:c>
      <x:c r="T185" s="11" t="n">
        <x:v>1654</x:v>
      </x:c>
    </x:row>
    <x:row r="186" ht="23" customHeight="1">
      <x:c r="A186" s="2" t="str">
        <x:v>E9PU87</x:v>
      </x:c>
      <x:c r="B186" s="2" t="str">
        <x:v>ED</x:v>
      </x:c>
      <x:c r="C186" s="2"/>
      <x:c r="D186" s="2"/>
      <x:c r="E186" s="10"/>
      <x:c r="F186" s="11"/>
      <x:c r="G186" s="11" t="n">
        <x:v>0</x:v>
      </x:c>
      <x:c r="H186" s="11" t="n">
        <x:v>0</x:v>
      </x:c>
      <x:c r="I186" s="11"/>
      <x:c r="J186" s="11"/>
      <x:c r="K186" s="11" t="n">
        <x:v>0</x:v>
      </x:c>
      <x:c r="L186" s="11" t="n">
        <x:f>IF(B186="NED",1,IF(OR(B186="ED",B186="UN"),0,""))</x:f>
        <x:v>0</x:v>
      </x:c>
      <x:c r="M186" s="11" t="n">
        <x:f>IF(AND(K186=1,OR(B186="ED",B186="NED")),1,0)</x:f>
        <x:v>0</x:v>
      </x:c>
      <x:c r="N186" s="11" t="n">
        <x:f>IF(K186=1,1,0)</x:f>
        <x:v>0</x:v>
      </x:c>
      <x:c r="O186" s="12" t="str">
        <x:v>Require exact native accession match</x:v>
      </x:c>
      <x:c r="P186" s="11" t="n">
        <x:v>0</x:v>
      </x:c>
      <x:c r="Q186" s="12"/>
      <x:c r="R186" s="12"/>
      <x:c r="S186" s="11" t="n">
        <x:v>2880</x:v>
      </x:c>
      <x:c r="T186" s="11"/>
    </x:row>
    <x:row r="187" ht="23" customHeight="1">
      <x:c r="A187" s="2" t="str">
        <x:v>E9PU93</x:v>
      </x:c>
      <x:c r="B187" s="2" t="str">
        <x:v>NED</x:v>
      </x:c>
      <x:c r="C187" s="2"/>
      <x:c r="D187" s="2"/>
      <x:c r="E187" s="10"/>
      <x:c r="F187" s="11"/>
      <x:c r="G187" s="11" t="n">
        <x:v>0</x:v>
      </x:c>
      <x:c r="H187" s="11" t="n">
        <x:v>0</x:v>
      </x:c>
      <x:c r="I187" s="11" t="n">
        <x:v>0</x:v>
      </x:c>
      <x:c r="J187" s="11" t="n">
        <x:v>0</x:v>
      </x:c>
      <x:c r="K187" s="11" t="n">
        <x:v>0</x:v>
      </x:c>
      <x:c r="L187" s="11" t="n">
        <x:f>IF(B187="NED",1,IF(OR(B187="ED",B187="UN"),0,""))</x:f>
        <x:v>1</x:v>
      </x:c>
      <x:c r="M187" s="11" t="n">
        <x:f>IF(AND(K187=1,OR(B187="ED",B187="NED")),1,0)</x:f>
        <x:v>0</x:v>
      </x:c>
      <x:c r="N187" s="11" t="n">
        <x:f>IF(K187=1,1,0)</x:f>
        <x:v>0</x:v>
      </x:c>
      <x:c r="O187" s="12" t="str">
        <x:v>Require exact native accession match</x:v>
      </x:c>
      <x:c r="P187" s="11" t="n">
        <x:v>0</x:v>
      </x:c>
      <x:c r="Q187" s="12"/>
      <x:c r="R187" s="12"/>
      <x:c r="S187" s="11" t="n">
        <x:v>2881</x:v>
      </x:c>
      <x:c r="T187" s="11" t="n">
        <x:v>534</x:v>
      </x:c>
    </x:row>
    <x:row r="188" ht="23" customHeight="1">
      <x:c r="A188" s="2" t="str">
        <x:v>E9PVA8</x:v>
      </x:c>
      <x:c r="B188" s="2" t="str">
        <x:v>ED</x:v>
      </x:c>
      <x:c r="C188" s="2" t="n">
        <x:v>1</x:v>
      </x:c>
      <x:c r="D188" s="2"/>
      <x:c r="E188" s="10" t="n">
        <x:v>82.40263946087607</x:v>
      </x:c>
      <x:c r="F188" s="11" t="n">
        <x:v>2671</x:v>
      </x:c>
      <x:c r="G188" s="11" t="n">
        <x:v>0</x:v>
      </x:c>
      <x:c r="H188" s="11" t="n">
        <x:v>0</x:v>
      </x:c>
      <x:c r="I188" s="11" t="n">
        <x:v>0</x:v>
      </x:c>
      <x:c r="J188" s="11" t="n">
        <x:v>0</x:v>
      </x:c>
      <x:c r="K188" s="11" t="n">
        <x:v>1</x:v>
      </x:c>
      <x:c r="L188" s="11" t="n">
        <x:f>IF(B188="NED",1,IF(OR(B188="ED",B188="UN"),0,""))</x:f>
        <x:v>0</x:v>
      </x:c>
      <x:c r="M188" s="11" t="n">
        <x:f>IF(AND(K188=1,OR(B188="ED",B188="NED")),1,0)</x:f>
        <x:v>1</x:v>
      </x:c>
      <x:c r="N188" s="11" t="n">
        <x:f>IF(K188=1,1,0)</x:f>
        <x:v>1</x:v>
      </x:c>
      <x:c r="O188" s="12"/>
      <x:c r="P188" s="11" t="n">
        <x:v>0</x:v>
      </x:c>
      <x:c r="Q188" s="12" t="str">
        <x:v>AF-E9PVA8-F1-model_v6</x:v>
      </x:c>
      <x:c r="R188" s="12" t="str">
        <x:v>ok</x:v>
      </x:c>
      <x:c r="S188" s="11" t="n">
        <x:v>2882</x:v>
      </x:c>
      <x:c r="T188" s="11" t="n">
        <x:v>2671</x:v>
      </x:c>
    </x:row>
    <x:row r="189" ht="23" customHeight="1">
      <x:c r="A189" s="2" t="str">
        <x:v>E9PVB5-2</x:v>
      </x:c>
      <x:c r="B189" s="2" t="str">
        <x:v>UN</x:v>
      </x:c>
      <x:c r="C189" s="2"/>
      <x:c r="D189" s="2"/>
      <x:c r="E189" s="10"/>
      <x:c r="F189" s="11"/>
      <x:c r="G189" s="11" t="n">
        <x:v>0</x:v>
      </x:c>
      <x:c r="H189" s="11" t="n">
        <x:v>0</x:v>
      </x:c>
      <x:c r="I189" s="11"/>
      <x:c r="J189" s="11"/>
      <x:c r="K189" s="11" t="n">
        <x:v>0</x:v>
      </x:c>
      <x:c r="L189" s="11" t="n">
        <x:f>IF(B189="NED",1,IF(OR(B189="ED",B189="UN"),0,""))</x:f>
        <x:v>0</x:v>
      </x:c>
      <x:c r="M189" s="11" t="n">
        <x:f>IF(AND(K189=1,OR(B189="ED",B189="NED")),1,0)</x:f>
        <x:v>0</x:v>
      </x:c>
      <x:c r="N189" s="11" t="n">
        <x:f>IF(K189=1,1,0)</x:f>
        <x:v>0</x:v>
      </x:c>
      <x:c r="O189" s="12" t="str">
        <x:v>Require exact native accession match</x:v>
      </x:c>
      <x:c r="P189" s="11" t="n">
        <x:v>0</x:v>
      </x:c>
      <x:c r="Q189" s="12"/>
      <x:c r="R189" s="12"/>
      <x:c r="S189" s="11" t="n">
        <x:v>49</x:v>
      </x:c>
      <x:c r="T189" s="11"/>
    </x:row>
    <x:row r="190" ht="23" customHeight="1">
      <x:c r="A190" s="2" t="str">
        <x:v>E9PVP1</x:v>
      </x:c>
      <x:c r="B190" s="2" t="str">
        <x:v>ED</x:v>
      </x:c>
      <x:c r="C190" s="2"/>
      <x:c r="D190" s="2"/>
      <x:c r="E190" s="10"/>
      <x:c r="F190" s="11"/>
      <x:c r="G190" s="11" t="n">
        <x:v>0</x:v>
      </x:c>
      <x:c r="H190" s="11" t="n">
        <x:v>0</x:v>
      </x:c>
      <x:c r="I190" s="11" t="n">
        <x:v>0</x:v>
      </x:c>
      <x:c r="J190" s="11" t="n">
        <x:v>0</x:v>
      </x:c>
      <x:c r="K190" s="11" t="n">
        <x:v>0</x:v>
      </x:c>
      <x:c r="L190" s="11" t="n">
        <x:f>IF(B190="NED",1,IF(OR(B190="ED",B190="UN"),0,""))</x:f>
        <x:v>0</x:v>
      </x:c>
      <x:c r="M190" s="11" t="n">
        <x:f>IF(AND(K190=1,OR(B190="ED",B190="NED")),1,0)</x:f>
        <x:v>0</x:v>
      </x:c>
      <x:c r="N190" s="11" t="n">
        <x:f>IF(K190=1,1,0)</x:f>
        <x:v>0</x:v>
      </x:c>
      <x:c r="O190" s="12" t="str">
        <x:v>Require exact native accession match</x:v>
      </x:c>
      <x:c r="P190" s="11" t="n">
        <x:v>0</x:v>
      </x:c>
      <x:c r="Q190" s="12"/>
      <x:c r="R190" s="12"/>
      <x:c r="S190" s="11" t="n">
        <x:v>2883</x:v>
      </x:c>
      <x:c r="T190" s="11" t="n">
        <x:v>1691</x:v>
      </x:c>
    </x:row>
    <x:row r="191" ht="23" customHeight="1">
      <x:c r="A191" s="2" t="str">
        <x:v>E9PVX6</x:v>
      </x:c>
      <x:c r="B191" s="2" t="str">
        <x:v>ED</x:v>
      </x:c>
      <x:c r="C191" s="2"/>
      <x:c r="D191" s="2"/>
      <x:c r="E191" s="10"/>
      <x:c r="F191" s="11"/>
      <x:c r="G191" s="11" t="n">
        <x:v>0</x:v>
      </x:c>
      <x:c r="H191" s="11" t="n">
        <x:v>0</x:v>
      </x:c>
      <x:c r="I191" s="11" t="n">
        <x:v>0</x:v>
      </x:c>
      <x:c r="J191" s="11" t="n">
        <x:v>0</x:v>
      </x:c>
      <x:c r="K191" s="11" t="n">
        <x:v>0</x:v>
      </x:c>
      <x:c r="L191" s="11" t="n">
        <x:f>IF(B191="NED",1,IF(OR(B191="ED",B191="UN"),0,""))</x:f>
        <x:v>0</x:v>
      </x:c>
      <x:c r="M191" s="11" t="n">
        <x:f>IF(AND(K191=1,OR(B191="ED",B191="NED")),1,0)</x:f>
        <x:v>0</x:v>
      </x:c>
      <x:c r="N191" s="11" t="n">
        <x:f>IF(K191=1,1,0)</x:f>
        <x:v>0</x:v>
      </x:c>
      <x:c r="O191" s="12" t="str">
        <x:v>Require exact native accession match</x:v>
      </x:c>
      <x:c r="P191" s="11" t="n">
        <x:v>0</x:v>
      </x:c>
      <x:c r="Q191" s="12"/>
      <x:c r="R191" s="12"/>
      <x:c r="S191" s="11" t="n">
        <x:v>2884</x:v>
      </x:c>
      <x:c r="T191" s="11" t="n">
        <x:v>3177</x:v>
      </x:c>
    </x:row>
    <x:row r="192" ht="23" customHeight="1">
      <x:c r="A192" s="2" t="str">
        <x:v>E9PW15</x:v>
      </x:c>
      <x:c r="B192" s="2" t="str">
        <x:v>ED</x:v>
      </x:c>
      <x:c r="C192" s="2"/>
      <x:c r="D192" s="2"/>
      <x:c r="E192" s="10"/>
      <x:c r="F192" s="11"/>
      <x:c r="G192" s="11" t="n">
        <x:v>0</x:v>
      </x:c>
      <x:c r="H192" s="11" t="n">
        <x:v>0</x:v>
      </x:c>
      <x:c r="I192" s="11" t="n">
        <x:v>0</x:v>
      </x:c>
      <x:c r="J192" s="11" t="n">
        <x:v>0</x:v>
      </x:c>
      <x:c r="K192" s="11" t="n">
        <x:v>0</x:v>
      </x:c>
      <x:c r="L192" s="11" t="n">
        <x:f>IF(B192="NED",1,IF(OR(B192="ED",B192="UN"),0,""))</x:f>
        <x:v>0</x:v>
      </x:c>
      <x:c r="M192" s="11" t="n">
        <x:f>IF(AND(K192=1,OR(B192="ED",B192="NED")),1,0)</x:f>
        <x:v>0</x:v>
      </x:c>
      <x:c r="N192" s="11" t="n">
        <x:f>IF(K192=1,1,0)</x:f>
        <x:v>0</x:v>
      </x:c>
      <x:c r="O192" s="12" t="str">
        <x:v>Require exact native accession match</x:v>
      </x:c>
      <x:c r="P192" s="11" t="n">
        <x:v>0</x:v>
      </x:c>
      <x:c r="Q192" s="12"/>
      <x:c r="R192" s="12"/>
      <x:c r="S192" s="11" t="n">
        <x:v>2885</x:v>
      </x:c>
      <x:c r="T192" s="11" t="n">
        <x:v>718</x:v>
      </x:c>
    </x:row>
    <x:row r="193" ht="23" customHeight="1">
      <x:c r="A193" s="2" t="str">
        <x:v>E9PWB1</x:v>
      </x:c>
      <x:c r="B193" s="2" t="str">
        <x:v>ED</x:v>
      </x:c>
      <x:c r="C193" s="2"/>
      <x:c r="D193" s="2"/>
      <x:c r="E193" s="10"/>
      <x:c r="F193" s="11"/>
      <x:c r="G193" s="11" t="n">
        <x:v>0</x:v>
      </x:c>
      <x:c r="H193" s="11" t="n">
        <x:v>0</x:v>
      </x:c>
      <x:c r="I193" s="11" t="n">
        <x:v>0</x:v>
      </x:c>
      <x:c r="J193" s="11" t="n">
        <x:v>0</x:v>
      </x:c>
      <x:c r="K193" s="11" t="n">
        <x:v>0</x:v>
      </x:c>
      <x:c r="L193" s="11" t="n">
        <x:f>IF(B193="NED",1,IF(OR(B193="ED",B193="UN"),0,""))</x:f>
        <x:v>0</x:v>
      </x:c>
      <x:c r="M193" s="11" t="n">
        <x:f>IF(AND(K193=1,OR(B193="ED",B193="NED")),1,0)</x:f>
        <x:v>0</x:v>
      </x:c>
      <x:c r="N193" s="11" t="n">
        <x:f>IF(K193=1,1,0)</x:f>
        <x:v>0</x:v>
      </x:c>
      <x:c r="O193" s="12" t="str">
        <x:v>Require exact native accession match</x:v>
      </x:c>
      <x:c r="P193" s="11" t="n">
        <x:v>0</x:v>
      </x:c>
      <x:c r="Q193" s="12"/>
      <x:c r="R193" s="12"/>
      <x:c r="S193" s="11" t="n">
        <x:v>2886</x:v>
      </x:c>
      <x:c r="T193" s="11" t="n">
        <x:v>1324</x:v>
      </x:c>
    </x:row>
    <x:row r="194" ht="23" customHeight="1">
      <x:c r="A194" s="2" t="str">
        <x:v>E9PWC8</x:v>
      </x:c>
      <x:c r="B194" s="2" t="str">
        <x:v>ED</x:v>
      </x:c>
      <x:c r="C194" s="2"/>
      <x:c r="D194" s="2"/>
      <x:c r="E194" s="10"/>
      <x:c r="F194" s="11"/>
      <x:c r="G194" s="11" t="n">
        <x:v>0</x:v>
      </x:c>
      <x:c r="H194" s="11" t="n">
        <x:v>0</x:v>
      </x:c>
      <x:c r="I194" s="11" t="n">
        <x:v>0</x:v>
      </x:c>
      <x:c r="J194" s="11" t="n">
        <x:v>0</x:v>
      </x:c>
      <x:c r="K194" s="11" t="n">
        <x:v>0</x:v>
      </x:c>
      <x:c r="L194" s="11" t="n">
        <x:f>IF(B194="NED",1,IF(OR(B194="ED",B194="UN"),0,""))</x:f>
        <x:v>0</x:v>
      </x:c>
      <x:c r="M194" s="11" t="n">
        <x:f>IF(AND(K194=1,OR(B194="ED",B194="NED")),1,0)</x:f>
        <x:v>0</x:v>
      </x:c>
      <x:c r="N194" s="11" t="n">
        <x:f>IF(K194=1,1,0)</x:f>
        <x:v>0</x:v>
      </x:c>
      <x:c r="O194" s="12" t="str">
        <x:v>Require exact native accession match</x:v>
      </x:c>
      <x:c r="P194" s="11" t="n">
        <x:v>0</x:v>
      </x:c>
      <x:c r="Q194" s="12"/>
      <x:c r="R194" s="12"/>
      <x:c r="S194" s="11" t="n">
        <x:v>2887</x:v>
      </x:c>
      <x:c r="T194" s="11" t="n">
        <x:v>693</x:v>
      </x:c>
    </x:row>
    <x:row r="195" ht="23" customHeight="1">
      <x:c r="A195" s="2" t="str">
        <x:v>E9PWE8</x:v>
      </x:c>
      <x:c r="B195" s="2" t="str">
        <x:v>UN</x:v>
      </x:c>
      <x:c r="C195" s="2"/>
      <x:c r="D195" s="2"/>
      <x:c r="E195" s="10"/>
      <x:c r="F195" s="11"/>
      <x:c r="G195" s="11" t="n">
        <x:v>0</x:v>
      </x:c>
      <x:c r="H195" s="11" t="n">
        <x:v>0</x:v>
      </x:c>
      <x:c r="I195" s="11" t="n">
        <x:v>0</x:v>
      </x:c>
      <x:c r="J195" s="11" t="n">
        <x:v>0</x:v>
      </x:c>
      <x:c r="K195" s="11" t="n">
        <x:v>0</x:v>
      </x:c>
      <x:c r="L195" s="11" t="n">
        <x:f>IF(B195="NED",1,IF(OR(B195="ED",B195="UN"),0,""))</x:f>
        <x:v>0</x:v>
      </x:c>
      <x:c r="M195" s="11" t="n">
        <x:f>IF(AND(K195=1,OR(B195="ED",B195="NED")),1,0)</x:f>
        <x:v>0</x:v>
      </x:c>
      <x:c r="N195" s="11" t="n">
        <x:f>IF(K195=1,1,0)</x:f>
        <x:v>0</x:v>
      </x:c>
      <x:c r="O195" s="12" t="str">
        <x:v>Require exact native accession match</x:v>
      </x:c>
      <x:c r="P195" s="11" t="n">
        <x:v>0</x:v>
      </x:c>
      <x:c r="Q195" s="12"/>
      <x:c r="R195" s="12"/>
      <x:c r="S195" s="11" t="n">
        <x:v>2888</x:v>
      </x:c>
      <x:c r="T195" s="11" t="n">
        <x:v>683</x:v>
      </x:c>
    </x:row>
    <x:row r="196" ht="23" customHeight="1">
      <x:c r="A196" s="2" t="str">
        <x:v>E9PWG2</x:v>
      </x:c>
      <x:c r="B196" s="2" t="str">
        <x:v>UN</x:v>
      </x:c>
      <x:c r="C196" s="2"/>
      <x:c r="D196" s="2"/>
      <x:c r="E196" s="10"/>
      <x:c r="F196" s="11"/>
      <x:c r="G196" s="11" t="n">
        <x:v>0</x:v>
      </x:c>
      <x:c r="H196" s="11" t="n">
        <x:v>0</x:v>
      </x:c>
      <x:c r="I196" s="11"/>
      <x:c r="J196" s="11"/>
      <x:c r="K196" s="11" t="n">
        <x:v>0</x:v>
      </x:c>
      <x:c r="L196" s="11" t="n">
        <x:f>IF(B196="NED",1,IF(OR(B196="ED",B196="UN"),0,""))</x:f>
        <x:v>0</x:v>
      </x:c>
      <x:c r="M196" s="11" t="n">
        <x:f>IF(AND(K196=1,OR(B196="ED",B196="NED")),1,0)</x:f>
        <x:v>0</x:v>
      </x:c>
      <x:c r="N196" s="11" t="n">
        <x:f>IF(K196=1,1,0)</x:f>
        <x:v>0</x:v>
      </x:c>
      <x:c r="O196" s="12" t="str">
        <x:v>Require exact native accession match</x:v>
      </x:c>
      <x:c r="P196" s="11" t="n">
        <x:v>0</x:v>
      </x:c>
      <x:c r="Q196" s="12"/>
      <x:c r="R196" s="12"/>
      <x:c r="S196" s="11" t="n">
        <x:v>2889</x:v>
      </x:c>
      <x:c r="T196" s="11"/>
    </x:row>
    <x:row r="197" ht="23" customHeight="1">
      <x:c r="A197" s="2" t="str">
        <x:v>E9PWG6</x:v>
      </x:c>
      <x:c r="B197" s="2" t="str">
        <x:v>UN</x:v>
      </x:c>
      <x:c r="C197" s="2" t="n">
        <x:v>0</x:v>
      </x:c>
      <x:c r="D197" s="2" t="n">
        <x:v>0</x:v>
      </x:c>
      <x:c r="E197" s="10" t="n">
        <x:v>82.14504980079681</x:v>
      </x:c>
      <x:c r="F197" s="11" t="n">
        <x:v>1004</x:v>
      </x:c>
      <x:c r="G197" s="11" t="n">
        <x:v>0</x:v>
      </x:c>
      <x:c r="H197" s="11" t="n">
        <x:v>0</x:v>
      </x:c>
      <x:c r="I197" s="11" t="n">
        <x:v>0</x:v>
      </x:c>
      <x:c r="J197" s="11" t="n">
        <x:v>0</x:v>
      </x:c>
      <x:c r="K197" s="11" t="n">
        <x:v>1</x:v>
      </x:c>
      <x:c r="L197" s="11" t="n">
        <x:f>IF(B197="NED",1,IF(OR(B197="ED",B197="UN"),0,""))</x:f>
        <x:v>0</x:v>
      </x:c>
      <x:c r="M197" s="11" t="n">
        <x:f>IF(AND(K197=1,OR(B197="ED",B197="NED")),1,0)</x:f>
        <x:v>0</x:v>
      </x:c>
      <x:c r="N197" s="11" t="n">
        <x:f>IF(K197=1,1,0)</x:f>
        <x:v>1</x:v>
      </x:c>
      <x:c r="O197" s="12"/>
      <x:c r="P197" s="11" t="n">
        <x:v>0</x:v>
      </x:c>
      <x:c r="Q197" s="12" t="str">
        <x:v>AF-E9PWG6-F1-model_v6</x:v>
      </x:c>
      <x:c r="R197" s="12" t="str">
        <x:v>ok</x:v>
      </x:c>
      <x:c r="S197" s="11" t="n">
        <x:v>2890</x:v>
      </x:c>
      <x:c r="T197" s="11" t="n">
        <x:v>1004</x:v>
      </x:c>
    </x:row>
    <x:row r="198" ht="23" customHeight="1">
      <x:c r="A198" s="2" t="str">
        <x:v>E9PWI6</x:v>
      </x:c>
      <x:c r="B198" s="2" t="str">
        <x:v>UN</x:v>
      </x:c>
      <x:c r="C198" s="2"/>
      <x:c r="D198" s="2"/>
      <x:c r="E198" s="10"/>
      <x:c r="F198" s="11"/>
      <x:c r="G198" s="11" t="n">
        <x:v>0</x:v>
      </x:c>
      <x:c r="H198" s="11" t="n">
        <x:v>0</x:v>
      </x:c>
      <x:c r="I198" s="11" t="n">
        <x:v>0</x:v>
      </x:c>
      <x:c r="J198" s="11" t="n">
        <x:v>0</x:v>
      </x:c>
      <x:c r="K198" s="11" t="n">
        <x:v>0</x:v>
      </x:c>
      <x:c r="L198" s="11" t="n">
        <x:f>IF(B198="NED",1,IF(OR(B198="ED",B198="UN"),0,""))</x:f>
        <x:v>0</x:v>
      </x:c>
      <x:c r="M198" s="11" t="n">
        <x:f>IF(AND(K198=1,OR(B198="ED",B198="NED")),1,0)</x:f>
        <x:v>0</x:v>
      </x:c>
      <x:c r="N198" s="11" t="n">
        <x:f>IF(K198=1,1,0)</x:f>
        <x:v>0</x:v>
      </x:c>
      <x:c r="O198" s="12" t="str">
        <x:v>Require exact native accession match</x:v>
      </x:c>
      <x:c r="P198" s="11" t="n">
        <x:v>0</x:v>
      </x:c>
      <x:c r="Q198" s="12"/>
      <x:c r="R198" s="12"/>
      <x:c r="S198" s="11" t="n">
        <x:v>2891</x:v>
      </x:c>
      <x:c r="T198" s="11" t="n">
        <x:v>1644</x:v>
      </x:c>
    </x:row>
    <x:row r="199" ht="23" customHeight="1">
      <x:c r="A199" s="2" t="str">
        <x:v>E9PWK1</x:v>
      </x:c>
      <x:c r="B199" s="2" t="str">
        <x:v>UN</x:v>
      </x:c>
      <x:c r="C199" s="2"/>
      <x:c r="D199" s="2"/>
      <x:c r="E199" s="10"/>
      <x:c r="F199" s="11"/>
      <x:c r="G199" s="11" t="n">
        <x:v>0</x:v>
      </x:c>
      <x:c r="H199" s="11" t="n">
        <x:v>0</x:v>
      </x:c>
      <x:c r="I199" s="11" t="n">
        <x:v>1</x:v>
      </x:c>
      <x:c r="J199" s="11" t="n">
        <x:v>0</x:v>
      </x:c>
      <x:c r="K199" s="11" t="n">
        <x:v>0</x:v>
      </x:c>
      <x:c r="L199" s="11" t="n">
        <x:f>IF(B199="NED",1,IF(OR(B199="ED",B199="UN"),0,""))</x:f>
        <x:v>0</x:v>
      </x:c>
      <x:c r="M199" s="11" t="n">
        <x:f>IF(AND(K199=1,OR(B199="ED",B199="NED")),1,0)</x:f>
        <x:v>0</x:v>
      </x:c>
      <x:c r="N199" s="11" t="n">
        <x:f>IF(K199=1,1,0)</x:f>
        <x:v>0</x:v>
      </x:c>
      <x:c r="O199" s="12" t="str">
        <x:v>Require exact native accession match</x:v>
      </x:c>
      <x:c r="P199" s="11" t="n">
        <x:v>0</x:v>
      </x:c>
      <x:c r="Q199" s="12"/>
      <x:c r="R199" s="12"/>
      <x:c r="S199" s="11" t="n">
        <x:v>2892</x:v>
      </x:c>
      <x:c r="T199" s="11" t="n">
        <x:v>441</x:v>
      </x:c>
    </x:row>
    <x:row r="200" ht="23" customHeight="1">
      <x:c r="A200" s="2" t="str">
        <x:v>E9PWK7</x:v>
      </x:c>
      <x:c r="B200" s="2" t="str">
        <x:v>UN</x:v>
      </x:c>
      <x:c r="C200" s="2"/>
      <x:c r="D200" s="2"/>
      <x:c r="E200" s="10"/>
      <x:c r="F200" s="11"/>
      <x:c r="G200" s="11" t="n">
        <x:v>0</x:v>
      </x:c>
      <x:c r="H200" s="11" t="n">
        <x:v>0</x:v>
      </x:c>
      <x:c r="I200" s="11" t="n">
        <x:v>1</x:v>
      </x:c>
      <x:c r="J200" s="11" t="n">
        <x:v>0</x:v>
      </x:c>
      <x:c r="K200" s="11" t="n">
        <x:v>0</x:v>
      </x:c>
      <x:c r="L200" s="11" t="n">
        <x:f>IF(B200="NED",1,IF(OR(B200="ED",B200="UN"),0,""))</x:f>
        <x:v>0</x:v>
      </x:c>
      <x:c r="M200" s="11" t="n">
        <x:f>IF(AND(K200=1,OR(B200="ED",B200="NED")),1,0)</x:f>
        <x:v>0</x:v>
      </x:c>
      <x:c r="N200" s="11" t="n">
        <x:f>IF(K200=1,1,0)</x:f>
        <x:v>0</x:v>
      </x:c>
      <x:c r="O200" s="12" t="str">
        <x:v>Require exact native accession match</x:v>
      </x:c>
      <x:c r="P200" s="11" t="n">
        <x:v>0</x:v>
      </x:c>
      <x:c r="Q200" s="12"/>
      <x:c r="R200" s="12"/>
      <x:c r="S200" s="11" t="n">
        <x:v>2893</x:v>
      </x:c>
      <x:c r="T200" s="11" t="n">
        <x:v>935</x:v>
      </x:c>
    </x:row>
    <x:row r="201" ht="23" customHeight="1">
      <x:c r="A201" s="2" t="str">
        <x:v>E9PWV3</x:v>
      </x:c>
      <x:c r="B201" s="2" t="str">
        <x:v>ED</x:v>
      </x:c>
      <x:c r="C201" s="2"/>
      <x:c r="D201" s="2"/>
      <x:c r="E201" s="10"/>
      <x:c r="F201" s="11"/>
      <x:c r="G201" s="11" t="n">
        <x:v>0</x:v>
      </x:c>
      <x:c r="H201" s="11" t="n">
        <x:v>0</x:v>
      </x:c>
      <x:c r="I201" s="11" t="n">
        <x:v>0</x:v>
      </x:c>
      <x:c r="J201" s="11" t="n">
        <x:v>0</x:v>
      </x:c>
      <x:c r="K201" s="11" t="n">
        <x:v>0</x:v>
      </x:c>
      <x:c r="L201" s="11" t="n">
        <x:f>IF(B201="NED",1,IF(OR(B201="ED",B201="UN"),0,""))</x:f>
        <x:v>0</x:v>
      </x:c>
      <x:c r="M201" s="11" t="n">
        <x:f>IF(AND(K201=1,OR(B201="ED",B201="NED")),1,0)</x:f>
        <x:v>0</x:v>
      </x:c>
      <x:c r="N201" s="11" t="n">
        <x:f>IF(K201=1,1,0)</x:f>
        <x:v>0</x:v>
      </x:c>
      <x:c r="O201" s="12" t="str">
        <x:v>Require exact native accession match</x:v>
      </x:c>
      <x:c r="P201" s="11" t="n">
        <x:v>0</x:v>
      </x:c>
      <x:c r="Q201" s="12"/>
      <x:c r="R201" s="12"/>
      <x:c r="S201" s="11" t="n">
        <x:v>2894</x:v>
      </x:c>
      <x:c r="T201" s="11" t="n">
        <x:v>719</x:v>
      </x:c>
    </x:row>
    <x:row r="202" ht="23" customHeight="1">
      <x:c r="A202" s="2" t="str">
        <x:v>E9PWX8</x:v>
      </x:c>
      <x:c r="B202" s="2" t="str">
        <x:v>ED</x:v>
      </x:c>
      <x:c r="C202" s="2"/>
      <x:c r="D202" s="2"/>
      <x:c r="E202" s="10"/>
      <x:c r="F202" s="11"/>
      <x:c r="G202" s="11" t="n">
        <x:v>0</x:v>
      </x:c>
      <x:c r="H202" s="11" t="n">
        <x:v>0</x:v>
      </x:c>
      <x:c r="I202" s="11" t="n">
        <x:v>0</x:v>
      </x:c>
      <x:c r="J202" s="11" t="n">
        <x:v>0</x:v>
      </x:c>
      <x:c r="K202" s="11" t="n">
        <x:v>0</x:v>
      </x:c>
      <x:c r="L202" s="11" t="n">
        <x:f>IF(B202="NED",1,IF(OR(B202="ED",B202="UN"),0,""))</x:f>
        <x:v>0</x:v>
      </x:c>
      <x:c r="M202" s="11" t="n">
        <x:f>IF(AND(K202=1,OR(B202="ED",B202="NED")),1,0)</x:f>
        <x:v>0</x:v>
      </x:c>
      <x:c r="N202" s="11" t="n">
        <x:f>IF(K202=1,1,0)</x:f>
        <x:v>0</x:v>
      </x:c>
      <x:c r="O202" s="12" t="str">
        <x:v>Require exact native accession match</x:v>
      </x:c>
      <x:c r="P202" s="11" t="n">
        <x:v>0</x:v>
      </x:c>
      <x:c r="Q202" s="12"/>
      <x:c r="R202" s="12"/>
      <x:c r="S202" s="11" t="n">
        <x:v>2895</x:v>
      </x:c>
      <x:c r="T202" s="11" t="n">
        <x:v>2426</x:v>
      </x:c>
    </x:row>
    <x:row r="203" ht="23" customHeight="1">
      <x:c r="A203" s="2" t="str">
        <x:v>E9PWY7</x:v>
      </x:c>
      <x:c r="B203" s="2" t="str">
        <x:v>UN</x:v>
      </x:c>
      <x:c r="C203" s="2"/>
      <x:c r="D203" s="2"/>
      <x:c r="E203" s="10"/>
      <x:c r="F203" s="11"/>
      <x:c r="G203" s="11" t="n">
        <x:v>0</x:v>
      </x:c>
      <x:c r="H203" s="11" t="n">
        <x:v>0</x:v>
      </x:c>
      <x:c r="I203" s="11" t="n">
        <x:v>1</x:v>
      </x:c>
      <x:c r="J203" s="11" t="n">
        <x:v>0</x:v>
      </x:c>
      <x:c r="K203" s="11" t="n">
        <x:v>0</x:v>
      </x:c>
      <x:c r="L203" s="11" t="n">
        <x:f>IF(B203="NED",1,IF(OR(B203="ED",B203="UN"),0,""))</x:f>
        <x:v>0</x:v>
      </x:c>
      <x:c r="M203" s="11" t="n">
        <x:f>IF(AND(K203=1,OR(B203="ED",B203="NED")),1,0)</x:f>
        <x:v>0</x:v>
      </x:c>
      <x:c r="N203" s="11" t="n">
        <x:f>IF(K203=1,1,0)</x:f>
        <x:v>0</x:v>
      </x:c>
      <x:c r="O203" s="12" t="str">
        <x:v>Require exact native accession match</x:v>
      </x:c>
      <x:c r="P203" s="11" t="n">
        <x:v>0</x:v>
      </x:c>
      <x:c r="Q203" s="12"/>
      <x:c r="R203" s="12"/>
      <x:c r="S203" s="11" t="n">
        <x:v>2896</x:v>
      </x:c>
      <x:c r="T203" s="11" t="n">
        <x:v>262</x:v>
      </x:c>
    </x:row>
    <x:row r="204" ht="23" customHeight="1">
      <x:c r="A204" s="2" t="str">
        <x:v>E9PWY9</x:v>
      </x:c>
      <x:c r="B204" s="2" t="str">
        <x:v>UN</x:v>
      </x:c>
      <x:c r="C204" s="2"/>
      <x:c r="D204" s="2"/>
      <x:c r="E204" s="10"/>
      <x:c r="F204" s="11"/>
      <x:c r="G204" s="11" t="n">
        <x:v>0</x:v>
      </x:c>
      <x:c r="H204" s="11" t="n">
        <x:v>0</x:v>
      </x:c>
      <x:c r="I204" s="11" t="n">
        <x:v>0</x:v>
      </x:c>
      <x:c r="J204" s="11" t="n">
        <x:v>0</x:v>
      </x:c>
      <x:c r="K204" s="11" t="n">
        <x:v>0</x:v>
      </x:c>
      <x:c r="L204" s="11" t="n">
        <x:f>IF(B204="NED",1,IF(OR(B204="ED",B204="UN"),0,""))</x:f>
        <x:v>0</x:v>
      </x:c>
      <x:c r="M204" s="11" t="n">
        <x:f>IF(AND(K204=1,OR(B204="ED",B204="NED")),1,0)</x:f>
        <x:v>0</x:v>
      </x:c>
      <x:c r="N204" s="11" t="n">
        <x:f>IF(K204=1,1,0)</x:f>
        <x:v>0</x:v>
      </x:c>
      <x:c r="O204" s="12" t="str">
        <x:v>Require exact native accession match</x:v>
      </x:c>
      <x:c r="P204" s="11" t="n">
        <x:v>0</x:v>
      </x:c>
      <x:c r="Q204" s="12"/>
      <x:c r="R204" s="12"/>
      <x:c r="S204" s="11" t="n">
        <x:v>2897</x:v>
      </x:c>
      <x:c r="T204" s="11" t="n">
        <x:v>507</x:v>
      </x:c>
    </x:row>
    <x:row r="205" ht="23" customHeight="1">
      <x:c r="A205" s="2" t="str">
        <x:v>E9PX48</x:v>
      </x:c>
      <x:c r="B205" s="2" t="str">
        <x:v>ED</x:v>
      </x:c>
      <x:c r="C205" s="2"/>
      <x:c r="D205" s="2"/>
      <x:c r="E205" s="10"/>
      <x:c r="F205" s="11"/>
      <x:c r="G205" s="11" t="n">
        <x:v>0</x:v>
      </x:c>
      <x:c r="H205" s="11" t="n">
        <x:v>0</x:v>
      </x:c>
      <x:c r="I205" s="11" t="n">
        <x:v>0</x:v>
      </x:c>
      <x:c r="J205" s="11" t="n">
        <x:v>0</x:v>
      </x:c>
      <x:c r="K205" s="11" t="n">
        <x:v>0</x:v>
      </x:c>
      <x:c r="L205" s="11" t="n">
        <x:f>IF(B205="NED",1,IF(OR(B205="ED",B205="UN"),0,""))</x:f>
        <x:v>0</x:v>
      </x:c>
      <x:c r="M205" s="11" t="n">
        <x:f>IF(AND(K205=1,OR(B205="ED",B205="NED")),1,0)</x:f>
        <x:v>0</x:v>
      </x:c>
      <x:c r="N205" s="11" t="n">
        <x:f>IF(K205=1,1,0)</x:f>
        <x:v>0</x:v>
      </x:c>
      <x:c r="O205" s="12" t="str">
        <x:v>Require exact native accession match</x:v>
      </x:c>
      <x:c r="P205" s="11" t="n">
        <x:v>0</x:v>
      </x:c>
      <x:c r="Q205" s="12"/>
      <x:c r="R205" s="12"/>
      <x:c r="S205" s="11" t="n">
        <x:v>2898</x:v>
      </x:c>
      <x:c r="T205" s="11" t="n">
        <x:v>2100</x:v>
      </x:c>
    </x:row>
    <x:row r="206" ht="23" customHeight="1">
      <x:c r="A206" s="2" t="str">
        <x:v>E9PX53</x:v>
      </x:c>
      <x:c r="B206" s="2" t="str">
        <x:v>UN</x:v>
      </x:c>
      <x:c r="C206" s="2"/>
      <x:c r="D206" s="2"/>
      <x:c r="E206" s="10"/>
      <x:c r="F206" s="11"/>
      <x:c r="G206" s="11" t="n">
        <x:v>0</x:v>
      </x:c>
      <x:c r="H206" s="11" t="n">
        <x:v>0</x:v>
      </x:c>
      <x:c r="I206" s="11" t="n">
        <x:v>0</x:v>
      </x:c>
      <x:c r="J206" s="11" t="n">
        <x:v>0</x:v>
      </x:c>
      <x:c r="K206" s="11" t="n">
        <x:v>0</x:v>
      </x:c>
      <x:c r="L206" s="11" t="n">
        <x:f>IF(B206="NED",1,IF(OR(B206="ED",B206="UN"),0,""))</x:f>
        <x:v>0</x:v>
      </x:c>
      <x:c r="M206" s="11" t="n">
        <x:f>IF(AND(K206=1,OR(B206="ED",B206="NED")),1,0)</x:f>
        <x:v>0</x:v>
      </x:c>
      <x:c r="N206" s="11" t="n">
        <x:f>IF(K206=1,1,0)</x:f>
        <x:v>0</x:v>
      </x:c>
      <x:c r="O206" s="12" t="str">
        <x:v>Require exact native accession match</x:v>
      </x:c>
      <x:c r="P206" s="11" t="n">
        <x:v>0</x:v>
      </x:c>
      <x:c r="Q206" s="12"/>
      <x:c r="R206" s="12"/>
      <x:c r="S206" s="11" t="n">
        <x:v>2899</x:v>
      </x:c>
      <x:c r="T206" s="11" t="n">
        <x:v>934</x:v>
      </x:c>
    </x:row>
    <x:row r="207" ht="23" customHeight="1">
      <x:c r="A207" s="2" t="str">
        <x:v>E9PX68</x:v>
      </x:c>
      <x:c r="B207" s="2" t="str">
        <x:v>ED</x:v>
      </x:c>
      <x:c r="C207" s="2" t="n">
        <x:v>1</x:v>
      </x:c>
      <x:c r="D207" s="2" t="n">
        <x:v>1</x:v>
      </x:c>
      <x:c r="E207" s="10" t="n">
        <x:v>64.54532258064516</x:v>
      </x:c>
      <x:c r="F207" s="11" t="n">
        <x:v>744</x:v>
      </x:c>
      <x:c r="G207" s="11" t="n">
        <x:v>0</x:v>
      </x:c>
      <x:c r="H207" s="11" t="n">
        <x:v>0</x:v>
      </x:c>
      <x:c r="I207" s="11" t="n">
        <x:v>0</x:v>
      </x:c>
      <x:c r="J207" s="11" t="n">
        <x:v>0</x:v>
      </x:c>
      <x:c r="K207" s="11" t="n">
        <x:v>0</x:v>
      </x:c>
      <x:c r="L207" s="11" t="n">
        <x:f>IF(B207="NED",1,IF(OR(B207="ED",B207="UN"),0,""))</x:f>
        <x:v>0</x:v>
      </x:c>
      <x:c r="M207" s="11" t="n">
        <x:f>IF(AND(K207=1,OR(B207="ED",B207="NED")),1,0)</x:f>
        <x:v>0</x:v>
      </x:c>
      <x:c r="N207" s="11" t="n">
        <x:f>IF(K207=1,1,0)</x:f>
        <x:v>0</x:v>
      </x:c>
      <x:c r="O207" s="12" t="str">
        <x:v>Retain protein mean pLDDT &gt;=70</x:v>
      </x:c>
      <x:c r="P207" s="11" t="n">
        <x:v>0</x:v>
      </x:c>
      <x:c r="Q207" s="12" t="str">
        <x:v>AF-E9PX68-F1-model_v6</x:v>
      </x:c>
      <x:c r="R207" s="12" t="str">
        <x:v>ok</x:v>
      </x:c>
      <x:c r="S207" s="11" t="n">
        <x:v>2900</x:v>
      </x:c>
      <x:c r="T207" s="11" t="n">
        <x:v>744</x:v>
      </x:c>
    </x:row>
    <x:row r="208" ht="23" customHeight="1">
      <x:c r="A208" s="2" t="str">
        <x:v>E9PXW8</x:v>
      </x:c>
      <x:c r="B208" s="2" t="str">
        <x:v>UN</x:v>
      </x:c>
      <x:c r="C208" s="2"/>
      <x:c r="D208" s="2"/>
      <x:c r="E208" s="10"/>
      <x:c r="F208" s="11"/>
      <x:c r="G208" s="11" t="n">
        <x:v>0</x:v>
      </x:c>
      <x:c r="H208" s="11" t="n">
        <x:v>0</x:v>
      </x:c>
      <x:c r="I208" s="11" t="n">
        <x:v>0</x:v>
      </x:c>
      <x:c r="J208" s="11" t="n">
        <x:v>0</x:v>
      </x:c>
      <x:c r="K208" s="11" t="n">
        <x:v>0</x:v>
      </x:c>
      <x:c r="L208" s="11" t="n">
        <x:f>IF(B208="NED",1,IF(OR(B208="ED",B208="UN"),0,""))</x:f>
        <x:v>0</x:v>
      </x:c>
      <x:c r="M208" s="11" t="n">
        <x:f>IF(AND(K208=1,OR(B208="ED",B208="NED")),1,0)</x:f>
        <x:v>0</x:v>
      </x:c>
      <x:c r="N208" s="11" t="n">
        <x:f>IF(K208=1,1,0)</x:f>
        <x:v>0</x:v>
      </x:c>
      <x:c r="O208" s="12" t="str">
        <x:v>Require exact native accession match</x:v>
      </x:c>
      <x:c r="P208" s="11" t="n">
        <x:v>0</x:v>
      </x:c>
      <x:c r="Q208" s="12"/>
      <x:c r="R208" s="12"/>
      <x:c r="S208" s="11" t="n">
        <x:v>2901</x:v>
      </x:c>
      <x:c r="T208" s="11" t="n">
        <x:v>868</x:v>
      </x:c>
    </x:row>
    <x:row r="209" ht="23" customHeight="1">
      <x:c r="A209" s="2" t="str">
        <x:v>E9PY39</x:v>
      </x:c>
      <x:c r="B209" s="2" t="str">
        <x:v>ED</x:v>
      </x:c>
      <x:c r="C209" s="2"/>
      <x:c r="D209" s="2"/>
      <x:c r="E209" s="10"/>
      <x:c r="F209" s="11"/>
      <x:c r="G209" s="11" t="n">
        <x:v>0</x:v>
      </x:c>
      <x:c r="H209" s="11" t="n">
        <x:v>0</x:v>
      </x:c>
      <x:c r="I209" s="11" t="n">
        <x:v>1</x:v>
      </x:c>
      <x:c r="J209" s="11" t="n">
        <x:v>0</x:v>
      </x:c>
      <x:c r="K209" s="11" t="n">
        <x:v>0</x:v>
      </x:c>
      <x:c r="L209" s="11" t="n">
        <x:f>IF(B209="NED",1,IF(OR(B209="ED",B209="UN"),0,""))</x:f>
        <x:v>0</x:v>
      </x:c>
      <x:c r="M209" s="11" t="n">
        <x:f>IF(AND(K209=1,OR(B209="ED",B209="NED")),1,0)</x:f>
        <x:v>0</x:v>
      </x:c>
      <x:c r="N209" s="11" t="n">
        <x:f>IF(K209=1,1,0)</x:f>
        <x:v>0</x:v>
      </x:c>
      <x:c r="O209" s="12" t="str">
        <x:v>Require exact native accession match</x:v>
      </x:c>
      <x:c r="P209" s="11" t="n">
        <x:v>0</x:v>
      </x:c>
      <x:c r="Q209" s="12"/>
      <x:c r="R209" s="12"/>
      <x:c r="S209" s="11" t="n">
        <x:v>2902</x:v>
      </x:c>
      <x:c r="T209" s="11" t="n">
        <x:v>371</x:v>
      </x:c>
    </x:row>
    <x:row r="210" ht="23" customHeight="1">
      <x:c r="A210" s="2" t="str">
        <x:v>E9PY55</x:v>
      </x:c>
      <x:c r="B210" s="2" t="str">
        <x:v>ED</x:v>
      </x:c>
      <x:c r="C210" s="2"/>
      <x:c r="D210" s="2"/>
      <x:c r="E210" s="10"/>
      <x:c r="F210" s="11"/>
      <x:c r="G210" s="11" t="n">
        <x:v>0</x:v>
      </x:c>
      <x:c r="H210" s="11" t="n">
        <x:v>0</x:v>
      </x:c>
      <x:c r="I210" s="11" t="n">
        <x:v>0</x:v>
      </x:c>
      <x:c r="J210" s="11" t="n">
        <x:v>0</x:v>
      </x:c>
      <x:c r="K210" s="11" t="n">
        <x:v>0</x:v>
      </x:c>
      <x:c r="L210" s="11" t="n">
        <x:f>IF(B210="NED",1,IF(OR(B210="ED",B210="UN"),0,""))</x:f>
        <x:v>0</x:v>
      </x:c>
      <x:c r="M210" s="11" t="n">
        <x:f>IF(AND(K210=1,OR(B210="ED",B210="NED")),1,0)</x:f>
        <x:v>0</x:v>
      </x:c>
      <x:c r="N210" s="11" t="n">
        <x:f>IF(K210=1,1,0)</x:f>
        <x:v>0</x:v>
      </x:c>
      <x:c r="O210" s="12" t="str">
        <x:v>Require exact native accession match</x:v>
      </x:c>
      <x:c r="P210" s="11" t="n">
        <x:v>0</x:v>
      </x:c>
      <x:c r="Q210" s="12"/>
      <x:c r="R210" s="12"/>
      <x:c r="S210" s="11" t="n">
        <x:v>2903</x:v>
      </x:c>
      <x:c r="T210" s="11" t="n">
        <x:v>2468</x:v>
      </x:c>
    </x:row>
    <x:row r="211" ht="23" customHeight="1">
      <x:c r="A211" s="2" t="str">
        <x:v>E9PYB0</x:v>
      </x:c>
      <x:c r="B211" s="2" t="str">
        <x:v>ED</x:v>
      </x:c>
      <x:c r="C211" s="2"/>
      <x:c r="D211" s="2"/>
      <x:c r="E211" s="10"/>
      <x:c r="F211" s="11"/>
      <x:c r="G211" s="11" t="n">
        <x:v>0</x:v>
      </x:c>
      <x:c r="H211" s="11" t="n">
        <x:v>0</x:v>
      </x:c>
      <x:c r="I211" s="11"/>
      <x:c r="J211" s="11"/>
      <x:c r="K211" s="11" t="n">
        <x:v>0</x:v>
      </x:c>
      <x:c r="L211" s="11" t="n">
        <x:f>IF(B211="NED",1,IF(OR(B211="ED",B211="UN"),0,""))</x:f>
        <x:v>0</x:v>
      </x:c>
      <x:c r="M211" s="11" t="n">
        <x:f>IF(AND(K211=1,OR(B211="ED",B211="NED")),1,0)</x:f>
        <x:v>0</x:v>
      </x:c>
      <x:c r="N211" s="11" t="n">
        <x:f>IF(K211=1,1,0)</x:f>
        <x:v>0</x:v>
      </x:c>
      <x:c r="O211" s="12" t="str">
        <x:v>Require exact native accession match</x:v>
      </x:c>
      <x:c r="P211" s="11" t="n">
        <x:v>0</x:v>
      </x:c>
      <x:c r="Q211" s="12"/>
      <x:c r="R211" s="12"/>
      <x:c r="S211" s="11" t="n">
        <x:v>2904</x:v>
      </x:c>
      <x:c r="T211" s="11"/>
    </x:row>
    <x:row r="212" ht="23" customHeight="1">
      <x:c r="A212" s="2" t="str">
        <x:v>E9PYF4</x:v>
      </x:c>
      <x:c r="B212" s="2" t="str">
        <x:v>ED</x:v>
      </x:c>
      <x:c r="C212" s="2"/>
      <x:c r="D212" s="2"/>
      <x:c r="E212" s="10"/>
      <x:c r="F212" s="11"/>
      <x:c r="G212" s="11" t="n">
        <x:v>0</x:v>
      </x:c>
      <x:c r="H212" s="11" t="n">
        <x:v>0</x:v>
      </x:c>
      <x:c r="I212" s="11" t="n">
        <x:v>0</x:v>
      </x:c>
      <x:c r="J212" s="11" t="n">
        <x:v>0</x:v>
      </x:c>
      <x:c r="K212" s="11" t="n">
        <x:v>0</x:v>
      </x:c>
      <x:c r="L212" s="11" t="n">
        <x:f>IF(B212="NED",1,IF(OR(B212="ED",B212="UN"),0,""))</x:f>
        <x:v>0</x:v>
      </x:c>
      <x:c r="M212" s="11" t="n">
        <x:f>IF(AND(K212=1,OR(B212="ED",B212="NED")),1,0)</x:f>
        <x:v>0</x:v>
      </x:c>
      <x:c r="N212" s="11" t="n">
        <x:f>IF(K212=1,1,0)</x:f>
        <x:v>0</x:v>
      </x:c>
      <x:c r="O212" s="12" t="str">
        <x:v>Require exact native accession match</x:v>
      </x:c>
      <x:c r="P212" s="11" t="n">
        <x:v>0</x:v>
      </x:c>
      <x:c r="Q212" s="12"/>
      <x:c r="R212" s="12"/>
      <x:c r="S212" s="11" t="n">
        <x:v>2905</x:v>
      </x:c>
      <x:c r="T212" s="11" t="n">
        <x:v>1699</x:v>
      </x:c>
    </x:row>
    <x:row r="213" ht="23" customHeight="1">
      <x:c r="A213" s="2" t="str">
        <x:v>E9PYG6</x:v>
      </x:c>
      <x:c r="B213" s="2" t="str">
        <x:v>ED</x:v>
      </x:c>
      <x:c r="C213" s="2" t="n">
        <x:v>1</x:v>
      </x:c>
      <x:c r="D213" s="2" t="n">
        <x:v>1</x:v>
      </x:c>
      <x:c r="E213" s="10" t="n">
        <x:v>75.47809248554913</x:v>
      </x:c>
      <x:c r="F213" s="11" t="n">
        <x:v>1038</x:v>
      </x:c>
      <x:c r="G213" s="11" t="n">
        <x:v>0</x:v>
      </x:c>
      <x:c r="H213" s="11" t="n">
        <x:v>0</x:v>
      </x:c>
      <x:c r="I213" s="11" t="n">
        <x:v>0</x:v>
      </x:c>
      <x:c r="J213" s="11" t="n">
        <x:v>0</x:v>
      </x:c>
      <x:c r="K213" s="11" t="n">
        <x:v>1</x:v>
      </x:c>
      <x:c r="L213" s="11" t="n">
        <x:f>IF(B213="NED",1,IF(OR(B213="ED",B213="UN"),0,""))</x:f>
        <x:v>0</x:v>
      </x:c>
      <x:c r="M213" s="11" t="n">
        <x:f>IF(AND(K213=1,OR(B213="ED",B213="NED")),1,0)</x:f>
        <x:v>1</x:v>
      </x:c>
      <x:c r="N213" s="11" t="n">
        <x:f>IF(K213=1,1,0)</x:f>
        <x:v>1</x:v>
      </x:c>
      <x:c r="O213" s="12"/>
      <x:c r="P213" s="11" t="n">
        <x:v>0</x:v>
      </x:c>
      <x:c r="Q213" s="12" t="str">
        <x:v>AF-E9PYG6-F1-model_v6</x:v>
      </x:c>
      <x:c r="R213" s="12" t="str">
        <x:v>ok</x:v>
      </x:c>
      <x:c r="S213" s="11" t="n">
        <x:v>2906</x:v>
      </x:c>
      <x:c r="T213" s="11" t="n">
        <x:v>1038</x:v>
      </x:c>
    </x:row>
    <x:row r="214" ht="23" customHeight="1">
      <x:c r="A214" s="2" t="str">
        <x:v>E9PYI8</x:v>
      </x:c>
      <x:c r="B214" s="2" t="str">
        <x:v>ED</x:v>
      </x:c>
      <x:c r="C214" s="2"/>
      <x:c r="D214" s="2"/>
      <x:c r="E214" s="10"/>
      <x:c r="F214" s="11"/>
      <x:c r="G214" s="11" t="n">
        <x:v>0</x:v>
      </x:c>
      <x:c r="H214" s="11" t="n">
        <x:v>0</x:v>
      </x:c>
      <x:c r="I214" s="11" t="n">
        <x:v>0</x:v>
      </x:c>
      <x:c r="J214" s="11" t="n">
        <x:v>0</x:v>
      </x:c>
      <x:c r="K214" s="11" t="n">
        <x:v>0</x:v>
      </x:c>
      <x:c r="L214" s="11" t="n">
        <x:f>IF(B214="NED",1,IF(OR(B214="ED",B214="UN"),0,""))</x:f>
        <x:v>0</x:v>
      </x:c>
      <x:c r="M214" s="11" t="n">
        <x:f>IF(AND(K214=1,OR(B214="ED",B214="NED")),1,0)</x:f>
        <x:v>0</x:v>
      </x:c>
      <x:c r="N214" s="11" t="n">
        <x:f>IF(K214=1,1,0)</x:f>
        <x:v>0</x:v>
      </x:c>
      <x:c r="O214" s="12" t="str">
        <x:v>Require exact native accession match</x:v>
      </x:c>
      <x:c r="P214" s="11" t="n">
        <x:v>0</x:v>
      </x:c>
      <x:c r="Q214" s="12"/>
      <x:c r="R214" s="12"/>
      <x:c r="S214" s="11" t="n">
        <x:v>2907</x:v>
      </x:c>
      <x:c r="T214" s="11" t="n">
        <x:v>458</x:v>
      </x:c>
    </x:row>
    <x:row r="215" ht="23" customHeight="1">
      <x:c r="A215" s="2" t="str">
        <x:v>E9PYJ6</x:v>
      </x:c>
      <x:c r="B215" s="2" t="str">
        <x:v>UN</x:v>
      </x:c>
      <x:c r="C215" s="2"/>
      <x:c r="D215" s="2"/>
      <x:c r="E215" s="10"/>
      <x:c r="F215" s="11"/>
      <x:c r="G215" s="11" t="n">
        <x:v>0</x:v>
      </x:c>
      <x:c r="H215" s="11" t="n">
        <x:v>0</x:v>
      </x:c>
      <x:c r="I215" s="11" t="n">
        <x:v>0</x:v>
      </x:c>
      <x:c r="J215" s="11" t="n">
        <x:v>0</x:v>
      </x:c>
      <x:c r="K215" s="11" t="n">
        <x:v>0</x:v>
      </x:c>
      <x:c r="L215" s="11" t="n">
        <x:f>IF(B215="NED",1,IF(OR(B215="ED",B215="UN"),0,""))</x:f>
        <x:v>0</x:v>
      </x:c>
      <x:c r="M215" s="11" t="n">
        <x:f>IF(AND(K215=1,OR(B215="ED",B215="NED")),1,0)</x:f>
        <x:v>0</x:v>
      </x:c>
      <x:c r="N215" s="11" t="n">
        <x:f>IF(K215=1,1,0)</x:f>
        <x:v>0</x:v>
      </x:c>
      <x:c r="O215" s="12" t="str">
        <x:v>Require exact native accession match</x:v>
      </x:c>
      <x:c r="P215" s="11" t="n">
        <x:v>0</x:v>
      </x:c>
      <x:c r="Q215" s="12"/>
      <x:c r="R215" s="12"/>
      <x:c r="S215" s="11" t="n">
        <x:v>2908</x:v>
      </x:c>
      <x:c r="T215" s="11" t="n">
        <x:v>1712</x:v>
      </x:c>
    </x:row>
    <x:row r="216" ht="23" customHeight="1">
      <x:c r="A216" s="2" t="str">
        <x:v>E9PYK3</x:v>
      </x:c>
      <x:c r="B216" s="2" t="str">
        <x:v>ED</x:v>
      </x:c>
      <x:c r="C216" s="2" t="n">
        <x:v>1</x:v>
      </x:c>
      <x:c r="D216" s="2" t="n">
        <x:v>1</x:v>
      </x:c>
      <x:c r="E216" s="10"/>
      <x:c r="F216" s="11" t="n">
        <x:v>1969</x:v>
      </x:c>
      <x:c r="G216" s="11" t="n">
        <x:v>1</x:v>
      </x:c>
      <x:c r="H216" s="11" t="n">
        <x:v>0</x:v>
      </x:c>
      <x:c r="I216" s="11" t="n">
        <x:v>0</x:v>
      </x:c>
      <x:c r="J216" s="11" t="n">
        <x:v>0</x:v>
      </x:c>
      <x:c r="K216" s="11" t="n">
        <x:v>0</x:v>
      </x:c>
      <x:c r="L216" s="11" t="n">
        <x:f>IF(B216="NED",1,IF(OR(B216="ED",B216="UN"),0,""))</x:f>
        <x:v>0</x:v>
      </x:c>
      <x:c r="M216" s="11" t="n">
        <x:f>IF(AND(K216=1,OR(B216="ED",B216="NED")),1,0)</x:f>
        <x:v>0</x:v>
      </x:c>
      <x:c r="N216" s="11" t="n">
        <x:f>IF(K216=1,1,0)</x:f>
        <x:v>0</x:v>
      </x:c>
      <x:c r="O216" s="12" t="str">
        <x:v>Exclude supplied knotted proteins</x:v>
      </x:c>
      <x:c r="P216" s="11" t="n">
        <x:v>0</x:v>
      </x:c>
      <x:c r="Q216" s="12" t="str">
        <x:v>AF-E9PYK3-F1-model_v6</x:v>
      </x:c>
      <x:c r="R216" s="12" t="str">
        <x:v>ok</x:v>
      </x:c>
      <x:c r="S216" s="11" t="n">
        <x:v>2909</x:v>
      </x:c>
      <x:c r="T216" s="11" t="n">
        <x:v>1969</x:v>
      </x:c>
    </x:row>
    <x:row r="217" ht="23" customHeight="1">
      <x:c r="A217" s="2" t="str">
        <x:v>E9PZ16</x:v>
      </x:c>
      <x:c r="B217" s="2" t="str">
        <x:v>UN</x:v>
      </x:c>
      <x:c r="C217" s="2"/>
      <x:c r="D217" s="2"/>
      <x:c r="E217" s="10"/>
      <x:c r="F217" s="11"/>
      <x:c r="G217" s="11" t="n">
        <x:v>0</x:v>
      </x:c>
      <x:c r="H217" s="11" t="n">
        <x:v>0</x:v>
      </x:c>
      <x:c r="I217" s="11" t="n">
        <x:v>0</x:v>
      </x:c>
      <x:c r="J217" s="11" t="n">
        <x:v>1</x:v>
      </x:c>
      <x:c r="K217" s="11" t="n">
        <x:v>0</x:v>
      </x:c>
      <x:c r="L217" s="11" t="n">
        <x:f>IF(B217="NED",1,IF(OR(B217="ED",B217="UN"),0,""))</x:f>
        <x:v>0</x:v>
      </x:c>
      <x:c r="M217" s="11" t="n">
        <x:f>IF(AND(K217=1,OR(B217="ED",B217="NED")),1,0)</x:f>
        <x:v>0</x:v>
      </x:c>
      <x:c r="N217" s="11" t="n">
        <x:f>IF(K217=1,1,0)</x:f>
        <x:v>0</x:v>
      </x:c>
      <x:c r="O217" s="12" t="str">
        <x:v>Require exact native accession match</x:v>
      </x:c>
      <x:c r="P217" s="11" t="n">
        <x:v>0</x:v>
      </x:c>
      <x:c r="Q217" s="12"/>
      <x:c r="R217" s="12"/>
      <x:c r="S217" s="11" t="n">
        <x:v>2910</x:v>
      </x:c>
      <x:c r="T217" s="11" t="n">
        <x:v>4383</x:v>
      </x:c>
    </x:row>
    <x:row r="218" ht="23" customHeight="1">
      <x:c r="A218" s="2" t="str">
        <x:v>E9PZ73</x:v>
      </x:c>
      <x:c r="B218" s="2" t="str">
        <x:v>UN</x:v>
      </x:c>
      <x:c r="C218" s="2"/>
      <x:c r="D218" s="2"/>
      <x:c r="E218" s="10"/>
      <x:c r="F218" s="11"/>
      <x:c r="G218" s="11" t="n">
        <x:v>0</x:v>
      </x:c>
      <x:c r="H218" s="11" t="n">
        <x:v>0</x:v>
      </x:c>
      <x:c r="I218" s="11" t="n">
        <x:v>0</x:v>
      </x:c>
      <x:c r="J218" s="11" t="n">
        <x:v>0</x:v>
      </x:c>
      <x:c r="K218" s="11" t="n">
        <x:v>0</x:v>
      </x:c>
      <x:c r="L218" s="11" t="n">
        <x:f>IF(B218="NED",1,IF(OR(B218="ED",B218="UN"),0,""))</x:f>
        <x:v>0</x:v>
      </x:c>
      <x:c r="M218" s="11" t="n">
        <x:f>IF(AND(K218=1,OR(B218="ED",B218="NED")),1,0)</x:f>
        <x:v>0</x:v>
      </x:c>
      <x:c r="N218" s="11" t="n">
        <x:f>IF(K218=1,1,0)</x:f>
        <x:v>0</x:v>
      </x:c>
      <x:c r="O218" s="12" t="str">
        <x:v>Require exact native accession match</x:v>
      </x:c>
      <x:c r="P218" s="11" t="n">
        <x:v>0</x:v>
      </x:c>
      <x:c r="Q218" s="12"/>
      <x:c r="R218" s="12"/>
      <x:c r="S218" s="11" t="n">
        <x:v>2911</x:v>
      </x:c>
      <x:c r="T218" s="11" t="n">
        <x:v>415</x:v>
      </x:c>
    </x:row>
    <x:row r="219" ht="23" customHeight="1">
      <x:c r="A219" s="2" t="str">
        <x:v>E9PZA7</x:v>
      </x:c>
      <x:c r="B219" s="2" t="str">
        <x:v>NED</x:v>
      </x:c>
      <x:c r="C219" s="2"/>
      <x:c r="D219" s="2"/>
      <x:c r="E219" s="10"/>
      <x:c r="F219" s="11"/>
      <x:c r="G219" s="11" t="n">
        <x:v>0</x:v>
      </x:c>
      <x:c r="H219" s="11" t="n">
        <x:v>0</x:v>
      </x:c>
      <x:c r="I219" s="11" t="n">
        <x:v>0</x:v>
      </x:c>
      <x:c r="J219" s="11" t="n">
        <x:v>0</x:v>
      </x:c>
      <x:c r="K219" s="11" t="n">
        <x:v>0</x:v>
      </x:c>
      <x:c r="L219" s="11" t="n">
        <x:f>IF(B219="NED",1,IF(OR(B219="ED",B219="UN"),0,""))</x:f>
        <x:v>1</x:v>
      </x:c>
      <x:c r="M219" s="11" t="n">
        <x:f>IF(AND(K219=1,OR(B219="ED",B219="NED")),1,0)</x:f>
        <x:v>0</x:v>
      </x:c>
      <x:c r="N219" s="11" t="n">
        <x:f>IF(K219=1,1,0)</x:f>
        <x:v>0</x:v>
      </x:c>
      <x:c r="O219" s="12" t="str">
        <x:v>Require exact native accession match</x:v>
      </x:c>
      <x:c r="P219" s="11" t="n">
        <x:v>0</x:v>
      </x:c>
      <x:c r="Q219" s="12"/>
      <x:c r="R219" s="12"/>
      <x:c r="S219" s="11" t="n">
        <x:v>2912</x:v>
      </x:c>
      <x:c r="T219" s="11" t="n">
        <x:v>3829</x:v>
      </x:c>
    </x:row>
    <x:row r="220" ht="23" customHeight="1">
      <x:c r="A220" s="2" t="str">
        <x:v>E9PZF0</x:v>
      </x:c>
      <x:c r="B220" s="2" t="str">
        <x:v>ED</x:v>
      </x:c>
      <x:c r="C220" s="2"/>
      <x:c r="D220" s="2"/>
      <x:c r="E220" s="10"/>
      <x:c r="F220" s="11"/>
      <x:c r="G220" s="11" t="n">
        <x:v>0</x:v>
      </x:c>
      <x:c r="H220" s="11" t="n">
        <x:v>0</x:v>
      </x:c>
      <x:c r="I220" s="11" t="n">
        <x:v>0</x:v>
      </x:c>
      <x:c r="J220" s="11" t="n">
        <x:v>0</x:v>
      </x:c>
      <x:c r="K220" s="11" t="n">
        <x:v>0</x:v>
      </x:c>
      <x:c r="L220" s="11" t="n">
        <x:f>IF(B220="NED",1,IF(OR(B220="ED",B220="UN"),0,""))</x:f>
        <x:v>0</x:v>
      </x:c>
      <x:c r="M220" s="11" t="n">
        <x:f>IF(AND(K220=1,OR(B220="ED",B220="NED")),1,0)</x:f>
        <x:v>0</x:v>
      </x:c>
      <x:c r="N220" s="11" t="n">
        <x:f>IF(K220=1,1,0)</x:f>
        <x:v>0</x:v>
      </x:c>
      <x:c r="O220" s="12" t="str">
        <x:v>Require exact native accession match</x:v>
      </x:c>
      <x:c r="P220" s="11" t="n">
        <x:v>0</x:v>
      </x:c>
      <x:c r="Q220" s="12"/>
      <x:c r="R220" s="12"/>
      <x:c r="S220" s="11" t="n">
        <x:v>2913</x:v>
      </x:c>
      <x:c r="T220" s="11" t="n">
        <x:v>267</x:v>
      </x:c>
    </x:row>
    <x:row r="221" ht="23" customHeight="1">
      <x:c r="A221" s="2" t="str">
        <x:v>E9PZJ8</x:v>
      </x:c>
      <x:c r="B221" s="2" t="str">
        <x:v>ED</x:v>
      </x:c>
      <x:c r="C221" s="2" t="n">
        <x:v>1</x:v>
      </x:c>
      <x:c r="D221" s="2" t="n">
        <x:v>1</x:v>
      </x:c>
      <x:c r="E221" s="10" t="n">
        <x:v>79.07364877161056</x:v>
      </x:c>
      <x:c r="F221" s="11" t="n">
        <x:v>2198</x:v>
      </x:c>
      <x:c r="G221" s="11" t="n">
        <x:v>0</x:v>
      </x:c>
      <x:c r="H221" s="11" t="n">
        <x:v>0</x:v>
      </x:c>
      <x:c r="I221" s="11" t="n">
        <x:v>0</x:v>
      </x:c>
      <x:c r="J221" s="11" t="n">
        <x:v>0</x:v>
      </x:c>
      <x:c r="K221" s="11" t="n">
        <x:v>1</x:v>
      </x:c>
      <x:c r="L221" s="11" t="n">
        <x:f>IF(B221="NED",1,IF(OR(B221="ED",B221="UN"),0,""))</x:f>
        <x:v>0</x:v>
      </x:c>
      <x:c r="M221" s="11" t="n">
        <x:f>IF(AND(K221=1,OR(B221="ED",B221="NED")),1,0)</x:f>
        <x:v>1</x:v>
      </x:c>
      <x:c r="N221" s="11" t="n">
        <x:f>IF(K221=1,1,0)</x:f>
        <x:v>1</x:v>
      </x:c>
      <x:c r="O221" s="12"/>
      <x:c r="P221" s="11" t="n">
        <x:v>0</x:v>
      </x:c>
      <x:c r="Q221" s="12" t="str">
        <x:v>AF-E9PZJ8-F1-model_v6</x:v>
      </x:c>
      <x:c r="R221" s="12" t="str">
        <x:v>ok</x:v>
      </x:c>
      <x:c r="S221" s="11" t="n">
        <x:v>50</x:v>
      </x:c>
      <x:c r="T221" s="11" t="n">
        <x:v>2198</x:v>
      </x:c>
    </x:row>
    <x:row r="222" ht="23" customHeight="1">
      <x:c r="A222" s="2" t="str">
        <x:v>E9PZM4</x:v>
      </x:c>
      <x:c r="B222" s="2" t="str">
        <x:v>UN</x:v>
      </x:c>
      <x:c r="C222" s="2" t="n">
        <x:v>1</x:v>
      </x:c>
      <x:c r="D222" s="2" t="n">
        <x:v>1</x:v>
      </x:c>
      <x:c r="E222" s="10" t="n">
        <x:v>60.46732348111659</x:v>
      </x:c>
      <x:c r="F222" s="11" t="n">
        <x:v>1827</x:v>
      </x:c>
      <x:c r="G222" s="11" t="n">
        <x:v>0</x:v>
      </x:c>
      <x:c r="H222" s="11" t="n">
        <x:v>0</x:v>
      </x:c>
      <x:c r="I222" s="11" t="n">
        <x:v>0</x:v>
      </x:c>
      <x:c r="J222" s="11" t="n">
        <x:v>0</x:v>
      </x:c>
      <x:c r="K222" s="11" t="n">
        <x:v>0</x:v>
      </x:c>
      <x:c r="L222" s="11" t="n">
        <x:f>IF(B222="NED",1,IF(OR(B222="ED",B222="UN"),0,""))</x:f>
        <x:v>0</x:v>
      </x:c>
      <x:c r="M222" s="11" t="n">
        <x:f>IF(AND(K222=1,OR(B222="ED",B222="NED")),1,0)</x:f>
        <x:v>0</x:v>
      </x:c>
      <x:c r="N222" s="11" t="n">
        <x:f>IF(K222=1,1,0)</x:f>
        <x:v>0</x:v>
      </x:c>
      <x:c r="O222" s="12" t="str">
        <x:v>Retain protein mean pLDDT &gt;=70</x:v>
      </x:c>
      <x:c r="P222" s="11" t="n">
        <x:v>0</x:v>
      </x:c>
      <x:c r="Q222" s="12" t="str">
        <x:v>AF-E9PZM4-F1-model_v6</x:v>
      </x:c>
      <x:c r="R222" s="12" t="str">
        <x:v>ok</x:v>
      </x:c>
      <x:c r="S222" s="11" t="n">
        <x:v>51</x:v>
      </x:c>
      <x:c r="T222" s="11" t="n">
        <x:v>1827</x:v>
      </x:c>
    </x:row>
    <x:row r="223" ht="23" customHeight="1">
      <x:c r="A223" s="2" t="str">
        <x:v>E9PZM7</x:v>
      </x:c>
      <x:c r="B223" s="2" t="str">
        <x:v>UN</x:v>
      </x:c>
      <x:c r="C223" s="2" t="n">
        <x:v>1</x:v>
      </x:c>
      <x:c r="D223" s="2"/>
      <x:c r="E223" s="10"/>
      <x:c r="F223" s="11" t="n">
        <x:v>1456</x:v>
      </x:c>
      <x:c r="G223" s="11" t="n">
        <x:v>1</x:v>
      </x:c>
      <x:c r="H223" s="11" t="n">
        <x:v>0</x:v>
      </x:c>
      <x:c r="I223" s="11" t="n">
        <x:v>0</x:v>
      </x:c>
      <x:c r="J223" s="11" t="n">
        <x:v>0</x:v>
      </x:c>
      <x:c r="K223" s="11" t="n">
        <x:v>0</x:v>
      </x:c>
      <x:c r="L223" s="11" t="n">
        <x:f>IF(B223="NED",1,IF(OR(B223="ED",B223="UN"),0,""))</x:f>
        <x:v>0</x:v>
      </x:c>
      <x:c r="M223" s="11" t="n">
        <x:f>IF(AND(K223=1,OR(B223="ED",B223="NED")),1,0)</x:f>
        <x:v>0</x:v>
      </x:c>
      <x:c r="N223" s="11" t="n">
        <x:f>IF(K223=1,1,0)</x:f>
        <x:v>0</x:v>
      </x:c>
      <x:c r="O223" s="12" t="str">
        <x:v>Exclude supplied knotted proteins</x:v>
      </x:c>
      <x:c r="P223" s="11" t="n">
        <x:v>0</x:v>
      </x:c>
      <x:c r="Q223" s="12" t="str">
        <x:v>AF-E9PZM7-F1-model_v6</x:v>
      </x:c>
      <x:c r="R223" s="12" t="str">
        <x:v>ok</x:v>
      </x:c>
      <x:c r="S223" s="11" t="n">
        <x:v>2914</x:v>
      </x:c>
      <x:c r="T223" s="11" t="n">
        <x:v>1456</x:v>
      </x:c>
    </x:row>
    <x:row r="224" ht="23" customHeight="1">
      <x:c r="A224" s="2" t="str">
        <x:v>E9PZP8</x:v>
      </x:c>
      <x:c r="B224" s="2" t="str">
        <x:v>UN</x:v>
      </x:c>
      <x:c r="C224" s="2"/>
      <x:c r="D224" s="2"/>
      <x:c r="E224" s="10"/>
      <x:c r="F224" s="11"/>
      <x:c r="G224" s="11" t="n">
        <x:v>0</x:v>
      </x:c>
      <x:c r="H224" s="11" t="n">
        <x:v>0</x:v>
      </x:c>
      <x:c r="I224" s="11" t="n">
        <x:v>0</x:v>
      </x:c>
      <x:c r="J224" s="11" t="n">
        <x:v>0</x:v>
      </x:c>
      <x:c r="K224" s="11" t="n">
        <x:v>0</x:v>
      </x:c>
      <x:c r="L224" s="11" t="n">
        <x:f>IF(B224="NED",1,IF(OR(B224="ED",B224="UN"),0,""))</x:f>
        <x:v>0</x:v>
      </x:c>
      <x:c r="M224" s="11" t="n">
        <x:f>IF(AND(K224=1,OR(B224="ED",B224="NED")),1,0)</x:f>
        <x:v>0</x:v>
      </x:c>
      <x:c r="N224" s="11" t="n">
        <x:f>IF(K224=1,1,0)</x:f>
        <x:v>0</x:v>
      </x:c>
      <x:c r="O224" s="12" t="str">
        <x:v>Require exact native accession match</x:v>
      </x:c>
      <x:c r="P224" s="11" t="n">
        <x:v>0</x:v>
      </x:c>
      <x:c r="Q224" s="12"/>
      <x:c r="R224" s="12"/>
      <x:c r="S224" s="11" t="n">
        <x:v>2915</x:v>
      </x:c>
      <x:c r="T224" s="11" t="n">
        <x:v>4859</x:v>
      </x:c>
    </x:row>
    <x:row r="225" ht="23" customHeight="1">
      <x:c r="A225" s="2" t="str">
        <x:v>E9Q066</x:v>
      </x:c>
      <x:c r="B225" s="2" t="str">
        <x:v>ED</x:v>
      </x:c>
      <x:c r="C225" s="2"/>
      <x:c r="D225" s="2"/>
      <x:c r="E225" s="10"/>
      <x:c r="F225" s="11"/>
      <x:c r="G225" s="11" t="n">
        <x:v>0</x:v>
      </x:c>
      <x:c r="H225" s="11" t="n">
        <x:v>0</x:v>
      </x:c>
      <x:c r="I225" s="11" t="n">
        <x:v>0</x:v>
      </x:c>
      <x:c r="J225" s="11" t="n">
        <x:v>0</x:v>
      </x:c>
      <x:c r="K225" s="11" t="n">
        <x:v>0</x:v>
      </x:c>
      <x:c r="L225" s="11" t="n">
        <x:f>IF(B225="NED",1,IF(OR(B225="ED",B225="UN"),0,""))</x:f>
        <x:v>0</x:v>
      </x:c>
      <x:c r="M225" s="11" t="n">
        <x:f>IF(AND(K225=1,OR(B225="ED",B225="NED")),1,0)</x:f>
        <x:v>0</x:v>
      </x:c>
      <x:c r="N225" s="11" t="n">
        <x:f>IF(K225=1,1,0)</x:f>
        <x:v>0</x:v>
      </x:c>
      <x:c r="O225" s="12" t="str">
        <x:v>Require exact native accession match</x:v>
      </x:c>
      <x:c r="P225" s="11" t="n">
        <x:v>0</x:v>
      </x:c>
      <x:c r="Q225" s="12"/>
      <x:c r="R225" s="12"/>
      <x:c r="S225" s="11" t="n">
        <x:v>2916</x:v>
      </x:c>
      <x:c r="T225" s="11" t="n">
        <x:v>718</x:v>
      </x:c>
    </x:row>
    <x:row r="226" ht="23" customHeight="1">
      <x:c r="A226" s="2" t="str">
        <x:v>E9Q088</x:v>
      </x:c>
      <x:c r="B226" s="2" t="str">
        <x:v>ED</x:v>
      </x:c>
      <x:c r="C226" s="2"/>
      <x:c r="D226" s="2"/>
      <x:c r="E226" s="10"/>
      <x:c r="F226" s="11"/>
      <x:c r="G226" s="11" t="n">
        <x:v>0</x:v>
      </x:c>
      <x:c r="H226" s="11" t="n">
        <x:v>0</x:v>
      </x:c>
      <x:c r="I226" s="11" t="n">
        <x:v>0</x:v>
      </x:c>
      <x:c r="J226" s="11" t="n">
        <x:v>0</x:v>
      </x:c>
      <x:c r="K226" s="11" t="n">
        <x:v>0</x:v>
      </x:c>
      <x:c r="L226" s="11" t="n">
        <x:f>IF(B226="NED",1,IF(OR(B226="ED",B226="UN"),0,""))</x:f>
        <x:v>0</x:v>
      </x:c>
      <x:c r="M226" s="11" t="n">
        <x:f>IF(AND(K226=1,OR(B226="ED",B226="NED")),1,0)</x:f>
        <x:v>0</x:v>
      </x:c>
      <x:c r="N226" s="11" t="n">
        <x:f>IF(K226=1,1,0)</x:f>
        <x:v>0</x:v>
      </x:c>
      <x:c r="O226" s="12" t="str">
        <x:v>Require exact native accession match</x:v>
      </x:c>
      <x:c r="P226" s="11" t="n">
        <x:v>0</x:v>
      </x:c>
      <x:c r="Q226" s="12"/>
      <x:c r="R226" s="12"/>
      <x:c r="S226" s="11" t="n">
        <x:v>2917</x:v>
      </x:c>
      <x:c r="T226" s="11" t="n">
        <x:v>456</x:v>
      </x:c>
    </x:row>
    <x:row r="227" ht="23" customHeight="1">
      <x:c r="A227" s="2" t="str">
        <x:v>E9Q0A7</x:v>
      </x:c>
      <x:c r="B227" s="2" t="str">
        <x:v>ED</x:v>
      </x:c>
      <x:c r="C227" s="2"/>
      <x:c r="D227" s="2"/>
      <x:c r="E227" s="10"/>
      <x:c r="F227" s="11"/>
      <x:c r="G227" s="11" t="n">
        <x:v>0</x:v>
      </x:c>
      <x:c r="H227" s="11" t="n">
        <x:v>0</x:v>
      </x:c>
      <x:c r="I227" s="11" t="n">
        <x:v>1</x:v>
      </x:c>
      <x:c r="J227" s="11" t="n">
        <x:v>0</x:v>
      </x:c>
      <x:c r="K227" s="11" t="n">
        <x:v>0</x:v>
      </x:c>
      <x:c r="L227" s="11" t="n">
        <x:f>IF(B227="NED",1,IF(OR(B227="ED",B227="UN"),0,""))</x:f>
        <x:v>0</x:v>
      </x:c>
      <x:c r="M227" s="11" t="n">
        <x:f>IF(AND(K227=1,OR(B227="ED",B227="NED")),1,0)</x:f>
        <x:v>0</x:v>
      </x:c>
      <x:c r="N227" s="11" t="n">
        <x:f>IF(K227=1,1,0)</x:f>
        <x:v>0</x:v>
      </x:c>
      <x:c r="O227" s="12" t="str">
        <x:v>Require exact native accession match</x:v>
      </x:c>
      <x:c r="P227" s="11" t="n">
        <x:v>0</x:v>
      </x:c>
      <x:c r="Q227" s="12"/>
      <x:c r="R227" s="12"/>
      <x:c r="S227" s="11" t="n">
        <x:v>2918</x:v>
      </x:c>
      <x:c r="T227" s="11" t="n">
        <x:v>832</x:v>
      </x:c>
    </x:row>
    <x:row r="228" ht="23" customHeight="1">
      <x:c r="A228" s="2" t="str">
        <x:v>E9Q0D4</x:v>
      </x:c>
      <x:c r="B228" s="2" t="str">
        <x:v>ED</x:v>
      </x:c>
      <x:c r="C228" s="2"/>
      <x:c r="D228" s="2"/>
      <x:c r="E228" s="10"/>
      <x:c r="F228" s="11"/>
      <x:c r="G228" s="11" t="n">
        <x:v>0</x:v>
      </x:c>
      <x:c r="H228" s="11" t="n">
        <x:v>0</x:v>
      </x:c>
      <x:c r="I228" s="11" t="n">
        <x:v>0</x:v>
      </x:c>
      <x:c r="J228" s="11" t="n">
        <x:v>0</x:v>
      </x:c>
      <x:c r="K228" s="11" t="n">
        <x:v>0</x:v>
      </x:c>
      <x:c r="L228" s="11" t="n">
        <x:f>IF(B228="NED",1,IF(OR(B228="ED",B228="UN"),0,""))</x:f>
        <x:v>0</x:v>
      </x:c>
      <x:c r="M228" s="11" t="n">
        <x:f>IF(AND(K228=1,OR(B228="ED",B228="NED")),1,0)</x:f>
        <x:v>0</x:v>
      </x:c>
      <x:c r="N228" s="11" t="n">
        <x:f>IF(K228=1,1,0)</x:f>
        <x:v>0</x:v>
      </x:c>
      <x:c r="O228" s="12" t="str">
        <x:v>Require exact native accession match</x:v>
      </x:c>
      <x:c r="P228" s="11" t="n">
        <x:v>0</x:v>
      </x:c>
      <x:c r="Q228" s="12"/>
      <x:c r="R228" s="12"/>
      <x:c r="S228" s="11" t="n">
        <x:v>2919</x:v>
      </x:c>
      <x:c r="T228" s="11" t="n">
        <x:v>1826</x:v>
      </x:c>
    </x:row>
    <x:row r="229" ht="23" customHeight="1">
      <x:c r="A229" s="2" t="str">
        <x:v>E9Q175</x:v>
      </x:c>
      <x:c r="B229" s="2" t="str">
        <x:v>ED</x:v>
      </x:c>
      <x:c r="C229" s="2"/>
      <x:c r="D229" s="2"/>
      <x:c r="E229" s="10"/>
      <x:c r="F229" s="11"/>
      <x:c r="G229" s="11" t="n">
        <x:v>0</x:v>
      </x:c>
      <x:c r="H229" s="11" t="n">
        <x:v>0</x:v>
      </x:c>
      <x:c r="I229" s="11" t="n">
        <x:v>1</x:v>
      </x:c>
      <x:c r="J229" s="11" t="n">
        <x:v>0</x:v>
      </x:c>
      <x:c r="K229" s="11" t="n">
        <x:v>0</x:v>
      </x:c>
      <x:c r="L229" s="11" t="n">
        <x:f>IF(B229="NED",1,IF(OR(B229="ED",B229="UN"),0,""))</x:f>
        <x:v>0</x:v>
      </x:c>
      <x:c r="M229" s="11" t="n">
        <x:f>IF(AND(K229=1,OR(B229="ED",B229="NED")),1,0)</x:f>
        <x:v>0</x:v>
      </x:c>
      <x:c r="N229" s="11" t="n">
        <x:f>IF(K229=1,1,0)</x:f>
        <x:v>0</x:v>
      </x:c>
      <x:c r="O229" s="12" t="str">
        <x:v>Require exact native accession match</x:v>
      </x:c>
      <x:c r="P229" s="11" t="n">
        <x:v>0</x:v>
      </x:c>
      <x:c r="Q229" s="12"/>
      <x:c r="R229" s="12"/>
      <x:c r="S229" s="11" t="n">
        <x:v>2920</x:v>
      </x:c>
      <x:c r="T229" s="11" t="n">
        <x:v>1253</x:v>
      </x:c>
    </x:row>
    <x:row r="230" ht="23" customHeight="1">
      <x:c r="A230" s="2" t="str">
        <x:v>E9Q1G8</x:v>
      </x:c>
      <x:c r="B230" s="2" t="str">
        <x:v>ED</x:v>
      </x:c>
      <x:c r="C230" s="2"/>
      <x:c r="D230" s="2"/>
      <x:c r="E230" s="10"/>
      <x:c r="F230" s="11"/>
      <x:c r="G230" s="11" t="n">
        <x:v>0</x:v>
      </x:c>
      <x:c r="H230" s="11" t="n">
        <x:v>0</x:v>
      </x:c>
      <x:c r="I230" s="11" t="n">
        <x:v>0</x:v>
      </x:c>
      <x:c r="J230" s="11" t="n">
        <x:v>0</x:v>
      </x:c>
      <x:c r="K230" s="11" t="n">
        <x:v>0</x:v>
      </x:c>
      <x:c r="L230" s="11" t="n">
        <x:f>IF(B230="NED",1,IF(OR(B230="ED",B230="UN"),0,""))</x:f>
        <x:v>0</x:v>
      </x:c>
      <x:c r="M230" s="11" t="n">
        <x:f>IF(AND(K230=1,OR(B230="ED",B230="NED")),1,0)</x:f>
        <x:v>0</x:v>
      </x:c>
      <x:c r="N230" s="11" t="n">
        <x:f>IF(K230=1,1,0)</x:f>
        <x:v>0</x:v>
      </x:c>
      <x:c r="O230" s="12" t="str">
        <x:v>Require exact native accession match</x:v>
      </x:c>
      <x:c r="P230" s="11" t="n">
        <x:v>0</x:v>
      </x:c>
      <x:c r="Q230" s="12"/>
      <x:c r="R230" s="12"/>
      <x:c r="S230" s="11" t="n">
        <x:v>2921</x:v>
      </x:c>
      <x:c r="T230" s="11" t="n">
        <x:v>437</x:v>
      </x:c>
    </x:row>
    <x:row r="231" ht="23" customHeight="1">
      <x:c r="A231" s="2" t="str">
        <x:v>E9Q1M6</x:v>
      </x:c>
      <x:c r="B231" s="2" t="str">
        <x:v>ED</x:v>
      </x:c>
      <x:c r="C231" s="2"/>
      <x:c r="D231" s="2"/>
      <x:c r="E231" s="10"/>
      <x:c r="F231" s="11"/>
      <x:c r="G231" s="11" t="n">
        <x:v>0</x:v>
      </x:c>
      <x:c r="H231" s="11" t="n">
        <x:v>0</x:v>
      </x:c>
      <x:c r="I231" s="11" t="n">
        <x:v>0</x:v>
      </x:c>
      <x:c r="J231" s="11" t="n">
        <x:v>0</x:v>
      </x:c>
      <x:c r="K231" s="11" t="n">
        <x:v>0</x:v>
      </x:c>
      <x:c r="L231" s="11" t="n">
        <x:f>IF(B231="NED",1,IF(OR(B231="ED",B231="UN"),0,""))</x:f>
        <x:v>0</x:v>
      </x:c>
      <x:c r="M231" s="11" t="n">
        <x:f>IF(AND(K231=1,OR(B231="ED",B231="NED")),1,0)</x:f>
        <x:v>0</x:v>
      </x:c>
      <x:c r="N231" s="11" t="n">
        <x:f>IF(K231=1,1,0)</x:f>
        <x:v>0</x:v>
      </x:c>
      <x:c r="O231" s="12" t="str">
        <x:v>Require exact native accession match</x:v>
      </x:c>
      <x:c r="P231" s="11" t="n">
        <x:v>0</x:v>
      </x:c>
      <x:c r="Q231" s="12"/>
      <x:c r="R231" s="12"/>
      <x:c r="S231" s="11" t="n">
        <x:v>2922</x:v>
      </x:c>
      <x:c r="T231" s="11" t="n">
        <x:v>2485</x:v>
      </x:c>
    </x:row>
    <x:row r="232" ht="23" customHeight="1">
      <x:c r="A232" s="2" t="str">
        <x:v>E9Q1P8</x:v>
      </x:c>
      <x:c r="B232" s="2" t="str">
        <x:v>UN</x:v>
      </x:c>
      <x:c r="C232" s="2" t="n">
        <x:v>0</x:v>
      </x:c>
      <x:c r="D232" s="2" t="n">
        <x:v>0</x:v>
      </x:c>
      <x:c r="E232" s="10" t="n">
        <x:v>56.272385964912274</x:v>
      </x:c>
      <x:c r="F232" s="11" t="n">
        <x:v>570</x:v>
      </x:c>
      <x:c r="G232" s="11" t="n">
        <x:v>0</x:v>
      </x:c>
      <x:c r="H232" s="11" t="n">
        <x:v>0</x:v>
      </x:c>
      <x:c r="I232" s="11" t="n">
        <x:v>0</x:v>
      </x:c>
      <x:c r="J232" s="11" t="n">
        <x:v>0</x:v>
      </x:c>
      <x:c r="K232" s="11" t="n">
        <x:v>0</x:v>
      </x:c>
      <x:c r="L232" s="11" t="n">
        <x:f>IF(B232="NED",1,IF(OR(B232="ED",B232="UN"),0,""))</x:f>
        <x:v>0</x:v>
      </x:c>
      <x:c r="M232" s="11" t="n">
        <x:f>IF(AND(K232=1,OR(B232="ED",B232="NED")),1,0)</x:f>
        <x:v>0</x:v>
      </x:c>
      <x:c r="N232" s="11" t="n">
        <x:f>IF(K232=1,1,0)</x:f>
        <x:v>0</x:v>
      </x:c>
      <x:c r="O232" s="12" t="str">
        <x:v>Retain protein mean pLDDT &gt;=70</x:v>
      </x:c>
      <x:c r="P232" s="11" t="n">
        <x:v>0</x:v>
      </x:c>
      <x:c r="Q232" s="12" t="str">
        <x:v>AF-E9Q1P8-F1-model_v6</x:v>
      </x:c>
      <x:c r="R232" s="12" t="str">
        <x:v>ok</x:v>
      </x:c>
      <x:c r="S232" s="11" t="n">
        <x:v>52</x:v>
      </x:c>
      <x:c r="T232" s="11" t="n">
        <x:v>570</x:v>
      </x:c>
    </x:row>
    <x:row r="233" ht="23" customHeight="1">
      <x:c r="A233" s="2" t="str">
        <x:v>E9Q1S3</x:v>
      </x:c>
      <x:c r="B233" s="2" t="str">
        <x:v>ED</x:v>
      </x:c>
      <x:c r="C233" s="2"/>
      <x:c r="D233" s="2"/>
      <x:c r="E233" s="10"/>
      <x:c r="F233" s="11"/>
      <x:c r="G233" s="11" t="n">
        <x:v>0</x:v>
      </x:c>
      <x:c r="H233" s="11" t="n">
        <x:v>0</x:v>
      </x:c>
      <x:c r="I233" s="11" t="n">
        <x:v>1</x:v>
      </x:c>
      <x:c r="J233" s="11" t="n">
        <x:v>0</x:v>
      </x:c>
      <x:c r="K233" s="11" t="n">
        <x:v>0</x:v>
      </x:c>
      <x:c r="L233" s="11" t="n">
        <x:f>IF(B233="NED",1,IF(OR(B233="ED",B233="UN"),0,""))</x:f>
        <x:v>0</x:v>
      </x:c>
      <x:c r="M233" s="11" t="n">
        <x:f>IF(AND(K233=1,OR(B233="ED",B233="NED")),1,0)</x:f>
        <x:v>0</x:v>
      </x:c>
      <x:c r="N233" s="11" t="n">
        <x:f>IF(K233=1,1,0)</x:f>
        <x:v>0</x:v>
      </x:c>
      <x:c r="O233" s="12" t="str">
        <x:v>Require exact native accession match</x:v>
      </x:c>
      <x:c r="P233" s="11" t="n">
        <x:v>0</x:v>
      </x:c>
      <x:c r="Q233" s="12"/>
      <x:c r="R233" s="12"/>
      <x:c r="S233" s="11" t="n">
        <x:v>2923</x:v>
      </x:c>
      <x:c r="T233" s="11" t="n">
        <x:v>736</x:v>
      </x:c>
    </x:row>
    <x:row r="234" ht="23" customHeight="1">
      <x:c r="A234" s="2" t="str">
        <x:v>E9Q1Y1</x:v>
      </x:c>
      <x:c r="B234" s="2" t="str">
        <x:v>ED</x:v>
      </x:c>
      <x:c r="C234" s="2"/>
      <x:c r="D234" s="2"/>
      <x:c r="E234" s="10"/>
      <x:c r="F234" s="11"/>
      <x:c r="G234" s="11" t="n">
        <x:v>0</x:v>
      </x:c>
      <x:c r="H234" s="11" t="n">
        <x:v>0</x:v>
      </x:c>
      <x:c r="I234" s="11" t="n">
        <x:v>0</x:v>
      </x:c>
      <x:c r="J234" s="11" t="n">
        <x:v>0</x:v>
      </x:c>
      <x:c r="K234" s="11" t="n">
        <x:v>0</x:v>
      </x:c>
      <x:c r="L234" s="11" t="n">
        <x:f>IF(B234="NED",1,IF(OR(B234="ED",B234="UN"),0,""))</x:f>
        <x:v>0</x:v>
      </x:c>
      <x:c r="M234" s="11" t="n">
        <x:f>IF(AND(K234=1,OR(B234="ED",B234="NED")),1,0)</x:f>
        <x:v>0</x:v>
      </x:c>
      <x:c r="N234" s="11" t="n">
        <x:f>IF(K234=1,1,0)</x:f>
        <x:v>0</x:v>
      </x:c>
      <x:c r="O234" s="12" t="str">
        <x:v>Require exact native accession match</x:v>
      </x:c>
      <x:c r="P234" s="11" t="n">
        <x:v>0</x:v>
      </x:c>
      <x:c r="Q234" s="12"/>
      <x:c r="R234" s="12"/>
      <x:c r="S234" s="11" t="n">
        <x:v>2924</x:v>
      </x:c>
      <x:c r="T234" s="11" t="n">
        <x:v>325</x:v>
      </x:c>
    </x:row>
    <x:row r="235" ht="23" customHeight="1">
      <x:c r="A235" s="2" t="str">
        <x:v>E9Q236</x:v>
      </x:c>
      <x:c r="B235" s="2" t="str">
        <x:v>UN</x:v>
      </x:c>
      <x:c r="C235" s="2" t="n">
        <x:v>1</x:v>
      </x:c>
      <x:c r="D235" s="2" t="n">
        <x:v>1</x:v>
      </x:c>
      <x:c r="E235" s="10"/>
      <x:c r="F235" s="11" t="n">
        <x:v>1325</x:v>
      </x:c>
      <x:c r="G235" s="11" t="n">
        <x:v>0</x:v>
      </x:c>
      <x:c r="H235" s="11" t="n">
        <x:v>0</x:v>
      </x:c>
      <x:c r="I235" s="11" t="n">
        <x:v>1</x:v>
      </x:c>
      <x:c r="J235" s="11" t="n">
        <x:v>0</x:v>
      </x:c>
      <x:c r="K235" s="11" t="n">
        <x:v>0</x:v>
      </x:c>
      <x:c r="L235" s="11" t="n">
        <x:f>IF(B235="NED",1,IF(OR(B235="ED",B235="UN"),0,""))</x:f>
        <x:v>0</x:v>
      </x:c>
      <x:c r="M235" s="11" t="n">
        <x:f>IF(AND(K235=1,OR(B235="ED",B235="NED")),1,0)</x:f>
        <x:v>0</x:v>
      </x:c>
      <x:c r="N235" s="11" t="n">
        <x:f>IF(K235=1,1,0)</x:f>
        <x:v>0</x:v>
      </x:c>
      <x:c r="O235" s="12" t="str">
        <x:v>Exclude UniProt Membrane keyword</x:v>
      </x:c>
      <x:c r="P235" s="11" t="n">
        <x:v>0</x:v>
      </x:c>
      <x:c r="Q235" s="12" t="str">
        <x:v>AF-E9Q236-F1-model_v6</x:v>
      </x:c>
      <x:c r="R235" s="12" t="str">
        <x:v>ok</x:v>
      </x:c>
      <x:c r="S235" s="11" t="n">
        <x:v>2925</x:v>
      </x:c>
      <x:c r="T235" s="11" t="n">
        <x:v>1325</x:v>
      </x:c>
    </x:row>
    <x:row r="236" ht="23" customHeight="1">
      <x:c r="A236" s="2" t="str">
        <x:v>E9Q2B2</x:v>
      </x:c>
      <x:c r="B236" s="2" t="str">
        <x:v>ED</x:v>
      </x:c>
      <x:c r="C236" s="2"/>
      <x:c r="D236" s="2"/>
      <x:c r="E236" s="10"/>
      <x:c r="F236" s="11"/>
      <x:c r="G236" s="11" t="n">
        <x:v>0</x:v>
      </x:c>
      <x:c r="H236" s="11" t="n">
        <x:v>0</x:v>
      </x:c>
      <x:c r="I236" s="11" t="n">
        <x:v>0</x:v>
      </x:c>
      <x:c r="J236" s="11" t="n">
        <x:v>0</x:v>
      </x:c>
      <x:c r="K236" s="11" t="n">
        <x:v>0</x:v>
      </x:c>
      <x:c r="L236" s="11" t="n">
        <x:f>IF(B236="NED",1,IF(OR(B236="ED",B236="UN"),0,""))</x:f>
        <x:v>0</x:v>
      </x:c>
      <x:c r="M236" s="11" t="n">
        <x:f>IF(AND(K236=1,OR(B236="ED",B236="NED")),1,0)</x:f>
        <x:v>0</x:v>
      </x:c>
      <x:c r="N236" s="11" t="n">
        <x:f>IF(K236=1,1,0)</x:f>
        <x:v>0</x:v>
      </x:c>
      <x:c r="O236" s="12" t="str">
        <x:v>Require exact native accession match</x:v>
      </x:c>
      <x:c r="P236" s="11" t="n">
        <x:v>0</x:v>
      </x:c>
      <x:c r="Q236" s="12"/>
      <x:c r="R236" s="12"/>
      <x:c r="S236" s="11" t="n">
        <x:v>2926</x:v>
      </x:c>
      <x:c r="T236" s="11" t="n">
        <x:v>2386</x:v>
      </x:c>
    </x:row>
    <x:row r="237" ht="23" customHeight="1">
      <x:c r="A237" s="2" t="str">
        <x:v>E9Q2E4</x:v>
      </x:c>
      <x:c r="B237" s="2" t="str">
        <x:v>ED</x:v>
      </x:c>
      <x:c r="C237" s="2"/>
      <x:c r="D237" s="2"/>
      <x:c r="E237" s="10"/>
      <x:c r="F237" s="11"/>
      <x:c r="G237" s="11" t="n">
        <x:v>0</x:v>
      </x:c>
      <x:c r="H237" s="11" t="n">
        <x:v>0</x:v>
      </x:c>
      <x:c r="I237" s="11" t="n">
        <x:v>0</x:v>
      </x:c>
      <x:c r="J237" s="11" t="n">
        <x:v>0</x:v>
      </x:c>
      <x:c r="K237" s="11" t="n">
        <x:v>0</x:v>
      </x:c>
      <x:c r="L237" s="11" t="n">
        <x:f>IF(B237="NED",1,IF(OR(B237="ED",B237="UN"),0,""))</x:f>
        <x:v>0</x:v>
      </x:c>
      <x:c r="M237" s="11" t="n">
        <x:f>IF(AND(K237=1,OR(B237="ED",B237="NED")),1,0)</x:f>
        <x:v>0</x:v>
      </x:c>
      <x:c r="N237" s="11" t="n">
        <x:f>IF(K237=1,1,0)</x:f>
        <x:v>0</x:v>
      </x:c>
      <x:c r="O237" s="12" t="str">
        <x:v>Require exact native accession match</x:v>
      </x:c>
      <x:c r="P237" s="11" t="n">
        <x:v>0</x:v>
      </x:c>
      <x:c r="Q237" s="12"/>
      <x:c r="R237" s="12"/>
      <x:c r="S237" s="11" t="n">
        <x:v>2927</x:v>
      </x:c>
      <x:c r="T237" s="11" t="n">
        <x:v>4418</x:v>
      </x:c>
    </x:row>
    <x:row r="238" ht="23" customHeight="1">
      <x:c r="A238" s="2" t="str">
        <x:v>E9Q2H1</x:v>
      </x:c>
      <x:c r="B238" s="2" t="str">
        <x:v>ED</x:v>
      </x:c>
      <x:c r="C238" s="2"/>
      <x:c r="D238" s="2"/>
      <x:c r="E238" s="10"/>
      <x:c r="F238" s="11"/>
      <x:c r="G238" s="11" t="n">
        <x:v>0</x:v>
      </x:c>
      <x:c r="H238" s="11" t="n">
        <x:v>0</x:v>
      </x:c>
      <x:c r="I238" s="11" t="n">
        <x:v>0</x:v>
      </x:c>
      <x:c r="J238" s="11" t="n">
        <x:v>0</x:v>
      </x:c>
      <x:c r="K238" s="11" t="n">
        <x:v>0</x:v>
      </x:c>
      <x:c r="L238" s="11" t="n">
        <x:f>IF(B238="NED",1,IF(OR(B238="ED",B238="UN"),0,""))</x:f>
        <x:v>0</x:v>
      </x:c>
      <x:c r="M238" s="11" t="n">
        <x:f>IF(AND(K238=1,OR(B238="ED",B238="NED")),1,0)</x:f>
        <x:v>0</x:v>
      </x:c>
      <x:c r="N238" s="11" t="n">
        <x:f>IF(K238=1,1,0)</x:f>
        <x:v>0</x:v>
      </x:c>
      <x:c r="O238" s="12" t="str">
        <x:v>Require exact native accession match</x:v>
      </x:c>
      <x:c r="P238" s="11" t="n">
        <x:v>0</x:v>
      </x:c>
      <x:c r="Q238" s="12"/>
      <x:c r="R238" s="12"/>
      <x:c r="S238" s="11" t="n">
        <x:v>2928</x:v>
      </x:c>
      <x:c r="T238" s="11" t="n">
        <x:v>2792</x:v>
      </x:c>
    </x:row>
    <x:row r="239" ht="23" customHeight="1">
      <x:c r="A239" s="2" t="str">
        <x:v>E9Q2X6</x:v>
      </x:c>
      <x:c r="B239" s="2" t="str">
        <x:v>UN</x:v>
      </x:c>
      <x:c r="C239" s="2"/>
      <x:c r="D239" s="2"/>
      <x:c r="E239" s="10"/>
      <x:c r="F239" s="11"/>
      <x:c r="G239" s="11" t="n">
        <x:v>0</x:v>
      </x:c>
      <x:c r="H239" s="11" t="n">
        <x:v>0</x:v>
      </x:c>
      <x:c r="I239" s="11" t="n">
        <x:v>0</x:v>
      </x:c>
      <x:c r="J239" s="11" t="n">
        <x:v>0</x:v>
      </x:c>
      <x:c r="K239" s="11" t="n">
        <x:v>0</x:v>
      </x:c>
      <x:c r="L239" s="11" t="n">
        <x:f>IF(B239="NED",1,IF(OR(B239="ED",B239="UN"),0,""))</x:f>
        <x:v>0</x:v>
      </x:c>
      <x:c r="M239" s="11" t="n">
        <x:f>IF(AND(K239=1,OR(B239="ED",B239="NED")),1,0)</x:f>
        <x:v>0</x:v>
      </x:c>
      <x:c r="N239" s="11" t="n">
        <x:f>IF(K239=1,1,0)</x:f>
        <x:v>0</x:v>
      </x:c>
      <x:c r="O239" s="12" t="str">
        <x:v>Require exact native accession match</x:v>
      </x:c>
      <x:c r="P239" s="11" t="n">
        <x:v>0</x:v>
      </x:c>
      <x:c r="Q239" s="12"/>
      <x:c r="R239" s="12"/>
      <x:c r="S239" s="11" t="n">
        <x:v>2929</x:v>
      </x:c>
      <x:c r="T239" s="11" t="n">
        <x:v>1261</x:v>
      </x:c>
    </x:row>
    <x:row r="240" ht="23" customHeight="1">
      <x:c r="A240" s="2" t="str">
        <x:v>E9Q2Z4</x:v>
      </x:c>
      <x:c r="B240" s="2" t="str">
        <x:v>UN</x:v>
      </x:c>
      <x:c r="C240" s="2"/>
      <x:c r="D240" s="2"/>
      <x:c r="E240" s="10"/>
      <x:c r="F240" s="11"/>
      <x:c r="G240" s="11" t="n">
        <x:v>0</x:v>
      </x:c>
      <x:c r="H240" s="11" t="n">
        <x:v>0</x:v>
      </x:c>
      <x:c r="I240" s="11"/>
      <x:c r="J240" s="11"/>
      <x:c r="K240" s="11" t="n">
        <x:v>0</x:v>
      </x:c>
      <x:c r="L240" s="11" t="n">
        <x:f>IF(B240="NED",1,IF(OR(B240="ED",B240="UN"),0,""))</x:f>
        <x:v>0</x:v>
      </x:c>
      <x:c r="M240" s="11" t="n">
        <x:f>IF(AND(K240=1,OR(B240="ED",B240="NED")),1,0)</x:f>
        <x:v>0</x:v>
      </x:c>
      <x:c r="N240" s="11" t="n">
        <x:f>IF(K240=1,1,0)</x:f>
        <x:v>0</x:v>
      </x:c>
      <x:c r="O240" s="12" t="str">
        <x:v>Require exact native accession match</x:v>
      </x:c>
      <x:c r="P240" s="11" t="n">
        <x:v>0</x:v>
      </x:c>
      <x:c r="Q240" s="12"/>
      <x:c r="R240" s="12"/>
      <x:c r="S240" s="11" t="n">
        <x:v>2930</x:v>
      </x:c>
      <x:c r="T240" s="11"/>
    </x:row>
    <x:row r="241" ht="23" customHeight="1">
      <x:c r="A241" s="2" t="str">
        <x:v>E9Q394</x:v>
      </x:c>
      <x:c r="B241" s="2" t="str">
        <x:v>ED</x:v>
      </x:c>
      <x:c r="C241" s="2"/>
      <x:c r="D241" s="2"/>
      <x:c r="E241" s="10"/>
      <x:c r="F241" s="11"/>
      <x:c r="G241" s="11" t="n">
        <x:v>0</x:v>
      </x:c>
      <x:c r="H241" s="11" t="n">
        <x:v>0</x:v>
      </x:c>
      <x:c r="I241" s="11" t="n">
        <x:v>1</x:v>
      </x:c>
      <x:c r="J241" s="11" t="n">
        <x:v>0</x:v>
      </x:c>
      <x:c r="K241" s="11" t="n">
        <x:v>0</x:v>
      </x:c>
      <x:c r="L241" s="11" t="n">
        <x:f>IF(B241="NED",1,IF(OR(B241="ED",B241="UN"),0,""))</x:f>
        <x:v>0</x:v>
      </x:c>
      <x:c r="M241" s="11" t="n">
        <x:f>IF(AND(K241=1,OR(B241="ED",B241="NED")),1,0)</x:f>
        <x:v>0</x:v>
      </x:c>
      <x:c r="N241" s="11" t="n">
        <x:f>IF(K241=1,1,0)</x:f>
        <x:v>0</x:v>
      </x:c>
      <x:c r="O241" s="12" t="str">
        <x:v>Require exact native accession match</x:v>
      </x:c>
      <x:c r="P241" s="11" t="n">
        <x:v>0</x:v>
      </x:c>
      <x:c r="Q241" s="12"/>
      <x:c r="R241" s="12"/>
      <x:c r="S241" s="11" t="n">
        <x:v>2931</x:v>
      </x:c>
      <x:c r="T241" s="11" t="n">
        <x:v>2776</x:v>
      </x:c>
    </x:row>
    <x:row r="242" ht="23" customHeight="1">
      <x:c r="A242" s="2" t="str">
        <x:v>E9Q3G8</x:v>
      </x:c>
      <x:c r="B242" s="2" t="str">
        <x:v>ED</x:v>
      </x:c>
      <x:c r="C242" s="2" t="n">
        <x:v>1</x:v>
      </x:c>
      <x:c r="D242" s="2"/>
      <x:c r="E242" s="10"/>
      <x:c r="F242" s="11" t="n">
        <x:v>1462</x:v>
      </x:c>
      <x:c r="G242" s="11" t="n">
        <x:v>0</x:v>
      </x:c>
      <x:c r="H242" s="11" t="n">
        <x:v>0</x:v>
      </x:c>
      <x:c r="I242" s="11" t="n">
        <x:v>1</x:v>
      </x:c>
      <x:c r="J242" s="11" t="n">
        <x:v>0</x:v>
      </x:c>
      <x:c r="K242" s="11" t="n">
        <x:v>0</x:v>
      </x:c>
      <x:c r="L242" s="11" t="n">
        <x:f>IF(B242="NED",1,IF(OR(B242="ED",B242="UN"),0,""))</x:f>
        <x:v>0</x:v>
      </x:c>
      <x:c r="M242" s="11" t="n">
        <x:f>IF(AND(K242=1,OR(B242="ED",B242="NED")),1,0)</x:f>
        <x:v>0</x:v>
      </x:c>
      <x:c r="N242" s="11" t="n">
        <x:f>IF(K242=1,1,0)</x:f>
        <x:v>0</x:v>
      </x:c>
      <x:c r="O242" s="12" t="str">
        <x:v>Exclude UniProt Membrane keyword</x:v>
      </x:c>
      <x:c r="P242" s="11" t="n">
        <x:v>0</x:v>
      </x:c>
      <x:c r="Q242" s="12" t="str">
        <x:v>AF-E9Q3G8-F1-model_v6</x:v>
      </x:c>
      <x:c r="R242" s="12" t="str">
        <x:v>ok</x:v>
      </x:c>
      <x:c r="S242" s="11" t="n">
        <x:v>2932</x:v>
      </x:c>
      <x:c r="T242" s="11" t="n">
        <x:v>1462</x:v>
      </x:c>
    </x:row>
    <x:row r="243" ht="23" customHeight="1">
      <x:c r="A243" s="2" t="str">
        <x:v>E9Q3I8</x:v>
      </x:c>
      <x:c r="B243" s="2" t="str">
        <x:v>ED</x:v>
      </x:c>
      <x:c r="C243" s="2"/>
      <x:c r="D243" s="2"/>
      <x:c r="E243" s="10"/>
      <x:c r="F243" s="11"/>
      <x:c r="G243" s="11" t="n">
        <x:v>0</x:v>
      </x:c>
      <x:c r="H243" s="11" t="n">
        <x:v>0</x:v>
      </x:c>
      <x:c r="I243" s="11" t="n">
        <x:v>1</x:v>
      </x:c>
      <x:c r="J243" s="11" t="n">
        <x:v>0</x:v>
      </x:c>
      <x:c r="K243" s="11" t="n">
        <x:v>0</x:v>
      </x:c>
      <x:c r="L243" s="11" t="n">
        <x:f>IF(B243="NED",1,IF(OR(B243="ED",B243="UN"),0,""))</x:f>
        <x:v>0</x:v>
      </x:c>
      <x:c r="M243" s="11" t="n">
        <x:f>IF(AND(K243=1,OR(B243="ED",B243="NED")),1,0)</x:f>
        <x:v>0</x:v>
      </x:c>
      <x:c r="N243" s="11" t="n">
        <x:f>IF(K243=1,1,0)</x:f>
        <x:v>0</x:v>
      </x:c>
      <x:c r="O243" s="12" t="str">
        <x:v>Require exact native accession match</x:v>
      </x:c>
      <x:c r="P243" s="11" t="n">
        <x:v>0</x:v>
      </x:c>
      <x:c r="Q243" s="12"/>
      <x:c r="R243" s="12"/>
      <x:c r="S243" s="11" t="n">
        <x:v>2933</x:v>
      </x:c>
      <x:c r="T243" s="11" t="n">
        <x:v>1142</x:v>
      </x:c>
    </x:row>
    <x:row r="244" ht="23" customHeight="1">
      <x:c r="A244" s="2" t="str">
        <x:v>E9Q3N1</x:v>
      </x:c>
      <x:c r="B244" s="2" t="str">
        <x:v>UN</x:v>
      </x:c>
      <x:c r="C244" s="2"/>
      <x:c r="D244" s="2"/>
      <x:c r="E244" s="10"/>
      <x:c r="F244" s="11"/>
      <x:c r="G244" s="11" t="n">
        <x:v>0</x:v>
      </x:c>
      <x:c r="H244" s="11" t="n">
        <x:v>1</x:v>
      </x:c>
      <x:c r="I244" s="11" t="n">
        <x:v>1</x:v>
      </x:c>
      <x:c r="J244" s="11" t="n">
        <x:v>0</x:v>
      </x:c>
      <x:c r="K244" s="11" t="n">
        <x:v>0</x:v>
      </x:c>
      <x:c r="L244" s="11" t="n">
        <x:f>IF(B244="NED",1,IF(OR(B244="ED",B244="UN"),0,""))</x:f>
        <x:v>0</x:v>
      </x:c>
      <x:c r="M244" s="11" t="n">
        <x:f>IF(AND(K244=1,OR(B244="ED",B244="NED")),1,0)</x:f>
        <x:v>0</x:v>
      </x:c>
      <x:c r="N244" s="11" t="n">
        <x:f>IF(K244=1,1,0)</x:f>
        <x:v>0</x:v>
      </x:c>
      <x:c r="O244" s="12" t="str">
        <x:v>Require exact native accession match</x:v>
      </x:c>
      <x:c r="P244" s="11" t="n">
        <x:v>0</x:v>
      </x:c>
      <x:c r="Q244" s="12"/>
      <x:c r="R244" s="12"/>
      <x:c r="S244" s="11" t="n">
        <x:v>2934</x:v>
      </x:c>
      <x:c r="T244" s="11" t="n">
        <x:v>542</x:v>
      </x:c>
    </x:row>
    <x:row r="245" ht="23" customHeight="1">
      <x:c r="A245" s="2" t="str">
        <x:v>E9Q3P4</x:v>
      </x:c>
      <x:c r="B245" s="2" t="str">
        <x:v>ED</x:v>
      </x:c>
      <x:c r="C245" s="2"/>
      <x:c r="D245" s="2"/>
      <x:c r="E245" s="10"/>
      <x:c r="F245" s="11"/>
      <x:c r="G245" s="11" t="n">
        <x:v>0</x:v>
      </x:c>
      <x:c r="H245" s="11" t="n">
        <x:v>0</x:v>
      </x:c>
      <x:c r="I245" s="11" t="n">
        <x:v>0</x:v>
      </x:c>
      <x:c r="J245" s="11" t="n">
        <x:v>0</x:v>
      </x:c>
      <x:c r="K245" s="11" t="n">
        <x:v>0</x:v>
      </x:c>
      <x:c r="L245" s="11" t="n">
        <x:f>IF(B245="NED",1,IF(OR(B245="ED",B245="UN"),0,""))</x:f>
        <x:v>0</x:v>
      </x:c>
      <x:c r="M245" s="11" t="n">
        <x:f>IF(AND(K245=1,OR(B245="ED",B245="NED")),1,0)</x:f>
        <x:v>0</x:v>
      </x:c>
      <x:c r="N245" s="11" t="n">
        <x:f>IF(K245=1,1,0)</x:f>
        <x:v>0</x:v>
      </x:c>
      <x:c r="O245" s="12" t="str">
        <x:v>Require exact native accession match</x:v>
      </x:c>
      <x:c r="P245" s="11" t="n">
        <x:v>0</x:v>
      </x:c>
      <x:c r="Q245" s="12"/>
      <x:c r="R245" s="12"/>
      <x:c r="S245" s="11" t="n">
        <x:v>2935</x:v>
      </x:c>
      <x:c r="T245" s="11" t="n">
        <x:v>2997</x:v>
      </x:c>
    </x:row>
    <x:row r="246" ht="23" customHeight="1">
      <x:c r="A246" s="2" t="str">
        <x:v>E9Q3R9</x:v>
      </x:c>
      <x:c r="B246" s="2" t="str">
        <x:v>ED</x:v>
      </x:c>
      <x:c r="C246" s="2"/>
      <x:c r="D246" s="2"/>
      <x:c r="E246" s="10"/>
      <x:c r="F246" s="11"/>
      <x:c r="G246" s="11" t="n">
        <x:v>0</x:v>
      </x:c>
      <x:c r="H246" s="11" t="n">
        <x:v>0</x:v>
      </x:c>
      <x:c r="I246" s="11" t="n">
        <x:v>0</x:v>
      </x:c>
      <x:c r="J246" s="11" t="n">
        <x:v>0</x:v>
      </x:c>
      <x:c r="K246" s="11" t="n">
        <x:v>0</x:v>
      </x:c>
      <x:c r="L246" s="11" t="n">
        <x:f>IF(B246="NED",1,IF(OR(B246="ED",B246="UN"),0,""))</x:f>
        <x:v>0</x:v>
      </x:c>
      <x:c r="M246" s="11" t="n">
        <x:f>IF(AND(K246=1,OR(B246="ED",B246="NED")),1,0)</x:f>
        <x:v>0</x:v>
      </x:c>
      <x:c r="N246" s="11" t="n">
        <x:f>IF(K246=1,1,0)</x:f>
        <x:v>0</x:v>
      </x:c>
      <x:c r="O246" s="12" t="str">
        <x:v>Require exact native accession match</x:v>
      </x:c>
      <x:c r="P246" s="11" t="n">
        <x:v>0</x:v>
      </x:c>
      <x:c r="Q246" s="12"/>
      <x:c r="R246" s="12"/>
      <x:c r="S246" s="11" t="n">
        <x:v>2936</x:v>
      </x:c>
      <x:c r="T246" s="11" t="n">
        <x:v>1066</x:v>
      </x:c>
    </x:row>
    <x:row r="247" ht="23" customHeight="1">
      <x:c r="A247" s="2" t="str">
        <x:v>E9Q3T3</x:v>
      </x:c>
      <x:c r="B247" s="2" t="str">
        <x:v>ED</x:v>
      </x:c>
      <x:c r="C247" s="2"/>
      <x:c r="D247" s="2"/>
      <x:c r="E247" s="10"/>
      <x:c r="F247" s="11"/>
      <x:c r="G247" s="11" t="n">
        <x:v>0</x:v>
      </x:c>
      <x:c r="H247" s="11" t="n">
        <x:v>0</x:v>
      </x:c>
      <x:c r="I247" s="11"/>
      <x:c r="J247" s="11"/>
      <x:c r="K247" s="11" t="n">
        <x:v>0</x:v>
      </x:c>
      <x:c r="L247" s="11" t="n">
        <x:f>IF(B247="NED",1,IF(OR(B247="ED",B247="UN"),0,""))</x:f>
        <x:v>0</x:v>
      </x:c>
      <x:c r="M247" s="11" t="n">
        <x:f>IF(AND(K247=1,OR(B247="ED",B247="NED")),1,0)</x:f>
        <x:v>0</x:v>
      </x:c>
      <x:c r="N247" s="11" t="n">
        <x:f>IF(K247=1,1,0)</x:f>
        <x:v>0</x:v>
      </x:c>
      <x:c r="O247" s="12" t="str">
        <x:v>Require exact native accession match</x:v>
      </x:c>
      <x:c r="P247" s="11" t="n">
        <x:v>0</x:v>
      </x:c>
      <x:c r="Q247" s="12"/>
      <x:c r="R247" s="12"/>
      <x:c r="S247" s="11" t="n">
        <x:v>2937</x:v>
      </x:c>
      <x:c r="T247" s="11"/>
    </x:row>
    <x:row r="248" ht="23" customHeight="1">
      <x:c r="A248" s="2" t="str">
        <x:v>E9Q3U1</x:v>
      </x:c>
      <x:c r="B248" s="2" t="str">
        <x:v>ED</x:v>
      </x:c>
      <x:c r="C248" s="2"/>
      <x:c r="D248" s="2"/>
      <x:c r="E248" s="10"/>
      <x:c r="F248" s="11"/>
      <x:c r="G248" s="11" t="n">
        <x:v>0</x:v>
      </x:c>
      <x:c r="H248" s="11" t="n">
        <x:v>0</x:v>
      </x:c>
      <x:c r="I248" s="11" t="n">
        <x:v>0</x:v>
      </x:c>
      <x:c r="J248" s="11" t="n">
        <x:v>0</x:v>
      </x:c>
      <x:c r="K248" s="11" t="n">
        <x:v>0</x:v>
      </x:c>
      <x:c r="L248" s="11" t="n">
        <x:f>IF(B248="NED",1,IF(OR(B248="ED",B248="UN"),0,""))</x:f>
        <x:v>0</x:v>
      </x:c>
      <x:c r="M248" s="11" t="n">
        <x:f>IF(AND(K248=1,OR(B248="ED",B248="NED")),1,0)</x:f>
        <x:v>0</x:v>
      </x:c>
      <x:c r="N248" s="11" t="n">
        <x:f>IF(K248=1,1,0)</x:f>
        <x:v>0</x:v>
      </x:c>
      <x:c r="O248" s="12" t="str">
        <x:v>Require exact native accession match</x:v>
      </x:c>
      <x:c r="P248" s="11" t="n">
        <x:v>0</x:v>
      </x:c>
      <x:c r="Q248" s="12"/>
      <x:c r="R248" s="12"/>
      <x:c r="S248" s="11" t="n">
        <x:v>2938</x:v>
      </x:c>
      <x:c r="T248" s="11" t="n">
        <x:v>152</x:v>
      </x:c>
    </x:row>
    <x:row r="249" ht="23" customHeight="1">
      <x:c r="A249" s="2" t="str">
        <x:v>E9Q3X0</x:v>
      </x:c>
      <x:c r="B249" s="2" t="str">
        <x:v>ED</x:v>
      </x:c>
      <x:c r="C249" s="2"/>
      <x:c r="D249" s="2"/>
      <x:c r="E249" s="10"/>
      <x:c r="F249" s="11"/>
      <x:c r="G249" s="11" t="n">
        <x:v>0</x:v>
      </x:c>
      <x:c r="H249" s="11" t="n">
        <x:v>0</x:v>
      </x:c>
      <x:c r="I249" s="11" t="n">
        <x:v>0</x:v>
      </x:c>
      <x:c r="J249" s="11" t="n">
        <x:v>0</x:v>
      </x:c>
      <x:c r="K249" s="11" t="n">
        <x:v>0</x:v>
      </x:c>
      <x:c r="L249" s="11" t="n">
        <x:f>IF(B249="NED",1,IF(OR(B249="ED",B249="UN"),0,""))</x:f>
        <x:v>0</x:v>
      </x:c>
      <x:c r="M249" s="11" t="n">
        <x:f>IF(AND(K249=1,OR(B249="ED",B249="NED")),1,0)</x:f>
        <x:v>0</x:v>
      </x:c>
      <x:c r="N249" s="11" t="n">
        <x:f>IF(K249=1,1,0)</x:f>
        <x:v>0</x:v>
      </x:c>
      <x:c r="O249" s="12" t="str">
        <x:v>Require exact native accession match</x:v>
      </x:c>
      <x:c r="P249" s="11" t="n">
        <x:v>0</x:v>
      </x:c>
      <x:c r="Q249" s="12"/>
      <x:c r="R249" s="12"/>
      <x:c r="S249" s="11" t="n">
        <x:v>2939</x:v>
      </x:c>
      <x:c r="T249" s="11" t="n">
        <x:v>870</x:v>
      </x:c>
    </x:row>
    <x:row r="250" ht="23" customHeight="1">
      <x:c r="A250" s="2" t="str">
        <x:v>E9Q411</x:v>
      </x:c>
      <x:c r="B250" s="2" t="str">
        <x:v>ED</x:v>
      </x:c>
      <x:c r="C250" s="2" t="n">
        <x:v>1</x:v>
      </x:c>
      <x:c r="D250" s="2" t="n">
        <x:v>1</x:v>
      </x:c>
      <x:c r="E250" s="10" t="n">
        <x:v>73.97938879456706</x:v>
      </x:c>
      <x:c r="F250" s="11" t="n">
        <x:v>2356</x:v>
      </x:c>
      <x:c r="G250" s="11" t="n">
        <x:v>0</x:v>
      </x:c>
      <x:c r="H250" s="11" t="n">
        <x:v>0</x:v>
      </x:c>
      <x:c r="I250" s="11" t="n">
        <x:v>0</x:v>
      </x:c>
      <x:c r="J250" s="11" t="n">
        <x:v>0</x:v>
      </x:c>
      <x:c r="K250" s="11" t="n">
        <x:v>1</x:v>
      </x:c>
      <x:c r="L250" s="11" t="n">
        <x:f>IF(B250="NED",1,IF(OR(B250="ED",B250="UN"),0,""))</x:f>
        <x:v>0</x:v>
      </x:c>
      <x:c r="M250" s="11" t="n">
        <x:f>IF(AND(K250=1,OR(B250="ED",B250="NED")),1,0)</x:f>
        <x:v>1</x:v>
      </x:c>
      <x:c r="N250" s="11" t="n">
        <x:f>IF(K250=1,1,0)</x:f>
        <x:v>1</x:v>
      </x:c>
      <x:c r="O250" s="12"/>
      <x:c r="P250" s="11" t="n">
        <x:v>0</x:v>
      </x:c>
      <x:c r="Q250" s="12" t="str">
        <x:v>AF-E9Q411-F1-model_v6</x:v>
      </x:c>
      <x:c r="R250" s="12" t="str">
        <x:v>ok</x:v>
      </x:c>
      <x:c r="S250" s="11" t="n">
        <x:v>2940</x:v>
      </x:c>
      <x:c r="T250" s="11" t="n">
        <x:v>2356</x:v>
      </x:c>
    </x:row>
    <x:row r="251" ht="23" customHeight="1">
      <x:c r="A251" s="2" t="str">
        <x:v>E9Q446</x:v>
      </x:c>
      <x:c r="B251" s="2" t="str">
        <x:v>UN</x:v>
      </x:c>
      <x:c r="C251" s="2"/>
      <x:c r="D251" s="2"/>
      <x:c r="E251" s="10"/>
      <x:c r="F251" s="11"/>
      <x:c r="G251" s="11" t="n">
        <x:v>0</x:v>
      </x:c>
      <x:c r="H251" s="11" t="n">
        <x:v>0</x:v>
      </x:c>
      <x:c r="I251" s="11" t="n">
        <x:v>0</x:v>
      </x:c>
      <x:c r="J251" s="11" t="n">
        <x:v>0</x:v>
      </x:c>
      <x:c r="K251" s="11" t="n">
        <x:v>0</x:v>
      </x:c>
      <x:c r="L251" s="11" t="n">
        <x:f>IF(B251="NED",1,IF(OR(B251="ED",B251="UN"),0,""))</x:f>
        <x:v>0</x:v>
      </x:c>
      <x:c r="M251" s="11" t="n">
        <x:f>IF(AND(K251=1,OR(B251="ED",B251="NED")),1,0)</x:f>
        <x:v>0</x:v>
      </x:c>
      <x:c r="N251" s="11" t="n">
        <x:f>IF(K251=1,1,0)</x:f>
        <x:v>0</x:v>
      </x:c>
      <x:c r="O251" s="12" t="str">
        <x:v>Require exact native accession match</x:v>
      </x:c>
      <x:c r="P251" s="11" t="n">
        <x:v>0</x:v>
      </x:c>
      <x:c r="Q251" s="12"/>
      <x:c r="R251" s="12"/>
      <x:c r="S251" s="11" t="n">
        <x:v>2941</x:v>
      </x:c>
      <x:c r="T251" s="11" t="n">
        <x:v>455</x:v>
      </x:c>
    </x:row>
    <x:row r="252" ht="23" customHeight="1">
      <x:c r="A252" s="2" t="str">
        <x:v>E9Q456</x:v>
      </x:c>
      <x:c r="B252" s="2" t="str">
        <x:v>ED</x:v>
      </x:c>
      <x:c r="C252" s="2"/>
      <x:c r="D252" s="2"/>
      <x:c r="E252" s="10"/>
      <x:c r="F252" s="11"/>
      <x:c r="G252" s="11" t="n">
        <x:v>0</x:v>
      </x:c>
      <x:c r="H252" s="11" t="n">
        <x:v>0</x:v>
      </x:c>
      <x:c r="I252" s="11" t="n">
        <x:v>0</x:v>
      </x:c>
      <x:c r="J252" s="11" t="n">
        <x:v>0</x:v>
      </x:c>
      <x:c r="K252" s="11" t="n">
        <x:v>0</x:v>
      </x:c>
      <x:c r="L252" s="11" t="n">
        <x:f>IF(B252="NED",1,IF(OR(B252="ED",B252="UN"),0,""))</x:f>
        <x:v>0</x:v>
      </x:c>
      <x:c r="M252" s="11" t="n">
        <x:f>IF(AND(K252=1,OR(B252="ED",B252="NED")),1,0)</x:f>
        <x:v>0</x:v>
      </x:c>
      <x:c r="N252" s="11" t="n">
        <x:f>IF(K252=1,1,0)</x:f>
        <x:v>0</x:v>
      </x:c>
      <x:c r="O252" s="12" t="str">
        <x:v>Require exact native accession match</x:v>
      </x:c>
      <x:c r="P252" s="11" t="n">
        <x:v>0</x:v>
      </x:c>
      <x:c r="Q252" s="12"/>
      <x:c r="R252" s="12"/>
      <x:c r="S252" s="11" t="n">
        <x:v>2942</x:v>
      </x:c>
      <x:c r="T252" s="11" t="n">
        <x:v>248</x:v>
      </x:c>
    </x:row>
    <x:row r="253" ht="23" customHeight="1">
      <x:c r="A253" s="2" t="str">
        <x:v>E9Q4G8</x:v>
      </x:c>
      <x:c r="B253" s="2" t="str">
        <x:v>ED</x:v>
      </x:c>
      <x:c r="C253" s="2"/>
      <x:c r="D253" s="2"/>
      <x:c r="E253" s="10"/>
      <x:c r="F253" s="11"/>
      <x:c r="G253" s="11" t="n">
        <x:v>0</x:v>
      </x:c>
      <x:c r="H253" s="11" t="n">
        <x:v>0</x:v>
      </x:c>
      <x:c r="I253" s="11" t="n">
        <x:v>1</x:v>
      </x:c>
      <x:c r="J253" s="11" t="n">
        <x:v>0</x:v>
      </x:c>
      <x:c r="K253" s="11" t="n">
        <x:v>0</x:v>
      </x:c>
      <x:c r="L253" s="11" t="n">
        <x:f>IF(B253="NED",1,IF(OR(B253="ED",B253="UN"),0,""))</x:f>
        <x:v>0</x:v>
      </x:c>
      <x:c r="M253" s="11" t="n">
        <x:f>IF(AND(K253=1,OR(B253="ED",B253="NED")),1,0)</x:f>
        <x:v>0</x:v>
      </x:c>
      <x:c r="N253" s="11" t="n">
        <x:f>IF(K253=1,1,0)</x:f>
        <x:v>0</x:v>
      </x:c>
      <x:c r="O253" s="12" t="str">
        <x:v>Require exact native accession match</x:v>
      </x:c>
      <x:c r="P253" s="11" t="n">
        <x:v>0</x:v>
      </x:c>
      <x:c r="Q253" s="12"/>
      <x:c r="R253" s="12"/>
      <x:c r="S253" s="11" t="n">
        <x:v>2943</x:v>
      </x:c>
      <x:c r="T253" s="11" t="n">
        <x:v>555</x:v>
      </x:c>
    </x:row>
    <x:row r="254" ht="23" customHeight="1">
      <x:c r="A254" s="2" t="str">
        <x:v>E9Q4X2</x:v>
      </x:c>
      <x:c r="B254" s="2" t="str">
        <x:v>ED</x:v>
      </x:c>
      <x:c r="C254" s="2" t="n">
        <x:v>1</x:v>
      </x:c>
      <x:c r="D254" s="2" t="n">
        <x:v>1</x:v>
      </x:c>
      <x:c r="E254" s="10"/>
      <x:c r="F254" s="11" t="n">
        <x:v>1504</x:v>
      </x:c>
      <x:c r="G254" s="11" t="n">
        <x:v>1</x:v>
      </x:c>
      <x:c r="H254" s="11" t="n">
        <x:v>0</x:v>
      </x:c>
      <x:c r="I254" s="11" t="n">
        <x:v>0</x:v>
      </x:c>
      <x:c r="J254" s="11" t="n">
        <x:v>0</x:v>
      </x:c>
      <x:c r="K254" s="11" t="n">
        <x:v>0</x:v>
      </x:c>
      <x:c r="L254" s="11" t="n">
        <x:f>IF(B254="NED",1,IF(OR(B254="ED",B254="UN"),0,""))</x:f>
        <x:v>0</x:v>
      </x:c>
      <x:c r="M254" s="11" t="n">
        <x:f>IF(AND(K254=1,OR(B254="ED",B254="NED")),1,0)</x:f>
        <x:v>0</x:v>
      </x:c>
      <x:c r="N254" s="11" t="n">
        <x:f>IF(K254=1,1,0)</x:f>
        <x:v>0</x:v>
      </x:c>
      <x:c r="O254" s="12" t="str">
        <x:v>Exclude supplied knotted proteins</x:v>
      </x:c>
      <x:c r="P254" s="11" t="n">
        <x:v>0</x:v>
      </x:c>
      <x:c r="Q254" s="12" t="str">
        <x:v>AF-E9Q4X2-F1-model_v6</x:v>
      </x:c>
      <x:c r="R254" s="12" t="str">
        <x:v>ok</x:v>
      </x:c>
      <x:c r="S254" s="11" t="n">
        <x:v>2944</x:v>
      </x:c>
      <x:c r="T254" s="11" t="n">
        <x:v>1504</x:v>
      </x:c>
    </x:row>
    <x:row r="255" ht="23" customHeight="1">
      <x:c r="A255" s="2" t="str">
        <x:v>E9Q4Y4</x:v>
      </x:c>
      <x:c r="B255" s="2" t="str">
        <x:v>ED</x:v>
      </x:c>
      <x:c r="C255" s="2" t="n">
        <x:v>1</x:v>
      </x:c>
      <x:c r="D255" s="2" t="n">
        <x:v>1</x:v>
      </x:c>
      <x:c r="E255" s="10"/>
      <x:c r="F255" s="11" t="n">
        <x:v>2514</x:v>
      </x:c>
      <x:c r="G255" s="11" t="n">
        <x:v>1</x:v>
      </x:c>
      <x:c r="H255" s="11" t="n">
        <x:v>0</x:v>
      </x:c>
      <x:c r="I255" s="11" t="n">
        <x:v>0</x:v>
      </x:c>
      <x:c r="J255" s="11" t="n">
        <x:v>0</x:v>
      </x:c>
      <x:c r="K255" s="11" t="n">
        <x:v>0</x:v>
      </x:c>
      <x:c r="L255" s="11" t="n">
        <x:f>IF(B255="NED",1,IF(OR(B255="ED",B255="UN"),0,""))</x:f>
        <x:v>0</x:v>
      </x:c>
      <x:c r="M255" s="11" t="n">
        <x:f>IF(AND(K255=1,OR(B255="ED",B255="NED")),1,0)</x:f>
        <x:v>0</x:v>
      </x:c>
      <x:c r="N255" s="11" t="n">
        <x:f>IF(K255=1,1,0)</x:f>
        <x:v>0</x:v>
      </x:c>
      <x:c r="O255" s="12" t="str">
        <x:v>Exclude supplied knotted proteins</x:v>
      </x:c>
      <x:c r="P255" s="11" t="n">
        <x:v>0</x:v>
      </x:c>
      <x:c r="Q255" s="12" t="str">
        <x:v>AF-E9Q4Y4-F1-model_v6</x:v>
      </x:c>
      <x:c r="R255" s="12" t="str">
        <x:v>ok</x:v>
      </x:c>
      <x:c r="S255" s="11" t="n">
        <x:v>2945</x:v>
      </x:c>
      <x:c r="T255" s="11" t="n">
        <x:v>2514</x:v>
      </x:c>
    </x:row>
    <x:row r="256" ht="23" customHeight="1">
      <x:c r="A256" s="2" t="str">
        <x:v>E9Q555</x:v>
      </x:c>
      <x:c r="B256" s="2" t="str">
        <x:v>UN</x:v>
      </x:c>
      <x:c r="C256" s="2"/>
      <x:c r="D256" s="2"/>
      <x:c r="E256" s="10"/>
      <x:c r="F256" s="11"/>
      <x:c r="G256" s="11" t="n">
        <x:v>0</x:v>
      </x:c>
      <x:c r="H256" s="11" t="n">
        <x:v>0</x:v>
      </x:c>
      <x:c r="I256" s="11" t="n">
        <x:v>0</x:v>
      </x:c>
      <x:c r="J256" s="11" t="n">
        <x:v>0</x:v>
      </x:c>
      <x:c r="K256" s="11" t="n">
        <x:v>0</x:v>
      </x:c>
      <x:c r="L256" s="11" t="n">
        <x:f>IF(B256="NED",1,IF(OR(B256="ED",B256="UN"),0,""))</x:f>
        <x:v>0</x:v>
      </x:c>
      <x:c r="M256" s="11" t="n">
        <x:f>IF(AND(K256=1,OR(B256="ED",B256="NED")),1,0)</x:f>
        <x:v>0</x:v>
      </x:c>
      <x:c r="N256" s="11" t="n">
        <x:f>IF(K256=1,1,0)</x:f>
        <x:v>0</x:v>
      </x:c>
      <x:c r="O256" s="12" t="str">
        <x:v>Require exact native accession match</x:v>
      </x:c>
      <x:c r="P256" s="11" t="n">
        <x:v>0</x:v>
      </x:c>
      <x:c r="Q256" s="12"/>
      <x:c r="R256" s="12"/>
      <x:c r="S256" s="11" t="n">
        <x:v>53</x:v>
      </x:c>
      <x:c r="T256" s="11" t="n">
        <x:v>5148</x:v>
      </x:c>
    </x:row>
    <x:row r="257" ht="23" customHeight="1">
      <x:c r="A257" s="2" t="str">
        <x:v>E9Q586</x:v>
      </x:c>
      <x:c r="B257" s="2" t="str">
        <x:v>UN</x:v>
      </x:c>
      <x:c r="C257" s="2"/>
      <x:c r="D257" s="2"/>
      <x:c r="E257" s="10"/>
      <x:c r="F257" s="11"/>
      <x:c r="G257" s="11" t="n">
        <x:v>0</x:v>
      </x:c>
      <x:c r="H257" s="11" t="n">
        <x:v>0</x:v>
      </x:c>
      <x:c r="I257" s="11" t="n">
        <x:v>0</x:v>
      </x:c>
      <x:c r="J257" s="11" t="n">
        <x:v>0</x:v>
      </x:c>
      <x:c r="K257" s="11" t="n">
        <x:v>0</x:v>
      </x:c>
      <x:c r="L257" s="11" t="n">
        <x:f>IF(B257="NED",1,IF(OR(B257="ED",B257="UN"),0,""))</x:f>
        <x:v>0</x:v>
      </x:c>
      <x:c r="M257" s="11" t="n">
        <x:f>IF(AND(K257=1,OR(B257="ED",B257="NED")),1,0)</x:f>
        <x:v>0</x:v>
      </x:c>
      <x:c r="N257" s="11" t="n">
        <x:f>IF(K257=1,1,0)</x:f>
        <x:v>0</x:v>
      </x:c>
      <x:c r="O257" s="12" t="str">
        <x:v>Require exact native accession match</x:v>
      </x:c>
      <x:c r="P257" s="11" t="n">
        <x:v>0</x:v>
      </x:c>
      <x:c r="Q257" s="12"/>
      <x:c r="R257" s="12"/>
      <x:c r="S257" s="11" t="n">
        <x:v>2946</x:v>
      </x:c>
      <x:c r="T257" s="11" t="n">
        <x:v>1239</x:v>
      </x:c>
    </x:row>
    <x:row r="258" ht="23" customHeight="1">
      <x:c r="A258" s="2" t="str">
        <x:v>E9Q5C9</x:v>
      </x:c>
      <x:c r="B258" s="2" t="str">
        <x:v>ED</x:v>
      </x:c>
      <x:c r="C258" s="2" t="n">
        <x:v>1</x:v>
      </x:c>
      <x:c r="D258" s="2"/>
      <x:c r="E258" s="10" t="n">
        <x:v>53.36119658119658</x:v>
      </x:c>
      <x:c r="F258" s="11" t="n">
        <x:v>702</x:v>
      </x:c>
      <x:c r="G258" s="11" t="n">
        <x:v>0</x:v>
      </x:c>
      <x:c r="H258" s="11" t="n">
        <x:v>0</x:v>
      </x:c>
      <x:c r="I258" s="11" t="n">
        <x:v>0</x:v>
      </x:c>
      <x:c r="J258" s="11" t="n">
        <x:v>0</x:v>
      </x:c>
      <x:c r="K258" s="11" t="n">
        <x:v>0</x:v>
      </x:c>
      <x:c r="L258" s="11" t="n">
        <x:f>IF(B258="NED",1,IF(OR(B258="ED",B258="UN"),0,""))</x:f>
        <x:v>0</x:v>
      </x:c>
      <x:c r="M258" s="11" t="n">
        <x:f>IF(AND(K258=1,OR(B258="ED",B258="NED")),1,0)</x:f>
        <x:v>0</x:v>
      </x:c>
      <x:c r="N258" s="11" t="n">
        <x:f>IF(K258=1,1,0)</x:f>
        <x:v>0</x:v>
      </x:c>
      <x:c r="O258" s="12" t="str">
        <x:v>Retain protein mean pLDDT &gt;=70</x:v>
      </x:c>
      <x:c r="P258" s="11" t="n">
        <x:v>0</x:v>
      </x:c>
      <x:c r="Q258" s="12" t="str">
        <x:v>AF-E9Q5C9-F1-model_v6</x:v>
      </x:c>
      <x:c r="R258" s="12" t="str">
        <x:v>ok</x:v>
      </x:c>
      <x:c r="S258" s="11" t="n">
        <x:v>2947</x:v>
      </x:c>
      <x:c r="T258" s="11" t="n">
        <x:v>702</x:v>
      </x:c>
    </x:row>
    <x:row r="259" ht="23" customHeight="1">
      <x:c r="A259" s="2" t="str">
        <x:v>E9Q5E1</x:v>
      </x:c>
      <x:c r="B259" s="2" t="str">
        <x:v>UN</x:v>
      </x:c>
      <x:c r="C259" s="2"/>
      <x:c r="D259" s="2"/>
      <x:c r="E259" s="10"/>
      <x:c r="F259" s="11"/>
      <x:c r="G259" s="11" t="n">
        <x:v>0</x:v>
      </x:c>
      <x:c r="H259" s="11" t="n">
        <x:v>0</x:v>
      </x:c>
      <x:c r="I259" s="11" t="n">
        <x:v>1</x:v>
      </x:c>
      <x:c r="J259" s="11" t="n">
        <x:v>0</x:v>
      </x:c>
      <x:c r="K259" s="11" t="n">
        <x:v>0</x:v>
      </x:c>
      <x:c r="L259" s="11" t="n">
        <x:f>IF(B259="NED",1,IF(OR(B259="ED",B259="UN"),0,""))</x:f>
        <x:v>0</x:v>
      </x:c>
      <x:c r="M259" s="11" t="n">
        <x:f>IF(AND(K259=1,OR(B259="ED",B259="NED")),1,0)</x:f>
        <x:v>0</x:v>
      </x:c>
      <x:c r="N259" s="11" t="n">
        <x:f>IF(K259=1,1,0)</x:f>
        <x:v>0</x:v>
      </x:c>
      <x:c r="O259" s="12" t="str">
        <x:v>Require exact native accession match</x:v>
      </x:c>
      <x:c r="P259" s="11" t="n">
        <x:v>0</x:v>
      </x:c>
      <x:c r="Q259" s="12"/>
      <x:c r="R259" s="12"/>
      <x:c r="S259" s="11" t="n">
        <x:v>2948</x:v>
      </x:c>
      <x:c r="T259" s="11" t="n">
        <x:v>1097</x:v>
      </x:c>
    </x:row>
    <x:row r="260" ht="23" customHeight="1">
      <x:c r="A260" s="2" t="str">
        <x:v>E9Q5F9-2</x:v>
      </x:c>
      <x:c r="B260" s="2" t="str">
        <x:v>UN</x:v>
      </x:c>
      <x:c r="C260" s="2"/>
      <x:c r="D260" s="2"/>
      <x:c r="E260" s="10"/>
      <x:c r="F260" s="11"/>
      <x:c r="G260" s="11" t="n">
        <x:v>0</x:v>
      </x:c>
      <x:c r="H260" s="11" t="n">
        <x:v>0</x:v>
      </x:c>
      <x:c r="I260" s="11"/>
      <x:c r="J260" s="11"/>
      <x:c r="K260" s="11" t="n">
        <x:v>0</x:v>
      </x:c>
      <x:c r="L260" s="11" t="n">
        <x:f>IF(B260="NED",1,IF(OR(B260="ED",B260="UN"),0,""))</x:f>
        <x:v>0</x:v>
      </x:c>
      <x:c r="M260" s="11" t="n">
        <x:f>IF(AND(K260=1,OR(B260="ED",B260="NED")),1,0)</x:f>
        <x:v>0</x:v>
      </x:c>
      <x:c r="N260" s="11" t="n">
        <x:f>IF(K260=1,1,0)</x:f>
        <x:v>0</x:v>
      </x:c>
      <x:c r="O260" s="12" t="str">
        <x:v>Require exact native accession match</x:v>
      </x:c>
      <x:c r="P260" s="11" t="n">
        <x:v>0</x:v>
      </x:c>
      <x:c r="Q260" s="12"/>
      <x:c r="R260" s="12"/>
      <x:c r="S260" s="11" t="n">
        <x:v>54</x:v>
      </x:c>
      <x:c r="T260" s="11"/>
    </x:row>
    <x:row r="261" ht="23" customHeight="1">
      <x:c r="A261" s="2" t="str">
        <x:v>E9Q5G3</x:v>
      </x:c>
      <x:c r="B261" s="2" t="str">
        <x:v>ED</x:v>
      </x:c>
      <x:c r="C261" s="2" t="n">
        <x:v>1</x:v>
      </x:c>
      <x:c r="D261" s="2" t="n">
        <x:v>1</x:v>
      </x:c>
      <x:c r="E261" s="10" t="n">
        <x:v>71.94375655823714</x:v>
      </x:c>
      <x:c r="F261" s="11" t="n">
        <x:v>953</x:v>
      </x:c>
      <x:c r="G261" s="11" t="n">
        <x:v>0</x:v>
      </x:c>
      <x:c r="H261" s="11" t="n">
        <x:v>0</x:v>
      </x:c>
      <x:c r="I261" s="11" t="n">
        <x:v>0</x:v>
      </x:c>
      <x:c r="J261" s="11" t="n">
        <x:v>0</x:v>
      </x:c>
      <x:c r="K261" s="11" t="n">
        <x:v>1</x:v>
      </x:c>
      <x:c r="L261" s="11" t="n">
        <x:f>IF(B261="NED",1,IF(OR(B261="ED",B261="UN"),0,""))</x:f>
        <x:v>0</x:v>
      </x:c>
      <x:c r="M261" s="11" t="n">
        <x:f>IF(AND(K261=1,OR(B261="ED",B261="NED")),1,0)</x:f>
        <x:v>1</x:v>
      </x:c>
      <x:c r="N261" s="11" t="n">
        <x:f>IF(K261=1,1,0)</x:f>
        <x:v>1</x:v>
      </x:c>
      <x:c r="O261" s="12"/>
      <x:c r="P261" s="11" t="n">
        <x:v>0</x:v>
      </x:c>
      <x:c r="Q261" s="12" t="str">
        <x:v>AF-E9Q5G3-F1-model_v6</x:v>
      </x:c>
      <x:c r="R261" s="12" t="str">
        <x:v>ok</x:v>
      </x:c>
      <x:c r="S261" s="11" t="n">
        <x:v>55</x:v>
      </x:c>
      <x:c r="T261" s="11" t="n">
        <x:v>953</x:v>
      </x:c>
    </x:row>
    <x:row r="262" ht="23" customHeight="1">
      <x:c r="A262" s="2" t="str">
        <x:v>E9Q5H2</x:v>
      </x:c>
      <x:c r="B262" s="2" t="str">
        <x:v>UN</x:v>
      </x:c>
      <x:c r="C262" s="2"/>
      <x:c r="D262" s="2"/>
      <x:c r="E262" s="10"/>
      <x:c r="F262" s="11"/>
      <x:c r="G262" s="11" t="n">
        <x:v>0</x:v>
      </x:c>
      <x:c r="H262" s="11" t="n">
        <x:v>0</x:v>
      </x:c>
      <x:c r="I262" s="11" t="n">
        <x:v>0</x:v>
      </x:c>
      <x:c r="J262" s="11" t="n">
        <x:v>0</x:v>
      </x:c>
      <x:c r="K262" s="11" t="n">
        <x:v>0</x:v>
      </x:c>
      <x:c r="L262" s="11" t="n">
        <x:f>IF(B262="NED",1,IF(OR(B262="ED",B262="UN"),0,""))</x:f>
        <x:v>0</x:v>
      </x:c>
      <x:c r="M262" s="11" t="n">
        <x:f>IF(AND(K262=1,OR(B262="ED",B262="NED")),1,0)</x:f>
        <x:v>0</x:v>
      </x:c>
      <x:c r="N262" s="11" t="n">
        <x:f>IF(K262=1,1,0)</x:f>
        <x:v>0</x:v>
      </x:c>
      <x:c r="O262" s="12" t="str">
        <x:v>Require exact native accession match</x:v>
      </x:c>
      <x:c r="P262" s="11" t="n">
        <x:v>0</x:v>
      </x:c>
      <x:c r="Q262" s="12"/>
      <x:c r="R262" s="12"/>
      <x:c r="S262" s="11" t="n">
        <x:v>2949</x:v>
      </x:c>
      <x:c r="T262" s="11" t="n">
        <x:v>107</x:v>
      </x:c>
    </x:row>
    <x:row r="263" ht="23" customHeight="1">
      <x:c r="A263" s="2" t="str">
        <x:v>E9Q616</x:v>
      </x:c>
      <x:c r="B263" s="2" t="str">
        <x:v>ED</x:v>
      </x:c>
      <x:c r="C263" s="2"/>
      <x:c r="D263" s="2"/>
      <x:c r="E263" s="10"/>
      <x:c r="F263" s="11"/>
      <x:c r="G263" s="11" t="n">
        <x:v>0</x:v>
      </x:c>
      <x:c r="H263" s="11" t="n">
        <x:v>0</x:v>
      </x:c>
      <x:c r="I263" s="11" t="n">
        <x:v>0</x:v>
      </x:c>
      <x:c r="J263" s="11" t="n">
        <x:v>0</x:v>
      </x:c>
      <x:c r="K263" s="11" t="n">
        <x:v>0</x:v>
      </x:c>
      <x:c r="L263" s="11" t="n">
        <x:f>IF(B263="NED",1,IF(OR(B263="ED",B263="UN"),0,""))</x:f>
        <x:v>0</x:v>
      </x:c>
      <x:c r="M263" s="11" t="n">
        <x:f>IF(AND(K263=1,OR(B263="ED",B263="NED")),1,0)</x:f>
        <x:v>0</x:v>
      </x:c>
      <x:c r="N263" s="11" t="n">
        <x:f>IF(K263=1,1,0)</x:f>
        <x:v>0</x:v>
      </x:c>
      <x:c r="O263" s="12" t="str">
        <x:v>Require exact native accession match</x:v>
      </x:c>
      <x:c r="P263" s="11" t="n">
        <x:v>0</x:v>
      </x:c>
      <x:c r="Q263" s="12"/>
      <x:c r="R263" s="12"/>
      <x:c r="S263" s="11" t="n">
        <x:v>2950</x:v>
      </x:c>
      <x:c r="T263" s="11" t="n">
        <x:v>5656</x:v>
      </x:c>
    </x:row>
    <x:row r="264" ht="23" customHeight="1">
      <x:c r="A264" s="2" t="str">
        <x:v>E9Q624</x:v>
      </x:c>
      <x:c r="B264" s="2" t="str">
        <x:v>ED</x:v>
      </x:c>
      <x:c r="C264" s="2"/>
      <x:c r="D264" s="2"/>
      <x:c r="E264" s="10"/>
      <x:c r="F264" s="11"/>
      <x:c r="G264" s="11" t="n">
        <x:v>0</x:v>
      </x:c>
      <x:c r="H264" s="11" t="n">
        <x:v>0</x:v>
      </x:c>
      <x:c r="I264" s="11" t="n">
        <x:v>0</x:v>
      </x:c>
      <x:c r="J264" s="11" t="n">
        <x:v>0</x:v>
      </x:c>
      <x:c r="K264" s="11" t="n">
        <x:v>0</x:v>
      </x:c>
      <x:c r="L264" s="11" t="n">
        <x:f>IF(B264="NED",1,IF(OR(B264="ED",B264="UN"),0,""))</x:f>
        <x:v>0</x:v>
      </x:c>
      <x:c r="M264" s="11" t="n">
        <x:f>IF(AND(K264=1,OR(B264="ED",B264="NED")),1,0)</x:f>
        <x:v>0</x:v>
      </x:c>
      <x:c r="N264" s="11" t="n">
        <x:f>IF(K264=1,1,0)</x:f>
        <x:v>0</x:v>
      </x:c>
      <x:c r="O264" s="12" t="str">
        <x:v>Require exact native accession match</x:v>
      </x:c>
      <x:c r="P264" s="11" t="n">
        <x:v>0</x:v>
      </x:c>
      <x:c r="Q264" s="12"/>
      <x:c r="R264" s="12"/>
      <x:c r="S264" s="11" t="n">
        <x:v>2951</x:v>
      </x:c>
      <x:c r="T264" s="11" t="n">
        <x:v>1292</x:v>
      </x:c>
    </x:row>
    <x:row r="265" ht="23" customHeight="1">
      <x:c r="A265" s="2" t="str">
        <x:v>E9Q634</x:v>
      </x:c>
      <x:c r="B265" s="2" t="str">
        <x:v>UN</x:v>
      </x:c>
      <x:c r="C265" s="2" t="n">
        <x:v>1</x:v>
      </x:c>
      <x:c r="D265" s="2" t="n">
        <x:v>1</x:v>
      </x:c>
      <x:c r="E265" s="10" t="n">
        <x:v>79.91756097560976</x:v>
      </x:c>
      <x:c r="F265" s="11" t="n">
        <x:v>1107</x:v>
      </x:c>
      <x:c r="G265" s="11" t="n">
        <x:v>0</x:v>
      </x:c>
      <x:c r="H265" s="11" t="n">
        <x:v>0</x:v>
      </x:c>
      <x:c r="I265" s="11" t="n">
        <x:v>0</x:v>
      </x:c>
      <x:c r="J265" s="11" t="n">
        <x:v>0</x:v>
      </x:c>
      <x:c r="K265" s="11" t="n">
        <x:v>1</x:v>
      </x:c>
      <x:c r="L265" s="11" t="n">
        <x:f>IF(B265="NED",1,IF(OR(B265="ED",B265="UN"),0,""))</x:f>
        <x:v>0</x:v>
      </x:c>
      <x:c r="M265" s="11" t="n">
        <x:f>IF(AND(K265=1,OR(B265="ED",B265="NED")),1,0)</x:f>
        <x:v>0</x:v>
      </x:c>
      <x:c r="N265" s="11" t="n">
        <x:f>IF(K265=1,1,0)</x:f>
        <x:v>1</x:v>
      </x:c>
      <x:c r="O265" s="12"/>
      <x:c r="P265" s="11" t="n">
        <x:v>0</x:v>
      </x:c>
      <x:c r="Q265" s="12" t="str">
        <x:v>AF-E9Q634-F1-model_v6</x:v>
      </x:c>
      <x:c r="R265" s="12" t="str">
        <x:v>ok</x:v>
      </x:c>
      <x:c r="S265" s="11" t="n">
        <x:v>56</x:v>
      </x:c>
      <x:c r="T265" s="11" t="n">
        <x:v>1107</x:v>
      </x:c>
    </x:row>
    <x:row r="266" ht="23" customHeight="1">
      <x:c r="A266" s="2" t="str">
        <x:v>E9Q668</x:v>
      </x:c>
      <x:c r="B266" s="2" t="str">
        <x:v>UN</x:v>
      </x:c>
      <x:c r="C266" s="2"/>
      <x:c r="D266" s="2"/>
      <x:c r="E266" s="10"/>
      <x:c r="F266" s="11"/>
      <x:c r="G266" s="11" t="n">
        <x:v>0</x:v>
      </x:c>
      <x:c r="H266" s="11" t="n">
        <x:v>0</x:v>
      </x:c>
      <x:c r="I266" s="11" t="n">
        <x:v>0</x:v>
      </x:c>
      <x:c r="J266" s="11" t="n">
        <x:v>1</x:v>
      </x:c>
      <x:c r="K266" s="11" t="n">
        <x:v>0</x:v>
      </x:c>
      <x:c r="L266" s="11" t="n">
        <x:f>IF(B266="NED",1,IF(OR(B266="ED",B266="UN"),0,""))</x:f>
        <x:v>0</x:v>
      </x:c>
      <x:c r="M266" s="11" t="n">
        <x:f>IF(AND(K266=1,OR(B266="ED",B266="NED")),1,0)</x:f>
        <x:v>0</x:v>
      </x:c>
      <x:c r="N266" s="11" t="n">
        <x:f>IF(K266=1,1,0)</x:f>
        <x:v>0</x:v>
      </x:c>
      <x:c r="O266" s="12" t="str">
        <x:v>Require exact native accession match</x:v>
      </x:c>
      <x:c r="P266" s="11" t="n">
        <x:v>0</x:v>
      </x:c>
      <x:c r="Q266" s="12"/>
      <x:c r="R266" s="12"/>
      <x:c r="S266" s="11" t="n">
        <x:v>2952</x:v>
      </x:c>
      <x:c r="T266" s="11" t="n">
        <x:v>688</x:v>
      </x:c>
    </x:row>
    <x:row r="267" ht="23" customHeight="1">
      <x:c r="A267" s="2" t="str">
        <x:v>E9Q6A7</x:v>
      </x:c>
      <x:c r="B267" s="2" t="str">
        <x:v>UN</x:v>
      </x:c>
      <x:c r="C267" s="2"/>
      <x:c r="D267" s="2"/>
      <x:c r="E267" s="10"/>
      <x:c r="F267" s="11"/>
      <x:c r="G267" s="11" t="n">
        <x:v>0</x:v>
      </x:c>
      <x:c r="H267" s="11" t="n">
        <x:v>0</x:v>
      </x:c>
      <x:c r="I267" s="11" t="n">
        <x:v>0</x:v>
      </x:c>
      <x:c r="J267" s="11" t="n">
        <x:v>0</x:v>
      </x:c>
      <x:c r="K267" s="11" t="n">
        <x:v>0</x:v>
      </x:c>
      <x:c r="L267" s="11" t="n">
        <x:f>IF(B267="NED",1,IF(OR(B267="ED",B267="UN"),0,""))</x:f>
        <x:v>0</x:v>
      </x:c>
      <x:c r="M267" s="11" t="n">
        <x:f>IF(AND(K267=1,OR(B267="ED",B267="NED")),1,0)</x:f>
        <x:v>0</x:v>
      </x:c>
      <x:c r="N267" s="11" t="n">
        <x:f>IF(K267=1,1,0)</x:f>
        <x:v>0</x:v>
      </x:c>
      <x:c r="O267" s="12" t="str">
        <x:v>Require exact native accession match</x:v>
      </x:c>
      <x:c r="P267" s="11" t="n">
        <x:v>0</x:v>
      </x:c>
      <x:c r="Q267" s="12"/>
      <x:c r="R267" s="12"/>
      <x:c r="S267" s="11" t="n">
        <x:v>2953</x:v>
      </x:c>
      <x:c r="T267" s="11" t="n">
        <x:v>2921</x:v>
      </x:c>
    </x:row>
    <x:row r="268" ht="23" customHeight="1">
      <x:c r="A268" s="2" t="str">
        <x:v>E9Q6C7</x:v>
      </x:c>
      <x:c r="B268" s="2" t="str">
        <x:v>UN</x:v>
      </x:c>
      <x:c r="C268" s="2"/>
      <x:c r="D268" s="2"/>
      <x:c r="E268" s="10"/>
      <x:c r="F268" s="11"/>
      <x:c r="G268" s="11" t="n">
        <x:v>0</x:v>
      </x:c>
      <x:c r="H268" s="11" t="n">
        <x:v>0</x:v>
      </x:c>
      <x:c r="I268" s="11"/>
      <x:c r="J268" s="11"/>
      <x:c r="K268" s="11" t="n">
        <x:v>0</x:v>
      </x:c>
      <x:c r="L268" s="11" t="n">
        <x:f>IF(B268="NED",1,IF(OR(B268="ED",B268="UN"),0,""))</x:f>
        <x:v>0</x:v>
      </x:c>
      <x:c r="M268" s="11" t="n">
        <x:f>IF(AND(K268=1,OR(B268="ED",B268="NED")),1,0)</x:f>
        <x:v>0</x:v>
      </x:c>
      <x:c r="N268" s="11" t="n">
        <x:f>IF(K268=1,1,0)</x:f>
        <x:v>0</x:v>
      </x:c>
      <x:c r="O268" s="12" t="str">
        <x:v>Require exact native accession match</x:v>
      </x:c>
      <x:c r="P268" s="11" t="n">
        <x:v>0</x:v>
      </x:c>
      <x:c r="Q268" s="12"/>
      <x:c r="R268" s="12"/>
      <x:c r="S268" s="11" t="n">
        <x:v>2954</x:v>
      </x:c>
      <x:c r="T268" s="11"/>
    </x:row>
    <x:row r="269" ht="23" customHeight="1">
      <x:c r="A269" s="2" t="str">
        <x:v>E9Q6J5</x:v>
      </x:c>
      <x:c r="B269" s="2" t="str">
        <x:v>ED</x:v>
      </x:c>
      <x:c r="C269" s="2"/>
      <x:c r="D269" s="2"/>
      <x:c r="E269" s="10"/>
      <x:c r="F269" s="11"/>
      <x:c r="G269" s="11" t="n">
        <x:v>0</x:v>
      </x:c>
      <x:c r="H269" s="11" t="n">
        <x:v>0</x:v>
      </x:c>
      <x:c r="I269" s="11" t="n">
        <x:v>0</x:v>
      </x:c>
      <x:c r="J269" s="11" t="n">
        <x:v>0</x:v>
      </x:c>
      <x:c r="K269" s="11" t="n">
        <x:v>0</x:v>
      </x:c>
      <x:c r="L269" s="11" t="n">
        <x:f>IF(B269="NED",1,IF(OR(B269="ED",B269="UN"),0,""))</x:f>
        <x:v>0</x:v>
      </x:c>
      <x:c r="M269" s="11" t="n">
        <x:f>IF(AND(K269=1,OR(B269="ED",B269="NED")),1,0)</x:f>
        <x:v>0</x:v>
      </x:c>
      <x:c r="N269" s="11" t="n">
        <x:f>IF(K269=1,1,0)</x:f>
        <x:v>0</x:v>
      </x:c>
      <x:c r="O269" s="12" t="str">
        <x:v>Require exact native accession match</x:v>
      </x:c>
      <x:c r="P269" s="11" t="n">
        <x:v>0</x:v>
      </x:c>
      <x:c r="Q269" s="12"/>
      <x:c r="R269" s="12"/>
      <x:c r="S269" s="11" t="n">
        <x:v>2955</x:v>
      </x:c>
      <x:c r="T269" s="11" t="n">
        <x:v>3032</x:v>
      </x:c>
    </x:row>
    <x:row r="270" ht="23" customHeight="1">
      <x:c r="A270" s="2" t="str">
        <x:v>E9Q6K3</x:v>
      </x:c>
      <x:c r="B270" s="2" t="str">
        <x:v>ED</x:v>
      </x:c>
      <x:c r="C270" s="2" t="n">
        <x:v>0</x:v>
      </x:c>
      <x:c r="D270" s="2" t="n">
        <x:v>0</x:v>
      </x:c>
      <x:c r="E270" s="10" t="n">
        <x:v>77.62017195767196</x:v>
      </x:c>
      <x:c r="F270" s="11" t="n">
        <x:v>756</x:v>
      </x:c>
      <x:c r="G270" s="11" t="n">
        <x:v>0</x:v>
      </x:c>
      <x:c r="H270" s="11" t="n">
        <x:v>0</x:v>
      </x:c>
      <x:c r="I270" s="11" t="n">
        <x:v>0</x:v>
      </x:c>
      <x:c r="J270" s="11" t="n">
        <x:v>0</x:v>
      </x:c>
      <x:c r="K270" s="11" t="n">
        <x:v>1</x:v>
      </x:c>
      <x:c r="L270" s="11" t="n">
        <x:f>IF(B270="NED",1,IF(OR(B270="ED",B270="UN"),0,""))</x:f>
        <x:v>0</x:v>
      </x:c>
      <x:c r="M270" s="11" t="n">
        <x:f>IF(AND(K270=1,OR(B270="ED",B270="NED")),1,0)</x:f>
        <x:v>1</x:v>
      </x:c>
      <x:c r="N270" s="11" t="n">
        <x:f>IF(K270=1,1,0)</x:f>
        <x:v>1</x:v>
      </x:c>
      <x:c r="O270" s="12"/>
      <x:c r="P270" s="11" t="n">
        <x:v>0</x:v>
      </x:c>
      <x:c r="Q270" s="12" t="str">
        <x:v>AF-E9Q6K3-F1-model_v6</x:v>
      </x:c>
      <x:c r="R270" s="12" t="str">
        <x:v>ok</x:v>
      </x:c>
      <x:c r="S270" s="11" t="n">
        <x:v>2956</x:v>
      </x:c>
      <x:c r="T270" s="11" t="n">
        <x:v>756</x:v>
      </x:c>
    </x:row>
    <x:row r="271" ht="23" customHeight="1">
      <x:c r="A271" s="2" t="str">
        <x:v>E9Q6P4</x:v>
      </x:c>
      <x:c r="B271" s="2" t="str">
        <x:v>UN</x:v>
      </x:c>
      <x:c r="C271" s="2"/>
      <x:c r="D271" s="2"/>
      <x:c r="E271" s="10"/>
      <x:c r="F271" s="11"/>
      <x:c r="G271" s="11" t="n">
        <x:v>0</x:v>
      </x:c>
      <x:c r="H271" s="11" t="n">
        <x:v>0</x:v>
      </x:c>
      <x:c r="I271" s="11" t="n">
        <x:v>0</x:v>
      </x:c>
      <x:c r="J271" s="11" t="n">
        <x:v>0</x:v>
      </x:c>
      <x:c r="K271" s="11" t="n">
        <x:v>0</x:v>
      </x:c>
      <x:c r="L271" s="11" t="n">
        <x:f>IF(B271="NED",1,IF(OR(B271="ED",B271="UN"),0,""))</x:f>
        <x:v>0</x:v>
      </x:c>
      <x:c r="M271" s="11" t="n">
        <x:f>IF(AND(K271=1,OR(B271="ED",B271="NED")),1,0)</x:f>
        <x:v>0</x:v>
      </x:c>
      <x:c r="N271" s="11" t="n">
        <x:f>IF(K271=1,1,0)</x:f>
        <x:v>0</x:v>
      </x:c>
      <x:c r="O271" s="12" t="str">
        <x:v>Require exact native accession match</x:v>
      </x:c>
      <x:c r="P271" s="11" t="n">
        <x:v>0</x:v>
      </x:c>
      <x:c r="Q271" s="12"/>
      <x:c r="R271" s="12"/>
      <x:c r="S271" s="11" t="n">
        <x:v>2957</x:v>
      </x:c>
      <x:c r="T271" s="11" t="n">
        <x:v>1761</x:v>
      </x:c>
    </x:row>
    <x:row r="272" ht="23" customHeight="1">
      <x:c r="A272" s="2" t="str">
        <x:v>E9Q6R7</x:v>
      </x:c>
      <x:c r="B272" s="2" t="str">
        <x:v>ED</x:v>
      </x:c>
      <x:c r="C272" s="2"/>
      <x:c r="D272" s="2"/>
      <x:c r="E272" s="10"/>
      <x:c r="F272" s="11"/>
      <x:c r="G272" s="11" t="n">
        <x:v>0</x:v>
      </x:c>
      <x:c r="H272" s="11" t="n">
        <x:v>0</x:v>
      </x:c>
      <x:c r="I272" s="11" t="n">
        <x:v>1</x:v>
      </x:c>
      <x:c r="J272" s="11" t="n">
        <x:v>0</x:v>
      </x:c>
      <x:c r="K272" s="11" t="n">
        <x:v>0</x:v>
      </x:c>
      <x:c r="L272" s="11" t="n">
        <x:f>IF(B272="NED",1,IF(OR(B272="ED",B272="UN"),0,""))</x:f>
        <x:v>0</x:v>
      </x:c>
      <x:c r="M272" s="11" t="n">
        <x:f>IF(AND(K272=1,OR(B272="ED",B272="NED")),1,0)</x:f>
        <x:v>0</x:v>
      </x:c>
      <x:c r="N272" s="11" t="n">
        <x:f>IF(K272=1,1,0)</x:f>
        <x:v>0</x:v>
      </x:c>
      <x:c r="O272" s="12" t="str">
        <x:v>Require exact native accession match</x:v>
      </x:c>
      <x:c r="P272" s="11" t="n">
        <x:v>0</x:v>
      </x:c>
      <x:c r="Q272" s="12"/>
      <x:c r="R272" s="12"/>
      <x:c r="S272" s="11" t="n">
        <x:v>2958</x:v>
      </x:c>
      <x:c r="T272" s="11" t="n">
        <x:v>3430</x:v>
      </x:c>
    </x:row>
    <x:row r="273" ht="23" customHeight="1">
      <x:c r="A273" s="2" t="str">
        <x:v>E9Q6U4</x:v>
      </x:c>
      <x:c r="B273" s="2" t="str">
        <x:v>ED</x:v>
      </x:c>
      <x:c r="C273" s="2"/>
      <x:c r="D273" s="2"/>
      <x:c r="E273" s="10"/>
      <x:c r="F273" s="11"/>
      <x:c r="G273" s="11" t="n">
        <x:v>0</x:v>
      </x:c>
      <x:c r="H273" s="11" t="n">
        <x:v>0</x:v>
      </x:c>
      <x:c r="I273" s="11" t="n">
        <x:v>0</x:v>
      </x:c>
      <x:c r="J273" s="11" t="n">
        <x:v>0</x:v>
      </x:c>
      <x:c r="K273" s="11" t="n">
        <x:v>0</x:v>
      </x:c>
      <x:c r="L273" s="11" t="n">
        <x:f>IF(B273="NED",1,IF(OR(B273="ED",B273="UN"),0,""))</x:f>
        <x:v>0</x:v>
      </x:c>
      <x:c r="M273" s="11" t="n">
        <x:f>IF(AND(K273=1,OR(B273="ED",B273="NED")),1,0)</x:f>
        <x:v>0</x:v>
      </x:c>
      <x:c r="N273" s="11" t="n">
        <x:f>IF(K273=1,1,0)</x:f>
        <x:v>0</x:v>
      </x:c>
      <x:c r="O273" s="12" t="str">
        <x:v>Require exact native accession match</x:v>
      </x:c>
      <x:c r="P273" s="11" t="n">
        <x:v>0</x:v>
      </x:c>
      <x:c r="Q273" s="12"/>
      <x:c r="R273" s="12"/>
      <x:c r="S273" s="11" t="n">
        <x:v>2959</x:v>
      </x:c>
      <x:c r="T273" s="11" t="n">
        <x:v>130</x:v>
      </x:c>
    </x:row>
    <x:row r="274" ht="23" customHeight="1">
      <x:c r="A274" s="2" t="str">
        <x:v>E9Q735</x:v>
      </x:c>
      <x:c r="B274" s="2" t="str">
        <x:v>UN</x:v>
      </x:c>
      <x:c r="C274" s="2" t="n">
        <x:v>1</x:v>
      </x:c>
      <x:c r="D274" s="2" t="n">
        <x:v>1</x:v>
      </x:c>
      <x:c r="E274" s="10" t="n">
        <x:v>84.40800583657587</x:v>
      </x:c>
      <x:c r="F274" s="11" t="n">
        <x:v>1028</x:v>
      </x:c>
      <x:c r="G274" s="11" t="n">
        <x:v>0</x:v>
      </x:c>
      <x:c r="H274" s="11" t="n">
        <x:v>0</x:v>
      </x:c>
      <x:c r="I274" s="11" t="n">
        <x:v>0</x:v>
      </x:c>
      <x:c r="J274" s="11" t="n">
        <x:v>0</x:v>
      </x:c>
      <x:c r="K274" s="11" t="n">
        <x:v>1</x:v>
      </x:c>
      <x:c r="L274" s="11" t="n">
        <x:f>IF(B274="NED",1,IF(OR(B274="ED",B274="UN"),0,""))</x:f>
        <x:v>0</x:v>
      </x:c>
      <x:c r="M274" s="11" t="n">
        <x:f>IF(AND(K274=1,OR(B274="ED",B274="NED")),1,0)</x:f>
        <x:v>0</x:v>
      </x:c>
      <x:c r="N274" s="11" t="n">
        <x:f>IF(K274=1,1,0)</x:f>
        <x:v>1</x:v>
      </x:c>
      <x:c r="O274" s="12"/>
      <x:c r="P274" s="11" t="n">
        <x:v>0</x:v>
      </x:c>
      <x:c r="Q274" s="12" t="str">
        <x:v>AF-E9Q735-F1-model_v6</x:v>
      </x:c>
      <x:c r="R274" s="12" t="str">
        <x:v>ok</x:v>
      </x:c>
      <x:c r="S274" s="11" t="n">
        <x:v>57</x:v>
      </x:c>
      <x:c r="T274" s="11" t="n">
        <x:v>1028</x:v>
      </x:c>
    </x:row>
    <x:row r="275" ht="23" customHeight="1">
      <x:c r="A275" s="2" t="str">
        <x:v>E9Q7A5</x:v>
      </x:c>
      <x:c r="B275" s="2" t="str">
        <x:v>UN</x:v>
      </x:c>
      <x:c r="C275" s="2"/>
      <x:c r="D275" s="2"/>
      <x:c r="E275" s="10"/>
      <x:c r="F275" s="11"/>
      <x:c r="G275" s="11" t="n">
        <x:v>0</x:v>
      </x:c>
      <x:c r="H275" s="11" t="n">
        <x:v>0</x:v>
      </x:c>
      <x:c r="I275" s="11" t="n">
        <x:v>0</x:v>
      </x:c>
      <x:c r="J275" s="11" t="n">
        <x:v>0</x:v>
      </x:c>
      <x:c r="K275" s="11" t="n">
        <x:v>0</x:v>
      </x:c>
      <x:c r="L275" s="11" t="n">
        <x:f>IF(B275="NED",1,IF(OR(B275="ED",B275="UN"),0,""))</x:f>
        <x:v>0</x:v>
      </x:c>
      <x:c r="M275" s="11" t="n">
        <x:f>IF(AND(K275=1,OR(B275="ED",B275="NED")),1,0)</x:f>
        <x:v>0</x:v>
      </x:c>
      <x:c r="N275" s="11" t="n">
        <x:f>IF(K275=1,1,0)</x:f>
        <x:v>0</x:v>
      </x:c>
      <x:c r="O275" s="12" t="str">
        <x:v>Require exact native accession match</x:v>
      </x:c>
      <x:c r="P275" s="11" t="n">
        <x:v>0</x:v>
      </x:c>
      <x:c r="Q275" s="12"/>
      <x:c r="R275" s="12"/>
      <x:c r="S275" s="11" t="n">
        <x:v>2960</x:v>
      </x:c>
      <x:c r="T275" s="11" t="n">
        <x:v>234</x:v>
      </x:c>
    </x:row>
    <x:row r="276" ht="23" customHeight="1">
      <x:c r="A276" s="2" t="str">
        <x:v>E9Q7C4</x:v>
      </x:c>
      <x:c r="B276" s="2" t="str">
        <x:v>UN</x:v>
      </x:c>
      <x:c r="C276" s="2" t="n">
        <x:v>1</x:v>
      </x:c>
      <x:c r="D276" s="2"/>
      <x:c r="E276" s="10"/>
      <x:c r="F276" s="11" t="n">
        <x:v>1971</x:v>
      </x:c>
      <x:c r="G276" s="11" t="n">
        <x:v>1</x:v>
      </x:c>
      <x:c r="H276" s="11" t="n">
        <x:v>0</x:v>
      </x:c>
      <x:c r="I276" s="11" t="n">
        <x:v>0</x:v>
      </x:c>
      <x:c r="J276" s="11" t="n">
        <x:v>0</x:v>
      </x:c>
      <x:c r="K276" s="11" t="n">
        <x:v>0</x:v>
      </x:c>
      <x:c r="L276" s="11" t="n">
        <x:f>IF(B276="NED",1,IF(OR(B276="ED",B276="UN"),0,""))</x:f>
        <x:v>0</x:v>
      </x:c>
      <x:c r="M276" s="11" t="n">
        <x:f>IF(AND(K276=1,OR(B276="ED",B276="NED")),1,0)</x:f>
        <x:v>0</x:v>
      </x:c>
      <x:c r="N276" s="11" t="n">
        <x:f>IF(K276=1,1,0)</x:f>
        <x:v>0</x:v>
      </x:c>
      <x:c r="O276" s="12" t="str">
        <x:v>Exclude supplied knotted proteins</x:v>
      </x:c>
      <x:c r="P276" s="11" t="n">
        <x:v>0</x:v>
      </x:c>
      <x:c r="Q276" s="12" t="str">
        <x:v>AF-E9Q7C4-F1-model_v6</x:v>
      </x:c>
      <x:c r="R276" s="12" t="str">
        <x:v>ok</x:v>
      </x:c>
      <x:c r="S276" s="11" t="n">
        <x:v>2961</x:v>
      </x:c>
      <x:c r="T276" s="11" t="n">
        <x:v>1971</x:v>
      </x:c>
    </x:row>
    <x:row r="277" ht="23" customHeight="1">
      <x:c r="A277" s="2" t="str">
        <x:v>E9Q7E2</x:v>
      </x:c>
      <x:c r="B277" s="2" t="str">
        <x:v>ED</x:v>
      </x:c>
      <x:c r="C277" s="2" t="n">
        <x:v>1</x:v>
      </x:c>
      <x:c r="D277" s="2" t="n">
        <x:v>1</x:v>
      </x:c>
      <x:c r="E277" s="10" t="n">
        <x:v>51.17811269146608</x:v>
      </x:c>
      <x:c r="F277" s="11" t="n">
        <x:v>1828</x:v>
      </x:c>
      <x:c r="G277" s="11" t="n">
        <x:v>0</x:v>
      </x:c>
      <x:c r="H277" s="11" t="n">
        <x:v>0</x:v>
      </x:c>
      <x:c r="I277" s="11" t="n">
        <x:v>0</x:v>
      </x:c>
      <x:c r="J277" s="11" t="n">
        <x:v>0</x:v>
      </x:c>
      <x:c r="K277" s="11" t="n">
        <x:v>0</x:v>
      </x:c>
      <x:c r="L277" s="11" t="n">
        <x:f>IF(B277="NED",1,IF(OR(B277="ED",B277="UN"),0,""))</x:f>
        <x:v>0</x:v>
      </x:c>
      <x:c r="M277" s="11" t="n">
        <x:f>IF(AND(K277=1,OR(B277="ED",B277="NED")),1,0)</x:f>
        <x:v>0</x:v>
      </x:c>
      <x:c r="N277" s="11" t="n">
        <x:f>IF(K277=1,1,0)</x:f>
        <x:v>0</x:v>
      </x:c>
      <x:c r="O277" s="12" t="str">
        <x:v>Retain protein mean pLDDT &gt;=70</x:v>
      </x:c>
      <x:c r="P277" s="11" t="n">
        <x:v>0</x:v>
      </x:c>
      <x:c r="Q277" s="12" t="str">
        <x:v>AF-E9Q7E2-F1-model_v6</x:v>
      </x:c>
      <x:c r="R277" s="12" t="str">
        <x:v>ok</x:v>
      </x:c>
      <x:c r="S277" s="11" t="n">
        <x:v>2962</x:v>
      </x:c>
      <x:c r="T277" s="11" t="n">
        <x:v>1828</x:v>
      </x:c>
    </x:row>
    <x:row r="278" ht="23" customHeight="1">
      <x:c r="A278" s="2" t="str">
        <x:v>E9Q7G0</x:v>
      </x:c>
      <x:c r="B278" s="2" t="str">
        <x:v>NED</x:v>
      </x:c>
      <x:c r="C278" s="2" t="n">
        <x:v>1</x:v>
      </x:c>
      <x:c r="D278" s="2" t="n">
        <x:v>1</x:v>
      </x:c>
      <x:c r="E278" s="10"/>
      <x:c r="F278" s="11" t="n">
        <x:v>2094</x:v>
      </x:c>
      <x:c r="G278" s="11" t="n">
        <x:v>0</x:v>
      </x:c>
      <x:c r="H278" s="11" t="n">
        <x:v>0</x:v>
      </x:c>
      <x:c r="I278" s="11" t="n">
        <x:v>1</x:v>
      </x:c>
      <x:c r="J278" s="11" t="n">
        <x:v>0</x:v>
      </x:c>
      <x:c r="K278" s="11" t="n">
        <x:v>0</x:v>
      </x:c>
      <x:c r="L278" s="11" t="n">
        <x:f>IF(B278="NED",1,IF(OR(B278="ED",B278="UN"),0,""))</x:f>
        <x:v>1</x:v>
      </x:c>
      <x:c r="M278" s="11" t="n">
        <x:f>IF(AND(K278=1,OR(B278="ED",B278="NED")),1,0)</x:f>
        <x:v>0</x:v>
      </x:c>
      <x:c r="N278" s="11" t="n">
        <x:f>IF(K278=1,1,0)</x:f>
        <x:v>0</x:v>
      </x:c>
      <x:c r="O278" s="12" t="str">
        <x:v>Exclude UniProt Membrane keyword</x:v>
      </x:c>
      <x:c r="P278" s="11" t="n">
        <x:v>0</x:v>
      </x:c>
      <x:c r="Q278" s="12" t="str">
        <x:v>AF-E9Q7G0-F1-model_v6</x:v>
      </x:c>
      <x:c r="R278" s="12" t="str">
        <x:v>ok</x:v>
      </x:c>
      <x:c r="S278" s="11" t="n">
        <x:v>2963</x:v>
      </x:c>
      <x:c r="T278" s="11" t="n">
        <x:v>2094</x:v>
      </x:c>
    </x:row>
    <x:row r="279" ht="23" customHeight="1">
      <x:c r="A279" s="2" t="str">
        <x:v>E9Q7L0</x:v>
      </x:c>
      <x:c r="B279" s="2" t="str">
        <x:v>UN</x:v>
      </x:c>
      <x:c r="C279" s="2"/>
      <x:c r="D279" s="2"/>
      <x:c r="E279" s="10"/>
      <x:c r="F279" s="11"/>
      <x:c r="G279" s="11" t="n">
        <x:v>0</x:v>
      </x:c>
      <x:c r="H279" s="11" t="n">
        <x:v>0</x:v>
      </x:c>
      <x:c r="I279" s="11" t="n">
        <x:v>0</x:v>
      </x:c>
      <x:c r="J279" s="11" t="n">
        <x:v>0</x:v>
      </x:c>
      <x:c r="K279" s="11" t="n">
        <x:v>0</x:v>
      </x:c>
      <x:c r="L279" s="11" t="n">
        <x:f>IF(B279="NED",1,IF(OR(B279="ED",B279="UN"),0,""))</x:f>
        <x:v>0</x:v>
      </x:c>
      <x:c r="M279" s="11" t="n">
        <x:f>IF(AND(K279=1,OR(B279="ED",B279="NED")),1,0)</x:f>
        <x:v>0</x:v>
      </x:c>
      <x:c r="N279" s="11" t="n">
        <x:f>IF(K279=1,1,0)</x:f>
        <x:v>0</x:v>
      </x:c>
      <x:c r="O279" s="12" t="str">
        <x:v>Require exact native accession match</x:v>
      </x:c>
      <x:c r="P279" s="11" t="n">
        <x:v>0</x:v>
      </x:c>
      <x:c r="Q279" s="12"/>
      <x:c r="R279" s="12"/>
      <x:c r="S279" s="11" t="n">
        <x:v>2964</x:v>
      </x:c>
      <x:c r="T279" s="11" t="n">
        <x:v>1029</x:v>
      </x:c>
    </x:row>
    <x:row r="280" ht="23" customHeight="1">
      <x:c r="A280" s="2" t="str">
        <x:v>E9Q7L1</x:v>
      </x:c>
      <x:c r="B280" s="2" t="str">
        <x:v>UN</x:v>
      </x:c>
      <x:c r="C280" s="2" t="n">
        <x:v>1</x:v>
      </x:c>
      <x:c r="D280" s="2" t="n">
        <x:v>1</x:v>
      </x:c>
      <x:c r="E280" s="10" t="n">
        <x:v>81.40893044619423</x:v>
      </x:c>
      <x:c r="F280" s="11" t="n">
        <x:v>1524</x:v>
      </x:c>
      <x:c r="G280" s="11" t="n">
        <x:v>0</x:v>
      </x:c>
      <x:c r="H280" s="11" t="n">
        <x:v>0</x:v>
      </x:c>
      <x:c r="I280" s="11" t="n">
        <x:v>0</x:v>
      </x:c>
      <x:c r="J280" s="11" t="n">
        <x:v>0</x:v>
      </x:c>
      <x:c r="K280" s="11" t="n">
        <x:v>1</x:v>
      </x:c>
      <x:c r="L280" s="11" t="n">
        <x:f>IF(B280="NED",1,IF(OR(B280="ED",B280="UN"),0,""))</x:f>
        <x:v>0</x:v>
      </x:c>
      <x:c r="M280" s="11" t="n">
        <x:f>IF(AND(K280=1,OR(B280="ED",B280="NED")),1,0)</x:f>
        <x:v>0</x:v>
      </x:c>
      <x:c r="N280" s="11" t="n">
        <x:f>IF(K280=1,1,0)</x:f>
        <x:v>1</x:v>
      </x:c>
      <x:c r="O280" s="12"/>
      <x:c r="P280" s="11" t="n">
        <x:v>0</x:v>
      </x:c>
      <x:c r="Q280" s="12" t="str">
        <x:v>AF-E9Q7L1-F1-model_v6</x:v>
      </x:c>
      <x:c r="R280" s="12" t="str">
        <x:v>ok</x:v>
      </x:c>
      <x:c r="S280" s="11" t="n">
        <x:v>2965</x:v>
      </x:c>
      <x:c r="T280" s="11" t="n">
        <x:v>1524</x:v>
      </x:c>
    </x:row>
    <x:row r="281" ht="23" customHeight="1">
      <x:c r="A281" s="2" t="str">
        <x:v>E9Q7L3</x:v>
      </x:c>
      <x:c r="B281" s="2" t="str">
        <x:v>UN</x:v>
      </x:c>
      <x:c r="C281" s="2"/>
      <x:c r="D281" s="2"/>
      <x:c r="E281" s="10"/>
      <x:c r="F281" s="11"/>
      <x:c r="G281" s="11" t="n">
        <x:v>0</x:v>
      </x:c>
      <x:c r="H281" s="11" t="n">
        <x:v>0</x:v>
      </x:c>
      <x:c r="I281" s="11" t="n">
        <x:v>0</x:v>
      </x:c>
      <x:c r="J281" s="11" t="n">
        <x:v>0</x:v>
      </x:c>
      <x:c r="K281" s="11" t="n">
        <x:v>0</x:v>
      </x:c>
      <x:c r="L281" s="11" t="n">
        <x:f>IF(B281="NED",1,IF(OR(B281="ED",B281="UN"),0,""))</x:f>
        <x:v>0</x:v>
      </x:c>
      <x:c r="M281" s="11" t="n">
        <x:f>IF(AND(K281=1,OR(B281="ED",B281="NED")),1,0)</x:f>
        <x:v>0</x:v>
      </x:c>
      <x:c r="N281" s="11" t="n">
        <x:f>IF(K281=1,1,0)</x:f>
        <x:v>0</x:v>
      </x:c>
      <x:c r="O281" s="12" t="str">
        <x:v>Require exact native accession match</x:v>
      </x:c>
      <x:c r="P281" s="11" t="n">
        <x:v>0</x:v>
      </x:c>
      <x:c r="Q281" s="12"/>
      <x:c r="R281" s="12"/>
      <x:c r="S281" s="11" t="n">
        <x:v>2966</x:v>
      </x:c>
      <x:c r="T281" s="11" t="n">
        <x:v>1582</x:v>
      </x:c>
    </x:row>
    <x:row r="282" ht="23" customHeight="1">
      <x:c r="A282" s="2" t="str">
        <x:v>E9Q7M2</x:v>
      </x:c>
      <x:c r="B282" s="2" t="str">
        <x:v>ED</x:v>
      </x:c>
      <x:c r="C282" s="2" t="n">
        <x:v>0</x:v>
      </x:c>
      <x:c r="D282" s="2" t="n">
        <x:v>0</x:v>
      </x:c>
      <x:c r="E282" s="10" t="n">
        <x:v>46.384642392717815</x:v>
      </x:c>
      <x:c r="F282" s="11" t="n">
        <x:v>769</x:v>
      </x:c>
      <x:c r="G282" s="11" t="n">
        <x:v>0</x:v>
      </x:c>
      <x:c r="H282" s="11" t="n">
        <x:v>0</x:v>
      </x:c>
      <x:c r="I282" s="11" t="n">
        <x:v>0</x:v>
      </x:c>
      <x:c r="J282" s="11" t="n">
        <x:v>0</x:v>
      </x:c>
      <x:c r="K282" s="11" t="n">
        <x:v>0</x:v>
      </x:c>
      <x:c r="L282" s="11" t="n">
        <x:f>IF(B282="NED",1,IF(OR(B282="ED",B282="UN"),0,""))</x:f>
        <x:v>0</x:v>
      </x:c>
      <x:c r="M282" s="11" t="n">
        <x:f>IF(AND(K282=1,OR(B282="ED",B282="NED")),1,0)</x:f>
        <x:v>0</x:v>
      </x:c>
      <x:c r="N282" s="11" t="n">
        <x:f>IF(K282=1,1,0)</x:f>
        <x:v>0</x:v>
      </x:c>
      <x:c r="O282" s="12" t="str">
        <x:v>Retain protein mean pLDDT &gt;=70</x:v>
      </x:c>
      <x:c r="P282" s="11" t="n">
        <x:v>0</x:v>
      </x:c>
      <x:c r="Q282" s="12" t="str">
        <x:v>AF-E9Q7M2-F1-model_v6</x:v>
      </x:c>
      <x:c r="R282" s="12" t="str">
        <x:v>ok</x:v>
      </x:c>
      <x:c r="S282" s="11" t="n">
        <x:v>2967</x:v>
      </x:c>
      <x:c r="T282" s="11" t="n">
        <x:v>769</x:v>
      </x:c>
    </x:row>
    <x:row r="283" ht="23" customHeight="1">
      <x:c r="A283" s="2" t="str">
        <x:v>E9Q7N5</x:v>
      </x:c>
      <x:c r="B283" s="2" t="str">
        <x:v>ED</x:v>
      </x:c>
      <x:c r="C283" s="2"/>
      <x:c r="D283" s="2"/>
      <x:c r="E283" s="10"/>
      <x:c r="F283" s="11"/>
      <x:c r="G283" s="11" t="n">
        <x:v>0</x:v>
      </x:c>
      <x:c r="H283" s="11" t="n">
        <x:v>0</x:v>
      </x:c>
      <x:c r="I283" s="11" t="n">
        <x:v>0</x:v>
      </x:c>
      <x:c r="J283" s="11" t="n">
        <x:v>0</x:v>
      </x:c>
      <x:c r="K283" s="11" t="n">
        <x:v>0</x:v>
      </x:c>
      <x:c r="L283" s="11" t="n">
        <x:f>IF(B283="NED",1,IF(OR(B283="ED",B283="UN"),0,""))</x:f>
        <x:v>0</x:v>
      </x:c>
      <x:c r="M283" s="11" t="n">
        <x:f>IF(AND(K283=1,OR(B283="ED",B283="NED")),1,0)</x:f>
        <x:v>0</x:v>
      </x:c>
      <x:c r="N283" s="11" t="n">
        <x:f>IF(K283=1,1,0)</x:f>
        <x:v>0</x:v>
      </x:c>
      <x:c r="O283" s="12" t="str">
        <x:v>Require exact native accession match</x:v>
      </x:c>
      <x:c r="P283" s="11" t="n">
        <x:v>0</x:v>
      </x:c>
      <x:c r="Q283" s="12"/>
      <x:c r="R283" s="12"/>
      <x:c r="S283" s="11" t="n">
        <x:v>2968</x:v>
      </x:c>
      <x:c r="T283" s="11" t="n">
        <x:v>741</x:v>
      </x:c>
    </x:row>
    <x:row r="284" ht="23" customHeight="1">
      <x:c r="A284" s="2" t="str">
        <x:v>E9Q7W0</x:v>
      </x:c>
      <x:c r="B284" s="2" t="str">
        <x:v>NED</x:v>
      </x:c>
      <x:c r="C284" s="2"/>
      <x:c r="D284" s="2"/>
      <x:c r="E284" s="10"/>
      <x:c r="F284" s="11"/>
      <x:c r="G284" s="11" t="n">
        <x:v>0</x:v>
      </x:c>
      <x:c r="H284" s="11" t="n">
        <x:v>0</x:v>
      </x:c>
      <x:c r="I284" s="11" t="n">
        <x:v>0</x:v>
      </x:c>
      <x:c r="J284" s="11" t="n">
        <x:v>0</x:v>
      </x:c>
      <x:c r="K284" s="11" t="n">
        <x:v>0</x:v>
      </x:c>
      <x:c r="L284" s="11" t="n">
        <x:f>IF(B284="NED",1,IF(OR(B284="ED",B284="UN"),0,""))</x:f>
        <x:v>1</x:v>
      </x:c>
      <x:c r="M284" s="11" t="n">
        <x:f>IF(AND(K284=1,OR(B284="ED",B284="NED")),1,0)</x:f>
        <x:v>0</x:v>
      </x:c>
      <x:c r="N284" s="11" t="n">
        <x:f>IF(K284=1,1,0)</x:f>
        <x:v>0</x:v>
      </x:c>
      <x:c r="O284" s="12" t="str">
        <x:v>Require exact native accession match</x:v>
      </x:c>
      <x:c r="P284" s="11" t="n">
        <x:v>0</x:v>
      </x:c>
      <x:c r="Q284" s="12"/>
      <x:c r="R284" s="12"/>
      <x:c r="S284" s="11" t="n">
        <x:v>2969</x:v>
      </x:c>
      <x:c r="T284" s="11" t="n">
        <x:v>485</x:v>
      </x:c>
    </x:row>
    <x:row r="285" ht="23" customHeight="1">
      <x:c r="A285" s="2" t="str">
        <x:v>E9Q8B7</x:v>
      </x:c>
      <x:c r="B285" s="2" t="str">
        <x:v>ED</x:v>
      </x:c>
      <x:c r="C285" s="2"/>
      <x:c r="D285" s="2"/>
      <x:c r="E285" s="10"/>
      <x:c r="F285" s="11"/>
      <x:c r="G285" s="11" t="n">
        <x:v>0</x:v>
      </x:c>
      <x:c r="H285" s="11" t="n">
        <x:v>0</x:v>
      </x:c>
      <x:c r="I285" s="11"/>
      <x:c r="J285" s="11"/>
      <x:c r="K285" s="11" t="n">
        <x:v>0</x:v>
      </x:c>
      <x:c r="L285" s="11" t="n">
        <x:f>IF(B285="NED",1,IF(OR(B285="ED",B285="UN"),0,""))</x:f>
        <x:v>0</x:v>
      </x:c>
      <x:c r="M285" s="11" t="n">
        <x:f>IF(AND(K285=1,OR(B285="ED",B285="NED")),1,0)</x:f>
        <x:v>0</x:v>
      </x:c>
      <x:c r="N285" s="11" t="n">
        <x:f>IF(K285=1,1,0)</x:f>
        <x:v>0</x:v>
      </x:c>
      <x:c r="O285" s="12" t="str">
        <x:v>Require exact native accession match</x:v>
      </x:c>
      <x:c r="P285" s="11" t="n">
        <x:v>0</x:v>
      </x:c>
      <x:c r="Q285" s="12"/>
      <x:c r="R285" s="12"/>
      <x:c r="S285" s="11" t="n">
        <x:v>2970</x:v>
      </x:c>
      <x:c r="T285" s="11"/>
    </x:row>
    <x:row r="286" ht="23" customHeight="1">
      <x:c r="A286" s="2" t="str">
        <x:v>E9Q8V6</x:v>
      </x:c>
      <x:c r="B286" s="2" t="str">
        <x:v>ED</x:v>
      </x:c>
      <x:c r="C286" s="2" t="n">
        <x:v>1</x:v>
      </x:c>
      <x:c r="D286" s="2" t="n">
        <x:v>1</x:v>
      </x:c>
      <x:c r="E286" s="10" t="n">
        <x:v>64.46177635098984</x:v>
      </x:c>
      <x:c r="F286" s="11" t="n">
        <x:v>1869</x:v>
      </x:c>
      <x:c r="G286" s="11" t="n">
        <x:v>0</x:v>
      </x:c>
      <x:c r="H286" s="11" t="n">
        <x:v>0</x:v>
      </x:c>
      <x:c r="I286" s="11" t="n">
        <x:v>0</x:v>
      </x:c>
      <x:c r="J286" s="11" t="n">
        <x:v>0</x:v>
      </x:c>
      <x:c r="K286" s="11" t="n">
        <x:v>0</x:v>
      </x:c>
      <x:c r="L286" s="11" t="n">
        <x:f>IF(B286="NED",1,IF(OR(B286="ED",B286="UN"),0,""))</x:f>
        <x:v>0</x:v>
      </x:c>
      <x:c r="M286" s="11" t="n">
        <x:f>IF(AND(K286=1,OR(B286="ED",B286="NED")),1,0)</x:f>
        <x:v>0</x:v>
      </x:c>
      <x:c r="N286" s="11" t="n">
        <x:f>IF(K286=1,1,0)</x:f>
        <x:v>0</x:v>
      </x:c>
      <x:c r="O286" s="12" t="str">
        <x:v>Retain protein mean pLDDT &gt;=70</x:v>
      </x:c>
      <x:c r="P286" s="11" t="n">
        <x:v>0</x:v>
      </x:c>
      <x:c r="Q286" s="12" t="str">
        <x:v>AF-E9Q8V6-F1-model_v6</x:v>
      </x:c>
      <x:c r="R286" s="12" t="str">
        <x:v>ok</x:v>
      </x:c>
      <x:c r="S286" s="11" t="n">
        <x:v>2971</x:v>
      </x:c>
      <x:c r="T286" s="11" t="n">
        <x:v>1869</x:v>
      </x:c>
    </x:row>
    <x:row r="287" ht="23" customHeight="1">
      <x:c r="A287" s="2" t="str">
        <x:v>E9Q912</x:v>
      </x:c>
      <x:c r="B287" s="2" t="str">
        <x:v>UN</x:v>
      </x:c>
      <x:c r="C287" s="2" t="n">
        <x:v>0</x:v>
      </x:c>
      <x:c r="D287" s="2" t="n">
        <x:v>0</x:v>
      </x:c>
      <x:c r="E287" s="10" t="n">
        <x:v>95.44986820428336</x:v>
      </x:c>
      <x:c r="F287" s="11" t="n">
        <x:v>607</x:v>
      </x:c>
      <x:c r="G287" s="11" t="n">
        <x:v>0</x:v>
      </x:c>
      <x:c r="H287" s="11" t="n">
        <x:v>0</x:v>
      </x:c>
      <x:c r="I287" s="11" t="n">
        <x:v>0</x:v>
      </x:c>
      <x:c r="J287" s="11" t="n">
        <x:v>0</x:v>
      </x:c>
      <x:c r="K287" s="11" t="n">
        <x:v>1</x:v>
      </x:c>
      <x:c r="L287" s="11" t="n">
        <x:f>IF(B287="NED",1,IF(OR(B287="ED",B287="UN"),0,""))</x:f>
        <x:v>0</x:v>
      </x:c>
      <x:c r="M287" s="11" t="n">
        <x:f>IF(AND(K287=1,OR(B287="ED",B287="NED")),1,0)</x:f>
        <x:v>0</x:v>
      </x:c>
      <x:c r="N287" s="11" t="n">
        <x:f>IF(K287=1,1,0)</x:f>
        <x:v>1</x:v>
      </x:c>
      <x:c r="O287" s="12"/>
      <x:c r="P287" s="11" t="n">
        <x:v>0</x:v>
      </x:c>
      <x:c r="Q287" s="12" t="str">
        <x:v>AF-E9Q912-F1-model_v6</x:v>
      </x:c>
      <x:c r="R287" s="12" t="str">
        <x:v>ok</x:v>
      </x:c>
      <x:c r="S287" s="11" t="n">
        <x:v>2972</x:v>
      </x:c>
      <x:c r="T287" s="11" t="n">
        <x:v>607</x:v>
      </x:c>
    </x:row>
    <x:row r="288" ht="23" customHeight="1">
      <x:c r="A288" s="2" t="str">
        <x:v>E9Q983</x:v>
      </x:c>
      <x:c r="B288" s="2" t="str">
        <x:v>UN</x:v>
      </x:c>
      <x:c r="C288" s="2"/>
      <x:c r="D288" s="2"/>
      <x:c r="E288" s="10"/>
      <x:c r="F288" s="11"/>
      <x:c r="G288" s="11" t="n">
        <x:v>0</x:v>
      </x:c>
      <x:c r="H288" s="11" t="n">
        <x:v>0</x:v>
      </x:c>
      <x:c r="I288" s="11"/>
      <x:c r="J288" s="11"/>
      <x:c r="K288" s="11" t="n">
        <x:v>0</x:v>
      </x:c>
      <x:c r="L288" s="11" t="n">
        <x:f>IF(B288="NED",1,IF(OR(B288="ED",B288="UN"),0,""))</x:f>
        <x:v>0</x:v>
      </x:c>
      <x:c r="M288" s="11" t="n">
        <x:f>IF(AND(K288=1,OR(B288="ED",B288="NED")),1,0)</x:f>
        <x:v>0</x:v>
      </x:c>
      <x:c r="N288" s="11" t="n">
        <x:f>IF(K288=1,1,0)</x:f>
        <x:v>0</x:v>
      </x:c>
      <x:c r="O288" s="12" t="str">
        <x:v>Require exact native accession match</x:v>
      </x:c>
      <x:c r="P288" s="11" t="n">
        <x:v>0</x:v>
      </x:c>
      <x:c r="Q288" s="12"/>
      <x:c r="R288" s="12"/>
      <x:c r="S288" s="11" t="n">
        <x:v>2973</x:v>
      </x:c>
      <x:c r="T288" s="11"/>
    </x:row>
    <x:row r="289" ht="23" customHeight="1">
      <x:c r="A289" s="2" t="str">
        <x:v>E9Q9B7</x:v>
      </x:c>
      <x:c r="B289" s="2" t="str">
        <x:v>UN</x:v>
      </x:c>
      <x:c r="C289" s="2" t="n">
        <x:v>1</x:v>
      </x:c>
      <x:c r="D289" s="2" t="n">
        <x:v>1</x:v>
      </x:c>
      <x:c r="E289" s="10"/>
      <x:c r="F289" s="11" t="n">
        <x:v>1793</x:v>
      </x:c>
      <x:c r="G289" s="11" t="n">
        <x:v>0</x:v>
      </x:c>
      <x:c r="H289" s="11" t="n">
        <x:v>0</x:v>
      </x:c>
      <x:c r="I289" s="11" t="n">
        <x:v>1</x:v>
      </x:c>
      <x:c r="J289" s="11" t="n">
        <x:v>0</x:v>
      </x:c>
      <x:c r="K289" s="11" t="n">
        <x:v>0</x:v>
      </x:c>
      <x:c r="L289" s="11" t="n">
        <x:f>IF(B289="NED",1,IF(OR(B289="ED",B289="UN"),0,""))</x:f>
        <x:v>0</x:v>
      </x:c>
      <x:c r="M289" s="11" t="n">
        <x:f>IF(AND(K289=1,OR(B289="ED",B289="NED")),1,0)</x:f>
        <x:v>0</x:v>
      </x:c>
      <x:c r="N289" s="11" t="n">
        <x:f>IF(K289=1,1,0)</x:f>
        <x:v>0</x:v>
      </x:c>
      <x:c r="O289" s="12" t="str">
        <x:v>Exclude UniProt Membrane keyword</x:v>
      </x:c>
      <x:c r="P289" s="11" t="n">
        <x:v>0</x:v>
      </x:c>
      <x:c r="Q289" s="12" t="str">
        <x:v>AF-E9Q9B7-F1-model_v6</x:v>
      </x:c>
      <x:c r="R289" s="12" t="str">
        <x:v>ok</x:v>
      </x:c>
      <x:c r="S289" s="11" t="n">
        <x:v>2974</x:v>
      </x:c>
      <x:c r="T289" s="11" t="n">
        <x:v>1793</x:v>
      </x:c>
    </x:row>
    <x:row r="290" ht="23" customHeight="1">
      <x:c r="A290" s="2" t="str">
        <x:v>E9Q9C7</x:v>
      </x:c>
      <x:c r="B290" s="2" t="str">
        <x:v>ED</x:v>
      </x:c>
      <x:c r="C290" s="2"/>
      <x:c r="D290" s="2"/>
      <x:c r="E290" s="10"/>
      <x:c r="F290" s="11"/>
      <x:c r="G290" s="11" t="n">
        <x:v>0</x:v>
      </x:c>
      <x:c r="H290" s="11" t="n">
        <x:v>0</x:v>
      </x:c>
      <x:c r="I290" s="11" t="n">
        <x:v>0</x:v>
      </x:c>
      <x:c r="J290" s="11" t="n">
        <x:v>0</x:v>
      </x:c>
      <x:c r="K290" s="11" t="n">
        <x:v>0</x:v>
      </x:c>
      <x:c r="L290" s="11" t="n">
        <x:f>IF(B290="NED",1,IF(OR(B290="ED",B290="UN"),0,""))</x:f>
        <x:v>0</x:v>
      </x:c>
      <x:c r="M290" s="11" t="n">
        <x:f>IF(AND(K290=1,OR(B290="ED",B290="NED")),1,0)</x:f>
        <x:v>0</x:v>
      </x:c>
      <x:c r="N290" s="11" t="n">
        <x:f>IF(K290=1,1,0)</x:f>
        <x:v>0</x:v>
      </x:c>
      <x:c r="O290" s="12" t="str">
        <x:v>Require exact native accession match</x:v>
      </x:c>
      <x:c r="P290" s="11" t="n">
        <x:v>0</x:v>
      </x:c>
      <x:c r="Q290" s="12"/>
      <x:c r="R290" s="12"/>
      <x:c r="S290" s="11" t="n">
        <x:v>2975</x:v>
      </x:c>
      <x:c r="T290" s="11" t="n">
        <x:v>668</x:v>
      </x:c>
    </x:row>
    <x:row r="291" ht="23" customHeight="1">
      <x:c r="A291" s="2" t="str">
        <x:v>E9Q9D5</x:v>
      </x:c>
      <x:c r="B291" s="2" t="str">
        <x:v>ED</x:v>
      </x:c>
      <x:c r="C291" s="2" t="n">
        <x:v>1</x:v>
      </x:c>
      <x:c r="D291" s="2" t="n">
        <x:v>1</x:v>
      </x:c>
      <x:c r="E291" s="10" t="n">
        <x:v>80.7437668161435</x:v>
      </x:c>
      <x:c r="F291" s="11" t="n">
        <x:v>223</x:v>
      </x:c>
      <x:c r="G291" s="11" t="n">
        <x:v>0</x:v>
      </x:c>
      <x:c r="H291" s="11" t="n">
        <x:v>0</x:v>
      </x:c>
      <x:c r="I291" s="11" t="n">
        <x:v>0</x:v>
      </x:c>
      <x:c r="J291" s="11" t="n">
        <x:v>0</x:v>
      </x:c>
      <x:c r="K291" s="11" t="n">
        <x:v>1</x:v>
      </x:c>
      <x:c r="L291" s="11" t="n">
        <x:f>IF(B291="NED",1,IF(OR(B291="ED",B291="UN"),0,""))</x:f>
        <x:v>0</x:v>
      </x:c>
      <x:c r="M291" s="11" t="n">
        <x:f>IF(AND(K291=1,OR(B291="ED",B291="NED")),1,0)</x:f>
        <x:v>1</x:v>
      </x:c>
      <x:c r="N291" s="11" t="n">
        <x:f>IF(K291=1,1,0)</x:f>
        <x:v>1</x:v>
      </x:c>
      <x:c r="O291" s="12"/>
      <x:c r="P291" s="11" t="n">
        <x:v>0</x:v>
      </x:c>
      <x:c r="Q291" s="12" t="str">
        <x:v>AF-E9Q9D5-F1-model_v6</x:v>
      </x:c>
      <x:c r="R291" s="12" t="str">
        <x:v>ok</x:v>
      </x:c>
      <x:c r="S291" s="11" t="n">
        <x:v>58</x:v>
      </x:c>
      <x:c r="T291" s="11" t="n">
        <x:v>223</x:v>
      </x:c>
    </x:row>
    <x:row r="292" ht="23" customHeight="1">
      <x:c r="A292" s="2" t="str">
        <x:v>E9Q9E1</x:v>
      </x:c>
      <x:c r="B292" s="2" t="str">
        <x:v>ED</x:v>
      </x:c>
      <x:c r="C292" s="2"/>
      <x:c r="D292" s="2"/>
      <x:c r="E292" s="10"/>
      <x:c r="F292" s="11"/>
      <x:c r="G292" s="11" t="n">
        <x:v>0</x:v>
      </x:c>
      <x:c r="H292" s="11" t="n">
        <x:v>0</x:v>
      </x:c>
      <x:c r="I292" s="11" t="n">
        <x:v>0</x:v>
      </x:c>
      <x:c r="J292" s="11" t="n">
        <x:v>0</x:v>
      </x:c>
      <x:c r="K292" s="11" t="n">
        <x:v>0</x:v>
      </x:c>
      <x:c r="L292" s="11" t="n">
        <x:f>IF(B292="NED",1,IF(OR(B292="ED",B292="UN"),0,""))</x:f>
        <x:v>0</x:v>
      </x:c>
      <x:c r="M292" s="11" t="n">
        <x:f>IF(AND(K292=1,OR(B292="ED",B292="NED")),1,0)</x:f>
        <x:v>0</x:v>
      </x:c>
      <x:c r="N292" s="11" t="n">
        <x:f>IF(K292=1,1,0)</x:f>
        <x:v>0</x:v>
      </x:c>
      <x:c r="O292" s="12" t="str">
        <x:v>Require exact native accession match</x:v>
      </x:c>
      <x:c r="P292" s="11" t="n">
        <x:v>0</x:v>
      </x:c>
      <x:c r="Q292" s="12"/>
      <x:c r="R292" s="12"/>
      <x:c r="S292" s="11" t="n">
        <x:v>2976</x:v>
      </x:c>
      <x:c r="T292" s="11" t="n">
        <x:v>1593</x:v>
      </x:c>
    </x:row>
    <x:row r="293" ht="23" customHeight="1">
      <x:c r="A293" s="2" t="str">
        <x:v>E9Q9S2</x:v>
      </x:c>
      <x:c r="B293" s="2" t="str">
        <x:v>UN</x:v>
      </x:c>
      <x:c r="C293" s="2"/>
      <x:c r="D293" s="2"/>
      <x:c r="E293" s="10"/>
      <x:c r="F293" s="11"/>
      <x:c r="G293" s="11" t="n">
        <x:v>0</x:v>
      </x:c>
      <x:c r="H293" s="11" t="n">
        <x:v>0</x:v>
      </x:c>
      <x:c r="I293" s="11" t="n">
        <x:v>0</x:v>
      </x:c>
      <x:c r="J293" s="11" t="n">
        <x:v>0</x:v>
      </x:c>
      <x:c r="K293" s="11" t="n">
        <x:v>0</x:v>
      </x:c>
      <x:c r="L293" s="11" t="n">
        <x:f>IF(B293="NED",1,IF(OR(B293="ED",B293="UN"),0,""))</x:f>
        <x:v>0</x:v>
      </x:c>
      <x:c r="M293" s="11" t="n">
        <x:f>IF(AND(K293=1,OR(B293="ED",B293="NED")),1,0)</x:f>
        <x:v>0</x:v>
      </x:c>
      <x:c r="N293" s="11" t="n">
        <x:f>IF(K293=1,1,0)</x:f>
        <x:v>0</x:v>
      </x:c>
      <x:c r="O293" s="12" t="str">
        <x:v>Require exact native accession match</x:v>
      </x:c>
      <x:c r="P293" s="11" t="n">
        <x:v>0</x:v>
      </x:c>
      <x:c r="Q293" s="12"/>
      <x:c r="R293" s="12"/>
      <x:c r="S293" s="11" t="n">
        <x:v>2977</x:v>
      </x:c>
      <x:c r="T293" s="11" t="n">
        <x:v>639</x:v>
      </x:c>
    </x:row>
    <x:row r="294" ht="23" customHeight="1">
      <x:c r="A294" s="2" t="str">
        <x:v>E9Q9T6</x:v>
      </x:c>
      <x:c r="B294" s="2" t="str">
        <x:v>ED</x:v>
      </x:c>
      <x:c r="C294" s="2"/>
      <x:c r="D294" s="2"/>
      <x:c r="E294" s="10"/>
      <x:c r="F294" s="11"/>
      <x:c r="G294" s="11" t="n">
        <x:v>0</x:v>
      </x:c>
      <x:c r="H294" s="11" t="n">
        <x:v>0</x:v>
      </x:c>
      <x:c r="I294" s="11" t="n">
        <x:v>0</x:v>
      </x:c>
      <x:c r="J294" s="11" t="n">
        <x:v>0</x:v>
      </x:c>
      <x:c r="K294" s="11" t="n">
        <x:v>0</x:v>
      </x:c>
      <x:c r="L294" s="11" t="n">
        <x:f>IF(B294="NED",1,IF(OR(B294="ED",B294="UN"),0,""))</x:f>
        <x:v>0</x:v>
      </x:c>
      <x:c r="M294" s="11" t="n">
        <x:f>IF(AND(K294=1,OR(B294="ED",B294="NED")),1,0)</x:f>
        <x:v>0</x:v>
      </x:c>
      <x:c r="N294" s="11" t="n">
        <x:f>IF(K294=1,1,0)</x:f>
        <x:v>0</x:v>
      </x:c>
      <x:c r="O294" s="12" t="str">
        <x:v>Require exact native accession match</x:v>
      </x:c>
      <x:c r="P294" s="11" t="n">
        <x:v>0</x:v>
      </x:c>
      <x:c r="Q294" s="12"/>
      <x:c r="R294" s="12"/>
      <x:c r="S294" s="11" t="n">
        <x:v>2978</x:v>
      </x:c>
      <x:c r="T294" s="11" t="n">
        <x:v>596</x:v>
      </x:c>
    </x:row>
    <x:row r="295" ht="23" customHeight="1">
      <x:c r="A295" s="2" t="str">
        <x:v>E9QA15</x:v>
      </x:c>
      <x:c r="B295" s="2" t="str">
        <x:v>ED</x:v>
      </x:c>
      <x:c r="C295" s="2"/>
      <x:c r="D295" s="2"/>
      <x:c r="E295" s="10"/>
      <x:c r="F295" s="11"/>
      <x:c r="G295" s="11" t="n">
        <x:v>0</x:v>
      </x:c>
      <x:c r="H295" s="11" t="n">
        <x:v>0</x:v>
      </x:c>
      <x:c r="I295" s="11" t="n">
        <x:v>0</x:v>
      </x:c>
      <x:c r="J295" s="11" t="n">
        <x:v>0</x:v>
      </x:c>
      <x:c r="K295" s="11" t="n">
        <x:v>0</x:v>
      </x:c>
      <x:c r="L295" s="11" t="n">
        <x:f>IF(B295="NED",1,IF(OR(B295="ED",B295="UN"),0,""))</x:f>
        <x:v>0</x:v>
      </x:c>
      <x:c r="M295" s="11" t="n">
        <x:f>IF(AND(K295=1,OR(B295="ED",B295="NED")),1,0)</x:f>
        <x:v>0</x:v>
      </x:c>
      <x:c r="N295" s="11" t="n">
        <x:f>IF(K295=1,1,0)</x:f>
        <x:v>0</x:v>
      </x:c>
      <x:c r="O295" s="12" t="str">
        <x:v>Require exact native accession match</x:v>
      </x:c>
      <x:c r="P295" s="11" t="n">
        <x:v>0</x:v>
      </x:c>
      <x:c r="Q295" s="12"/>
      <x:c r="R295" s="12"/>
      <x:c r="S295" s="11" t="n">
        <x:v>2979</x:v>
      </x:c>
      <x:c r="T295" s="11" t="n">
        <x:v>768</x:v>
      </x:c>
    </x:row>
    <x:row r="296" ht="23" customHeight="1">
      <x:c r="A296" s="2" t="str">
        <x:v>E9QA19</x:v>
      </x:c>
      <x:c r="B296" s="2" t="str">
        <x:v>ED</x:v>
      </x:c>
      <x:c r="C296" s="2"/>
      <x:c r="D296" s="2"/>
      <x:c r="E296" s="10"/>
      <x:c r="F296" s="11"/>
      <x:c r="G296" s="11" t="n">
        <x:v>0</x:v>
      </x:c>
      <x:c r="H296" s="11" t="n">
        <x:v>0</x:v>
      </x:c>
      <x:c r="I296" s="11" t="n">
        <x:v>0</x:v>
      </x:c>
      <x:c r="J296" s="11" t="n">
        <x:v>0</x:v>
      </x:c>
      <x:c r="K296" s="11" t="n">
        <x:v>0</x:v>
      </x:c>
      <x:c r="L296" s="11" t="n">
        <x:f>IF(B296="NED",1,IF(OR(B296="ED",B296="UN"),0,""))</x:f>
        <x:v>0</x:v>
      </x:c>
      <x:c r="M296" s="11" t="n">
        <x:f>IF(AND(K296=1,OR(B296="ED",B296="NED")),1,0)</x:f>
        <x:v>0</x:v>
      </x:c>
      <x:c r="N296" s="11" t="n">
        <x:f>IF(K296=1,1,0)</x:f>
        <x:v>0</x:v>
      </x:c>
      <x:c r="O296" s="12" t="str">
        <x:v>Require exact native accession match</x:v>
      </x:c>
      <x:c r="P296" s="11" t="n">
        <x:v>0</x:v>
      </x:c>
      <x:c r="Q296" s="12"/>
      <x:c r="R296" s="12"/>
      <x:c r="S296" s="11" t="n">
        <x:v>2980</x:v>
      </x:c>
      <x:c r="T296" s="11" t="n">
        <x:v>642</x:v>
      </x:c>
    </x:row>
    <x:row r="297" ht="23" customHeight="1">
      <x:c r="A297" s="2" t="str">
        <x:v>E9QA63</x:v>
      </x:c>
      <x:c r="B297" s="2" t="str">
        <x:v>ED</x:v>
      </x:c>
      <x:c r="C297" s="2"/>
      <x:c r="D297" s="2"/>
      <x:c r="E297" s="10"/>
      <x:c r="F297" s="11"/>
      <x:c r="G297" s="11" t="n">
        <x:v>0</x:v>
      </x:c>
      <x:c r="H297" s="11" t="n">
        <x:v>0</x:v>
      </x:c>
      <x:c r="I297" s="11"/>
      <x:c r="J297" s="11"/>
      <x:c r="K297" s="11" t="n">
        <x:v>0</x:v>
      </x:c>
      <x:c r="L297" s="11" t="n">
        <x:f>IF(B297="NED",1,IF(OR(B297="ED",B297="UN"),0,""))</x:f>
        <x:v>0</x:v>
      </x:c>
      <x:c r="M297" s="11" t="n">
        <x:f>IF(AND(K297=1,OR(B297="ED",B297="NED")),1,0)</x:f>
        <x:v>0</x:v>
      </x:c>
      <x:c r="N297" s="11" t="n">
        <x:f>IF(K297=1,1,0)</x:f>
        <x:v>0</x:v>
      </x:c>
      <x:c r="O297" s="12" t="str">
        <x:v>Require exact native accession match</x:v>
      </x:c>
      <x:c r="P297" s="11" t="n">
        <x:v>0</x:v>
      </x:c>
      <x:c r="Q297" s="12"/>
      <x:c r="R297" s="12"/>
      <x:c r="S297" s="11" t="n">
        <x:v>2981</x:v>
      </x:c>
      <x:c r="T297" s="11"/>
    </x:row>
    <x:row r="298" ht="23" customHeight="1">
      <x:c r="A298" s="2" t="str">
        <x:v>E9QAD4</x:v>
      </x:c>
      <x:c r="B298" s="2" t="str">
        <x:v>UN</x:v>
      </x:c>
      <x:c r="C298" s="2"/>
      <x:c r="D298" s="2"/>
      <x:c r="E298" s="10"/>
      <x:c r="F298" s="11"/>
      <x:c r="G298" s="11" t="n">
        <x:v>0</x:v>
      </x:c>
      <x:c r="H298" s="11" t="n">
        <x:v>0</x:v>
      </x:c>
      <x:c r="I298" s="11" t="n">
        <x:v>0</x:v>
      </x:c>
      <x:c r="J298" s="11" t="n">
        <x:v>0</x:v>
      </x:c>
      <x:c r="K298" s="11" t="n">
        <x:v>0</x:v>
      </x:c>
      <x:c r="L298" s="11" t="n">
        <x:f>IF(B298="NED",1,IF(OR(B298="ED",B298="UN"),0,""))</x:f>
        <x:v>0</x:v>
      </x:c>
      <x:c r="M298" s="11" t="n">
        <x:f>IF(AND(K298=1,OR(B298="ED",B298="NED")),1,0)</x:f>
        <x:v>0</x:v>
      </x:c>
      <x:c r="N298" s="11" t="n">
        <x:f>IF(K298=1,1,0)</x:f>
        <x:v>0</x:v>
      </x:c>
      <x:c r="O298" s="12" t="str">
        <x:v>Require exact native accession match</x:v>
      </x:c>
      <x:c r="P298" s="11" t="n">
        <x:v>0</x:v>
      </x:c>
      <x:c r="Q298" s="12"/>
      <x:c r="R298" s="12"/>
      <x:c r="S298" s="11" t="n">
        <x:v>2982</x:v>
      </x:c>
      <x:c r="T298" s="11" t="n">
        <x:v>628</x:v>
      </x:c>
    </x:row>
    <x:row r="299" ht="23" customHeight="1">
      <x:c r="A299" s="2" t="str">
        <x:v>E9QAE3</x:v>
      </x:c>
      <x:c r="B299" s="2" t="str">
        <x:v>UN</x:v>
      </x:c>
      <x:c r="C299" s="2" t="n">
        <x:v>1</x:v>
      </x:c>
      <x:c r="D299" s="2" t="n">
        <x:v>1</x:v>
      </x:c>
      <x:c r="E299" s="10" t="n">
        <x:v>76.13422619047618</x:v>
      </x:c>
      <x:c r="F299" s="11" t="n">
        <x:v>1848</x:v>
      </x:c>
      <x:c r="G299" s="11" t="n">
        <x:v>0</x:v>
      </x:c>
      <x:c r="H299" s="11" t="n">
        <x:v>0</x:v>
      </x:c>
      <x:c r="I299" s="11" t="n">
        <x:v>0</x:v>
      </x:c>
      <x:c r="J299" s="11" t="n">
        <x:v>0</x:v>
      </x:c>
      <x:c r="K299" s="11" t="n">
        <x:v>1</x:v>
      </x:c>
      <x:c r="L299" s="11" t="n">
        <x:f>IF(B299="NED",1,IF(OR(B299="ED",B299="UN"),0,""))</x:f>
        <x:v>0</x:v>
      </x:c>
      <x:c r="M299" s="11" t="n">
        <x:f>IF(AND(K299=1,OR(B299="ED",B299="NED")),1,0)</x:f>
        <x:v>0</x:v>
      </x:c>
      <x:c r="N299" s="11" t="n">
        <x:f>IF(K299=1,1,0)</x:f>
        <x:v>1</x:v>
      </x:c>
      <x:c r="O299" s="12"/>
      <x:c r="P299" s="11" t="n">
        <x:v>0</x:v>
      </x:c>
      <x:c r="Q299" s="12" t="str">
        <x:v>AF-E9QAE3-F1-model_v6</x:v>
      </x:c>
      <x:c r="R299" s="12" t="str">
        <x:v>ok</x:v>
      </x:c>
      <x:c r="S299" s="11" t="n">
        <x:v>2983</x:v>
      </x:c>
      <x:c r="T299" s="11" t="n">
        <x:v>1848</x:v>
      </x:c>
    </x:row>
    <x:row r="300" ht="23" customHeight="1">
      <x:c r="A300" s="2" t="str">
        <x:v>E9QAF9</x:v>
      </x:c>
      <x:c r="B300" s="2" t="str">
        <x:v>ED</x:v>
      </x:c>
      <x:c r="C300" s="2"/>
      <x:c r="D300" s="2"/>
      <x:c r="E300" s="10"/>
      <x:c r="F300" s="11"/>
      <x:c r="G300" s="11" t="n">
        <x:v>0</x:v>
      </x:c>
      <x:c r="H300" s="11" t="n">
        <x:v>0</x:v>
      </x:c>
      <x:c r="I300" s="11" t="n">
        <x:v>0</x:v>
      </x:c>
      <x:c r="J300" s="11" t="n">
        <x:v>0</x:v>
      </x:c>
      <x:c r="K300" s="11" t="n">
        <x:v>0</x:v>
      </x:c>
      <x:c r="L300" s="11" t="n">
        <x:f>IF(B300="NED",1,IF(OR(B300="ED",B300="UN"),0,""))</x:f>
        <x:v>0</x:v>
      </x:c>
      <x:c r="M300" s="11" t="n">
        <x:f>IF(AND(K300=1,OR(B300="ED",B300="NED")),1,0)</x:f>
        <x:v>0</x:v>
      </x:c>
      <x:c r="N300" s="11" t="n">
        <x:f>IF(K300=1,1,0)</x:f>
        <x:v>0</x:v>
      </x:c>
      <x:c r="O300" s="12" t="str">
        <x:v>Require exact native accession match</x:v>
      </x:c>
      <x:c r="P300" s="11" t="n">
        <x:v>0</x:v>
      </x:c>
      <x:c r="Q300" s="12"/>
      <x:c r="R300" s="12"/>
      <x:c r="S300" s="11" t="n">
        <x:v>2984</x:v>
      </x:c>
      <x:c r="T300" s="11" t="n">
        <x:v>1849</x:v>
      </x:c>
    </x:row>
    <x:row r="301" ht="23" customHeight="1">
      <x:c r="A301" s="2" t="str">
        <x:v>E9QAG2</x:v>
      </x:c>
      <x:c r="B301" s="2" t="str">
        <x:v>UN</x:v>
      </x:c>
      <x:c r="C301" s="2"/>
      <x:c r="D301" s="2"/>
      <x:c r="E301" s="10"/>
      <x:c r="F301" s="11"/>
      <x:c r="G301" s="11" t="n">
        <x:v>0</x:v>
      </x:c>
      <x:c r="H301" s="11" t="n">
        <x:v>0</x:v>
      </x:c>
      <x:c r="I301" s="11" t="n">
        <x:v>0</x:v>
      </x:c>
      <x:c r="J301" s="11" t="n">
        <x:v>0</x:v>
      </x:c>
      <x:c r="K301" s="11" t="n">
        <x:v>0</x:v>
      </x:c>
      <x:c r="L301" s="11" t="n">
        <x:f>IF(B301="NED",1,IF(OR(B301="ED",B301="UN"),0,""))</x:f>
        <x:v>0</x:v>
      </x:c>
      <x:c r="M301" s="11" t="n">
        <x:f>IF(AND(K301=1,OR(B301="ED",B301="NED")),1,0)</x:f>
        <x:v>0</x:v>
      </x:c>
      <x:c r="N301" s="11" t="n">
        <x:f>IF(K301=1,1,0)</x:f>
        <x:v>0</x:v>
      </x:c>
      <x:c r="O301" s="12" t="str">
        <x:v>Require exact native accession match</x:v>
      </x:c>
      <x:c r="P301" s="11" t="n">
        <x:v>0</x:v>
      </x:c>
      <x:c r="Q301" s="12"/>
      <x:c r="R301" s="12"/>
      <x:c r="S301" s="11" t="n">
        <x:v>2985</x:v>
      </x:c>
      <x:c r="T301" s="11" t="n">
        <x:v>323</x:v>
      </x:c>
    </x:row>
    <x:row r="302" ht="23" customHeight="1">
      <x:c r="A302" s="2" t="str">
        <x:v>E9QAH1</x:v>
      </x:c>
      <x:c r="B302" s="2" t="str">
        <x:v>UN</x:v>
      </x:c>
      <x:c r="C302" s="2"/>
      <x:c r="D302" s="2"/>
      <x:c r="E302" s="10"/>
      <x:c r="F302" s="11"/>
      <x:c r="G302" s="11" t="n">
        <x:v>0</x:v>
      </x:c>
      <x:c r="H302" s="11" t="n">
        <x:v>0</x:v>
      </x:c>
      <x:c r="I302" s="11" t="n">
        <x:v>1</x:v>
      </x:c>
      <x:c r="J302" s="11" t="n">
        <x:v>0</x:v>
      </x:c>
      <x:c r="K302" s="11" t="n">
        <x:v>0</x:v>
      </x:c>
      <x:c r="L302" s="11" t="n">
        <x:f>IF(B302="NED",1,IF(OR(B302="ED",B302="UN"),0,""))</x:f>
        <x:v>0</x:v>
      </x:c>
      <x:c r="M302" s="11" t="n">
        <x:f>IF(AND(K302=1,OR(B302="ED",B302="NED")),1,0)</x:f>
        <x:v>0</x:v>
      </x:c>
      <x:c r="N302" s="11" t="n">
        <x:f>IF(K302=1,1,0)</x:f>
        <x:v>0</x:v>
      </x:c>
      <x:c r="O302" s="12" t="str">
        <x:v>Require exact native accession match</x:v>
      </x:c>
      <x:c r="P302" s="11" t="n">
        <x:v>0</x:v>
      </x:c>
      <x:c r="Q302" s="12"/>
      <x:c r="R302" s="12"/>
      <x:c r="S302" s="11" t="n">
        <x:v>2986</x:v>
      </x:c>
      <x:c r="T302" s="11" t="n">
        <x:v>3197</x:v>
      </x:c>
    </x:row>
    <x:row r="303" ht="23" customHeight="1">
      <x:c r="A303" s="2" t="str">
        <x:v>E9QAR6</x:v>
      </x:c>
      <x:c r="B303" s="2" t="str">
        <x:v>UN</x:v>
      </x:c>
      <x:c r="C303" s="2"/>
      <x:c r="D303" s="2"/>
      <x:c r="E303" s="10"/>
      <x:c r="F303" s="11"/>
      <x:c r="G303" s="11" t="n">
        <x:v>0</x:v>
      </x:c>
      <x:c r="H303" s="11" t="n">
        <x:v>0</x:v>
      </x:c>
      <x:c r="I303" s="11" t="n">
        <x:v>0</x:v>
      </x:c>
      <x:c r="J303" s="11" t="n">
        <x:v>0</x:v>
      </x:c>
      <x:c r="K303" s="11" t="n">
        <x:v>0</x:v>
      </x:c>
      <x:c r="L303" s="11" t="n">
        <x:f>IF(B303="NED",1,IF(OR(B303="ED",B303="UN"),0,""))</x:f>
        <x:v>0</x:v>
      </x:c>
      <x:c r="M303" s="11" t="n">
        <x:f>IF(AND(K303=1,OR(B303="ED",B303="NED")),1,0)</x:f>
        <x:v>0</x:v>
      </x:c>
      <x:c r="N303" s="11" t="n">
        <x:f>IF(K303=1,1,0)</x:f>
        <x:v>0</x:v>
      </x:c>
      <x:c r="O303" s="12" t="str">
        <x:v>Require exact native accession match</x:v>
      </x:c>
      <x:c r="P303" s="11" t="n">
        <x:v>0</x:v>
      </x:c>
      <x:c r="Q303" s="12"/>
      <x:c r="R303" s="12"/>
      <x:c r="S303" s="11" t="n">
        <x:v>2987</x:v>
      </x:c>
      <x:c r="T303" s="11" t="n">
        <x:v>568</x:v>
      </x:c>
    </x:row>
    <x:row r="304" ht="23" customHeight="1">
      <x:c r="A304" s="2" t="str">
        <x:v>E9QAS4</x:v>
      </x:c>
      <x:c r="B304" s="2" t="str">
        <x:v>UN</x:v>
      </x:c>
      <x:c r="C304" s="2"/>
      <x:c r="D304" s="2"/>
      <x:c r="E304" s="10"/>
      <x:c r="F304" s="11"/>
      <x:c r="G304" s="11" t="n">
        <x:v>0</x:v>
      </x:c>
      <x:c r="H304" s="11" t="n">
        <x:v>0</x:v>
      </x:c>
      <x:c r="I304" s="11" t="n">
        <x:v>0</x:v>
      </x:c>
      <x:c r="J304" s="11" t="n">
        <x:v>0</x:v>
      </x:c>
      <x:c r="K304" s="11" t="n">
        <x:v>0</x:v>
      </x:c>
      <x:c r="L304" s="11" t="n">
        <x:f>IF(B304="NED",1,IF(OR(B304="ED",B304="UN"),0,""))</x:f>
        <x:v>0</x:v>
      </x:c>
      <x:c r="M304" s="11" t="n">
        <x:f>IF(AND(K304=1,OR(B304="ED",B304="NED")),1,0)</x:f>
        <x:v>0</x:v>
      </x:c>
      <x:c r="N304" s="11" t="n">
        <x:f>IF(K304=1,1,0)</x:f>
        <x:v>0</x:v>
      </x:c>
      <x:c r="O304" s="12" t="str">
        <x:v>Require exact native accession match</x:v>
      </x:c>
      <x:c r="P304" s="11" t="n">
        <x:v>0</x:v>
      </x:c>
      <x:c r="Q304" s="12"/>
      <x:c r="R304" s="12"/>
      <x:c r="S304" s="11" t="n">
        <x:v>2988</x:v>
      </x:c>
      <x:c r="T304" s="11" t="n">
        <x:v>1902</x:v>
      </x:c>
    </x:row>
    <x:row r="305" ht="23" customHeight="1">
      <x:c r="A305" s="2" t="str">
        <x:v>E9QAT4</x:v>
      </x:c>
      <x:c r="B305" s="2" t="str">
        <x:v>ED</x:v>
      </x:c>
      <x:c r="C305" s="2" t="n">
        <x:v>1</x:v>
      </x:c>
      <x:c r="D305" s="2"/>
      <x:c r="E305" s="10"/>
      <x:c r="F305" s="11" t="n">
        <x:v>2357</x:v>
      </x:c>
      <x:c r="G305" s="11" t="n">
        <x:v>1</x:v>
      </x:c>
      <x:c r="H305" s="11" t="n">
        <x:v>0</x:v>
      </x:c>
      <x:c r="I305" s="11" t="n">
        <x:v>1</x:v>
      </x:c>
      <x:c r="J305" s="11" t="n">
        <x:v>0</x:v>
      </x:c>
      <x:c r="K305" s="11" t="n">
        <x:v>0</x:v>
      </x:c>
      <x:c r="L305" s="11" t="n">
        <x:f>IF(B305="NED",1,IF(OR(B305="ED",B305="UN"),0,""))</x:f>
        <x:v>0</x:v>
      </x:c>
      <x:c r="M305" s="11" t="n">
        <x:f>IF(AND(K305=1,OR(B305="ED",B305="NED")),1,0)</x:f>
        <x:v>0</x:v>
      </x:c>
      <x:c r="N305" s="11" t="n">
        <x:f>IF(K305=1,1,0)</x:f>
        <x:v>0</x:v>
      </x:c>
      <x:c r="O305" s="12" t="str">
        <x:v>Exclude supplied knotted proteins</x:v>
      </x:c>
      <x:c r="P305" s="11" t="n">
        <x:v>0</x:v>
      </x:c>
      <x:c r="Q305" s="12" t="str">
        <x:v>AF-E9QAT4-F1-model_v6</x:v>
      </x:c>
      <x:c r="R305" s="12" t="str">
        <x:v>ok</x:v>
      </x:c>
      <x:c r="S305" s="11" t="n">
        <x:v>2989</x:v>
      </x:c>
      <x:c r="T305" s="11" t="n">
        <x:v>2357</x:v>
      </x:c>
    </x:row>
    <x:row r="306" ht="23" customHeight="1">
      <x:c r="A306" s="2" t="str">
        <x:v>E9QB02</x:v>
      </x:c>
      <x:c r="B306" s="2" t="str">
        <x:v>ED</x:v>
      </x:c>
      <x:c r="C306" s="2"/>
      <x:c r="D306" s="2"/>
      <x:c r="E306" s="10"/>
      <x:c r="F306" s="11"/>
      <x:c r="G306" s="11" t="n">
        <x:v>0</x:v>
      </x:c>
      <x:c r="H306" s="11" t="n">
        <x:v>0</x:v>
      </x:c>
      <x:c r="I306" s="11" t="n">
        <x:v>0</x:v>
      </x:c>
      <x:c r="J306" s="11" t="n">
        <x:v>0</x:v>
      </x:c>
      <x:c r="K306" s="11" t="n">
        <x:v>0</x:v>
      </x:c>
      <x:c r="L306" s="11" t="n">
        <x:f>IF(B306="NED",1,IF(OR(B306="ED",B306="UN"),0,""))</x:f>
        <x:v>0</x:v>
      </x:c>
      <x:c r="M306" s="11" t="n">
        <x:f>IF(AND(K306=1,OR(B306="ED",B306="NED")),1,0)</x:f>
        <x:v>0</x:v>
      </x:c>
      <x:c r="N306" s="11" t="n">
        <x:f>IF(K306=1,1,0)</x:f>
        <x:v>0</x:v>
      </x:c>
      <x:c r="O306" s="12" t="str">
        <x:v>Require exact native accession match</x:v>
      </x:c>
      <x:c r="P306" s="11" t="n">
        <x:v>0</x:v>
      </x:c>
      <x:c r="Q306" s="12"/>
      <x:c r="R306" s="12"/>
      <x:c r="S306" s="11" t="n">
        <x:v>2990</x:v>
      </x:c>
      <x:c r="T306" s="11" t="n">
        <x:v>910</x:v>
      </x:c>
    </x:row>
    <x:row r="307" ht="23" customHeight="1">
      <x:c r="A307" s="2" t="str">
        <x:v>E9QK04</x:v>
      </x:c>
      <x:c r="B307" s="2" t="str">
        <x:v>NED</x:v>
      </x:c>
      <x:c r="C307" s="2"/>
      <x:c r="D307" s="2"/>
      <x:c r="E307" s="10"/>
      <x:c r="F307" s="11"/>
      <x:c r="G307" s="11" t="n">
        <x:v>0</x:v>
      </x:c>
      <x:c r="H307" s="11" t="n">
        <x:v>0</x:v>
      </x:c>
      <x:c r="I307" s="11" t="n">
        <x:v>1</x:v>
      </x:c>
      <x:c r="J307" s="11" t="n">
        <x:v>0</x:v>
      </x:c>
      <x:c r="K307" s="11" t="n">
        <x:v>0</x:v>
      </x:c>
      <x:c r="L307" s="11" t="n">
        <x:f>IF(B307="NED",1,IF(OR(B307="ED",B307="UN"),0,""))</x:f>
        <x:v>1</x:v>
      </x:c>
      <x:c r="M307" s="11" t="n">
        <x:f>IF(AND(K307=1,OR(B307="ED",B307="NED")),1,0)</x:f>
        <x:v>0</x:v>
      </x:c>
      <x:c r="N307" s="11" t="n">
        <x:f>IF(K307=1,1,0)</x:f>
        <x:v>0</x:v>
      </x:c>
      <x:c r="O307" s="12" t="str">
        <x:v>Require exact native accession match</x:v>
      </x:c>
      <x:c r="P307" s="11" t="n">
        <x:v>0</x:v>
      </x:c>
      <x:c r="Q307" s="12"/>
      <x:c r="R307" s="12"/>
      <x:c r="S307" s="11" t="n">
        <x:v>2991</x:v>
      </x:c>
      <x:c r="T307" s="11" t="n">
        <x:v>1492</x:v>
      </x:c>
    </x:row>
    <x:row r="308" ht="23" customHeight="1">
      <x:c r="A308" s="2" t="str">
        <x:v>E9QK83</x:v>
      </x:c>
      <x:c r="B308" s="2" t="str">
        <x:v>ED</x:v>
      </x:c>
      <x:c r="C308" s="2"/>
      <x:c r="D308" s="2"/>
      <x:c r="E308" s="10"/>
      <x:c r="F308" s="11"/>
      <x:c r="G308" s="11" t="n">
        <x:v>0</x:v>
      </x:c>
      <x:c r="H308" s="11" t="n">
        <x:v>0</x:v>
      </x:c>
      <x:c r="I308" s="11" t="n">
        <x:v>0</x:v>
      </x:c>
      <x:c r="J308" s="11" t="n">
        <x:v>0</x:v>
      </x:c>
      <x:c r="K308" s="11" t="n">
        <x:v>0</x:v>
      </x:c>
      <x:c r="L308" s="11" t="n">
        <x:f>IF(B308="NED",1,IF(OR(B308="ED",B308="UN"),0,""))</x:f>
        <x:v>0</x:v>
      </x:c>
      <x:c r="M308" s="11" t="n">
        <x:f>IF(AND(K308=1,OR(B308="ED",B308="NED")),1,0)</x:f>
        <x:v>0</x:v>
      </x:c>
      <x:c r="N308" s="11" t="n">
        <x:f>IF(K308=1,1,0)</x:f>
        <x:v>0</x:v>
      </x:c>
      <x:c r="O308" s="12" t="str">
        <x:v>Require exact native accession match</x:v>
      </x:c>
      <x:c r="P308" s="11" t="n">
        <x:v>0</x:v>
      </x:c>
      <x:c r="Q308" s="12"/>
      <x:c r="R308" s="12"/>
      <x:c r="S308" s="11" t="n">
        <x:v>2992</x:v>
      </x:c>
      <x:c r="T308" s="11" t="n">
        <x:v>2789</x:v>
      </x:c>
    </x:row>
    <x:row r="309" ht="23" customHeight="1">
      <x:c r="A309" s="2" t="str">
        <x:v>E9QKD1</x:v>
      </x:c>
      <x:c r="B309" s="2" t="str">
        <x:v>ED</x:v>
      </x:c>
      <x:c r="C309" s="2"/>
      <x:c r="D309" s="2"/>
      <x:c r="E309" s="10"/>
      <x:c r="F309" s="11"/>
      <x:c r="G309" s="11" t="n">
        <x:v>0</x:v>
      </x:c>
      <x:c r="H309" s="11" t="n">
        <x:v>0</x:v>
      </x:c>
      <x:c r="I309" s="11" t="n">
        <x:v>0</x:v>
      </x:c>
      <x:c r="J309" s="11" t="n">
        <x:v>0</x:v>
      </x:c>
      <x:c r="K309" s="11" t="n">
        <x:v>0</x:v>
      </x:c>
      <x:c r="L309" s="11" t="n">
        <x:f>IF(B309="NED",1,IF(OR(B309="ED",B309="UN"),0,""))</x:f>
        <x:v>0</x:v>
      </x:c>
      <x:c r="M309" s="11" t="n">
        <x:f>IF(AND(K309=1,OR(B309="ED",B309="NED")),1,0)</x:f>
        <x:v>0</x:v>
      </x:c>
      <x:c r="N309" s="11" t="n">
        <x:f>IF(K309=1,1,0)</x:f>
        <x:v>0</x:v>
      </x:c>
      <x:c r="O309" s="12" t="str">
        <x:v>Require exact native accession match</x:v>
      </x:c>
      <x:c r="P309" s="11" t="n">
        <x:v>0</x:v>
      </x:c>
      <x:c r="Q309" s="12"/>
      <x:c r="R309" s="12"/>
      <x:c r="S309" s="11" t="n">
        <x:v>2993</x:v>
      </x:c>
      <x:c r="T309" s="11" t="n">
        <x:v>1165</x:v>
      </x:c>
    </x:row>
    <x:row r="310" ht="23" customHeight="1">
      <x:c r="A310" s="2" t="str">
        <x:v>E9QKT1</x:v>
      </x:c>
      <x:c r="B310" s="2" t="str">
        <x:v>ED</x:v>
      </x:c>
      <x:c r="C310" s="2"/>
      <x:c r="D310" s="2"/>
      <x:c r="E310" s="10"/>
      <x:c r="F310" s="11"/>
      <x:c r="G310" s="11" t="n">
        <x:v>0</x:v>
      </x:c>
      <x:c r="H310" s="11" t="n">
        <x:v>0</x:v>
      </x:c>
      <x:c r="I310" s="11"/>
      <x:c r="J310" s="11"/>
      <x:c r="K310" s="11" t="n">
        <x:v>0</x:v>
      </x:c>
      <x:c r="L310" s="11" t="n">
        <x:f>IF(B310="NED",1,IF(OR(B310="ED",B310="UN"),0,""))</x:f>
        <x:v>0</x:v>
      </x:c>
      <x:c r="M310" s="11" t="n">
        <x:f>IF(AND(K310=1,OR(B310="ED",B310="NED")),1,0)</x:f>
        <x:v>0</x:v>
      </x:c>
      <x:c r="N310" s="11" t="n">
        <x:f>IF(K310=1,1,0)</x:f>
        <x:v>0</x:v>
      </x:c>
      <x:c r="O310" s="12" t="str">
        <x:v>Require exact native accession match</x:v>
      </x:c>
      <x:c r="P310" s="11" t="n">
        <x:v>0</x:v>
      </x:c>
      <x:c r="Q310" s="12"/>
      <x:c r="R310" s="12"/>
      <x:c r="S310" s="11" t="n">
        <x:v>2994</x:v>
      </x:c>
      <x:c r="T310" s="11"/>
    </x:row>
    <x:row r="311" ht="23" customHeight="1">
      <x:c r="A311" s="2" t="str">
        <x:v>E9QKZ2</x:v>
      </x:c>
      <x:c r="B311" s="2" t="str">
        <x:v>UN</x:v>
      </x:c>
      <x:c r="C311" s="2"/>
      <x:c r="D311" s="2"/>
      <x:c r="E311" s="10"/>
      <x:c r="F311" s="11"/>
      <x:c r="G311" s="11" t="n">
        <x:v>0</x:v>
      </x:c>
      <x:c r="H311" s="11" t="n">
        <x:v>0</x:v>
      </x:c>
      <x:c r="I311" s="11" t="n">
        <x:v>0</x:v>
      </x:c>
      <x:c r="J311" s="11" t="n">
        <x:v>0</x:v>
      </x:c>
      <x:c r="K311" s="11" t="n">
        <x:v>0</x:v>
      </x:c>
      <x:c r="L311" s="11" t="n">
        <x:f>IF(B311="NED",1,IF(OR(B311="ED",B311="UN"),0,""))</x:f>
        <x:v>0</x:v>
      </x:c>
      <x:c r="M311" s="11" t="n">
        <x:f>IF(AND(K311=1,OR(B311="ED",B311="NED")),1,0)</x:f>
        <x:v>0</x:v>
      </x:c>
      <x:c r="N311" s="11" t="n">
        <x:f>IF(K311=1,1,0)</x:f>
        <x:v>0</x:v>
      </x:c>
      <x:c r="O311" s="12" t="str">
        <x:v>Require exact native accession match</x:v>
      </x:c>
      <x:c r="P311" s="11" t="n">
        <x:v>0</x:v>
      </x:c>
      <x:c r="Q311" s="12"/>
      <x:c r="R311" s="12"/>
      <x:c r="S311" s="11" t="n">
        <x:v>2995</x:v>
      </x:c>
      <x:c r="T311" s="11" t="n">
        <x:v>1040</x:v>
      </x:c>
    </x:row>
    <x:row r="312" ht="23" customHeight="1">
      <x:c r="A312" s="2" t="str">
        <x:v>E9QL65</x:v>
      </x:c>
      <x:c r="B312" s="2" t="str">
        <x:v>ED</x:v>
      </x:c>
      <x:c r="C312" s="2"/>
      <x:c r="D312" s="2"/>
      <x:c r="E312" s="10"/>
      <x:c r="F312" s="11"/>
      <x:c r="G312" s="11" t="n">
        <x:v>0</x:v>
      </x:c>
      <x:c r="H312" s="11" t="n">
        <x:v>0</x:v>
      </x:c>
      <x:c r="I312" s="11" t="n">
        <x:v>1</x:v>
      </x:c>
      <x:c r="J312" s="11" t="n">
        <x:v>0</x:v>
      </x:c>
      <x:c r="K312" s="11" t="n">
        <x:v>0</x:v>
      </x:c>
      <x:c r="L312" s="11" t="n">
        <x:f>IF(B312="NED",1,IF(OR(B312="ED",B312="UN"),0,""))</x:f>
        <x:v>0</x:v>
      </x:c>
      <x:c r="M312" s="11" t="n">
        <x:f>IF(AND(K312=1,OR(B312="ED",B312="NED")),1,0)</x:f>
        <x:v>0</x:v>
      </x:c>
      <x:c r="N312" s="11" t="n">
        <x:f>IF(K312=1,1,0)</x:f>
        <x:v>0</x:v>
      </x:c>
      <x:c r="O312" s="12" t="str">
        <x:v>Require exact native accession match</x:v>
      </x:c>
      <x:c r="P312" s="11" t="n">
        <x:v>0</x:v>
      </x:c>
      <x:c r="Q312" s="12"/>
      <x:c r="R312" s="12"/>
      <x:c r="S312" s="11" t="n">
        <x:v>2996</x:v>
      </x:c>
      <x:c r="T312" s="11" t="n">
        <x:v>828</x:v>
      </x:c>
    </x:row>
    <x:row r="313" ht="23" customHeight="1">
      <x:c r="A313" s="2" t="str">
        <x:v>E9QLA5</x:v>
      </x:c>
      <x:c r="B313" s="2" t="str">
        <x:v>UN</x:v>
      </x:c>
      <x:c r="C313" s="2"/>
      <x:c r="D313" s="2"/>
      <x:c r="E313" s="10"/>
      <x:c r="F313" s="11"/>
      <x:c r="G313" s="11" t="n">
        <x:v>0</x:v>
      </x:c>
      <x:c r="H313" s="11" t="n">
        <x:v>0</x:v>
      </x:c>
      <x:c r="I313" s="11" t="n">
        <x:v>0</x:v>
      </x:c>
      <x:c r="J313" s="11" t="n">
        <x:v>0</x:v>
      </x:c>
      <x:c r="K313" s="11" t="n">
        <x:v>0</x:v>
      </x:c>
      <x:c r="L313" s="11" t="n">
        <x:f>IF(B313="NED",1,IF(OR(B313="ED",B313="UN"),0,""))</x:f>
        <x:v>0</x:v>
      </x:c>
      <x:c r="M313" s="11" t="n">
        <x:f>IF(AND(K313=1,OR(B313="ED",B313="NED")),1,0)</x:f>
        <x:v>0</x:v>
      </x:c>
      <x:c r="N313" s="11" t="n">
        <x:f>IF(K313=1,1,0)</x:f>
        <x:v>0</x:v>
      </x:c>
      <x:c r="O313" s="12" t="str">
        <x:v>Require exact native accession match</x:v>
      </x:c>
      <x:c r="P313" s="11" t="n">
        <x:v>0</x:v>
      </x:c>
      <x:c r="Q313" s="12"/>
      <x:c r="R313" s="12"/>
      <x:c r="S313" s="11" t="n">
        <x:v>2997</x:v>
      </x:c>
      <x:c r="T313" s="11" t="n">
        <x:v>1271</x:v>
      </x:c>
    </x:row>
    <x:row r="314" ht="23" customHeight="1">
      <x:c r="A314" s="2" t="str">
        <x:v>E9QLH9</x:v>
      </x:c>
      <x:c r="B314" s="2" t="str">
        <x:v>ED</x:v>
      </x:c>
      <x:c r="C314" s="2"/>
      <x:c r="D314" s="2"/>
      <x:c r="E314" s="10"/>
      <x:c r="F314" s="11"/>
      <x:c r="G314" s="11" t="n">
        <x:v>0</x:v>
      </x:c>
      <x:c r="H314" s="11" t="n">
        <x:v>0</x:v>
      </x:c>
      <x:c r="I314" s="11"/>
      <x:c r="J314" s="11"/>
      <x:c r="K314" s="11" t="n">
        <x:v>0</x:v>
      </x:c>
      <x:c r="L314" s="11" t="n">
        <x:f>IF(B314="NED",1,IF(OR(B314="ED",B314="UN"),0,""))</x:f>
        <x:v>0</x:v>
      </x:c>
      <x:c r="M314" s="11" t="n">
        <x:f>IF(AND(K314=1,OR(B314="ED",B314="NED")),1,0)</x:f>
        <x:v>0</x:v>
      </x:c>
      <x:c r="N314" s="11" t="n">
        <x:f>IF(K314=1,1,0)</x:f>
        <x:v>0</x:v>
      </x:c>
      <x:c r="O314" s="12" t="str">
        <x:v>Require exact native accession match</x:v>
      </x:c>
      <x:c r="P314" s="11" t="n">
        <x:v>0</x:v>
      </x:c>
      <x:c r="Q314" s="12"/>
      <x:c r="R314" s="12"/>
      <x:c r="S314" s="11" t="n">
        <x:v>2998</x:v>
      </x:c>
      <x:c r="T314" s="11"/>
    </x:row>
    <x:row r="315" ht="23" customHeight="1">
      <x:c r="A315" s="2" t="str">
        <x:v>E9QLQ9</x:v>
      </x:c>
      <x:c r="B315" s="2" t="str">
        <x:v>ED</x:v>
      </x:c>
      <x:c r="C315" s="2"/>
      <x:c r="D315" s="2"/>
      <x:c r="E315" s="10"/>
      <x:c r="F315" s="11"/>
      <x:c r="G315" s="11" t="n">
        <x:v>0</x:v>
      </x:c>
      <x:c r="H315" s="11" t="n">
        <x:v>0</x:v>
      </x:c>
      <x:c r="I315" s="11" t="n">
        <x:v>0</x:v>
      </x:c>
      <x:c r="J315" s="11" t="n">
        <x:v>0</x:v>
      </x:c>
      <x:c r="K315" s="11" t="n">
        <x:v>0</x:v>
      </x:c>
      <x:c r="L315" s="11" t="n">
        <x:f>IF(B315="NED",1,IF(OR(B315="ED",B315="UN"),0,""))</x:f>
        <x:v>0</x:v>
      </x:c>
      <x:c r="M315" s="11" t="n">
        <x:f>IF(AND(K315=1,OR(B315="ED",B315="NED")),1,0)</x:f>
        <x:v>0</x:v>
      </x:c>
      <x:c r="N315" s="11" t="n">
        <x:f>IF(K315=1,1,0)</x:f>
        <x:v>0</x:v>
      </x:c>
      <x:c r="O315" s="12" t="str">
        <x:v>Require exact native accession match</x:v>
      </x:c>
      <x:c r="P315" s="11" t="n">
        <x:v>0</x:v>
      </x:c>
      <x:c r="Q315" s="12"/>
      <x:c r="R315" s="12"/>
      <x:c r="S315" s="11" t="n">
        <x:v>2999</x:v>
      </x:c>
      <x:c r="T315" s="11" t="n">
        <x:v>2808</x:v>
      </x:c>
    </x:row>
    <x:row r="316" ht="23" customHeight="1">
      <x:c r="A316" s="2" t="str">
        <x:v>E9QM38</x:v>
      </x:c>
      <x:c r="B316" s="2" t="str">
        <x:v>NED</x:v>
      </x:c>
      <x:c r="C316" s="2"/>
      <x:c r="D316" s="2"/>
      <x:c r="E316" s="10"/>
      <x:c r="F316" s="11"/>
      <x:c r="G316" s="11" t="n">
        <x:v>0</x:v>
      </x:c>
      <x:c r="H316" s="11" t="n">
        <x:v>0</x:v>
      </x:c>
      <x:c r="I316" s="11" t="n">
        <x:v>1</x:v>
      </x:c>
      <x:c r="J316" s="11" t="n">
        <x:v>0</x:v>
      </x:c>
      <x:c r="K316" s="11" t="n">
        <x:v>0</x:v>
      </x:c>
      <x:c r="L316" s="11" t="n">
        <x:f>IF(B316="NED",1,IF(OR(B316="ED",B316="UN"),0,""))</x:f>
        <x:v>1</x:v>
      </x:c>
      <x:c r="M316" s="11" t="n">
        <x:f>IF(AND(K316=1,OR(B316="ED",B316="NED")),1,0)</x:f>
        <x:v>0</x:v>
      </x:c>
      <x:c r="N316" s="11" t="n">
        <x:f>IF(K316=1,1,0)</x:f>
        <x:v>0</x:v>
      </x:c>
      <x:c r="O316" s="12" t="str">
        <x:v>Require exact native accession match</x:v>
      </x:c>
      <x:c r="P316" s="11" t="n">
        <x:v>0</x:v>
      </x:c>
      <x:c r="Q316" s="12"/>
      <x:c r="R316" s="12"/>
      <x:c r="S316" s="11" t="n">
        <x:v>3000</x:v>
      </x:c>
      <x:c r="T316" s="11" t="n">
        <x:v>1206</x:v>
      </x:c>
    </x:row>
    <x:row r="317" ht="23" customHeight="1">
      <x:c r="A317" s="2" t="str">
        <x:v>E9QMH7</x:v>
      </x:c>
      <x:c r="B317" s="2" t="str">
        <x:v>UN</x:v>
      </x:c>
      <x:c r="C317" s="2"/>
      <x:c r="D317" s="2"/>
      <x:c r="E317" s="10"/>
      <x:c r="F317" s="11"/>
      <x:c r="G317" s="11" t="n">
        <x:v>0</x:v>
      </x:c>
      <x:c r="H317" s="11" t="n">
        <x:v>0</x:v>
      </x:c>
      <x:c r="I317" s="11" t="n">
        <x:v>0</x:v>
      </x:c>
      <x:c r="J317" s="11" t="n">
        <x:v>0</x:v>
      </x:c>
      <x:c r="K317" s="11" t="n">
        <x:v>0</x:v>
      </x:c>
      <x:c r="L317" s="11" t="n">
        <x:f>IF(B317="NED",1,IF(OR(B317="ED",B317="UN"),0,""))</x:f>
        <x:v>0</x:v>
      </x:c>
      <x:c r="M317" s="11" t="n">
        <x:f>IF(AND(K317=1,OR(B317="ED",B317="NED")),1,0)</x:f>
        <x:v>0</x:v>
      </x:c>
      <x:c r="N317" s="11" t="n">
        <x:f>IF(K317=1,1,0)</x:f>
        <x:v>0</x:v>
      </x:c>
      <x:c r="O317" s="12" t="str">
        <x:v>Require exact native accession match</x:v>
      </x:c>
      <x:c r="P317" s="11" t="n">
        <x:v>0</x:v>
      </x:c>
      <x:c r="Q317" s="12"/>
      <x:c r="R317" s="12"/>
      <x:c r="S317" s="11" t="n">
        <x:v>3001</x:v>
      </x:c>
      <x:c r="T317" s="11" t="n">
        <x:v>373</x:v>
      </x:c>
    </x:row>
    <x:row r="318" ht="23" customHeight="1">
      <x:c r="A318" s="2" t="str">
        <x:v>E9QMR2</x:v>
      </x:c>
      <x:c r="B318" s="2" t="str">
        <x:v>ED</x:v>
      </x:c>
      <x:c r="C318" s="2"/>
      <x:c r="D318" s="2"/>
      <x:c r="E318" s="10"/>
      <x:c r="F318" s="11"/>
      <x:c r="G318" s="11" t="n">
        <x:v>0</x:v>
      </x:c>
      <x:c r="H318" s="11" t="n">
        <x:v>0</x:v>
      </x:c>
      <x:c r="I318" s="11" t="n">
        <x:v>0</x:v>
      </x:c>
      <x:c r="J318" s="11" t="n">
        <x:v>0</x:v>
      </x:c>
      <x:c r="K318" s="11" t="n">
        <x:v>0</x:v>
      </x:c>
      <x:c r="L318" s="11" t="n">
        <x:f>IF(B318="NED",1,IF(OR(B318="ED",B318="UN"),0,""))</x:f>
        <x:v>0</x:v>
      </x:c>
      <x:c r="M318" s="11" t="n">
        <x:f>IF(AND(K318=1,OR(B318="ED",B318="NED")),1,0)</x:f>
        <x:v>0</x:v>
      </x:c>
      <x:c r="N318" s="11" t="n">
        <x:f>IF(K318=1,1,0)</x:f>
        <x:v>0</x:v>
      </x:c>
      <x:c r="O318" s="12" t="str">
        <x:v>Require exact native accession match</x:v>
      </x:c>
      <x:c r="P318" s="11" t="n">
        <x:v>0</x:v>
      </x:c>
      <x:c r="Q318" s="12"/>
      <x:c r="R318" s="12"/>
      <x:c r="S318" s="11" t="n">
        <x:v>3002</x:v>
      </x:c>
      <x:c r="T318" s="11" t="n">
        <x:v>2058</x:v>
      </x:c>
    </x:row>
    <x:row r="319" ht="23" customHeight="1">
      <x:c r="A319" s="2" t="str">
        <x:v>E9QN14</x:v>
      </x:c>
      <x:c r="B319" s="2" t="str">
        <x:v>ED</x:v>
      </x:c>
      <x:c r="C319" s="2"/>
      <x:c r="D319" s="2"/>
      <x:c r="E319" s="10"/>
      <x:c r="F319" s="11"/>
      <x:c r="G319" s="11" t="n">
        <x:v>0</x:v>
      </x:c>
      <x:c r="H319" s="11" t="n">
        <x:v>0</x:v>
      </x:c>
      <x:c r="I319" s="11" t="n">
        <x:v>0</x:v>
      </x:c>
      <x:c r="J319" s="11" t="n">
        <x:v>0</x:v>
      </x:c>
      <x:c r="K319" s="11" t="n">
        <x:v>0</x:v>
      </x:c>
      <x:c r="L319" s="11" t="n">
        <x:f>IF(B319="NED",1,IF(OR(B319="ED",B319="UN"),0,""))</x:f>
        <x:v>0</x:v>
      </x:c>
      <x:c r="M319" s="11" t="n">
        <x:f>IF(AND(K319=1,OR(B319="ED",B319="NED")),1,0)</x:f>
        <x:v>0</x:v>
      </x:c>
      <x:c r="N319" s="11" t="n">
        <x:f>IF(K319=1,1,0)</x:f>
        <x:v>0</x:v>
      </x:c>
      <x:c r="O319" s="12" t="str">
        <x:v>Require exact native accession match</x:v>
      </x:c>
      <x:c r="P319" s="11" t="n">
        <x:v>0</x:v>
      </x:c>
      <x:c r="Q319" s="12"/>
      <x:c r="R319" s="12"/>
      <x:c r="S319" s="11" t="n">
        <x:v>3003</x:v>
      </x:c>
      <x:c r="T319" s="11" t="n">
        <x:v>1075</x:v>
      </x:c>
    </x:row>
    <x:row r="320" ht="23" customHeight="1">
      <x:c r="A320" s="2" t="str">
        <x:v>E9QN31</x:v>
      </x:c>
      <x:c r="B320" s="2" t="str">
        <x:v>NED</x:v>
      </x:c>
      <x:c r="C320" s="2"/>
      <x:c r="D320" s="2"/>
      <x:c r="E320" s="10"/>
      <x:c r="F320" s="11"/>
      <x:c r="G320" s="11" t="n">
        <x:v>0</x:v>
      </x:c>
      <x:c r="H320" s="11" t="n">
        <x:v>0</x:v>
      </x:c>
      <x:c r="I320" s="11" t="n">
        <x:v>0</x:v>
      </x:c>
      <x:c r="J320" s="11" t="n">
        <x:v>0</x:v>
      </x:c>
      <x:c r="K320" s="11" t="n">
        <x:v>0</x:v>
      </x:c>
      <x:c r="L320" s="11" t="n">
        <x:f>IF(B320="NED",1,IF(OR(B320="ED",B320="UN"),0,""))</x:f>
        <x:v>1</x:v>
      </x:c>
      <x:c r="M320" s="11" t="n">
        <x:f>IF(AND(K320=1,OR(B320="ED",B320="NED")),1,0)</x:f>
        <x:v>0</x:v>
      </x:c>
      <x:c r="N320" s="11" t="n">
        <x:f>IF(K320=1,1,0)</x:f>
        <x:v>0</x:v>
      </x:c>
      <x:c r="O320" s="12" t="str">
        <x:v>Require exact native accession match</x:v>
      </x:c>
      <x:c r="P320" s="11" t="n">
        <x:v>0</x:v>
      </x:c>
      <x:c r="Q320" s="12"/>
      <x:c r="R320" s="12"/>
      <x:c r="S320" s="11" t="n">
        <x:v>3004</x:v>
      </x:c>
      <x:c r="T320" s="11" t="n">
        <x:v>794</x:v>
      </x:c>
    </x:row>
    <x:row r="321" ht="23" customHeight="1">
      <x:c r="A321" s="2" t="str">
        <x:v>E9QNN1</x:v>
      </x:c>
      <x:c r="B321" s="2" t="str">
        <x:v>NED</x:v>
      </x:c>
      <x:c r="C321" s="2"/>
      <x:c r="D321" s="2"/>
      <x:c r="E321" s="10"/>
      <x:c r="F321" s="11"/>
      <x:c r="G321" s="11" t="n">
        <x:v>0</x:v>
      </x:c>
      <x:c r="H321" s="11" t="n">
        <x:v>0</x:v>
      </x:c>
      <x:c r="I321" s="11" t="n">
        <x:v>0</x:v>
      </x:c>
      <x:c r="J321" s="11" t="n">
        <x:v>0</x:v>
      </x:c>
      <x:c r="K321" s="11" t="n">
        <x:v>0</x:v>
      </x:c>
      <x:c r="L321" s="11" t="n">
        <x:f>IF(B321="NED",1,IF(OR(B321="ED",B321="UN"),0,""))</x:f>
        <x:v>1</x:v>
      </x:c>
      <x:c r="M321" s="11" t="n">
        <x:f>IF(AND(K321=1,OR(B321="ED",B321="NED")),1,0)</x:f>
        <x:v>0</x:v>
      </x:c>
      <x:c r="N321" s="11" t="n">
        <x:f>IF(K321=1,1,0)</x:f>
        <x:v>0</x:v>
      </x:c>
      <x:c r="O321" s="12" t="str">
        <x:v>Require exact native accession match</x:v>
      </x:c>
      <x:c r="P321" s="11" t="n">
        <x:v>0</x:v>
      </x:c>
      <x:c r="Q321" s="12"/>
      <x:c r="R321" s="12"/>
      <x:c r="S321" s="11" t="n">
        <x:v>3005</x:v>
      </x:c>
      <x:c r="T321" s="11" t="n">
        <x:v>1384</x:v>
      </x:c>
    </x:row>
    <x:row r="322" ht="23" customHeight="1">
      <x:c r="A322" s="2" t="str">
        <x:v>E9QNR6</x:v>
      </x:c>
      <x:c r="B322" s="2" t="str">
        <x:v>ED</x:v>
      </x:c>
      <x:c r="C322" s="2"/>
      <x:c r="D322" s="2"/>
      <x:c r="E322" s="10"/>
      <x:c r="F322" s="11"/>
      <x:c r="G322" s="11" t="n">
        <x:v>0</x:v>
      </x:c>
      <x:c r="H322" s="11" t="n">
        <x:v>0</x:v>
      </x:c>
      <x:c r="I322" s="11"/>
      <x:c r="J322" s="11"/>
      <x:c r="K322" s="11" t="n">
        <x:v>0</x:v>
      </x:c>
      <x:c r="L322" s="11" t="n">
        <x:f>IF(B322="NED",1,IF(OR(B322="ED",B322="UN"),0,""))</x:f>
        <x:v>0</x:v>
      </x:c>
      <x:c r="M322" s="11" t="n">
        <x:f>IF(AND(K322=1,OR(B322="ED",B322="NED")),1,0)</x:f>
        <x:v>0</x:v>
      </x:c>
      <x:c r="N322" s="11" t="n">
        <x:f>IF(K322=1,1,0)</x:f>
        <x:v>0</x:v>
      </x:c>
      <x:c r="O322" s="12" t="str">
        <x:v>Require exact native accession match</x:v>
      </x:c>
      <x:c r="P322" s="11" t="n">
        <x:v>0</x:v>
      </x:c>
      <x:c r="Q322" s="12"/>
      <x:c r="R322" s="12"/>
      <x:c r="S322" s="11" t="n">
        <x:v>3006</x:v>
      </x:c>
      <x:c r="T322" s="11"/>
    </x:row>
    <x:row r="323" ht="23" customHeight="1">
      <x:c r="A323" s="2" t="str">
        <x:v>E9QNX9</x:v>
      </x:c>
      <x:c r="B323" s="2" t="str">
        <x:v>ED</x:v>
      </x:c>
      <x:c r="C323" s="2"/>
      <x:c r="D323" s="2"/>
      <x:c r="E323" s="10"/>
      <x:c r="F323" s="11"/>
      <x:c r="G323" s="11" t="n">
        <x:v>0</x:v>
      </x:c>
      <x:c r="H323" s="11" t="n">
        <x:v>0</x:v>
      </x:c>
      <x:c r="I323" s="11" t="n">
        <x:v>1</x:v>
      </x:c>
      <x:c r="J323" s="11" t="n">
        <x:v>0</x:v>
      </x:c>
      <x:c r="K323" s="11" t="n">
        <x:v>0</x:v>
      </x:c>
      <x:c r="L323" s="11" t="n">
        <x:f>IF(B323="NED",1,IF(OR(B323="ED",B323="UN"),0,""))</x:f>
        <x:v>0</x:v>
      </x:c>
      <x:c r="M323" s="11" t="n">
        <x:f>IF(AND(K323=1,OR(B323="ED",B323="NED")),1,0)</x:f>
        <x:v>0</x:v>
      </x:c>
      <x:c r="N323" s="11" t="n">
        <x:f>IF(K323=1,1,0)</x:f>
        <x:v>0</x:v>
      </x:c>
      <x:c r="O323" s="12" t="str">
        <x:v>Require exact native accession match</x:v>
      </x:c>
      <x:c r="P323" s="11" t="n">
        <x:v>0</x:v>
      </x:c>
      <x:c r="Q323" s="12"/>
      <x:c r="R323" s="12"/>
      <x:c r="S323" s="11" t="n">
        <x:v>3007</x:v>
      </x:c>
      <x:c r="T323" s="11" t="n">
        <x:v>1369</x:v>
      </x:c>
    </x:row>
    <x:row r="324" ht="23" customHeight="1">
      <x:c r="A324" s="2" t="str">
        <x:v>E9QP19</x:v>
      </x:c>
      <x:c r="B324" s="2" t="str">
        <x:v>ED</x:v>
      </x:c>
      <x:c r="C324" s="2"/>
      <x:c r="D324" s="2"/>
      <x:c r="E324" s="10"/>
      <x:c r="F324" s="11"/>
      <x:c r="G324" s="11" t="n">
        <x:v>0</x:v>
      </x:c>
      <x:c r="H324" s="11" t="n">
        <x:v>0</x:v>
      </x:c>
      <x:c r="I324" s="11" t="n">
        <x:v>0</x:v>
      </x:c>
      <x:c r="J324" s="11" t="n">
        <x:v>0</x:v>
      </x:c>
      <x:c r="K324" s="11" t="n">
        <x:v>0</x:v>
      </x:c>
      <x:c r="L324" s="11" t="n">
        <x:f>IF(B324="NED",1,IF(OR(B324="ED",B324="UN"),0,""))</x:f>
        <x:v>0</x:v>
      </x:c>
      <x:c r="M324" s="11" t="n">
        <x:f>IF(AND(K324=1,OR(B324="ED",B324="NED")),1,0)</x:f>
        <x:v>0</x:v>
      </x:c>
      <x:c r="N324" s="11" t="n">
        <x:f>IF(K324=1,1,0)</x:f>
        <x:v>0</x:v>
      </x:c>
      <x:c r="O324" s="12" t="str">
        <x:v>Require exact native accession match</x:v>
      </x:c>
      <x:c r="P324" s="11" t="n">
        <x:v>0</x:v>
      </x:c>
      <x:c r="Q324" s="12"/>
      <x:c r="R324" s="12"/>
      <x:c r="S324" s="11" t="n">
        <x:v>3008</x:v>
      </x:c>
      <x:c r="T324" s="11" t="n">
        <x:v>1140</x:v>
      </x:c>
    </x:row>
    <x:row r="325" ht="23" customHeight="1">
      <x:c r="A325" s="2" t="str">
        <x:v>E9QP46</x:v>
      </x:c>
      <x:c r="B325" s="2" t="str">
        <x:v>ED</x:v>
      </x:c>
      <x:c r="C325" s="2"/>
      <x:c r="D325" s="2"/>
      <x:c r="E325" s="10"/>
      <x:c r="F325" s="11"/>
      <x:c r="G325" s="11" t="n">
        <x:v>0</x:v>
      </x:c>
      <x:c r="H325" s="11" t="n">
        <x:v>0</x:v>
      </x:c>
      <x:c r="I325" s="11" t="n">
        <x:v>1</x:v>
      </x:c>
      <x:c r="J325" s="11" t="n">
        <x:v>0</x:v>
      </x:c>
      <x:c r="K325" s="11" t="n">
        <x:v>0</x:v>
      </x:c>
      <x:c r="L325" s="11" t="n">
        <x:f>IF(B325="NED",1,IF(OR(B325="ED",B325="UN"),0,""))</x:f>
        <x:v>0</x:v>
      </x:c>
      <x:c r="M325" s="11" t="n">
        <x:f>IF(AND(K325=1,OR(B325="ED",B325="NED")),1,0)</x:f>
        <x:v>0</x:v>
      </x:c>
      <x:c r="N325" s="11" t="n">
        <x:f>IF(K325=1,1,0)</x:f>
        <x:v>0</x:v>
      </x:c>
      <x:c r="O325" s="12" t="str">
        <x:v>Require exact native accession match</x:v>
      </x:c>
      <x:c r="P325" s="11" t="n">
        <x:v>0</x:v>
      </x:c>
      <x:c r="Q325" s="12"/>
      <x:c r="R325" s="12"/>
      <x:c r="S325" s="11" t="n">
        <x:v>3009</x:v>
      </x:c>
      <x:c r="T325" s="11" t="n">
        <x:v>6870</x:v>
      </x:c>
    </x:row>
    <x:row r="326" ht="23" customHeight="1">
      <x:c r="A326" s="2" t="str">
        <x:v>E9QP59</x:v>
      </x:c>
      <x:c r="B326" s="2" t="str">
        <x:v>UN</x:v>
      </x:c>
      <x:c r="C326" s="2"/>
      <x:c r="D326" s="2"/>
      <x:c r="E326" s="10"/>
      <x:c r="F326" s="11"/>
      <x:c r="G326" s="11" t="n">
        <x:v>0</x:v>
      </x:c>
      <x:c r="H326" s="11" t="n">
        <x:v>0</x:v>
      </x:c>
      <x:c r="I326" s="11" t="n">
        <x:v>1</x:v>
      </x:c>
      <x:c r="J326" s="11" t="n">
        <x:v>0</x:v>
      </x:c>
      <x:c r="K326" s="11" t="n">
        <x:v>0</x:v>
      </x:c>
      <x:c r="L326" s="11" t="n">
        <x:f>IF(B326="NED",1,IF(OR(B326="ED",B326="UN"),0,""))</x:f>
        <x:v>0</x:v>
      </x:c>
      <x:c r="M326" s="11" t="n">
        <x:f>IF(AND(K326=1,OR(B326="ED",B326="NED")),1,0)</x:f>
        <x:v>0</x:v>
      </x:c>
      <x:c r="N326" s="11" t="n">
        <x:f>IF(K326=1,1,0)</x:f>
        <x:v>0</x:v>
      </x:c>
      <x:c r="O326" s="12" t="str">
        <x:v>Require exact native accession match</x:v>
      </x:c>
      <x:c r="P326" s="11" t="n">
        <x:v>0</x:v>
      </x:c>
      <x:c r="Q326" s="12"/>
      <x:c r="R326" s="12"/>
      <x:c r="S326" s="11" t="n">
        <x:v>3010</x:v>
      </x:c>
      <x:c r="T326" s="11" t="n">
        <x:v>918</x:v>
      </x:c>
    </x:row>
    <x:row r="327" ht="23" customHeight="1">
      <x:c r="A327" s="2" t="str">
        <x:v>E9QQ10</x:v>
      </x:c>
      <x:c r="B327" s="2" t="str">
        <x:v>ED</x:v>
      </x:c>
      <x:c r="C327" s="2"/>
      <x:c r="D327" s="2"/>
      <x:c r="E327" s="10"/>
      <x:c r="F327" s="11"/>
      <x:c r="G327" s="11" t="n">
        <x:v>0</x:v>
      </x:c>
      <x:c r="H327" s="11" t="n">
        <x:v>0</x:v>
      </x:c>
      <x:c r="I327" s="11" t="n">
        <x:v>0</x:v>
      </x:c>
      <x:c r="J327" s="11" t="n">
        <x:v>0</x:v>
      </x:c>
      <x:c r="K327" s="11" t="n">
        <x:v>0</x:v>
      </x:c>
      <x:c r="L327" s="11" t="n">
        <x:f>IF(B327="NED",1,IF(OR(B327="ED",B327="UN"),0,""))</x:f>
        <x:v>0</x:v>
      </x:c>
      <x:c r="M327" s="11" t="n">
        <x:f>IF(AND(K327=1,OR(B327="ED",B327="NED")),1,0)</x:f>
        <x:v>0</x:v>
      </x:c>
      <x:c r="N327" s="11" t="n">
        <x:f>IF(K327=1,1,0)</x:f>
        <x:v>0</x:v>
      </x:c>
      <x:c r="O327" s="12" t="str">
        <x:v>Require exact native accession match</x:v>
      </x:c>
      <x:c r="P327" s="11" t="n">
        <x:v>0</x:v>
      </x:c>
      <x:c r="Q327" s="12"/>
      <x:c r="R327" s="12"/>
      <x:c r="S327" s="11" t="n">
        <x:v>3011</x:v>
      </x:c>
      <x:c r="T327" s="11" t="n">
        <x:v>3779</x:v>
      </x:c>
    </x:row>
    <x:row r="328" ht="23" customHeight="1">
      <x:c r="A328" s="2" t="str">
        <x:v>E9QQ14</x:v>
      </x:c>
      <x:c r="B328" s="2" t="str">
        <x:v>UN</x:v>
      </x:c>
      <x:c r="C328" s="2"/>
      <x:c r="D328" s="2"/>
      <x:c r="E328" s="10"/>
      <x:c r="F328" s="11"/>
      <x:c r="G328" s="11" t="n">
        <x:v>0</x:v>
      </x:c>
      <x:c r="H328" s="11" t="n">
        <x:v>0</x:v>
      </x:c>
      <x:c r="I328" s="11"/>
      <x:c r="J328" s="11"/>
      <x:c r="K328" s="11" t="n">
        <x:v>0</x:v>
      </x:c>
      <x:c r="L328" s="11" t="n">
        <x:f>IF(B328="NED",1,IF(OR(B328="ED",B328="UN"),0,""))</x:f>
        <x:v>0</x:v>
      </x:c>
      <x:c r="M328" s="11" t="n">
        <x:f>IF(AND(K328=1,OR(B328="ED",B328="NED")),1,0)</x:f>
        <x:v>0</x:v>
      </x:c>
      <x:c r="N328" s="11" t="n">
        <x:f>IF(K328=1,1,0)</x:f>
        <x:v>0</x:v>
      </x:c>
      <x:c r="O328" s="12" t="str">
        <x:v>Require exact native accession match</x:v>
      </x:c>
      <x:c r="P328" s="11" t="n">
        <x:v>0</x:v>
      </x:c>
      <x:c r="Q328" s="12"/>
      <x:c r="R328" s="12"/>
      <x:c r="S328" s="11" t="n">
        <x:v>3012</x:v>
      </x:c>
      <x:c r="T328" s="11"/>
    </x:row>
    <x:row r="329" ht="23" customHeight="1">
      <x:c r="A329" s="2" t="str">
        <x:v>F2Z3U3</x:v>
      </x:c>
      <x:c r="B329" s="2" t="str">
        <x:v>ED</x:v>
      </x:c>
      <x:c r="C329" s="2" t="n">
        <x:v>1</x:v>
      </x:c>
      <x:c r="D329" s="2" t="n">
        <x:v>1</x:v>
      </x:c>
      <x:c r="E329" s="10"/>
      <x:c r="F329" s="11" t="n">
        <x:v>1266</x:v>
      </x:c>
      <x:c r="G329" s="11" t="n">
        <x:v>1</x:v>
      </x:c>
      <x:c r="H329" s="11" t="n">
        <x:v>0</x:v>
      </x:c>
      <x:c r="I329" s="11" t="n">
        <x:v>1</x:v>
      </x:c>
      <x:c r="J329" s="11" t="n">
        <x:v>0</x:v>
      </x:c>
      <x:c r="K329" s="11" t="n">
        <x:v>0</x:v>
      </x:c>
      <x:c r="L329" s="11" t="n">
        <x:f>IF(B329="NED",1,IF(OR(B329="ED",B329="UN"),0,""))</x:f>
        <x:v>0</x:v>
      </x:c>
      <x:c r="M329" s="11" t="n">
        <x:f>IF(AND(K329=1,OR(B329="ED",B329="NED")),1,0)</x:f>
        <x:v>0</x:v>
      </x:c>
      <x:c r="N329" s="11" t="n">
        <x:f>IF(K329=1,1,0)</x:f>
        <x:v>0</x:v>
      </x:c>
      <x:c r="O329" s="12" t="str">
        <x:v>Exclude supplied knotted proteins</x:v>
      </x:c>
      <x:c r="P329" s="11" t="n">
        <x:v>0</x:v>
      </x:c>
      <x:c r="Q329" s="12" t="str">
        <x:v>AF-F2Z3U3-F1-model_v6</x:v>
      </x:c>
      <x:c r="R329" s="12" t="str">
        <x:v>ok</x:v>
      </x:c>
      <x:c r="S329" s="11" t="n">
        <x:v>3013</x:v>
      </x:c>
      <x:c r="T329" s="11" t="n">
        <x:v>1266</x:v>
      </x:c>
    </x:row>
    <x:row r="330" ht="23" customHeight="1">
      <x:c r="A330" s="2" t="str">
        <x:v>F2Z4A3</x:v>
      </x:c>
      <x:c r="B330" s="2" t="str">
        <x:v>ED</x:v>
      </x:c>
      <x:c r="C330" s="2"/>
      <x:c r="D330" s="2"/>
      <x:c r="E330" s="10"/>
      <x:c r="F330" s="11"/>
      <x:c r="G330" s="11" t="n">
        <x:v>0</x:v>
      </x:c>
      <x:c r="H330" s="11" t="n">
        <x:v>0</x:v>
      </x:c>
      <x:c r="I330" s="11" t="n">
        <x:v>1</x:v>
      </x:c>
      <x:c r="J330" s="11" t="n">
        <x:v>0</x:v>
      </x:c>
      <x:c r="K330" s="11" t="n">
        <x:v>0</x:v>
      </x:c>
      <x:c r="L330" s="11" t="n">
        <x:f>IF(B330="NED",1,IF(OR(B330="ED",B330="UN"),0,""))</x:f>
        <x:v>0</x:v>
      </x:c>
      <x:c r="M330" s="11" t="n">
        <x:f>IF(AND(K330=1,OR(B330="ED",B330="NED")),1,0)</x:f>
        <x:v>0</x:v>
      </x:c>
      <x:c r="N330" s="11" t="n">
        <x:f>IF(K330=1,1,0)</x:f>
        <x:v>0</x:v>
      </x:c>
      <x:c r="O330" s="12" t="str">
        <x:v>Require exact native accession match</x:v>
      </x:c>
      <x:c r="P330" s="11" t="n">
        <x:v>0</x:v>
      </x:c>
      <x:c r="Q330" s="12"/>
      <x:c r="R330" s="12"/>
      <x:c r="S330" s="11" t="n">
        <x:v>3014</x:v>
      </x:c>
      <x:c r="T330" s="11" t="n">
        <x:v>4590</x:v>
      </x:c>
    </x:row>
    <x:row r="331" ht="23" customHeight="1">
      <x:c r="A331" s="2" t="str">
        <x:v>F6QCI0</x:v>
      </x:c>
      <x:c r="B331" s="2" t="str">
        <x:v>UN</x:v>
      </x:c>
      <x:c r="C331" s="2"/>
      <x:c r="D331" s="2"/>
      <x:c r="E331" s="10"/>
      <x:c r="F331" s="11"/>
      <x:c r="G331" s="11" t="n">
        <x:v>0</x:v>
      </x:c>
      <x:c r="H331" s="11" t="n">
        <x:v>0</x:v>
      </x:c>
      <x:c r="I331" s="11" t="n">
        <x:v>0</x:v>
      </x:c>
      <x:c r="J331" s="11" t="n">
        <x:v>0</x:v>
      </x:c>
      <x:c r="K331" s="11" t="n">
        <x:v>0</x:v>
      </x:c>
      <x:c r="L331" s="11" t="n">
        <x:f>IF(B331="NED",1,IF(OR(B331="ED",B331="UN"),0,""))</x:f>
        <x:v>0</x:v>
      </x:c>
      <x:c r="M331" s="11" t="n">
        <x:f>IF(AND(K331=1,OR(B331="ED",B331="NED")),1,0)</x:f>
        <x:v>0</x:v>
      </x:c>
      <x:c r="N331" s="11" t="n">
        <x:f>IF(K331=1,1,0)</x:f>
        <x:v>0</x:v>
      </x:c>
      <x:c r="O331" s="12" t="str">
        <x:v>Require exact native accession match</x:v>
      </x:c>
      <x:c r="P331" s="11" t="n">
        <x:v>0</x:v>
      </x:c>
      <x:c r="Q331" s="12"/>
      <x:c r="R331" s="12"/>
      <x:c r="S331" s="11" t="n">
        <x:v>3015</x:v>
      </x:c>
      <x:c r="T331" s="11" t="n">
        <x:v>324</x:v>
      </x:c>
    </x:row>
    <x:row r="332" ht="23" customHeight="1">
      <x:c r="A332" s="2" t="str">
        <x:v>F6R782</x:v>
      </x:c>
      <x:c r="B332" s="2" t="str">
        <x:v>ED</x:v>
      </x:c>
      <x:c r="C332" s="2"/>
      <x:c r="D332" s="2"/>
      <x:c r="E332" s="10"/>
      <x:c r="F332" s="11"/>
      <x:c r="G332" s="11" t="n">
        <x:v>0</x:v>
      </x:c>
      <x:c r="H332" s="11" t="n">
        <x:v>0</x:v>
      </x:c>
      <x:c r="I332" s="11" t="n">
        <x:v>0</x:v>
      </x:c>
      <x:c r="J332" s="11" t="n">
        <x:v>0</x:v>
      </x:c>
      <x:c r="K332" s="11" t="n">
        <x:v>0</x:v>
      </x:c>
      <x:c r="L332" s="11" t="n">
        <x:f>IF(B332="NED",1,IF(OR(B332="ED",B332="UN"),0,""))</x:f>
        <x:v>0</x:v>
      </x:c>
      <x:c r="M332" s="11" t="n">
        <x:f>IF(AND(K332=1,OR(B332="ED",B332="NED")),1,0)</x:f>
        <x:v>0</x:v>
      </x:c>
      <x:c r="N332" s="11" t="n">
        <x:f>IF(K332=1,1,0)</x:f>
        <x:v>0</x:v>
      </x:c>
      <x:c r="O332" s="12" t="str">
        <x:v>Require exact native accession match</x:v>
      </x:c>
      <x:c r="P332" s="11" t="n">
        <x:v>0</x:v>
      </x:c>
      <x:c r="Q332" s="12"/>
      <x:c r="R332" s="12"/>
      <x:c r="S332" s="11" t="n">
        <x:v>3016</x:v>
      </x:c>
      <x:c r="T332" s="11" t="n">
        <x:v>396</x:v>
      </x:c>
    </x:row>
    <x:row r="333" ht="23" customHeight="1">
      <x:c r="A333" s="2" t="str">
        <x:v>F6RJ39</x:v>
      </x:c>
      <x:c r="B333" s="2" t="str">
        <x:v>ED</x:v>
      </x:c>
      <x:c r="C333" s="2"/>
      <x:c r="D333" s="2"/>
      <x:c r="E333" s="10"/>
      <x:c r="F333" s="11"/>
      <x:c r="G333" s="11" t="n">
        <x:v>0</x:v>
      </x:c>
      <x:c r="H333" s="11" t="n">
        <x:v>0</x:v>
      </x:c>
      <x:c r="I333" s="11" t="n">
        <x:v>0</x:v>
      </x:c>
      <x:c r="J333" s="11" t="n">
        <x:v>0</x:v>
      </x:c>
      <x:c r="K333" s="11" t="n">
        <x:v>0</x:v>
      </x:c>
      <x:c r="L333" s="11" t="n">
        <x:f>IF(B333="NED",1,IF(OR(B333="ED",B333="UN"),0,""))</x:f>
        <x:v>0</x:v>
      </x:c>
      <x:c r="M333" s="11" t="n">
        <x:f>IF(AND(K333=1,OR(B333="ED",B333="NED")),1,0)</x:f>
        <x:v>0</x:v>
      </x:c>
      <x:c r="N333" s="11" t="n">
        <x:f>IF(K333=1,1,0)</x:f>
        <x:v>0</x:v>
      </x:c>
      <x:c r="O333" s="12" t="str">
        <x:v>Require exact native accession match</x:v>
      </x:c>
      <x:c r="P333" s="11" t="n">
        <x:v>0</x:v>
      </x:c>
      <x:c r="Q333" s="12"/>
      <x:c r="R333" s="12"/>
      <x:c r="S333" s="11" t="n">
        <x:v>3017</x:v>
      </x:c>
      <x:c r="T333" s="11" t="n">
        <x:v>1272</x:v>
      </x:c>
    </x:row>
    <x:row r="334" ht="23" customHeight="1">
      <x:c r="A334" s="2" t="str">
        <x:v>F6RJV6</x:v>
      </x:c>
      <x:c r="B334" s="2" t="str">
        <x:v>ED</x:v>
      </x:c>
      <x:c r="C334" s="2"/>
      <x:c r="D334" s="2"/>
      <x:c r="E334" s="10"/>
      <x:c r="F334" s="11"/>
      <x:c r="G334" s="11" t="n">
        <x:v>0</x:v>
      </x:c>
      <x:c r="H334" s="11" t="n">
        <x:v>0</x:v>
      </x:c>
      <x:c r="I334" s="11" t="n">
        <x:v>1</x:v>
      </x:c>
      <x:c r="J334" s="11" t="n">
        <x:v>0</x:v>
      </x:c>
      <x:c r="K334" s="11" t="n">
        <x:v>0</x:v>
      </x:c>
      <x:c r="L334" s="11" t="n">
        <x:f>IF(B334="NED",1,IF(OR(B334="ED",B334="UN"),0,""))</x:f>
        <x:v>0</x:v>
      </x:c>
      <x:c r="M334" s="11" t="n">
        <x:f>IF(AND(K334=1,OR(B334="ED",B334="NED")),1,0)</x:f>
        <x:v>0</x:v>
      </x:c>
      <x:c r="N334" s="11" t="n">
        <x:f>IF(K334=1,1,0)</x:f>
        <x:v>0</x:v>
      </x:c>
      <x:c r="O334" s="12" t="str">
        <x:v>Require exact native accession match</x:v>
      </x:c>
      <x:c r="P334" s="11" t="n">
        <x:v>0</x:v>
      </x:c>
      <x:c r="Q334" s="12"/>
      <x:c r="R334" s="12"/>
      <x:c r="S334" s="11" t="n">
        <x:v>3018</x:v>
      </x:c>
      <x:c r="T334" s="11" t="n">
        <x:v>441</x:v>
      </x:c>
    </x:row>
    <x:row r="335" ht="23" customHeight="1">
      <x:c r="A335" s="2" t="str">
        <x:v>F6RPJ9</x:v>
      </x:c>
      <x:c r="B335" s="2" t="str">
        <x:v>ED</x:v>
      </x:c>
      <x:c r="C335" s="2"/>
      <x:c r="D335" s="2"/>
      <x:c r="E335" s="10"/>
      <x:c r="F335" s="11"/>
      <x:c r="G335" s="11" t="n">
        <x:v>0</x:v>
      </x:c>
      <x:c r="H335" s="11" t="n">
        <x:v>0</x:v>
      </x:c>
      <x:c r="I335" s="11"/>
      <x:c r="J335" s="11"/>
      <x:c r="K335" s="11" t="n">
        <x:v>0</x:v>
      </x:c>
      <x:c r="L335" s="11" t="n">
        <x:f>IF(B335="NED",1,IF(OR(B335="ED",B335="UN"),0,""))</x:f>
        <x:v>0</x:v>
      </x:c>
      <x:c r="M335" s="11" t="n">
        <x:f>IF(AND(K335=1,OR(B335="ED",B335="NED")),1,0)</x:f>
        <x:v>0</x:v>
      </x:c>
      <x:c r="N335" s="11" t="n">
        <x:f>IF(K335=1,1,0)</x:f>
        <x:v>0</x:v>
      </x:c>
      <x:c r="O335" s="12" t="str">
        <x:v>Require exact native accession match</x:v>
      </x:c>
      <x:c r="P335" s="11" t="n">
        <x:v>0</x:v>
      </x:c>
      <x:c r="Q335" s="12"/>
      <x:c r="R335" s="12"/>
      <x:c r="S335" s="11" t="n">
        <x:v>3019</x:v>
      </x:c>
      <x:c r="T335" s="11"/>
    </x:row>
    <x:row r="336" ht="23" customHeight="1">
      <x:c r="A336" s="2" t="str">
        <x:v>F6SPK0</x:v>
      </x:c>
      <x:c r="B336" s="2" t="str">
        <x:v>UN</x:v>
      </x:c>
      <x:c r="C336" s="2"/>
      <x:c r="D336" s="2"/>
      <x:c r="E336" s="10"/>
      <x:c r="F336" s="11"/>
      <x:c r="G336" s="11" t="n">
        <x:v>0</x:v>
      </x:c>
      <x:c r="H336" s="11" t="n">
        <x:v>0</x:v>
      </x:c>
      <x:c r="I336" s="11" t="n">
        <x:v>1</x:v>
      </x:c>
      <x:c r="J336" s="11" t="n">
        <x:v>0</x:v>
      </x:c>
      <x:c r="K336" s="11" t="n">
        <x:v>0</x:v>
      </x:c>
      <x:c r="L336" s="11" t="n">
        <x:f>IF(B336="NED",1,IF(OR(B336="ED",B336="UN"),0,""))</x:f>
        <x:v>0</x:v>
      </x:c>
      <x:c r="M336" s="11" t="n">
        <x:f>IF(AND(K336=1,OR(B336="ED",B336="NED")),1,0)</x:f>
        <x:v>0</x:v>
      </x:c>
      <x:c r="N336" s="11" t="n">
        <x:f>IF(K336=1,1,0)</x:f>
        <x:v>0</x:v>
      </x:c>
      <x:c r="O336" s="12" t="str">
        <x:v>Require exact native accession match</x:v>
      </x:c>
      <x:c r="P336" s="11" t="n">
        <x:v>0</x:v>
      </x:c>
      <x:c r="Q336" s="12"/>
      <x:c r="R336" s="12"/>
      <x:c r="S336" s="11" t="n">
        <x:v>3020</x:v>
      </x:c>
      <x:c r="T336" s="11" t="n">
        <x:v>262</x:v>
      </x:c>
    </x:row>
    <x:row r="337" ht="23" customHeight="1">
      <x:c r="A337" s="2" t="str">
        <x:v>F6V3Y9</x:v>
      </x:c>
      <x:c r="B337" s="2" t="str">
        <x:v>ED</x:v>
      </x:c>
      <x:c r="C337" s="2"/>
      <x:c r="D337" s="2"/>
      <x:c r="E337" s="10"/>
      <x:c r="F337" s="11"/>
      <x:c r="G337" s="11" t="n">
        <x:v>0</x:v>
      </x:c>
      <x:c r="H337" s="11" t="n">
        <x:v>0</x:v>
      </x:c>
      <x:c r="I337" s="11" t="n">
        <x:v>1</x:v>
      </x:c>
      <x:c r="J337" s="11" t="n">
        <x:v>0</x:v>
      </x:c>
      <x:c r="K337" s="11" t="n">
        <x:v>0</x:v>
      </x:c>
      <x:c r="L337" s="11" t="n">
        <x:f>IF(B337="NED",1,IF(OR(B337="ED",B337="UN"),0,""))</x:f>
        <x:v>0</x:v>
      </x:c>
      <x:c r="M337" s="11" t="n">
        <x:f>IF(AND(K337=1,OR(B337="ED",B337="NED")),1,0)</x:f>
        <x:v>0</x:v>
      </x:c>
      <x:c r="N337" s="11" t="n">
        <x:f>IF(K337=1,1,0)</x:f>
        <x:v>0</x:v>
      </x:c>
      <x:c r="O337" s="12" t="str">
        <x:v>Require exact native accession match</x:v>
      </x:c>
      <x:c r="P337" s="11" t="n">
        <x:v>0</x:v>
      </x:c>
      <x:c r="Q337" s="12"/>
      <x:c r="R337" s="12"/>
      <x:c r="S337" s="11" t="n">
        <x:v>3021</x:v>
      </x:c>
      <x:c r="T337" s="11" t="n">
        <x:v>1718</x:v>
      </x:c>
    </x:row>
    <x:row r="338" ht="23" customHeight="1">
      <x:c r="A338" s="2" t="str">
        <x:v>F6V6T4</x:v>
      </x:c>
      <x:c r="B338" s="2" t="str">
        <x:v>UN</x:v>
      </x:c>
      <x:c r="C338" s="2"/>
      <x:c r="D338" s="2"/>
      <x:c r="E338" s="10"/>
      <x:c r="F338" s="11"/>
      <x:c r="G338" s="11" t="n">
        <x:v>0</x:v>
      </x:c>
      <x:c r="H338" s="11" t="n">
        <x:v>0</x:v>
      </x:c>
      <x:c r="I338" s="11" t="n">
        <x:v>1</x:v>
      </x:c>
      <x:c r="J338" s="11" t="n">
        <x:v>0</x:v>
      </x:c>
      <x:c r="K338" s="11" t="n">
        <x:v>0</x:v>
      </x:c>
      <x:c r="L338" s="11" t="n">
        <x:f>IF(B338="NED",1,IF(OR(B338="ED",B338="UN"),0,""))</x:f>
        <x:v>0</x:v>
      </x:c>
      <x:c r="M338" s="11" t="n">
        <x:f>IF(AND(K338=1,OR(B338="ED",B338="NED")),1,0)</x:f>
        <x:v>0</x:v>
      </x:c>
      <x:c r="N338" s="11" t="n">
        <x:f>IF(K338=1,1,0)</x:f>
        <x:v>0</x:v>
      </x:c>
      <x:c r="O338" s="12" t="str">
        <x:v>Require exact native accession match</x:v>
      </x:c>
      <x:c r="P338" s="11" t="n">
        <x:v>0</x:v>
      </x:c>
      <x:c r="Q338" s="12"/>
      <x:c r="R338" s="12"/>
      <x:c r="S338" s="11" t="n">
        <x:v>3022</x:v>
      </x:c>
      <x:c r="T338" s="11" t="n">
        <x:v>176</x:v>
      </x:c>
    </x:row>
    <x:row r="339" ht="23" customHeight="1">
      <x:c r="A339" s="2" t="str">
        <x:v>F6XC25</x:v>
      </x:c>
      <x:c r="B339" s="2" t="str">
        <x:v>ED</x:v>
      </x:c>
      <x:c r="C339" s="2"/>
      <x:c r="D339" s="2"/>
      <x:c r="E339" s="10"/>
      <x:c r="F339" s="11"/>
      <x:c r="G339" s="11" t="n">
        <x:v>0</x:v>
      </x:c>
      <x:c r="H339" s="11" t="n">
        <x:v>0</x:v>
      </x:c>
      <x:c r="I339" s="11" t="n">
        <x:v>0</x:v>
      </x:c>
      <x:c r="J339" s="11" t="n">
        <x:v>0</x:v>
      </x:c>
      <x:c r="K339" s="11" t="n">
        <x:v>0</x:v>
      </x:c>
      <x:c r="L339" s="11" t="n">
        <x:f>IF(B339="NED",1,IF(OR(B339="ED",B339="UN"),0,""))</x:f>
        <x:v>0</x:v>
      </x:c>
      <x:c r="M339" s="11" t="n">
        <x:f>IF(AND(K339=1,OR(B339="ED",B339="NED")),1,0)</x:f>
        <x:v>0</x:v>
      </x:c>
      <x:c r="N339" s="11" t="n">
        <x:f>IF(K339=1,1,0)</x:f>
        <x:v>0</x:v>
      </x:c>
      <x:c r="O339" s="12" t="str">
        <x:v>Require exact native accession match</x:v>
      </x:c>
      <x:c r="P339" s="11" t="n">
        <x:v>0</x:v>
      </x:c>
      <x:c r="Q339" s="12"/>
      <x:c r="R339" s="12"/>
      <x:c r="S339" s="11" t="n">
        <x:v>3023</x:v>
      </x:c>
      <x:c r="T339" s="11" t="n">
        <x:v>770</x:v>
      </x:c>
    </x:row>
    <x:row r="340" ht="23" customHeight="1">
      <x:c r="A340" s="2" t="str">
        <x:v>F6ZBR8</x:v>
      </x:c>
      <x:c r="B340" s="2" t="str">
        <x:v>ED</x:v>
      </x:c>
      <x:c r="C340" s="2"/>
      <x:c r="D340" s="2"/>
      <x:c r="E340" s="10"/>
      <x:c r="F340" s="11"/>
      <x:c r="G340" s="11" t="n">
        <x:v>0</x:v>
      </x:c>
      <x:c r="H340" s="11" t="n">
        <x:v>0</x:v>
      </x:c>
      <x:c r="I340" s="11" t="n">
        <x:v>0</x:v>
      </x:c>
      <x:c r="J340" s="11" t="n">
        <x:v>0</x:v>
      </x:c>
      <x:c r="K340" s="11" t="n">
        <x:v>0</x:v>
      </x:c>
      <x:c r="L340" s="11" t="n">
        <x:f>IF(B340="NED",1,IF(OR(B340="ED",B340="UN"),0,""))</x:f>
        <x:v>0</x:v>
      </x:c>
      <x:c r="M340" s="11" t="n">
        <x:f>IF(AND(K340=1,OR(B340="ED",B340="NED")),1,0)</x:f>
        <x:v>0</x:v>
      </x:c>
      <x:c r="N340" s="11" t="n">
        <x:f>IF(K340=1,1,0)</x:f>
        <x:v>0</x:v>
      </x:c>
      <x:c r="O340" s="12" t="str">
        <x:v>Require exact native accession match</x:v>
      </x:c>
      <x:c r="P340" s="11" t="n">
        <x:v>0</x:v>
      </x:c>
      <x:c r="Q340" s="12"/>
      <x:c r="R340" s="12"/>
      <x:c r="S340" s="11" t="n">
        <x:v>3024</x:v>
      </x:c>
      <x:c r="T340" s="11" t="n">
        <x:v>1059</x:v>
      </x:c>
    </x:row>
    <x:row r="341" ht="23" customHeight="1">
      <x:c r="A341" s="2" t="str">
        <x:v>F6ZFT1</x:v>
      </x:c>
      <x:c r="B341" s="2" t="str">
        <x:v>UN</x:v>
      </x:c>
      <x:c r="C341" s="2"/>
      <x:c r="D341" s="2"/>
      <x:c r="E341" s="10"/>
      <x:c r="F341" s="11"/>
      <x:c r="G341" s="11" t="n">
        <x:v>0</x:v>
      </x:c>
      <x:c r="H341" s="11" t="n">
        <x:v>0</x:v>
      </x:c>
      <x:c r="I341" s="11" t="n">
        <x:v>0</x:v>
      </x:c>
      <x:c r="J341" s="11" t="n">
        <x:v>0</x:v>
      </x:c>
      <x:c r="K341" s="11" t="n">
        <x:v>0</x:v>
      </x:c>
      <x:c r="L341" s="11" t="n">
        <x:f>IF(B341="NED",1,IF(OR(B341="ED",B341="UN"),0,""))</x:f>
        <x:v>0</x:v>
      </x:c>
      <x:c r="M341" s="11" t="n">
        <x:f>IF(AND(K341=1,OR(B341="ED",B341="NED")),1,0)</x:f>
        <x:v>0</x:v>
      </x:c>
      <x:c r="N341" s="11" t="n">
        <x:f>IF(K341=1,1,0)</x:f>
        <x:v>0</x:v>
      </x:c>
      <x:c r="O341" s="12" t="str">
        <x:v>Require exact native accession match</x:v>
      </x:c>
      <x:c r="P341" s="11" t="n">
        <x:v>0</x:v>
      </x:c>
      <x:c r="Q341" s="12"/>
      <x:c r="R341" s="12"/>
      <x:c r="S341" s="11" t="n">
        <x:v>3025</x:v>
      </x:c>
      <x:c r="T341" s="11" t="n">
        <x:v>127</x:v>
      </x:c>
    </x:row>
    <x:row r="342" ht="23" customHeight="1">
      <x:c r="A342" s="2" t="str">
        <x:v>F6ZFU0</x:v>
      </x:c>
      <x:c r="B342" s="2" t="str">
        <x:v>ED</x:v>
      </x:c>
      <x:c r="C342" s="2"/>
      <x:c r="D342" s="2"/>
      <x:c r="E342" s="10"/>
      <x:c r="F342" s="11"/>
      <x:c r="G342" s="11" t="n">
        <x:v>0</x:v>
      </x:c>
      <x:c r="H342" s="11" t="n">
        <x:v>0</x:v>
      </x:c>
      <x:c r="I342" s="11" t="n">
        <x:v>0</x:v>
      </x:c>
      <x:c r="J342" s="11" t="n">
        <x:v>0</x:v>
      </x:c>
      <x:c r="K342" s="11" t="n">
        <x:v>0</x:v>
      </x:c>
      <x:c r="L342" s="11" t="n">
        <x:f>IF(B342="NED",1,IF(OR(B342="ED",B342="UN"),0,""))</x:f>
        <x:v>0</x:v>
      </x:c>
      <x:c r="M342" s="11" t="n">
        <x:f>IF(AND(K342=1,OR(B342="ED",B342="NED")),1,0)</x:f>
        <x:v>0</x:v>
      </x:c>
      <x:c r="N342" s="11" t="n">
        <x:f>IF(K342=1,1,0)</x:f>
        <x:v>0</x:v>
      </x:c>
      <x:c r="O342" s="12" t="str">
        <x:v>Require exact native accession match</x:v>
      </x:c>
      <x:c r="P342" s="11" t="n">
        <x:v>0</x:v>
      </x:c>
      <x:c r="Q342" s="12"/>
      <x:c r="R342" s="12"/>
      <x:c r="S342" s="11" t="n">
        <x:v>3026</x:v>
      </x:c>
      <x:c r="T342" s="11" t="n">
        <x:v>552</x:v>
      </x:c>
    </x:row>
    <x:row r="343" ht="23" customHeight="1">
      <x:c r="A343" s="2" t="str">
        <x:v>F7AA26</x:v>
      </x:c>
      <x:c r="B343" s="2" t="str">
        <x:v>ED</x:v>
      </x:c>
      <x:c r="C343" s="2"/>
      <x:c r="D343" s="2"/>
      <x:c r="E343" s="10"/>
      <x:c r="F343" s="11"/>
      <x:c r="G343" s="11" t="n">
        <x:v>0</x:v>
      </x:c>
      <x:c r="H343" s="11" t="n">
        <x:v>0</x:v>
      </x:c>
      <x:c r="I343" s="11" t="n">
        <x:v>1</x:v>
      </x:c>
      <x:c r="J343" s="11" t="n">
        <x:v>0</x:v>
      </x:c>
      <x:c r="K343" s="11" t="n">
        <x:v>0</x:v>
      </x:c>
      <x:c r="L343" s="11" t="n">
        <x:f>IF(B343="NED",1,IF(OR(B343="ED",B343="UN"),0,""))</x:f>
        <x:v>0</x:v>
      </x:c>
      <x:c r="M343" s="11" t="n">
        <x:f>IF(AND(K343=1,OR(B343="ED",B343="NED")),1,0)</x:f>
        <x:v>0</x:v>
      </x:c>
      <x:c r="N343" s="11" t="n">
        <x:f>IF(K343=1,1,0)</x:f>
        <x:v>0</x:v>
      </x:c>
      <x:c r="O343" s="12" t="str">
        <x:v>Require exact native accession match</x:v>
      </x:c>
      <x:c r="P343" s="11" t="n">
        <x:v>0</x:v>
      </x:c>
      <x:c r="Q343" s="12"/>
      <x:c r="R343" s="12"/>
      <x:c r="S343" s="11" t="n">
        <x:v>3027</x:v>
      </x:c>
      <x:c r="T343" s="11" t="n">
        <x:v>1137</x:v>
      </x:c>
    </x:row>
    <x:row r="344" ht="23" customHeight="1">
      <x:c r="A344" s="2" t="str">
        <x:v>F7ACR9</x:v>
      </x:c>
      <x:c r="B344" s="2" t="str">
        <x:v>ED</x:v>
      </x:c>
      <x:c r="C344" s="2"/>
      <x:c r="D344" s="2"/>
      <x:c r="E344" s="10"/>
      <x:c r="F344" s="11"/>
      <x:c r="G344" s="11" t="n">
        <x:v>0</x:v>
      </x:c>
      <x:c r="H344" s="11" t="n">
        <x:v>0</x:v>
      </x:c>
      <x:c r="I344" s="11" t="n">
        <x:v>1</x:v>
      </x:c>
      <x:c r="J344" s="11" t="n">
        <x:v>0</x:v>
      </x:c>
      <x:c r="K344" s="11" t="n">
        <x:v>0</x:v>
      </x:c>
      <x:c r="L344" s="11" t="n">
        <x:f>IF(B344="NED",1,IF(OR(B344="ED",B344="UN"),0,""))</x:f>
        <x:v>0</x:v>
      </x:c>
      <x:c r="M344" s="11" t="n">
        <x:f>IF(AND(K344=1,OR(B344="ED",B344="NED")),1,0)</x:f>
        <x:v>0</x:v>
      </x:c>
      <x:c r="N344" s="11" t="n">
        <x:f>IF(K344=1,1,0)</x:f>
        <x:v>0</x:v>
      </x:c>
      <x:c r="O344" s="12" t="str">
        <x:v>Require exact native accession match</x:v>
      </x:c>
      <x:c r="P344" s="11" t="n">
        <x:v>0</x:v>
      </x:c>
      <x:c r="Q344" s="12"/>
      <x:c r="R344" s="12"/>
      <x:c r="S344" s="11" t="n">
        <x:v>3028</x:v>
      </x:c>
      <x:c r="T344" s="11" t="n">
        <x:v>5333</x:v>
      </x:c>
    </x:row>
    <x:row r="345" ht="23" customHeight="1">
      <x:c r="A345" s="2" t="str">
        <x:v>F7BE84</x:v>
      </x:c>
      <x:c r="B345" s="2" t="str">
        <x:v>ED</x:v>
      </x:c>
      <x:c r="C345" s="2"/>
      <x:c r="D345" s="2"/>
      <x:c r="E345" s="10"/>
      <x:c r="F345" s="11"/>
      <x:c r="G345" s="11" t="n">
        <x:v>0</x:v>
      </x:c>
      <x:c r="H345" s="11" t="n">
        <x:v>0</x:v>
      </x:c>
      <x:c r="I345" s="11" t="n">
        <x:v>0</x:v>
      </x:c>
      <x:c r="J345" s="11" t="n">
        <x:v>0</x:v>
      </x:c>
      <x:c r="K345" s="11" t="n">
        <x:v>0</x:v>
      </x:c>
      <x:c r="L345" s="11" t="n">
        <x:f>IF(B345="NED",1,IF(OR(B345="ED",B345="UN"),0,""))</x:f>
        <x:v>0</x:v>
      </x:c>
      <x:c r="M345" s="11" t="n">
        <x:f>IF(AND(K345=1,OR(B345="ED",B345="NED")),1,0)</x:f>
        <x:v>0</x:v>
      </x:c>
      <x:c r="N345" s="11" t="n">
        <x:f>IF(K345=1,1,0)</x:f>
        <x:v>0</x:v>
      </x:c>
      <x:c r="O345" s="12" t="str">
        <x:v>Require exact native accession match</x:v>
      </x:c>
      <x:c r="P345" s="11" t="n">
        <x:v>0</x:v>
      </x:c>
      <x:c r="Q345" s="12"/>
      <x:c r="R345" s="12"/>
      <x:c r="S345" s="11" t="n">
        <x:v>3029</x:v>
      </x:c>
      <x:c r="T345" s="11" t="n">
        <x:v>1390</x:v>
      </x:c>
    </x:row>
    <x:row r="346" ht="23" customHeight="1">
      <x:c r="A346" s="2" t="str">
        <x:v>F7BGR7</x:v>
      </x:c>
      <x:c r="B346" s="2" t="str">
        <x:v>UN</x:v>
      </x:c>
      <x:c r="C346" s="2"/>
      <x:c r="D346" s="2"/>
      <x:c r="E346" s="10"/>
      <x:c r="F346" s="11"/>
      <x:c r="G346" s="11" t="n">
        <x:v>0</x:v>
      </x:c>
      <x:c r="H346" s="11" t="n">
        <x:v>0</x:v>
      </x:c>
      <x:c r="I346" s="11" t="n">
        <x:v>0</x:v>
      </x:c>
      <x:c r="J346" s="11" t="n">
        <x:v>0</x:v>
      </x:c>
      <x:c r="K346" s="11" t="n">
        <x:v>0</x:v>
      </x:c>
      <x:c r="L346" s="11" t="n">
        <x:f>IF(B346="NED",1,IF(OR(B346="ED",B346="UN"),0,""))</x:f>
        <x:v>0</x:v>
      </x:c>
      <x:c r="M346" s="11" t="n">
        <x:f>IF(AND(K346=1,OR(B346="ED",B346="NED")),1,0)</x:f>
        <x:v>0</x:v>
      </x:c>
      <x:c r="N346" s="11" t="n">
        <x:f>IF(K346=1,1,0)</x:f>
        <x:v>0</x:v>
      </x:c>
      <x:c r="O346" s="12" t="str">
        <x:v>Require exact native accession match</x:v>
      </x:c>
      <x:c r="P346" s="11" t="n">
        <x:v>0</x:v>
      </x:c>
      <x:c r="Q346" s="12"/>
      <x:c r="R346" s="12"/>
      <x:c r="S346" s="11" t="n">
        <x:v>3030</x:v>
      </x:c>
      <x:c r="T346" s="11" t="n">
        <x:v>477</x:v>
      </x:c>
    </x:row>
    <x:row r="347" ht="23" customHeight="1">
      <x:c r="A347" s="2" t="str">
        <x:v>F7BJB9</x:v>
      </x:c>
      <x:c r="B347" s="2" t="str">
        <x:v>UN</x:v>
      </x:c>
      <x:c r="C347" s="2" t="n">
        <x:v>1</x:v>
      </x:c>
      <x:c r="D347" s="2" t="n">
        <x:v>1</x:v>
      </x:c>
      <x:c r="E347" s="10" t="n">
        <x:v>71.97237791932059</x:v>
      </x:c>
      <x:c r="F347" s="11" t="n">
        <x:v>942</x:v>
      </x:c>
      <x:c r="G347" s="11" t="n">
        <x:v>0</x:v>
      </x:c>
      <x:c r="H347" s="11" t="n">
        <x:v>0</x:v>
      </x:c>
      <x:c r="I347" s="11" t="n">
        <x:v>0</x:v>
      </x:c>
      <x:c r="J347" s="11" t="n">
        <x:v>0</x:v>
      </x:c>
      <x:c r="K347" s="11" t="n">
        <x:v>1</x:v>
      </x:c>
      <x:c r="L347" s="11" t="n">
        <x:f>IF(B347="NED",1,IF(OR(B347="ED",B347="UN"),0,""))</x:f>
        <x:v>0</x:v>
      </x:c>
      <x:c r="M347" s="11" t="n">
        <x:f>IF(AND(K347=1,OR(B347="ED",B347="NED")),1,0)</x:f>
        <x:v>0</x:v>
      </x:c>
      <x:c r="N347" s="11" t="n">
        <x:f>IF(K347=1,1,0)</x:f>
        <x:v>1</x:v>
      </x:c>
      <x:c r="O347" s="12"/>
      <x:c r="P347" s="11" t="n">
        <x:v>0</x:v>
      </x:c>
      <x:c r="Q347" s="12" t="str">
        <x:v>AF-F7BJB9-F1-model_v6</x:v>
      </x:c>
      <x:c r="R347" s="12" t="str">
        <x:v>ok</x:v>
      </x:c>
      <x:c r="S347" s="11" t="n">
        <x:v>3031</x:v>
      </x:c>
      <x:c r="T347" s="11" t="n">
        <x:v>942</x:v>
      </x:c>
    </x:row>
    <x:row r="348" ht="23" customHeight="1">
      <x:c r="A348" s="2" t="str">
        <x:v>F7CC56</x:v>
      </x:c>
      <x:c r="B348" s="2" t="str">
        <x:v>UN</x:v>
      </x:c>
      <x:c r="C348" s="2"/>
      <x:c r="D348" s="2"/>
      <x:c r="E348" s="10"/>
      <x:c r="F348" s="11"/>
      <x:c r="G348" s="11" t="n">
        <x:v>0</x:v>
      </x:c>
      <x:c r="H348" s="11" t="n">
        <x:v>0</x:v>
      </x:c>
      <x:c r="I348" s="11" t="n">
        <x:v>0</x:v>
      </x:c>
      <x:c r="J348" s="11" t="n">
        <x:v>0</x:v>
      </x:c>
      <x:c r="K348" s="11" t="n">
        <x:v>0</x:v>
      </x:c>
      <x:c r="L348" s="11" t="n">
        <x:f>IF(B348="NED",1,IF(OR(B348="ED",B348="UN"),0,""))</x:f>
        <x:v>0</x:v>
      </x:c>
      <x:c r="M348" s="11" t="n">
        <x:f>IF(AND(K348=1,OR(B348="ED",B348="NED")),1,0)</x:f>
        <x:v>0</x:v>
      </x:c>
      <x:c r="N348" s="11" t="n">
        <x:f>IF(K348=1,1,0)</x:f>
        <x:v>0</x:v>
      </x:c>
      <x:c r="O348" s="12" t="str">
        <x:v>Require exact native accession match</x:v>
      </x:c>
      <x:c r="P348" s="11" t="n">
        <x:v>0</x:v>
      </x:c>
      <x:c r="Q348" s="12"/>
      <x:c r="R348" s="12"/>
      <x:c r="S348" s="11" t="n">
        <x:v>3032</x:v>
      </x:c>
      <x:c r="T348" s="11" t="n">
        <x:v>1468</x:v>
      </x:c>
    </x:row>
    <x:row r="349" ht="23" customHeight="1">
      <x:c r="A349" s="2" t="str">
        <x:v>F7CTF8</x:v>
      </x:c>
      <x:c r="B349" s="2" t="str">
        <x:v>UN</x:v>
      </x:c>
      <x:c r="C349" s="2"/>
      <x:c r="D349" s="2"/>
      <x:c r="E349" s="10"/>
      <x:c r="F349" s="11"/>
      <x:c r="G349" s="11" t="n">
        <x:v>0</x:v>
      </x:c>
      <x:c r="H349" s="11" t="n">
        <x:v>0</x:v>
      </x:c>
      <x:c r="I349" s="11" t="n">
        <x:v>1</x:v>
      </x:c>
      <x:c r="J349" s="11" t="n">
        <x:v>0</x:v>
      </x:c>
      <x:c r="K349" s="11" t="n">
        <x:v>0</x:v>
      </x:c>
      <x:c r="L349" s="11" t="n">
        <x:f>IF(B349="NED",1,IF(OR(B349="ED",B349="UN"),0,""))</x:f>
        <x:v>0</x:v>
      </x:c>
      <x:c r="M349" s="11" t="n">
        <x:f>IF(AND(K349=1,OR(B349="ED",B349="NED")),1,0)</x:f>
        <x:v>0</x:v>
      </x:c>
      <x:c r="N349" s="11" t="n">
        <x:f>IF(K349=1,1,0)</x:f>
        <x:v>0</x:v>
      </x:c>
      <x:c r="O349" s="12" t="str">
        <x:v>Require exact native accession match</x:v>
      </x:c>
      <x:c r="P349" s="11" t="n">
        <x:v>0</x:v>
      </x:c>
      <x:c r="Q349" s="12"/>
      <x:c r="R349" s="12"/>
      <x:c r="S349" s="11" t="n">
        <x:v>3033</x:v>
      </x:c>
      <x:c r="T349" s="11" t="n">
        <x:v>220</x:v>
      </x:c>
    </x:row>
    <x:row r="350" ht="23" customHeight="1">
      <x:c r="A350" s="2" t="str">
        <x:v>F7DBB3</x:v>
      </x:c>
      <x:c r="B350" s="2" t="str">
        <x:v>ED</x:v>
      </x:c>
      <x:c r="C350" s="2"/>
      <x:c r="D350" s="2"/>
      <x:c r="E350" s="10"/>
      <x:c r="F350" s="11"/>
      <x:c r="G350" s="11" t="n">
        <x:v>0</x:v>
      </x:c>
      <x:c r="H350" s="11" t="n">
        <x:v>0</x:v>
      </x:c>
      <x:c r="I350" s="11"/>
      <x:c r="J350" s="11"/>
      <x:c r="K350" s="11" t="n">
        <x:v>0</x:v>
      </x:c>
      <x:c r="L350" s="11" t="n">
        <x:f>IF(B350="NED",1,IF(OR(B350="ED",B350="UN"),0,""))</x:f>
        <x:v>0</x:v>
      </x:c>
      <x:c r="M350" s="11" t="n">
        <x:f>IF(AND(K350=1,OR(B350="ED",B350="NED")),1,0)</x:f>
        <x:v>0</x:v>
      </x:c>
      <x:c r="N350" s="11" t="n">
        <x:f>IF(K350=1,1,0)</x:f>
        <x:v>0</x:v>
      </x:c>
      <x:c r="O350" s="12" t="str">
        <x:v>Require exact native accession match</x:v>
      </x:c>
      <x:c r="P350" s="11" t="n">
        <x:v>0</x:v>
      </x:c>
      <x:c r="Q350" s="12"/>
      <x:c r="R350" s="12"/>
      <x:c r="S350" s="11" t="n">
        <x:v>3034</x:v>
      </x:c>
      <x:c r="T350" s="11"/>
    </x:row>
    <x:row r="351" ht="23" customHeight="1">
      <x:c r="A351" s="2" t="str">
        <x:v>F7DE82</x:v>
      </x:c>
      <x:c r="B351" s="2" t="str">
        <x:v>ED</x:v>
      </x:c>
      <x:c r="C351" s="2"/>
      <x:c r="D351" s="2"/>
      <x:c r="E351" s="10"/>
      <x:c r="F351" s="11"/>
      <x:c r="G351" s="11" t="n">
        <x:v>0</x:v>
      </x:c>
      <x:c r="H351" s="11" t="n">
        <x:v>0</x:v>
      </x:c>
      <x:c r="I351" s="11" t="n">
        <x:v>0</x:v>
      </x:c>
      <x:c r="J351" s="11" t="n">
        <x:v>0</x:v>
      </x:c>
      <x:c r="K351" s="11" t="n">
        <x:v>0</x:v>
      </x:c>
      <x:c r="L351" s="11" t="n">
        <x:f>IF(B351="NED",1,IF(OR(B351="ED",B351="UN"),0,""))</x:f>
        <x:v>0</x:v>
      </x:c>
      <x:c r="M351" s="11" t="n">
        <x:f>IF(AND(K351=1,OR(B351="ED",B351="NED")),1,0)</x:f>
        <x:v>0</x:v>
      </x:c>
      <x:c r="N351" s="11" t="n">
        <x:f>IF(K351=1,1,0)</x:f>
        <x:v>0</x:v>
      </x:c>
      <x:c r="O351" s="12" t="str">
        <x:v>Require exact native accession match</x:v>
      </x:c>
      <x:c r="P351" s="11" t="n">
        <x:v>0</x:v>
      </x:c>
      <x:c r="Q351" s="12"/>
      <x:c r="R351" s="12"/>
      <x:c r="S351" s="11" t="n">
        <x:v>3035</x:v>
      </x:c>
      <x:c r="T351" s="11" t="n">
        <x:v>79</x:v>
      </x:c>
    </x:row>
    <x:row r="352" ht="23" customHeight="1">
      <x:c r="A352" s="2" t="str">
        <x:v>F8VPK0</x:v>
      </x:c>
      <x:c r="B352" s="2" t="str">
        <x:v>ED</x:v>
      </x:c>
      <x:c r="C352" s="2" t="n">
        <x:v>0</x:v>
      </x:c>
      <x:c r="D352" s="2" t="n">
        <x:v>0</x:v>
      </x:c>
      <x:c r="E352" s="10" t="n">
        <x:v>85.22378758797184</x:v>
      </x:c>
      <x:c r="F352" s="11" t="n">
        <x:v>1563</x:v>
      </x:c>
      <x:c r="G352" s="11" t="n">
        <x:v>0</x:v>
      </x:c>
      <x:c r="H352" s="11" t="n">
        <x:v>0</x:v>
      </x:c>
      <x:c r="I352" s="11" t="n">
        <x:v>0</x:v>
      </x:c>
      <x:c r="J352" s="11" t="n">
        <x:v>0</x:v>
      </x:c>
      <x:c r="K352" s="11" t="n">
        <x:v>1</x:v>
      </x:c>
      <x:c r="L352" s="11" t="n">
        <x:f>IF(B352="NED",1,IF(OR(B352="ED",B352="UN"),0,""))</x:f>
        <x:v>0</x:v>
      </x:c>
      <x:c r="M352" s="11" t="n">
        <x:f>IF(AND(K352=1,OR(B352="ED",B352="NED")),1,0)</x:f>
        <x:v>1</x:v>
      </x:c>
      <x:c r="N352" s="11" t="n">
        <x:f>IF(K352=1,1,0)</x:f>
        <x:v>1</x:v>
      </x:c>
      <x:c r="O352" s="12"/>
      <x:c r="P352" s="11" t="n">
        <x:v>0</x:v>
      </x:c>
      <x:c r="Q352" s="12" t="str">
        <x:v>AF-F8VPK0-F1-model_v6</x:v>
      </x:c>
      <x:c r="R352" s="12" t="str">
        <x:v>ok</x:v>
      </x:c>
      <x:c r="S352" s="11" t="n">
        <x:v>3036</x:v>
      </x:c>
      <x:c r="T352" s="11" t="n">
        <x:v>1563</x:v>
      </x:c>
    </x:row>
    <x:row r="353" ht="23" customHeight="1">
      <x:c r="A353" s="2" t="str">
        <x:v>F8VPL5</x:v>
      </x:c>
      <x:c r="B353" s="2" t="str">
        <x:v>UN</x:v>
      </x:c>
      <x:c r="C353" s="2"/>
      <x:c r="D353" s="2"/>
      <x:c r="E353" s="10"/>
      <x:c r="F353" s="11"/>
      <x:c r="G353" s="11" t="n">
        <x:v>0</x:v>
      </x:c>
      <x:c r="H353" s="11" t="n">
        <x:v>0</x:v>
      </x:c>
      <x:c r="I353" s="11" t="n">
        <x:v>0</x:v>
      </x:c>
      <x:c r="J353" s="11" t="n">
        <x:v>0</x:v>
      </x:c>
      <x:c r="K353" s="11" t="n">
        <x:v>0</x:v>
      </x:c>
      <x:c r="L353" s="11" t="n">
        <x:f>IF(B353="NED",1,IF(OR(B353="ED",B353="UN"),0,""))</x:f>
        <x:v>0</x:v>
      </x:c>
      <x:c r="M353" s="11" t="n">
        <x:f>IF(AND(K353=1,OR(B353="ED",B353="NED")),1,0)</x:f>
        <x:v>0</x:v>
      </x:c>
      <x:c r="N353" s="11" t="n">
        <x:f>IF(K353=1,1,0)</x:f>
        <x:v>0</x:v>
      </x:c>
      <x:c r="O353" s="12" t="str">
        <x:v>Require exact native accession match</x:v>
      </x:c>
      <x:c r="P353" s="11" t="n">
        <x:v>0</x:v>
      </x:c>
      <x:c r="Q353" s="12"/>
      <x:c r="R353" s="12"/>
      <x:c r="S353" s="11" t="n">
        <x:v>3037</x:v>
      </x:c>
      <x:c r="T353" s="11" t="n">
        <x:v>1238</x:v>
      </x:c>
    </x:row>
    <x:row r="354" ht="23" customHeight="1">
      <x:c r="A354" s="2" t="str">
        <x:v>F8VPN4</x:v>
      </x:c>
      <x:c r="B354" s="2" t="str">
        <x:v>ED</x:v>
      </x:c>
      <x:c r="C354" s="2" t="n">
        <x:v>1</x:v>
      </x:c>
      <x:c r="D354" s="2" t="n">
        <x:v>1</x:v>
      </x:c>
      <x:c r="E354" s="10" t="n">
        <x:v>92.64206266318538</x:v>
      </x:c>
      <x:c r="F354" s="11" t="n">
        <x:v>1532</x:v>
      </x:c>
      <x:c r="G354" s="11" t="n">
        <x:v>0</x:v>
      </x:c>
      <x:c r="H354" s="11" t="n">
        <x:v>0</x:v>
      </x:c>
      <x:c r="I354" s="11" t="n">
        <x:v>0</x:v>
      </x:c>
      <x:c r="J354" s="11" t="n">
        <x:v>0</x:v>
      </x:c>
      <x:c r="K354" s="11" t="n">
        <x:v>1</x:v>
      </x:c>
      <x:c r="L354" s="11" t="n">
        <x:f>IF(B354="NED",1,IF(OR(B354="ED",B354="UN"),0,""))</x:f>
        <x:v>0</x:v>
      </x:c>
      <x:c r="M354" s="11" t="n">
        <x:f>IF(AND(K354=1,OR(B354="ED",B354="NED")),1,0)</x:f>
        <x:v>1</x:v>
      </x:c>
      <x:c r="N354" s="11" t="n">
        <x:f>IF(K354=1,1,0)</x:f>
        <x:v>1</x:v>
      </x:c>
      <x:c r="O354" s="12"/>
      <x:c r="P354" s="11" t="n">
        <x:v>0</x:v>
      </x:c>
      <x:c r="Q354" s="12" t="str">
        <x:v>AF-F8VPN4-F1-model_v6</x:v>
      </x:c>
      <x:c r="R354" s="12" t="str">
        <x:v>ok</x:v>
      </x:c>
      <x:c r="S354" s="11" t="n">
        <x:v>3038</x:v>
      </x:c>
      <x:c r="T354" s="11" t="n">
        <x:v>1532</x:v>
      </x:c>
    </x:row>
    <x:row r="355" ht="23" customHeight="1">
      <x:c r="A355" s="2" t="str">
        <x:v>F8VPP8</x:v>
      </x:c>
      <x:c r="B355" s="2" t="str">
        <x:v>ED</x:v>
      </x:c>
      <x:c r="C355" s="2" t="n">
        <x:v>1</x:v>
      </x:c>
      <x:c r="D355" s="2" t="n">
        <x:v>1</x:v>
      </x:c>
      <x:c r="E355" s="10" t="n">
        <x:v>68.16197556008146</x:v>
      </x:c>
      <x:c r="F355" s="11" t="n">
        <x:v>982</x:v>
      </x:c>
      <x:c r="G355" s="11" t="n">
        <x:v>0</x:v>
      </x:c>
      <x:c r="H355" s="11" t="n">
        <x:v>0</x:v>
      </x:c>
      <x:c r="I355" s="11" t="n">
        <x:v>0</x:v>
      </x:c>
      <x:c r="J355" s="11" t="n">
        <x:v>0</x:v>
      </x:c>
      <x:c r="K355" s="11" t="n">
        <x:v>0</x:v>
      </x:c>
      <x:c r="L355" s="11" t="n">
        <x:f>IF(B355="NED",1,IF(OR(B355="ED",B355="UN"),0,""))</x:f>
        <x:v>0</x:v>
      </x:c>
      <x:c r="M355" s="11" t="n">
        <x:f>IF(AND(K355=1,OR(B355="ED",B355="NED")),1,0)</x:f>
        <x:v>0</x:v>
      </x:c>
      <x:c r="N355" s="11" t="n">
        <x:f>IF(K355=1,1,0)</x:f>
        <x:v>0</x:v>
      </x:c>
      <x:c r="O355" s="12" t="str">
        <x:v>Retain protein mean pLDDT &gt;=70</x:v>
      </x:c>
      <x:c r="P355" s="11" t="n">
        <x:v>0</x:v>
      </x:c>
      <x:c r="Q355" s="12" t="str">
        <x:v>AF-F8VPP8-F1-model_v6</x:v>
      </x:c>
      <x:c r="R355" s="12" t="str">
        <x:v>ok</x:v>
      </x:c>
      <x:c r="S355" s="11" t="n">
        <x:v>3039</x:v>
      </x:c>
      <x:c r="T355" s="11" t="n">
        <x:v>982</x:v>
      </x:c>
    </x:row>
    <x:row r="356" ht="23" customHeight="1">
      <x:c r="A356" s="2" t="str">
        <x:v>F8VPT3</x:v>
      </x:c>
      <x:c r="B356" s="2" t="str">
        <x:v>ED</x:v>
      </x:c>
      <x:c r="C356" s="2"/>
      <x:c r="D356" s="2"/>
      <x:c r="E356" s="10"/>
      <x:c r="F356" s="11" t="n">
        <x:v>1931</x:v>
      </x:c>
      <x:c r="G356" s="11" t="n">
        <x:v>0</x:v>
      </x:c>
      <x:c r="H356" s="11" t="n">
        <x:v>1</x:v>
      </x:c>
      <x:c r="I356" s="11" t="n">
        <x:v>1</x:v>
      </x:c>
      <x:c r="J356" s="11" t="n">
        <x:v>0</x:v>
      </x:c>
      <x:c r="K356" s="11" t="n">
        <x:v>0</x:v>
      </x:c>
      <x:c r="L356" s="11" t="n">
        <x:f>IF(B356="NED",1,IF(OR(B356="ED",B356="UN"),0,""))</x:f>
        <x:v>0</x:v>
      </x:c>
      <x:c r="M356" s="11" t="n">
        <x:f>IF(AND(K356=1,OR(B356="ED",B356="NED")),1,0)</x:f>
        <x:v>0</x:v>
      </x:c>
      <x:c r="N356" s="11" t="n">
        <x:f>IF(K356=1,1,0)</x:f>
        <x:v>0</x:v>
      </x:c>
      <x:c r="O356" s="12" t="str">
        <x:v>Require binary native NCLE status</x:v>
      </x:c>
      <x:c r="P356" s="11" t="n">
        <x:v>0</x:v>
      </x:c>
      <x:c r="Q356" s="12" t="str">
        <x:v>AF-F8VPT3-F1-model_v6</x:v>
      </x:c>
      <x:c r="R356" s="12" t="str">
        <x:v>ok</x:v>
      </x:c>
      <x:c r="S356" s="11" t="n">
        <x:v>3040</x:v>
      </x:c>
      <x:c r="T356" s="11" t="n">
        <x:v>1931</x:v>
      </x:c>
    </x:row>
    <x:row r="357" ht="23" customHeight="1">
      <x:c r="A357" s="2" t="str">
        <x:v>F8VPU2</x:v>
      </x:c>
      <x:c r="B357" s="2" t="str">
        <x:v>UN</x:v>
      </x:c>
      <x:c r="C357" s="2" t="n">
        <x:v>1</x:v>
      </x:c>
      <x:c r="D357" s="2" t="n">
        <x:v>1</x:v>
      </x:c>
      <x:c r="E357" s="10"/>
      <x:c r="F357" s="11" t="n">
        <x:v>1048</x:v>
      </x:c>
      <x:c r="G357" s="11" t="n">
        <x:v>0</x:v>
      </x:c>
      <x:c r="H357" s="11" t="n">
        <x:v>0</x:v>
      </x:c>
      <x:c r="I357" s="11" t="n">
        <x:v>1</x:v>
      </x:c>
      <x:c r="J357" s="11" t="n">
        <x:v>0</x:v>
      </x:c>
      <x:c r="K357" s="11" t="n">
        <x:v>0</x:v>
      </x:c>
      <x:c r="L357" s="11" t="n">
        <x:f>IF(B357="NED",1,IF(OR(B357="ED",B357="UN"),0,""))</x:f>
        <x:v>0</x:v>
      </x:c>
      <x:c r="M357" s="11" t="n">
        <x:f>IF(AND(K357=1,OR(B357="ED",B357="NED")),1,0)</x:f>
        <x:v>0</x:v>
      </x:c>
      <x:c r="N357" s="11" t="n">
        <x:f>IF(K357=1,1,0)</x:f>
        <x:v>0</x:v>
      </x:c>
      <x:c r="O357" s="12" t="str">
        <x:v>Exclude UniProt Membrane keyword</x:v>
      </x:c>
      <x:c r="P357" s="11" t="n">
        <x:v>0</x:v>
      </x:c>
      <x:c r="Q357" s="12" t="str">
        <x:v>AF-F8VPU2-F1-model_v6</x:v>
      </x:c>
      <x:c r="R357" s="12" t="str">
        <x:v>ok</x:v>
      </x:c>
      <x:c r="S357" s="11" t="n">
        <x:v>59</x:v>
      </x:c>
      <x:c r="T357" s="11" t="n">
        <x:v>1048</x:v>
      </x:c>
    </x:row>
    <x:row r="358" ht="23" customHeight="1">
      <x:c r="A358" s="2" t="str">
        <x:v>F8VPX1</x:v>
      </x:c>
      <x:c r="B358" s="2" t="str">
        <x:v>ED</x:v>
      </x:c>
      <x:c r="C358" s="2"/>
      <x:c r="D358" s="2"/>
      <x:c r="E358" s="10"/>
      <x:c r="F358" s="11"/>
      <x:c r="G358" s="11" t="n">
        <x:v>0</x:v>
      </x:c>
      <x:c r="H358" s="11" t="n">
        <x:v>0</x:v>
      </x:c>
      <x:c r="I358" s="11" t="n">
        <x:v>0</x:v>
      </x:c>
      <x:c r="J358" s="11" t="n">
        <x:v>0</x:v>
      </x:c>
      <x:c r="K358" s="11" t="n">
        <x:v>0</x:v>
      </x:c>
      <x:c r="L358" s="11" t="n">
        <x:f>IF(B358="NED",1,IF(OR(B358="ED",B358="UN"),0,""))</x:f>
        <x:v>0</x:v>
      </x:c>
      <x:c r="M358" s="11" t="n">
        <x:f>IF(AND(K358=1,OR(B358="ED",B358="NED")),1,0)</x:f>
        <x:v>0</x:v>
      </x:c>
      <x:c r="N358" s="11" t="n">
        <x:f>IF(K358=1,1,0)</x:f>
        <x:v>0</x:v>
      </x:c>
      <x:c r="O358" s="12" t="str">
        <x:v>Require exact native accession match</x:v>
      </x:c>
      <x:c r="P358" s="11" t="n">
        <x:v>0</x:v>
      </x:c>
      <x:c r="Q358" s="12"/>
      <x:c r="R358" s="12"/>
      <x:c r="S358" s="11" t="n">
        <x:v>3041</x:v>
      </x:c>
      <x:c r="T358" s="11" t="n">
        <x:v>1103</x:v>
      </x:c>
    </x:row>
    <x:row r="359" ht="23" customHeight="1">
      <x:c r="A359" s="2" t="str">
        <x:v>F8VQ05</x:v>
      </x:c>
      <x:c r="B359" s="2" t="str">
        <x:v>UN</x:v>
      </x:c>
      <x:c r="C359" s="2"/>
      <x:c r="D359" s="2"/>
      <x:c r="E359" s="10"/>
      <x:c r="F359" s="11"/>
      <x:c r="G359" s="11" t="n">
        <x:v>0</x:v>
      </x:c>
      <x:c r="H359" s="11" t="n">
        <x:v>0</x:v>
      </x:c>
      <x:c r="I359" s="11" t="n">
        <x:v>0</x:v>
      </x:c>
      <x:c r="J359" s="11" t="n">
        <x:v>0</x:v>
      </x:c>
      <x:c r="K359" s="11" t="n">
        <x:v>0</x:v>
      </x:c>
      <x:c r="L359" s="11" t="n">
        <x:f>IF(B359="NED",1,IF(OR(B359="ED",B359="UN"),0,""))</x:f>
        <x:v>0</x:v>
      </x:c>
      <x:c r="M359" s="11" t="n">
        <x:f>IF(AND(K359=1,OR(B359="ED",B359="NED")),1,0)</x:f>
        <x:v>0</x:v>
      </x:c>
      <x:c r="N359" s="11" t="n">
        <x:f>IF(K359=1,1,0)</x:f>
        <x:v>0</x:v>
      </x:c>
      <x:c r="O359" s="12" t="str">
        <x:v>Require exact native accession match</x:v>
      </x:c>
      <x:c r="P359" s="11" t="n">
        <x:v>0</x:v>
      </x:c>
      <x:c r="Q359" s="12"/>
      <x:c r="R359" s="12"/>
      <x:c r="S359" s="11" t="n">
        <x:v>3042</x:v>
      </x:c>
      <x:c r="T359" s="11" t="n">
        <x:v>3007</x:v>
      </x:c>
    </x:row>
    <x:row r="360" ht="23" customHeight="1">
      <x:c r="A360" s="2" t="str">
        <x:v>F8VQ11</x:v>
      </x:c>
      <x:c r="B360" s="2" t="str">
        <x:v>ED</x:v>
      </x:c>
      <x:c r="C360" s="2"/>
      <x:c r="D360" s="2"/>
      <x:c r="E360" s="10"/>
      <x:c r="F360" s="11"/>
      <x:c r="G360" s="11" t="n">
        <x:v>0</x:v>
      </x:c>
      <x:c r="H360" s="11" t="n">
        <x:v>0</x:v>
      </x:c>
      <x:c r="I360" s="11" t="n">
        <x:v>0</x:v>
      </x:c>
      <x:c r="J360" s="11" t="n">
        <x:v>0</x:v>
      </x:c>
      <x:c r="K360" s="11" t="n">
        <x:v>0</x:v>
      </x:c>
      <x:c r="L360" s="11" t="n">
        <x:f>IF(B360="NED",1,IF(OR(B360="ED",B360="UN"),0,""))</x:f>
        <x:v>0</x:v>
      </x:c>
      <x:c r="M360" s="11" t="n">
        <x:f>IF(AND(K360=1,OR(B360="ED",B360="NED")),1,0)</x:f>
        <x:v>0</x:v>
      </x:c>
      <x:c r="N360" s="11" t="n">
        <x:f>IF(K360=1,1,0)</x:f>
        <x:v>0</x:v>
      </x:c>
      <x:c r="O360" s="12" t="str">
        <x:v>Require exact native accession match</x:v>
      </x:c>
      <x:c r="P360" s="11" t="n">
        <x:v>0</x:v>
      </x:c>
      <x:c r="Q360" s="12"/>
      <x:c r="R360" s="12"/>
      <x:c r="S360" s="11" t="n">
        <x:v>3043</x:v>
      </x:c>
      <x:c r="T360" s="11" t="n">
        <x:v>1277</x:v>
      </x:c>
    </x:row>
    <x:row r="361" ht="23" customHeight="1">
      <x:c r="A361" s="2" t="str">
        <x:v>F8VQ29</x:v>
      </x:c>
      <x:c r="B361" s="2" t="str">
        <x:v>ED</x:v>
      </x:c>
      <x:c r="C361" s="2" t="n">
        <x:v>1</x:v>
      </x:c>
      <x:c r="D361" s="2" t="n">
        <x:v>1</x:v>
      </x:c>
      <x:c r="E361" s="10" t="n">
        <x:v>79.53766544117647</x:v>
      </x:c>
      <x:c r="F361" s="11" t="n">
        <x:v>1632</x:v>
      </x:c>
      <x:c r="G361" s="11" t="n">
        <x:v>0</x:v>
      </x:c>
      <x:c r="H361" s="11" t="n">
        <x:v>0</x:v>
      </x:c>
      <x:c r="I361" s="11" t="n">
        <x:v>0</x:v>
      </x:c>
      <x:c r="J361" s="11" t="n">
        <x:v>0</x:v>
      </x:c>
      <x:c r="K361" s="11" t="n">
        <x:v>1</x:v>
      </x:c>
      <x:c r="L361" s="11" t="n">
        <x:f>IF(B361="NED",1,IF(OR(B361="ED",B361="UN"),0,""))</x:f>
        <x:v>0</x:v>
      </x:c>
      <x:c r="M361" s="11" t="n">
        <x:f>IF(AND(K361=1,OR(B361="ED",B361="NED")),1,0)</x:f>
        <x:v>1</x:v>
      </x:c>
      <x:c r="N361" s="11" t="n">
        <x:f>IF(K361=1,1,0)</x:f>
        <x:v>1</x:v>
      </x:c>
      <x:c r="O361" s="12"/>
      <x:c r="P361" s="11" t="n">
        <x:v>0</x:v>
      </x:c>
      <x:c r="Q361" s="12" t="str">
        <x:v>AF-F8VQ29-F1-model_v6</x:v>
      </x:c>
      <x:c r="R361" s="12" t="str">
        <x:v>ok</x:v>
      </x:c>
      <x:c r="S361" s="11" t="n">
        <x:v>3044</x:v>
      </x:c>
      <x:c r="T361" s="11" t="n">
        <x:v>1632</x:v>
      </x:c>
    </x:row>
    <x:row r="362" ht="23" customHeight="1">
      <x:c r="A362" s="2" t="str">
        <x:v>F8VQB6</x:v>
      </x:c>
      <x:c r="B362" s="2" t="str">
        <x:v>ED</x:v>
      </x:c>
      <x:c r="C362" s="2" t="n">
        <x:v>1</x:v>
      </x:c>
      <x:c r="D362" s="2" t="n">
        <x:v>1</x:v>
      </x:c>
      <x:c r="E362" s="10"/>
      <x:c r="F362" s="11" t="n">
        <x:v>2062</x:v>
      </x:c>
      <x:c r="G362" s="11" t="n">
        <x:v>1</x:v>
      </x:c>
      <x:c r="H362" s="11" t="n">
        <x:v>0</x:v>
      </x:c>
      <x:c r="I362" s="11" t="n">
        <x:v>1</x:v>
      </x:c>
      <x:c r="J362" s="11" t="n">
        <x:v>0</x:v>
      </x:c>
      <x:c r="K362" s="11" t="n">
        <x:v>0</x:v>
      </x:c>
      <x:c r="L362" s="11" t="n">
        <x:f>IF(B362="NED",1,IF(OR(B362="ED",B362="UN"),0,""))</x:f>
        <x:v>0</x:v>
      </x:c>
      <x:c r="M362" s="11" t="n">
        <x:f>IF(AND(K362=1,OR(B362="ED",B362="NED")),1,0)</x:f>
        <x:v>0</x:v>
      </x:c>
      <x:c r="N362" s="11" t="n">
        <x:f>IF(K362=1,1,0)</x:f>
        <x:v>0</x:v>
      </x:c>
      <x:c r="O362" s="12" t="str">
        <x:v>Exclude supplied knotted proteins</x:v>
      </x:c>
      <x:c r="P362" s="11" t="n">
        <x:v>0</x:v>
      </x:c>
      <x:c r="Q362" s="12" t="str">
        <x:v>AF-F8VQB6-F1-model_v6</x:v>
      </x:c>
      <x:c r="R362" s="12" t="str">
        <x:v>ok</x:v>
      </x:c>
      <x:c r="S362" s="11" t="n">
        <x:v>60</x:v>
      </x:c>
      <x:c r="T362" s="11" t="n">
        <x:v>2062</x:v>
      </x:c>
    </x:row>
    <x:row r="363" ht="23" customHeight="1">
      <x:c r="A363" s="2" t="str">
        <x:v>F8VQC1</x:v>
      </x:c>
      <x:c r="B363" s="2" t="str">
        <x:v>ED</x:v>
      </x:c>
      <x:c r="C363" s="2" t="n">
        <x:v>0</x:v>
      </x:c>
      <x:c r="D363" s="2" t="n">
        <x:v>0</x:v>
      </x:c>
      <x:c r="E363" s="10" t="n">
        <x:v>81.35633383010432</x:v>
      </x:c>
      <x:c r="F363" s="11" t="n">
        <x:v>671</x:v>
      </x:c>
      <x:c r="G363" s="11" t="n">
        <x:v>0</x:v>
      </x:c>
      <x:c r="H363" s="11" t="n">
        <x:v>0</x:v>
      </x:c>
      <x:c r="I363" s="11" t="n">
        <x:v>0</x:v>
      </x:c>
      <x:c r="J363" s="11" t="n">
        <x:v>0</x:v>
      </x:c>
      <x:c r="K363" s="11" t="n">
        <x:v>1</x:v>
      </x:c>
      <x:c r="L363" s="11" t="n">
        <x:f>IF(B363="NED",1,IF(OR(B363="ED",B363="UN"),0,""))</x:f>
        <x:v>0</x:v>
      </x:c>
      <x:c r="M363" s="11" t="n">
        <x:f>IF(AND(K363=1,OR(B363="ED",B363="NED")),1,0)</x:f>
        <x:v>1</x:v>
      </x:c>
      <x:c r="N363" s="11" t="n">
        <x:f>IF(K363=1,1,0)</x:f>
        <x:v>1</x:v>
      </x:c>
      <x:c r="O363" s="12"/>
      <x:c r="P363" s="11" t="n">
        <x:v>0</x:v>
      </x:c>
      <x:c r="Q363" s="12" t="str">
        <x:v>AF-F8VQC1-F1-model_v6</x:v>
      </x:c>
      <x:c r="R363" s="12" t="str">
        <x:v>ok</x:v>
      </x:c>
      <x:c r="S363" s="11" t="n">
        <x:v>3045</x:v>
      </x:c>
      <x:c r="T363" s="11" t="n">
        <x:v>671</x:v>
      </x:c>
    </x:row>
    <x:row r="364" ht="23" customHeight="1">
      <x:c r="A364" s="2" t="str">
        <x:v>F8VQJ3</x:v>
      </x:c>
      <x:c r="B364" s="2" t="str">
        <x:v>UN</x:v>
      </x:c>
      <x:c r="C364" s="2"/>
      <x:c r="D364" s="2"/>
      <x:c r="E364" s="10"/>
      <x:c r="F364" s="11"/>
      <x:c r="G364" s="11" t="n">
        <x:v>0</x:v>
      </x:c>
      <x:c r="H364" s="11" t="n">
        <x:v>0</x:v>
      </x:c>
      <x:c r="I364" s="11" t="n">
        <x:v>0</x:v>
      </x:c>
      <x:c r="J364" s="11" t="n">
        <x:v>1</x:v>
      </x:c>
      <x:c r="K364" s="11" t="n">
        <x:v>0</x:v>
      </x:c>
      <x:c r="L364" s="11" t="n">
        <x:f>IF(B364="NED",1,IF(OR(B364="ED",B364="UN"),0,""))</x:f>
        <x:v>0</x:v>
      </x:c>
      <x:c r="M364" s="11" t="n">
        <x:f>IF(AND(K364=1,OR(B364="ED",B364="NED")),1,0)</x:f>
        <x:v>0</x:v>
      </x:c>
      <x:c r="N364" s="11" t="n">
        <x:f>IF(K364=1,1,0)</x:f>
        <x:v>0</x:v>
      </x:c>
      <x:c r="O364" s="12" t="str">
        <x:v>Require exact native accession match</x:v>
      </x:c>
      <x:c r="P364" s="11" t="n">
        <x:v>0</x:v>
      </x:c>
      <x:c r="Q364" s="12"/>
      <x:c r="R364" s="12"/>
      <x:c r="S364" s="11" t="n">
        <x:v>3046</x:v>
      </x:c>
      <x:c r="T364" s="11" t="n">
        <x:v>1607</x:v>
      </x:c>
    </x:row>
    <x:row r="365" ht="23" customHeight="1">
      <x:c r="A365" s="2" t="str">
        <x:v>F8WGW3</x:v>
      </x:c>
      <x:c r="B365" s="2" t="str">
        <x:v>ED</x:v>
      </x:c>
      <x:c r="C365" s="2"/>
      <x:c r="D365" s="2"/>
      <x:c r="E365" s="10"/>
      <x:c r="F365" s="11"/>
      <x:c r="G365" s="11" t="n">
        <x:v>0</x:v>
      </x:c>
      <x:c r="H365" s="11" t="n">
        <x:v>0</x:v>
      </x:c>
      <x:c r="I365" s="11" t="n">
        <x:v>0</x:v>
      </x:c>
      <x:c r="J365" s="11" t="n">
        <x:v>0</x:v>
      </x:c>
      <x:c r="K365" s="11" t="n">
        <x:v>0</x:v>
      </x:c>
      <x:c r="L365" s="11" t="n">
        <x:f>IF(B365="NED",1,IF(OR(B365="ED",B365="UN"),0,""))</x:f>
        <x:v>0</x:v>
      </x:c>
      <x:c r="M365" s="11" t="n">
        <x:f>IF(AND(K365=1,OR(B365="ED",B365="NED")),1,0)</x:f>
        <x:v>0</x:v>
      </x:c>
      <x:c r="N365" s="11" t="n">
        <x:f>IF(K365=1,1,0)</x:f>
        <x:v>0</x:v>
      </x:c>
      <x:c r="O365" s="12" t="str">
        <x:v>Require exact native accession match</x:v>
      </x:c>
      <x:c r="P365" s="11" t="n">
        <x:v>0</x:v>
      </x:c>
      <x:c r="Q365" s="12"/>
      <x:c r="R365" s="12"/>
      <x:c r="S365" s="11" t="n">
        <x:v>3047</x:v>
      </x:c>
      <x:c r="T365" s="11" t="n">
        <x:v>981</x:v>
      </x:c>
    </x:row>
    <x:row r="366" ht="23" customHeight="1">
      <x:c r="A366" s="2" t="str">
        <x:v>F8WH20</x:v>
      </x:c>
      <x:c r="B366" s="2" t="str">
        <x:v>UN</x:v>
      </x:c>
      <x:c r="C366" s="2"/>
      <x:c r="D366" s="2"/>
      <x:c r="E366" s="10"/>
      <x:c r="F366" s="11"/>
      <x:c r="G366" s="11" t="n">
        <x:v>0</x:v>
      </x:c>
      <x:c r="H366" s="11" t="n">
        <x:v>0</x:v>
      </x:c>
      <x:c r="I366" s="11" t="n">
        <x:v>1</x:v>
      </x:c>
      <x:c r="J366" s="11" t="n">
        <x:v>0</x:v>
      </x:c>
      <x:c r="K366" s="11" t="n">
        <x:v>0</x:v>
      </x:c>
      <x:c r="L366" s="11" t="n">
        <x:f>IF(B366="NED",1,IF(OR(B366="ED",B366="UN"),0,""))</x:f>
        <x:v>0</x:v>
      </x:c>
      <x:c r="M366" s="11" t="n">
        <x:f>IF(AND(K366=1,OR(B366="ED",B366="NED")),1,0)</x:f>
        <x:v>0</x:v>
      </x:c>
      <x:c r="N366" s="11" t="n">
        <x:f>IF(K366=1,1,0)</x:f>
        <x:v>0</x:v>
      </x:c>
      <x:c r="O366" s="12" t="str">
        <x:v>Require exact native accession match</x:v>
      </x:c>
      <x:c r="P366" s="11" t="n">
        <x:v>0</x:v>
      </x:c>
      <x:c r="Q366" s="12"/>
      <x:c r="R366" s="12"/>
      <x:c r="S366" s="11" t="n">
        <x:v>3048</x:v>
      </x:c>
      <x:c r="T366" s="11" t="n">
        <x:v>819</x:v>
      </x:c>
    </x:row>
    <x:row r="367" ht="23" customHeight="1">
      <x:c r="A367" s="2" t="str">
        <x:v>F8WHM5</x:v>
      </x:c>
      <x:c r="B367" s="2" t="str">
        <x:v>UN</x:v>
      </x:c>
      <x:c r="C367" s="2"/>
      <x:c r="D367" s="2"/>
      <x:c r="E367" s="10"/>
      <x:c r="F367" s="11"/>
      <x:c r="G367" s="11" t="n">
        <x:v>0</x:v>
      </x:c>
      <x:c r="H367" s="11" t="n">
        <x:v>0</x:v>
      </x:c>
      <x:c r="I367" s="11" t="n">
        <x:v>1</x:v>
      </x:c>
      <x:c r="J367" s="11" t="n">
        <x:v>0</x:v>
      </x:c>
      <x:c r="K367" s="11" t="n">
        <x:v>0</x:v>
      </x:c>
      <x:c r="L367" s="11" t="n">
        <x:f>IF(B367="NED",1,IF(OR(B367="ED",B367="UN"),0,""))</x:f>
        <x:v>0</x:v>
      </x:c>
      <x:c r="M367" s="11" t="n">
        <x:f>IF(AND(K367=1,OR(B367="ED",B367="NED")),1,0)</x:f>
        <x:v>0</x:v>
      </x:c>
      <x:c r="N367" s="11" t="n">
        <x:f>IF(K367=1,1,0)</x:f>
        <x:v>0</x:v>
      </x:c>
      <x:c r="O367" s="12" t="str">
        <x:v>Require exact native accession match</x:v>
      </x:c>
      <x:c r="P367" s="11" t="n">
        <x:v>0</x:v>
      </x:c>
      <x:c r="Q367" s="12"/>
      <x:c r="R367" s="12"/>
      <x:c r="S367" s="11" t="n">
        <x:v>3049</x:v>
      </x:c>
      <x:c r="T367" s="11" t="n">
        <x:v>1163</x:v>
      </x:c>
    </x:row>
    <x:row r="368" ht="23" customHeight="1">
      <x:c r="A368" s="2" t="str">
        <x:v>F8WHT3</x:v>
      </x:c>
      <x:c r="B368" s="2" t="str">
        <x:v>ED</x:v>
      </x:c>
      <x:c r="C368" s="2"/>
      <x:c r="D368" s="2"/>
      <x:c r="E368" s="10"/>
      <x:c r="F368" s="11"/>
      <x:c r="G368" s="11" t="n">
        <x:v>0</x:v>
      </x:c>
      <x:c r="H368" s="11" t="n">
        <x:v>0</x:v>
      </x:c>
      <x:c r="I368" s="11" t="n">
        <x:v>0</x:v>
      </x:c>
      <x:c r="J368" s="11" t="n">
        <x:v>0</x:v>
      </x:c>
      <x:c r="K368" s="11" t="n">
        <x:v>0</x:v>
      </x:c>
      <x:c r="L368" s="11" t="n">
        <x:f>IF(B368="NED",1,IF(OR(B368="ED",B368="UN"),0,""))</x:f>
        <x:v>0</x:v>
      </x:c>
      <x:c r="M368" s="11" t="n">
        <x:f>IF(AND(K368=1,OR(B368="ED",B368="NED")),1,0)</x:f>
        <x:v>0</x:v>
      </x:c>
      <x:c r="N368" s="11" t="n">
        <x:f>IF(K368=1,1,0)</x:f>
        <x:v>0</x:v>
      </x:c>
      <x:c r="O368" s="12" t="str">
        <x:v>Require exact native accession match</x:v>
      </x:c>
      <x:c r="P368" s="11" t="n">
        <x:v>0</x:v>
      </x:c>
      <x:c r="Q368" s="12"/>
      <x:c r="R368" s="12"/>
      <x:c r="S368" s="11" t="n">
        <x:v>3050</x:v>
      </x:c>
      <x:c r="T368" s="11" t="n">
        <x:v>2230</x:v>
      </x:c>
    </x:row>
    <x:row r="369" ht="23" customHeight="1">
      <x:c r="A369" s="2" t="str">
        <x:v>F8WHU7</x:v>
      </x:c>
      <x:c r="B369" s="2" t="str">
        <x:v>UN</x:v>
      </x:c>
      <x:c r="C369" s="2"/>
      <x:c r="D369" s="2"/>
      <x:c r="E369" s="10"/>
      <x:c r="F369" s="11"/>
      <x:c r="G369" s="11" t="n">
        <x:v>0</x:v>
      </x:c>
      <x:c r="H369" s="11" t="n">
        <x:v>0</x:v>
      </x:c>
      <x:c r="I369" s="11" t="n">
        <x:v>0</x:v>
      </x:c>
      <x:c r="J369" s="11" t="n">
        <x:v>0</x:v>
      </x:c>
      <x:c r="K369" s="11" t="n">
        <x:v>0</x:v>
      </x:c>
      <x:c r="L369" s="11" t="n">
        <x:f>IF(B369="NED",1,IF(OR(B369="ED",B369="UN"),0,""))</x:f>
        <x:v>0</x:v>
      </x:c>
      <x:c r="M369" s="11" t="n">
        <x:f>IF(AND(K369=1,OR(B369="ED",B369="NED")),1,0)</x:f>
        <x:v>0</x:v>
      </x:c>
      <x:c r="N369" s="11" t="n">
        <x:f>IF(K369=1,1,0)</x:f>
        <x:v>0</x:v>
      </x:c>
      <x:c r="O369" s="12" t="str">
        <x:v>Require exact native accession match</x:v>
      </x:c>
      <x:c r="P369" s="11" t="n">
        <x:v>0</x:v>
      </x:c>
      <x:c r="Q369" s="12"/>
      <x:c r="R369" s="12"/>
      <x:c r="S369" s="11" t="n">
        <x:v>3051</x:v>
      </x:c>
      <x:c r="T369" s="11" t="n">
        <x:v>1221</x:v>
      </x:c>
    </x:row>
    <x:row r="370" ht="23" customHeight="1">
      <x:c r="A370" s="2" t="str">
        <x:v>F8WHW3</x:v>
      </x:c>
      <x:c r="B370" s="2" t="str">
        <x:v>UN</x:v>
      </x:c>
      <x:c r="C370" s="2"/>
      <x:c r="D370" s="2"/>
      <x:c r="E370" s="10"/>
      <x:c r="F370" s="11"/>
      <x:c r="G370" s="11" t="n">
        <x:v>0</x:v>
      </x:c>
      <x:c r="H370" s="11" t="n">
        <x:v>0</x:v>
      </x:c>
      <x:c r="I370" s="11" t="n">
        <x:v>1</x:v>
      </x:c>
      <x:c r="J370" s="11" t="n">
        <x:v>0</x:v>
      </x:c>
      <x:c r="K370" s="11" t="n">
        <x:v>0</x:v>
      </x:c>
      <x:c r="L370" s="11" t="n">
        <x:f>IF(B370="NED",1,IF(OR(B370="ED",B370="UN"),0,""))</x:f>
        <x:v>0</x:v>
      </x:c>
      <x:c r="M370" s="11" t="n">
        <x:f>IF(AND(K370=1,OR(B370="ED",B370="NED")),1,0)</x:f>
        <x:v>0</x:v>
      </x:c>
      <x:c r="N370" s="11" t="n">
        <x:f>IF(K370=1,1,0)</x:f>
        <x:v>0</x:v>
      </x:c>
      <x:c r="O370" s="12" t="str">
        <x:v>Require exact native accession match</x:v>
      </x:c>
      <x:c r="P370" s="11" t="n">
        <x:v>0</x:v>
      </x:c>
      <x:c r="Q370" s="12"/>
      <x:c r="R370" s="12"/>
      <x:c r="S370" s="11" t="n">
        <x:v>3052</x:v>
      </x:c>
      <x:c r="T370" s="11" t="n">
        <x:v>277</x:v>
      </x:c>
    </x:row>
    <x:row r="371" ht="23" customHeight="1">
      <x:c r="A371" s="2" t="str">
        <x:v>F8WHY8</x:v>
      </x:c>
      <x:c r="B371" s="2" t="str">
        <x:v>UN</x:v>
      </x:c>
      <x:c r="C371" s="2"/>
      <x:c r="D371" s="2"/>
      <x:c r="E371" s="10"/>
      <x:c r="F371" s="11"/>
      <x:c r="G371" s="11" t="n">
        <x:v>0</x:v>
      </x:c>
      <x:c r="H371" s="11" t="n">
        <x:v>0</x:v>
      </x:c>
      <x:c r="I371" s="11" t="n">
        <x:v>0</x:v>
      </x:c>
      <x:c r="J371" s="11" t="n">
        <x:v>0</x:v>
      </x:c>
      <x:c r="K371" s="11" t="n">
        <x:v>0</x:v>
      </x:c>
      <x:c r="L371" s="11" t="n">
        <x:f>IF(B371="NED",1,IF(OR(B371="ED",B371="UN"),0,""))</x:f>
        <x:v>0</x:v>
      </x:c>
      <x:c r="M371" s="11" t="n">
        <x:f>IF(AND(K371=1,OR(B371="ED",B371="NED")),1,0)</x:f>
        <x:v>0</x:v>
      </x:c>
      <x:c r="N371" s="11" t="n">
        <x:f>IF(K371=1,1,0)</x:f>
        <x:v>0</x:v>
      </x:c>
      <x:c r="O371" s="12" t="str">
        <x:v>Require exact native accession match</x:v>
      </x:c>
      <x:c r="P371" s="11" t="n">
        <x:v>0</x:v>
      </x:c>
      <x:c r="Q371" s="12"/>
      <x:c r="R371" s="12"/>
      <x:c r="S371" s="11" t="n">
        <x:v>3053</x:v>
      </x:c>
      <x:c r="T371" s="11" t="n">
        <x:v>698</x:v>
      </x:c>
    </x:row>
    <x:row r="372" ht="23" customHeight="1">
      <x:c r="A372" s="2" t="str">
        <x:v>F8WID5</x:v>
      </x:c>
      <x:c r="B372" s="2" t="str">
        <x:v>ED</x:v>
      </x:c>
      <x:c r="C372" s="2"/>
      <x:c r="D372" s="2"/>
      <x:c r="E372" s="10"/>
      <x:c r="F372" s="11"/>
      <x:c r="G372" s="11" t="n">
        <x:v>0</x:v>
      </x:c>
      <x:c r="H372" s="11" t="n">
        <x:v>0</x:v>
      </x:c>
      <x:c r="I372" s="11" t="n">
        <x:v>0</x:v>
      </x:c>
      <x:c r="J372" s="11" t="n">
        <x:v>0</x:v>
      </x:c>
      <x:c r="K372" s="11" t="n">
        <x:v>0</x:v>
      </x:c>
      <x:c r="L372" s="11" t="n">
        <x:f>IF(B372="NED",1,IF(OR(B372="ED",B372="UN"),0,""))</x:f>
        <x:v>0</x:v>
      </x:c>
      <x:c r="M372" s="11" t="n">
        <x:f>IF(AND(K372=1,OR(B372="ED",B372="NED")),1,0)</x:f>
        <x:v>0</x:v>
      </x:c>
      <x:c r="N372" s="11" t="n">
        <x:f>IF(K372=1,1,0)</x:f>
        <x:v>0</x:v>
      </x:c>
      <x:c r="O372" s="12" t="str">
        <x:v>Require exact native accession match</x:v>
      </x:c>
      <x:c r="P372" s="11" t="n">
        <x:v>0</x:v>
      </x:c>
      <x:c r="Q372" s="12"/>
      <x:c r="R372" s="12"/>
      <x:c r="S372" s="11" t="n">
        <x:v>3054</x:v>
      </x:c>
      <x:c r="T372" s="11" t="n">
        <x:v>326</x:v>
      </x:c>
    </x:row>
    <x:row r="373" ht="23" customHeight="1">
      <x:c r="A373" s="2" t="str">
        <x:v>F8WIE5</x:v>
      </x:c>
      <x:c r="B373" s="2" t="str">
        <x:v>ED</x:v>
      </x:c>
      <x:c r="C373" s="2"/>
      <x:c r="D373" s="2"/>
      <x:c r="E373" s="10"/>
      <x:c r="F373" s="11"/>
      <x:c r="G373" s="11" t="n">
        <x:v>0</x:v>
      </x:c>
      <x:c r="H373" s="11" t="n">
        <x:v>0</x:v>
      </x:c>
      <x:c r="I373" s="11" t="n">
        <x:v>0</x:v>
      </x:c>
      <x:c r="J373" s="11" t="n">
        <x:v>0</x:v>
      </x:c>
      <x:c r="K373" s="11" t="n">
        <x:v>0</x:v>
      </x:c>
      <x:c r="L373" s="11" t="n">
        <x:f>IF(B373="NED",1,IF(OR(B373="ED",B373="UN"),0,""))</x:f>
        <x:v>0</x:v>
      </x:c>
      <x:c r="M373" s="11" t="n">
        <x:f>IF(AND(K373=1,OR(B373="ED",B373="NED")),1,0)</x:f>
        <x:v>0</x:v>
      </x:c>
      <x:c r="N373" s="11" t="n">
        <x:f>IF(K373=1,1,0)</x:f>
        <x:v>0</x:v>
      </x:c>
      <x:c r="O373" s="12" t="str">
        <x:v>Require exact native accession match</x:v>
      </x:c>
      <x:c r="P373" s="11" t="n">
        <x:v>0</x:v>
      </x:c>
      <x:c r="Q373" s="12"/>
      <x:c r="R373" s="12"/>
      <x:c r="S373" s="11" t="n">
        <x:v>3055</x:v>
      </x:c>
      <x:c r="T373" s="11" t="n">
        <x:v>2610</x:v>
      </x:c>
    </x:row>
    <x:row r="374" ht="23" customHeight="1">
      <x:c r="A374" s="2" t="str">
        <x:v>F8WIX8</x:v>
      </x:c>
      <x:c r="B374" s="2" t="str">
        <x:v>UN</x:v>
      </x:c>
      <x:c r="C374" s="2"/>
      <x:c r="D374" s="2"/>
      <x:c r="E374" s="10"/>
      <x:c r="F374" s="11"/>
      <x:c r="G374" s="11" t="n">
        <x:v>0</x:v>
      </x:c>
      <x:c r="H374" s="11" t="n">
        <x:v>0</x:v>
      </x:c>
      <x:c r="I374" s="11"/>
      <x:c r="J374" s="11"/>
      <x:c r="K374" s="11" t="n">
        <x:v>0</x:v>
      </x:c>
      <x:c r="L374" s="11" t="n">
        <x:f>IF(B374="NED",1,IF(OR(B374="ED",B374="UN"),0,""))</x:f>
        <x:v>0</x:v>
      </x:c>
      <x:c r="M374" s="11" t="n">
        <x:f>IF(AND(K374=1,OR(B374="ED",B374="NED")),1,0)</x:f>
        <x:v>0</x:v>
      </x:c>
      <x:c r="N374" s="11" t="n">
        <x:f>IF(K374=1,1,0)</x:f>
        <x:v>0</x:v>
      </x:c>
      <x:c r="O374" s="12" t="str">
        <x:v>Require exact native accession match</x:v>
      </x:c>
      <x:c r="P374" s="11" t="n">
        <x:v>0</x:v>
      </x:c>
      <x:c r="Q374" s="12"/>
      <x:c r="R374" s="12"/>
      <x:c r="S374" s="11" t="n">
        <x:v>3056</x:v>
      </x:c>
      <x:c r="T374" s="11"/>
    </x:row>
    <x:row r="375" ht="23" customHeight="1">
      <x:c r="A375" s="2" t="str">
        <x:v>F8WJG3</x:v>
      </x:c>
      <x:c r="B375" s="2" t="str">
        <x:v>UN</x:v>
      </x:c>
      <x:c r="C375" s="2"/>
      <x:c r="D375" s="2"/>
      <x:c r="E375" s="10"/>
      <x:c r="F375" s="11"/>
      <x:c r="G375" s="11" t="n">
        <x:v>0</x:v>
      </x:c>
      <x:c r="H375" s="11" t="n">
        <x:v>0</x:v>
      </x:c>
      <x:c r="I375" s="11" t="n">
        <x:v>0</x:v>
      </x:c>
      <x:c r="J375" s="11" t="n">
        <x:v>0</x:v>
      </x:c>
      <x:c r="K375" s="11" t="n">
        <x:v>0</x:v>
      </x:c>
      <x:c r="L375" s="11" t="n">
        <x:f>IF(B375="NED",1,IF(OR(B375="ED",B375="UN"),0,""))</x:f>
        <x:v>0</x:v>
      </x:c>
      <x:c r="M375" s="11" t="n">
        <x:f>IF(AND(K375=1,OR(B375="ED",B375="NED")),1,0)</x:f>
        <x:v>0</x:v>
      </x:c>
      <x:c r="N375" s="11" t="n">
        <x:f>IF(K375=1,1,0)</x:f>
        <x:v>0</x:v>
      </x:c>
      <x:c r="O375" s="12" t="str">
        <x:v>Require exact native accession match</x:v>
      </x:c>
      <x:c r="P375" s="11" t="n">
        <x:v>0</x:v>
      </x:c>
      <x:c r="Q375" s="12"/>
      <x:c r="R375" s="12"/>
      <x:c r="S375" s="11" t="n">
        <x:v>3057</x:v>
      </x:c>
      <x:c r="T375" s="11" t="n">
        <x:v>188</x:v>
      </x:c>
    </x:row>
    <x:row r="376" ht="23" customHeight="1">
      <x:c r="A376" s="2" t="str">
        <x:v>F8WJK8</x:v>
      </x:c>
      <x:c r="B376" s="2" t="str">
        <x:v>ED</x:v>
      </x:c>
      <x:c r="C376" s="2"/>
      <x:c r="D376" s="2"/>
      <x:c r="E376" s="10"/>
      <x:c r="F376" s="11"/>
      <x:c r="G376" s="11" t="n">
        <x:v>0</x:v>
      </x:c>
      <x:c r="H376" s="11" t="n">
        <x:v>0</x:v>
      </x:c>
      <x:c r="I376" s="11" t="n">
        <x:v>0</x:v>
      </x:c>
      <x:c r="J376" s="11" t="n">
        <x:v>0</x:v>
      </x:c>
      <x:c r="K376" s="11" t="n">
        <x:v>0</x:v>
      </x:c>
      <x:c r="L376" s="11" t="n">
        <x:f>IF(B376="NED",1,IF(OR(B376="ED",B376="UN"),0,""))</x:f>
        <x:v>0</x:v>
      </x:c>
      <x:c r="M376" s="11" t="n">
        <x:f>IF(AND(K376=1,OR(B376="ED",B376="NED")),1,0)</x:f>
        <x:v>0</x:v>
      </x:c>
      <x:c r="N376" s="11" t="n">
        <x:f>IF(K376=1,1,0)</x:f>
        <x:v>0</x:v>
      </x:c>
      <x:c r="O376" s="12" t="str">
        <x:v>Require exact native accession match</x:v>
      </x:c>
      <x:c r="P376" s="11" t="n">
        <x:v>0</x:v>
      </x:c>
      <x:c r="Q376" s="12"/>
      <x:c r="R376" s="12"/>
      <x:c r="S376" s="11" t="n">
        <x:v>3058</x:v>
      </x:c>
      <x:c r="T376" s="11" t="n">
        <x:v>362</x:v>
      </x:c>
    </x:row>
    <x:row r="377" ht="23" customHeight="1">
      <x:c r="A377" s="2" t="str">
        <x:v>G3UVU2</x:v>
      </x:c>
      <x:c r="B377" s="2" t="str">
        <x:v>UN</x:v>
      </x:c>
      <x:c r="C377" s="2"/>
      <x:c r="D377" s="2"/>
      <x:c r="E377" s="10"/>
      <x:c r="F377" s="11"/>
      <x:c r="G377" s="11" t="n">
        <x:v>0</x:v>
      </x:c>
      <x:c r="H377" s="11" t="n">
        <x:v>0</x:v>
      </x:c>
      <x:c r="I377" s="11" t="n">
        <x:v>0</x:v>
      </x:c>
      <x:c r="J377" s="11" t="n">
        <x:v>0</x:v>
      </x:c>
      <x:c r="K377" s="11" t="n">
        <x:v>0</x:v>
      </x:c>
      <x:c r="L377" s="11" t="n">
        <x:f>IF(B377="NED",1,IF(OR(B377="ED",B377="UN"),0,""))</x:f>
        <x:v>0</x:v>
      </x:c>
      <x:c r="M377" s="11" t="n">
        <x:f>IF(AND(K377=1,OR(B377="ED",B377="NED")),1,0)</x:f>
        <x:v>0</x:v>
      </x:c>
      <x:c r="N377" s="11" t="n">
        <x:f>IF(K377=1,1,0)</x:f>
        <x:v>0</x:v>
      </x:c>
      <x:c r="O377" s="12" t="str">
        <x:v>Require exact native accession match</x:v>
      </x:c>
      <x:c r="P377" s="11" t="n">
        <x:v>0</x:v>
      </x:c>
      <x:c r="Q377" s="12"/>
      <x:c r="R377" s="12"/>
      <x:c r="S377" s="11" t="n">
        <x:v>3059</x:v>
      </x:c>
      <x:c r="T377" s="11" t="n">
        <x:v>485</x:v>
      </x:c>
    </x:row>
    <x:row r="378" ht="23" customHeight="1">
      <x:c r="A378" s="2" t="str">
        <x:v>G3UVU9</x:v>
      </x:c>
      <x:c r="B378" s="2" t="str">
        <x:v>ED</x:v>
      </x:c>
      <x:c r="C378" s="2"/>
      <x:c r="D378" s="2"/>
      <x:c r="E378" s="10"/>
      <x:c r="F378" s="11"/>
      <x:c r="G378" s="11" t="n">
        <x:v>0</x:v>
      </x:c>
      <x:c r="H378" s="11" t="n">
        <x:v>0</x:v>
      </x:c>
      <x:c r="I378" s="11" t="n">
        <x:v>0</x:v>
      </x:c>
      <x:c r="J378" s="11" t="n">
        <x:v>0</x:v>
      </x:c>
      <x:c r="K378" s="11" t="n">
        <x:v>0</x:v>
      </x:c>
      <x:c r="L378" s="11" t="n">
        <x:f>IF(B378="NED",1,IF(OR(B378="ED",B378="UN"),0,""))</x:f>
        <x:v>0</x:v>
      </x:c>
      <x:c r="M378" s="11" t="n">
        <x:f>IF(AND(K378=1,OR(B378="ED",B378="NED")),1,0)</x:f>
        <x:v>0</x:v>
      </x:c>
      <x:c r="N378" s="11" t="n">
        <x:f>IF(K378=1,1,0)</x:f>
        <x:v>0</x:v>
      </x:c>
      <x:c r="O378" s="12" t="str">
        <x:v>Require exact native accession match</x:v>
      </x:c>
      <x:c r="P378" s="11" t="n">
        <x:v>0</x:v>
      </x:c>
      <x:c r="Q378" s="12"/>
      <x:c r="R378" s="12"/>
      <x:c r="S378" s="11" t="n">
        <x:v>3060</x:v>
      </x:c>
      <x:c r="T378" s="11" t="n">
        <x:v>270</x:v>
      </x:c>
    </x:row>
    <x:row r="379" ht="23" customHeight="1">
      <x:c r="A379" s="2" t="str">
        <x:v>G3UW40</x:v>
      </x:c>
      <x:c r="B379" s="2" t="str">
        <x:v>ED</x:v>
      </x:c>
      <x:c r="C379" s="2" t="n">
        <x:v>0</x:v>
      </x:c>
      <x:c r="D379" s="2" t="n">
        <x:v>0</x:v>
      </x:c>
      <x:c r="E379" s="10" t="n">
        <x:v>74.44235507246377</x:v>
      </x:c>
      <x:c r="F379" s="11" t="n">
        <x:v>828</x:v>
      </x:c>
      <x:c r="G379" s="11" t="n">
        <x:v>0</x:v>
      </x:c>
      <x:c r="H379" s="11" t="n">
        <x:v>0</x:v>
      </x:c>
      <x:c r="I379" s="11" t="n">
        <x:v>0</x:v>
      </x:c>
      <x:c r="J379" s="11" t="n">
        <x:v>0</x:v>
      </x:c>
      <x:c r="K379" s="11" t="n">
        <x:v>1</x:v>
      </x:c>
      <x:c r="L379" s="11" t="n">
        <x:f>IF(B379="NED",1,IF(OR(B379="ED",B379="UN"),0,""))</x:f>
        <x:v>0</x:v>
      </x:c>
      <x:c r="M379" s="11" t="n">
        <x:f>IF(AND(K379=1,OR(B379="ED",B379="NED")),1,0)</x:f>
        <x:v>1</x:v>
      </x:c>
      <x:c r="N379" s="11" t="n">
        <x:f>IF(K379=1,1,0)</x:f>
        <x:v>1</x:v>
      </x:c>
      <x:c r="O379" s="12"/>
      <x:c r="P379" s="11" t="n">
        <x:v>0</x:v>
      </x:c>
      <x:c r="Q379" s="12" t="str">
        <x:v>AF-G3UW40-F1-model_v6</x:v>
      </x:c>
      <x:c r="R379" s="12" t="str">
        <x:v>ok</x:v>
      </x:c>
      <x:c r="S379" s="11" t="n">
        <x:v>3061</x:v>
      </x:c>
      <x:c r="T379" s="11" t="n">
        <x:v>828</x:v>
      </x:c>
    </x:row>
    <x:row r="380" ht="23" customHeight="1">
      <x:c r="A380" s="2" t="str">
        <x:v>G3UWD2</x:v>
      </x:c>
      <x:c r="B380" s="2" t="str">
        <x:v>ED</x:v>
      </x:c>
      <x:c r="C380" s="2"/>
      <x:c r="D380" s="2"/>
      <x:c r="E380" s="10"/>
      <x:c r="F380" s="11"/>
      <x:c r="G380" s="11" t="n">
        <x:v>0</x:v>
      </x:c>
      <x:c r="H380" s="11" t="n">
        <x:v>0</x:v>
      </x:c>
      <x:c r="I380" s="11" t="n">
        <x:v>0</x:v>
      </x:c>
      <x:c r="J380" s="11" t="n">
        <x:v>0</x:v>
      </x:c>
      <x:c r="K380" s="11" t="n">
        <x:v>0</x:v>
      </x:c>
      <x:c r="L380" s="11" t="n">
        <x:f>IF(B380="NED",1,IF(OR(B380="ED",B380="UN"),0,""))</x:f>
        <x:v>0</x:v>
      </x:c>
      <x:c r="M380" s="11" t="n">
        <x:f>IF(AND(K380=1,OR(B380="ED",B380="NED")),1,0)</x:f>
        <x:v>0</x:v>
      </x:c>
      <x:c r="N380" s="11" t="n">
        <x:f>IF(K380=1,1,0)</x:f>
        <x:v>0</x:v>
      </x:c>
      <x:c r="O380" s="12" t="str">
        <x:v>Require exact native accession match</x:v>
      </x:c>
      <x:c r="P380" s="11" t="n">
        <x:v>0</x:v>
      </x:c>
      <x:c r="Q380" s="12"/>
      <x:c r="R380" s="12"/>
      <x:c r="S380" s="11" t="n">
        <x:v>3062</x:v>
      </x:c>
      <x:c r="T380" s="11" t="n">
        <x:v>451</x:v>
      </x:c>
    </x:row>
    <x:row r="381" ht="23" customHeight="1">
      <x:c r="A381" s="2" t="str">
        <x:v>G3UWQ7</x:v>
      </x:c>
      <x:c r="B381" s="2" t="str">
        <x:v>UN</x:v>
      </x:c>
      <x:c r="C381" s="2"/>
      <x:c r="D381" s="2"/>
      <x:c r="E381" s="10"/>
      <x:c r="F381" s="11"/>
      <x:c r="G381" s="11" t="n">
        <x:v>0</x:v>
      </x:c>
      <x:c r="H381" s="11" t="n">
        <x:v>0</x:v>
      </x:c>
      <x:c r="I381" s="11" t="n">
        <x:v>0</x:v>
      </x:c>
      <x:c r="J381" s="11" t="n">
        <x:v>0</x:v>
      </x:c>
      <x:c r="K381" s="11" t="n">
        <x:v>0</x:v>
      </x:c>
      <x:c r="L381" s="11" t="n">
        <x:f>IF(B381="NED",1,IF(OR(B381="ED",B381="UN"),0,""))</x:f>
        <x:v>0</x:v>
      </x:c>
      <x:c r="M381" s="11" t="n">
        <x:f>IF(AND(K381=1,OR(B381="ED",B381="NED")),1,0)</x:f>
        <x:v>0</x:v>
      </x:c>
      <x:c r="N381" s="11" t="n">
        <x:f>IF(K381=1,1,0)</x:f>
        <x:v>0</x:v>
      </x:c>
      <x:c r="O381" s="12" t="str">
        <x:v>Require exact native accession match</x:v>
      </x:c>
      <x:c r="P381" s="11" t="n">
        <x:v>0</x:v>
      </x:c>
      <x:c r="Q381" s="12"/>
      <x:c r="R381" s="12"/>
      <x:c r="S381" s="11" t="n">
        <x:v>3063</x:v>
      </x:c>
      <x:c r="T381" s="11" t="n">
        <x:v>620</x:v>
      </x:c>
    </x:row>
    <x:row r="382" ht="23" customHeight="1">
      <x:c r="A382" s="2" t="str">
        <x:v>G3UWZ0</x:v>
      </x:c>
      <x:c r="B382" s="2" t="str">
        <x:v>ED</x:v>
      </x:c>
      <x:c r="C382" s="2"/>
      <x:c r="D382" s="2"/>
      <x:c r="E382" s="10"/>
      <x:c r="F382" s="11"/>
      <x:c r="G382" s="11" t="n">
        <x:v>0</x:v>
      </x:c>
      <x:c r="H382" s="11" t="n">
        <x:v>0</x:v>
      </x:c>
      <x:c r="I382" s="11" t="n">
        <x:v>0</x:v>
      </x:c>
      <x:c r="J382" s="11" t="n">
        <x:v>0</x:v>
      </x:c>
      <x:c r="K382" s="11" t="n">
        <x:v>0</x:v>
      </x:c>
      <x:c r="L382" s="11" t="n">
        <x:f>IF(B382="NED",1,IF(OR(B382="ED",B382="UN"),0,""))</x:f>
        <x:v>0</x:v>
      </x:c>
      <x:c r="M382" s="11" t="n">
        <x:f>IF(AND(K382=1,OR(B382="ED",B382="NED")),1,0)</x:f>
        <x:v>0</x:v>
      </x:c>
      <x:c r="N382" s="11" t="n">
        <x:f>IF(K382=1,1,0)</x:f>
        <x:v>0</x:v>
      </x:c>
      <x:c r="O382" s="12" t="str">
        <x:v>Require exact native accession match</x:v>
      </x:c>
      <x:c r="P382" s="11" t="n">
        <x:v>0</x:v>
      </x:c>
      <x:c r="Q382" s="12"/>
      <x:c r="R382" s="12"/>
      <x:c r="S382" s="11" t="n">
        <x:v>3064</x:v>
      </x:c>
      <x:c r="T382" s="11" t="n">
        <x:v>1552</x:v>
      </x:c>
    </x:row>
    <x:row r="383" ht="23" customHeight="1">
      <x:c r="A383" s="2" t="str">
        <x:v>G3UXW9</x:v>
      </x:c>
      <x:c r="B383" s="2" t="str">
        <x:v>UN</x:v>
      </x:c>
      <x:c r="C383" s="2"/>
      <x:c r="D383" s="2"/>
      <x:c r="E383" s="10"/>
      <x:c r="F383" s="11"/>
      <x:c r="G383" s="11" t="n">
        <x:v>0</x:v>
      </x:c>
      <x:c r="H383" s="11" t="n">
        <x:v>0</x:v>
      </x:c>
      <x:c r="I383" s="11" t="n">
        <x:v>0</x:v>
      </x:c>
      <x:c r="J383" s="11" t="n">
        <x:v>0</x:v>
      </x:c>
      <x:c r="K383" s="11" t="n">
        <x:v>0</x:v>
      </x:c>
      <x:c r="L383" s="11" t="n">
        <x:f>IF(B383="NED",1,IF(OR(B383="ED",B383="UN"),0,""))</x:f>
        <x:v>0</x:v>
      </x:c>
      <x:c r="M383" s="11" t="n">
        <x:f>IF(AND(K383=1,OR(B383="ED",B383="NED")),1,0)</x:f>
        <x:v>0</x:v>
      </x:c>
      <x:c r="N383" s="11" t="n">
        <x:f>IF(K383=1,1,0)</x:f>
        <x:v>0</x:v>
      </x:c>
      <x:c r="O383" s="12" t="str">
        <x:v>Require exact native accession match</x:v>
      </x:c>
      <x:c r="P383" s="11" t="n">
        <x:v>0</x:v>
      </x:c>
      <x:c r="Q383" s="12"/>
      <x:c r="R383" s="12"/>
      <x:c r="S383" s="11" t="n">
        <x:v>3065</x:v>
      </x:c>
      <x:c r="T383" s="11" t="n">
        <x:v>526</x:v>
      </x:c>
    </x:row>
    <x:row r="384" ht="23" customHeight="1">
      <x:c r="A384" s="2" t="str">
        <x:v>G3UXZ5</x:v>
      </x:c>
      <x:c r="B384" s="2" t="str">
        <x:v>ED</x:v>
      </x:c>
      <x:c r="C384" s="2"/>
      <x:c r="D384" s="2"/>
      <x:c r="E384" s="10"/>
      <x:c r="F384" s="11"/>
      <x:c r="G384" s="11" t="n">
        <x:v>0</x:v>
      </x:c>
      <x:c r="H384" s="11" t="n">
        <x:v>0</x:v>
      </x:c>
      <x:c r="I384" s="11" t="n">
        <x:v>0</x:v>
      </x:c>
      <x:c r="J384" s="11" t="n">
        <x:v>0</x:v>
      </x:c>
      <x:c r="K384" s="11" t="n">
        <x:v>0</x:v>
      </x:c>
      <x:c r="L384" s="11" t="n">
        <x:f>IF(B384="NED",1,IF(OR(B384="ED",B384="UN"),0,""))</x:f>
        <x:v>0</x:v>
      </x:c>
      <x:c r="M384" s="11" t="n">
        <x:f>IF(AND(K384=1,OR(B384="ED",B384="NED")),1,0)</x:f>
        <x:v>0</x:v>
      </x:c>
      <x:c r="N384" s="11" t="n">
        <x:f>IF(K384=1,1,0)</x:f>
        <x:v>0</x:v>
      </x:c>
      <x:c r="O384" s="12" t="str">
        <x:v>Require exact native accession match</x:v>
      </x:c>
      <x:c r="P384" s="11" t="n">
        <x:v>0</x:v>
      </x:c>
      <x:c r="Q384" s="12"/>
      <x:c r="R384" s="12"/>
      <x:c r="S384" s="11" t="n">
        <x:v>3066</x:v>
      </x:c>
      <x:c r="T384" s="11" t="n">
        <x:v>238</x:v>
      </x:c>
    </x:row>
    <x:row r="385" ht="23" customHeight="1">
      <x:c r="A385" s="2" t="str">
        <x:v>G3UYF9</x:v>
      </x:c>
      <x:c r="B385" s="2" t="str">
        <x:v>UN</x:v>
      </x:c>
      <x:c r="C385" s="2"/>
      <x:c r="D385" s="2"/>
      <x:c r="E385" s="10"/>
      <x:c r="F385" s="11"/>
      <x:c r="G385" s="11" t="n">
        <x:v>0</x:v>
      </x:c>
      <x:c r="H385" s="11" t="n">
        <x:v>0</x:v>
      </x:c>
      <x:c r="I385" s="11" t="n">
        <x:v>0</x:v>
      </x:c>
      <x:c r="J385" s="11" t="n">
        <x:v>0</x:v>
      </x:c>
      <x:c r="K385" s="11" t="n">
        <x:v>0</x:v>
      </x:c>
      <x:c r="L385" s="11" t="n">
        <x:f>IF(B385="NED",1,IF(OR(B385="ED",B385="UN"),0,""))</x:f>
        <x:v>0</x:v>
      </x:c>
      <x:c r="M385" s="11" t="n">
        <x:f>IF(AND(K385=1,OR(B385="ED",B385="NED")),1,0)</x:f>
        <x:v>0</x:v>
      </x:c>
      <x:c r="N385" s="11" t="n">
        <x:f>IF(K385=1,1,0)</x:f>
        <x:v>0</x:v>
      </x:c>
      <x:c r="O385" s="12" t="str">
        <x:v>Require exact native accession match</x:v>
      </x:c>
      <x:c r="P385" s="11" t="n">
        <x:v>0</x:v>
      </x:c>
      <x:c r="Q385" s="12"/>
      <x:c r="R385" s="12"/>
      <x:c r="S385" s="11" t="n">
        <x:v>3067</x:v>
      </x:c>
      <x:c r="T385" s="11" t="n">
        <x:v>101</x:v>
      </x:c>
    </x:row>
    <x:row r="386" ht="23" customHeight="1">
      <x:c r="A386" s="2" t="str">
        <x:v>G3UYG6</x:v>
      </x:c>
      <x:c r="B386" s="2" t="str">
        <x:v>ED</x:v>
      </x:c>
      <x:c r="C386" s="2"/>
      <x:c r="D386" s="2"/>
      <x:c r="E386" s="10"/>
      <x:c r="F386" s="11"/>
      <x:c r="G386" s="11" t="n">
        <x:v>0</x:v>
      </x:c>
      <x:c r="H386" s="11" t="n">
        <x:v>0</x:v>
      </x:c>
      <x:c r="I386" s="11" t="n">
        <x:v>0</x:v>
      </x:c>
      <x:c r="J386" s="11" t="n">
        <x:v>0</x:v>
      </x:c>
      <x:c r="K386" s="11" t="n">
        <x:v>0</x:v>
      </x:c>
      <x:c r="L386" s="11" t="n">
        <x:f>IF(B386="NED",1,IF(OR(B386="ED",B386="UN"),0,""))</x:f>
        <x:v>0</x:v>
      </x:c>
      <x:c r="M386" s="11" t="n">
        <x:f>IF(AND(K386=1,OR(B386="ED",B386="NED")),1,0)</x:f>
        <x:v>0</x:v>
      </x:c>
      <x:c r="N386" s="11" t="n">
        <x:f>IF(K386=1,1,0)</x:f>
        <x:v>0</x:v>
      </x:c>
      <x:c r="O386" s="12" t="str">
        <x:v>Require exact native accession match</x:v>
      </x:c>
      <x:c r="P386" s="11" t="n">
        <x:v>0</x:v>
      </x:c>
      <x:c r="Q386" s="12"/>
      <x:c r="R386" s="12"/>
      <x:c r="S386" s="11" t="n">
        <x:v>3068</x:v>
      </x:c>
      <x:c r="T386" s="11" t="n">
        <x:v>1285</x:v>
      </x:c>
    </x:row>
    <x:row r="387" ht="23" customHeight="1">
      <x:c r="A387" s="2" t="str">
        <x:v>G3UYJ7</x:v>
      </x:c>
      <x:c r="B387" s="2" t="str">
        <x:v>ED</x:v>
      </x:c>
      <x:c r="C387" s="2"/>
      <x:c r="D387" s="2"/>
      <x:c r="E387" s="10"/>
      <x:c r="F387" s="11"/>
      <x:c r="G387" s="11" t="n">
        <x:v>0</x:v>
      </x:c>
      <x:c r="H387" s="11" t="n">
        <x:v>0</x:v>
      </x:c>
      <x:c r="I387" s="11" t="n">
        <x:v>0</x:v>
      </x:c>
      <x:c r="J387" s="11" t="n">
        <x:v>0</x:v>
      </x:c>
      <x:c r="K387" s="11" t="n">
        <x:v>0</x:v>
      </x:c>
      <x:c r="L387" s="11" t="n">
        <x:f>IF(B387="NED",1,IF(OR(B387="ED",B387="UN"),0,""))</x:f>
        <x:v>0</x:v>
      </x:c>
      <x:c r="M387" s="11" t="n">
        <x:f>IF(AND(K387=1,OR(B387="ED",B387="NED")),1,0)</x:f>
        <x:v>0</x:v>
      </x:c>
      <x:c r="N387" s="11" t="n">
        <x:f>IF(K387=1,1,0)</x:f>
        <x:v>0</x:v>
      </x:c>
      <x:c r="O387" s="12" t="str">
        <x:v>Require exact native accession match</x:v>
      </x:c>
      <x:c r="P387" s="11" t="n">
        <x:v>0</x:v>
      </x:c>
      <x:c r="Q387" s="12"/>
      <x:c r="R387" s="12"/>
      <x:c r="S387" s="11" t="n">
        <x:v>3069</x:v>
      </x:c>
      <x:c r="T387" s="11" t="n">
        <x:v>252</x:v>
      </x:c>
    </x:row>
    <x:row r="388" ht="23" customHeight="1">
      <x:c r="A388" s="2" t="str">
        <x:v>G3UYU0</x:v>
      </x:c>
      <x:c r="B388" s="2" t="str">
        <x:v>UN</x:v>
      </x:c>
      <x:c r="C388" s="2" t="n">
        <x:v>0</x:v>
      </x:c>
      <x:c r="D388" s="2" t="n">
        <x:v>0</x:v>
      </x:c>
      <x:c r="E388" s="10" t="n">
        <x:v>64.51011538461539</x:v>
      </x:c>
      <x:c r="F388" s="11" t="n">
        <x:v>520</x:v>
      </x:c>
      <x:c r="G388" s="11" t="n">
        <x:v>0</x:v>
      </x:c>
      <x:c r="H388" s="11" t="n">
        <x:v>0</x:v>
      </x:c>
      <x:c r="I388" s="11" t="n">
        <x:v>0</x:v>
      </x:c>
      <x:c r="J388" s="11" t="n">
        <x:v>0</x:v>
      </x:c>
      <x:c r="K388" s="11" t="n">
        <x:v>0</x:v>
      </x:c>
      <x:c r="L388" s="11" t="n">
        <x:f>IF(B388="NED",1,IF(OR(B388="ED",B388="UN"),0,""))</x:f>
        <x:v>0</x:v>
      </x:c>
      <x:c r="M388" s="11" t="n">
        <x:f>IF(AND(K388=1,OR(B388="ED",B388="NED")),1,0)</x:f>
        <x:v>0</x:v>
      </x:c>
      <x:c r="N388" s="11" t="n">
        <x:f>IF(K388=1,1,0)</x:f>
        <x:v>0</x:v>
      </x:c>
      <x:c r="O388" s="12" t="str">
        <x:v>Retain protein mean pLDDT &gt;=70</x:v>
      </x:c>
      <x:c r="P388" s="11" t="n">
        <x:v>0</x:v>
      </x:c>
      <x:c r="Q388" s="12" t="str">
        <x:v>AF-G3UYU0-F1-model_v6</x:v>
      </x:c>
      <x:c r="R388" s="12" t="str">
        <x:v>ok</x:v>
      </x:c>
      <x:c r="S388" s="11" t="n">
        <x:v>3070</x:v>
      </x:c>
      <x:c r="T388" s="11" t="n">
        <x:v>520</x:v>
      </x:c>
    </x:row>
    <x:row r="389" ht="23" customHeight="1">
      <x:c r="A389" s="2" t="str">
        <x:v>G3UYV7</x:v>
      </x:c>
      <x:c r="B389" s="2" t="str">
        <x:v>NED</x:v>
      </x:c>
      <x:c r="C389" s="2"/>
      <x:c r="D389" s="2"/>
      <x:c r="E389" s="10"/>
      <x:c r="F389" s="11"/>
      <x:c r="G389" s="11" t="n">
        <x:v>0</x:v>
      </x:c>
      <x:c r="H389" s="11" t="n">
        <x:v>0</x:v>
      </x:c>
      <x:c r="I389" s="11" t="n">
        <x:v>0</x:v>
      </x:c>
      <x:c r="J389" s="11" t="n">
        <x:v>0</x:v>
      </x:c>
      <x:c r="K389" s="11" t="n">
        <x:v>0</x:v>
      </x:c>
      <x:c r="L389" s="11" t="n">
        <x:f>IF(B389="NED",1,IF(OR(B389="ED",B389="UN"),0,""))</x:f>
        <x:v>1</x:v>
      </x:c>
      <x:c r="M389" s="11" t="n">
        <x:f>IF(AND(K389=1,OR(B389="ED",B389="NED")),1,0)</x:f>
        <x:v>0</x:v>
      </x:c>
      <x:c r="N389" s="11" t="n">
        <x:f>IF(K389=1,1,0)</x:f>
        <x:v>0</x:v>
      </x:c>
      <x:c r="O389" s="12" t="str">
        <x:v>Require exact native accession match</x:v>
      </x:c>
      <x:c r="P389" s="11" t="n">
        <x:v>0</x:v>
      </x:c>
      <x:c r="Q389" s="12"/>
      <x:c r="R389" s="12"/>
      <x:c r="S389" s="11" t="n">
        <x:v>3071</x:v>
      </x:c>
      <x:c r="T389" s="11" t="n">
        <x:v>56</x:v>
      </x:c>
    </x:row>
    <x:row r="390" ht="23" customHeight="1">
      <x:c r="A390" s="2" t="str">
        <x:v>G3X8R5</x:v>
      </x:c>
      <x:c r="B390" s="2" t="str">
        <x:v>ED</x:v>
      </x:c>
      <x:c r="C390" s="2"/>
      <x:c r="D390" s="2"/>
      <x:c r="E390" s="10"/>
      <x:c r="F390" s="11"/>
      <x:c r="G390" s="11" t="n">
        <x:v>0</x:v>
      </x:c>
      <x:c r="H390" s="11" t="n">
        <x:v>0</x:v>
      </x:c>
      <x:c r="I390" s="11" t="n">
        <x:v>0</x:v>
      </x:c>
      <x:c r="J390" s="11" t="n">
        <x:v>0</x:v>
      </x:c>
      <x:c r="K390" s="11" t="n">
        <x:v>0</x:v>
      </x:c>
      <x:c r="L390" s="11" t="n">
        <x:f>IF(B390="NED",1,IF(OR(B390="ED",B390="UN"),0,""))</x:f>
        <x:v>0</x:v>
      </x:c>
      <x:c r="M390" s="11" t="n">
        <x:f>IF(AND(K390=1,OR(B390="ED",B390="NED")),1,0)</x:f>
        <x:v>0</x:v>
      </x:c>
      <x:c r="N390" s="11" t="n">
        <x:f>IF(K390=1,1,0)</x:f>
        <x:v>0</x:v>
      </x:c>
      <x:c r="O390" s="12" t="str">
        <x:v>Require exact native accession match</x:v>
      </x:c>
      <x:c r="P390" s="11" t="n">
        <x:v>0</x:v>
      </x:c>
      <x:c r="Q390" s="12"/>
      <x:c r="R390" s="12"/>
      <x:c r="S390" s="11" t="n">
        <x:v>3072</x:v>
      </x:c>
      <x:c r="T390" s="11" t="n">
        <x:v>777</x:v>
      </x:c>
    </x:row>
    <x:row r="391" ht="23" customHeight="1">
      <x:c r="A391" s="2" t="str">
        <x:v>G3X8X0</x:v>
      </x:c>
      <x:c r="B391" s="2" t="str">
        <x:v>ED</x:v>
      </x:c>
      <x:c r="C391" s="2" t="n">
        <x:v>1</x:v>
      </x:c>
      <x:c r="D391" s="2" t="n">
        <x:v>1</x:v>
      </x:c>
      <x:c r="E391" s="10" t="n">
        <x:v>77.21329501915709</x:v>
      </x:c>
      <x:c r="F391" s="11" t="n">
        <x:v>1044</x:v>
      </x:c>
      <x:c r="G391" s="11" t="n">
        <x:v>0</x:v>
      </x:c>
      <x:c r="H391" s="11" t="n">
        <x:v>0</x:v>
      </x:c>
      <x:c r="I391" s="11" t="n">
        <x:v>0</x:v>
      </x:c>
      <x:c r="J391" s="11" t="n">
        <x:v>0</x:v>
      </x:c>
      <x:c r="K391" s="11" t="n">
        <x:v>1</x:v>
      </x:c>
      <x:c r="L391" s="11" t="n">
        <x:f>IF(B391="NED",1,IF(OR(B391="ED",B391="UN"),0,""))</x:f>
        <x:v>0</x:v>
      </x:c>
      <x:c r="M391" s="11" t="n">
        <x:f>IF(AND(K391=1,OR(B391="ED",B391="NED")),1,0)</x:f>
        <x:v>1</x:v>
      </x:c>
      <x:c r="N391" s="11" t="n">
        <x:f>IF(K391=1,1,0)</x:f>
        <x:v>1</x:v>
      </x:c>
      <x:c r="O391" s="12"/>
      <x:c r="P391" s="11" t="n">
        <x:v>0</x:v>
      </x:c>
      <x:c r="Q391" s="12" t="str">
        <x:v>AF-G3X8X0-F1-model_v6</x:v>
      </x:c>
      <x:c r="R391" s="12" t="str">
        <x:v>ok</x:v>
      </x:c>
      <x:c r="S391" s="11" t="n">
        <x:v>3073</x:v>
      </x:c>
      <x:c r="T391" s="11" t="n">
        <x:v>1044</x:v>
      </x:c>
    </x:row>
    <x:row r="392" ht="23" customHeight="1">
      <x:c r="A392" s="2" t="str">
        <x:v>G3X8Y3</x:v>
      </x:c>
      <x:c r="B392" s="2" t="str">
        <x:v>ED</x:v>
      </x:c>
      <x:c r="C392" s="2"/>
      <x:c r="D392" s="2"/>
      <x:c r="E392" s="10"/>
      <x:c r="F392" s="11"/>
      <x:c r="G392" s="11" t="n">
        <x:v>0</x:v>
      </x:c>
      <x:c r="H392" s="11" t="n">
        <x:v>0</x:v>
      </x:c>
      <x:c r="I392" s="11" t="n">
        <x:v>0</x:v>
      </x:c>
      <x:c r="J392" s="11" t="n">
        <x:v>0</x:v>
      </x:c>
      <x:c r="K392" s="11" t="n">
        <x:v>0</x:v>
      </x:c>
      <x:c r="L392" s="11" t="n">
        <x:f>IF(B392="NED",1,IF(OR(B392="ED",B392="UN"),0,""))</x:f>
        <x:v>0</x:v>
      </x:c>
      <x:c r="M392" s="11" t="n">
        <x:f>IF(AND(K392=1,OR(B392="ED",B392="NED")),1,0)</x:f>
        <x:v>0</x:v>
      </x:c>
      <x:c r="N392" s="11" t="n">
        <x:f>IF(K392=1,1,0)</x:f>
        <x:v>0</x:v>
      </x:c>
      <x:c r="O392" s="12" t="str">
        <x:v>Require exact native accession match</x:v>
      </x:c>
      <x:c r="P392" s="11" t="n">
        <x:v>0</x:v>
      </x:c>
      <x:c r="Q392" s="12"/>
      <x:c r="R392" s="12"/>
      <x:c r="S392" s="11" t="n">
        <x:v>3074</x:v>
      </x:c>
      <x:c r="T392" s="11" t="n">
        <x:v>865</x:v>
      </x:c>
    </x:row>
    <x:row r="393" ht="23" customHeight="1">
      <x:c r="A393" s="2" t="str">
        <x:v>G3X920</x:v>
      </x:c>
      <x:c r="B393" s="2" t="str">
        <x:v>ED</x:v>
      </x:c>
      <x:c r="C393" s="2"/>
      <x:c r="D393" s="2"/>
      <x:c r="E393" s="10"/>
      <x:c r="F393" s="11"/>
      <x:c r="G393" s="11" t="n">
        <x:v>0</x:v>
      </x:c>
      <x:c r="H393" s="11" t="n">
        <x:v>0</x:v>
      </x:c>
      <x:c r="I393" s="11" t="n">
        <x:v>0</x:v>
      </x:c>
      <x:c r="J393" s="11" t="n">
        <x:v>0</x:v>
      </x:c>
      <x:c r="K393" s="11" t="n">
        <x:v>0</x:v>
      </x:c>
      <x:c r="L393" s="11" t="n">
        <x:f>IF(B393="NED",1,IF(OR(B393="ED",B393="UN"),0,""))</x:f>
        <x:v>0</x:v>
      </x:c>
      <x:c r="M393" s="11" t="n">
        <x:f>IF(AND(K393=1,OR(B393="ED",B393="NED")),1,0)</x:f>
        <x:v>0</x:v>
      </x:c>
      <x:c r="N393" s="11" t="n">
        <x:f>IF(K393=1,1,0)</x:f>
        <x:v>0</x:v>
      </x:c>
      <x:c r="O393" s="12" t="str">
        <x:v>Require exact native accession match</x:v>
      </x:c>
      <x:c r="P393" s="11" t="n">
        <x:v>0</x:v>
      </x:c>
      <x:c r="Q393" s="12"/>
      <x:c r="R393" s="12"/>
      <x:c r="S393" s="11" t="n">
        <x:v>3075</x:v>
      </x:c>
      <x:c r="T393" s="11" t="n">
        <x:v>673</x:v>
      </x:c>
    </x:row>
    <x:row r="394" ht="23" customHeight="1">
      <x:c r="A394" s="2" t="str">
        <x:v>G3X922</x:v>
      </x:c>
      <x:c r="B394" s="2" t="str">
        <x:v>ED</x:v>
      </x:c>
      <x:c r="C394" s="2"/>
      <x:c r="D394" s="2"/>
      <x:c r="E394" s="10"/>
      <x:c r="F394" s="11"/>
      <x:c r="G394" s="11" t="n">
        <x:v>0</x:v>
      </x:c>
      <x:c r="H394" s="11" t="n">
        <x:v>0</x:v>
      </x:c>
      <x:c r="I394" s="11" t="n">
        <x:v>0</x:v>
      </x:c>
      <x:c r="J394" s="11" t="n">
        <x:v>0</x:v>
      </x:c>
      <x:c r="K394" s="11" t="n">
        <x:v>0</x:v>
      </x:c>
      <x:c r="L394" s="11" t="n">
        <x:f>IF(B394="NED",1,IF(OR(B394="ED",B394="UN"),0,""))</x:f>
        <x:v>0</x:v>
      </x:c>
      <x:c r="M394" s="11" t="n">
        <x:f>IF(AND(K394=1,OR(B394="ED",B394="NED")),1,0)</x:f>
        <x:v>0</x:v>
      </x:c>
      <x:c r="N394" s="11" t="n">
        <x:f>IF(K394=1,1,0)</x:f>
        <x:v>0</x:v>
      </x:c>
      <x:c r="O394" s="12" t="str">
        <x:v>Require exact native accession match</x:v>
      </x:c>
      <x:c r="P394" s="11" t="n">
        <x:v>0</x:v>
      </x:c>
      <x:c r="Q394" s="12"/>
      <x:c r="R394" s="12"/>
      <x:c r="S394" s="11" t="n">
        <x:v>3076</x:v>
      </x:c>
      <x:c r="T394" s="11" t="n">
        <x:v>2243</x:v>
      </x:c>
    </x:row>
    <x:row r="395" ht="23" customHeight="1">
      <x:c r="A395" s="2" t="str">
        <x:v>G3X926</x:v>
      </x:c>
      <x:c r="B395" s="2" t="str">
        <x:v>ED</x:v>
      </x:c>
      <x:c r="C395" s="2"/>
      <x:c r="D395" s="2"/>
      <x:c r="E395" s="10"/>
      <x:c r="F395" s="11"/>
      <x:c r="G395" s="11" t="n">
        <x:v>0</x:v>
      </x:c>
      <x:c r="H395" s="11" t="n">
        <x:v>0</x:v>
      </x:c>
      <x:c r="I395" s="11" t="n">
        <x:v>0</x:v>
      </x:c>
      <x:c r="J395" s="11" t="n">
        <x:v>0</x:v>
      </x:c>
      <x:c r="K395" s="11" t="n">
        <x:v>0</x:v>
      </x:c>
      <x:c r="L395" s="11" t="n">
        <x:f>IF(B395="NED",1,IF(OR(B395="ED",B395="UN"),0,""))</x:f>
        <x:v>0</x:v>
      </x:c>
      <x:c r="M395" s="11" t="n">
        <x:f>IF(AND(K395=1,OR(B395="ED",B395="NED")),1,0)</x:f>
        <x:v>0</x:v>
      </x:c>
      <x:c r="N395" s="11" t="n">
        <x:f>IF(K395=1,1,0)</x:f>
        <x:v>0</x:v>
      </x:c>
      <x:c r="O395" s="12" t="str">
        <x:v>Require exact native accession match</x:v>
      </x:c>
      <x:c r="P395" s="11" t="n">
        <x:v>0</x:v>
      </x:c>
      <x:c r="Q395" s="12"/>
      <x:c r="R395" s="12"/>
      <x:c r="S395" s="11" t="n">
        <x:v>3077</x:v>
      </x:c>
      <x:c r="T395" s="11" t="n">
        <x:v>273</x:v>
      </x:c>
    </x:row>
    <x:row r="396" ht="23" customHeight="1">
      <x:c r="A396" s="2" t="str">
        <x:v>G3X928</x:v>
      </x:c>
      <x:c r="B396" s="2" t="str">
        <x:v>ED</x:v>
      </x:c>
      <x:c r="C396" s="2"/>
      <x:c r="D396" s="2"/>
      <x:c r="E396" s="10"/>
      <x:c r="F396" s="11"/>
      <x:c r="G396" s="11" t="n">
        <x:v>0</x:v>
      </x:c>
      <x:c r="H396" s="11" t="n">
        <x:v>0</x:v>
      </x:c>
      <x:c r="I396" s="11" t="n">
        <x:v>1</x:v>
      </x:c>
      <x:c r="J396" s="11" t="n">
        <x:v>0</x:v>
      </x:c>
      <x:c r="K396" s="11" t="n">
        <x:v>0</x:v>
      </x:c>
      <x:c r="L396" s="11" t="n">
        <x:f>IF(B396="NED",1,IF(OR(B396="ED",B396="UN"),0,""))</x:f>
        <x:v>0</x:v>
      </x:c>
      <x:c r="M396" s="11" t="n">
        <x:f>IF(AND(K396=1,OR(B396="ED",B396="NED")),1,0)</x:f>
        <x:v>0</x:v>
      </x:c>
      <x:c r="N396" s="11" t="n">
        <x:f>IF(K396=1,1,0)</x:f>
        <x:v>0</x:v>
      </x:c>
      <x:c r="O396" s="12" t="str">
        <x:v>Require exact native accession match</x:v>
      </x:c>
      <x:c r="P396" s="11" t="n">
        <x:v>0</x:v>
      </x:c>
      <x:c r="Q396" s="12"/>
      <x:c r="R396" s="12"/>
      <x:c r="S396" s="11" t="n">
        <x:v>3078</x:v>
      </x:c>
      <x:c r="T396" s="11" t="n">
        <x:v>998</x:v>
      </x:c>
    </x:row>
    <x:row r="397" ht="23" customHeight="1">
      <x:c r="A397" s="2" t="str">
        <x:v>G3X960</x:v>
      </x:c>
      <x:c r="B397" s="2" t="str">
        <x:v>ED</x:v>
      </x:c>
      <x:c r="C397" s="2"/>
      <x:c r="D397" s="2"/>
      <x:c r="E397" s="10"/>
      <x:c r="F397" s="11"/>
      <x:c r="G397" s="11" t="n">
        <x:v>0</x:v>
      </x:c>
      <x:c r="H397" s="11" t="n">
        <x:v>0</x:v>
      </x:c>
      <x:c r="I397" s="11" t="n">
        <x:v>0</x:v>
      </x:c>
      <x:c r="J397" s="11" t="n">
        <x:v>0</x:v>
      </x:c>
      <x:c r="K397" s="11" t="n">
        <x:v>0</x:v>
      </x:c>
      <x:c r="L397" s="11" t="n">
        <x:f>IF(B397="NED",1,IF(OR(B397="ED",B397="UN"),0,""))</x:f>
        <x:v>0</x:v>
      </x:c>
      <x:c r="M397" s="11" t="n">
        <x:f>IF(AND(K397=1,OR(B397="ED",B397="NED")),1,0)</x:f>
        <x:v>0</x:v>
      </x:c>
      <x:c r="N397" s="11" t="n">
        <x:f>IF(K397=1,1,0)</x:f>
        <x:v>0</x:v>
      </x:c>
      <x:c r="O397" s="12" t="str">
        <x:v>Require exact native accession match</x:v>
      </x:c>
      <x:c r="P397" s="11" t="n">
        <x:v>0</x:v>
      </x:c>
      <x:c r="Q397" s="12"/>
      <x:c r="R397" s="12"/>
      <x:c r="S397" s="11" t="n">
        <x:v>3079</x:v>
      </x:c>
      <x:c r="T397" s="11" t="n">
        <x:v>737</x:v>
      </x:c>
    </x:row>
    <x:row r="398" ht="23" customHeight="1">
      <x:c r="A398" s="2" t="str">
        <x:v>G3X972</x:v>
      </x:c>
      <x:c r="B398" s="2" t="str">
        <x:v>UN</x:v>
      </x:c>
      <x:c r="C398" s="2" t="n">
        <x:v>1</x:v>
      </x:c>
      <x:c r="D398" s="2" t="n">
        <x:v>1</x:v>
      </x:c>
      <x:c r="E398" s="10"/>
      <x:c r="F398" s="11" t="n">
        <x:v>1096</x:v>
      </x:c>
      <x:c r="G398" s="11" t="n">
        <x:v>0</x:v>
      </x:c>
      <x:c r="H398" s="11" t="n">
        <x:v>0</x:v>
      </x:c>
      <x:c r="I398" s="11" t="n">
        <x:v>1</x:v>
      </x:c>
      <x:c r="J398" s="11" t="n">
        <x:v>0</x:v>
      </x:c>
      <x:c r="K398" s="11" t="n">
        <x:v>0</x:v>
      </x:c>
      <x:c r="L398" s="11" t="n">
        <x:f>IF(B398="NED",1,IF(OR(B398="ED",B398="UN"),0,""))</x:f>
        <x:v>0</x:v>
      </x:c>
      <x:c r="M398" s="11" t="n">
        <x:f>IF(AND(K398=1,OR(B398="ED",B398="NED")),1,0)</x:f>
        <x:v>0</x:v>
      </x:c>
      <x:c r="N398" s="11" t="n">
        <x:f>IF(K398=1,1,0)</x:f>
        <x:v>0</x:v>
      </x:c>
      <x:c r="O398" s="12" t="str">
        <x:v>Exclude UniProt Membrane keyword</x:v>
      </x:c>
      <x:c r="P398" s="11" t="n">
        <x:v>0</x:v>
      </x:c>
      <x:c r="Q398" s="12" t="str">
        <x:v>AF-G3X972-F1-model_v6</x:v>
      </x:c>
      <x:c r="R398" s="12" t="str">
        <x:v>ok</x:v>
      </x:c>
      <x:c r="S398" s="11" t="n">
        <x:v>3080</x:v>
      </x:c>
      <x:c r="T398" s="11" t="n">
        <x:v>1096</x:v>
      </x:c>
    </x:row>
    <x:row r="399" ht="23" customHeight="1">
      <x:c r="A399" s="2" t="str">
        <x:v>G3X9B1</x:v>
      </x:c>
      <x:c r="B399" s="2" t="str">
        <x:v>UN</x:v>
      </x:c>
      <x:c r="C399" s="2" t="n">
        <x:v>1</x:v>
      </x:c>
      <x:c r="D399" s="2" t="n">
        <x:v>1</x:v>
      </x:c>
      <x:c r="E399" s="10" t="n">
        <x:v>77.94333644423705</x:v>
      </x:c>
      <x:c r="F399" s="11" t="n">
        <x:v>2143</x:v>
      </x:c>
      <x:c r="G399" s="11" t="n">
        <x:v>0</x:v>
      </x:c>
      <x:c r="H399" s="11" t="n">
        <x:v>0</x:v>
      </x:c>
      <x:c r="I399" s="11" t="n">
        <x:v>0</x:v>
      </x:c>
      <x:c r="J399" s="11" t="n">
        <x:v>0</x:v>
      </x:c>
      <x:c r="K399" s="11" t="n">
        <x:v>1</x:v>
      </x:c>
      <x:c r="L399" s="11" t="n">
        <x:f>IF(B399="NED",1,IF(OR(B399="ED",B399="UN"),0,""))</x:f>
        <x:v>0</x:v>
      </x:c>
      <x:c r="M399" s="11" t="n">
        <x:f>IF(AND(K399=1,OR(B399="ED",B399="NED")),1,0)</x:f>
        <x:v>0</x:v>
      </x:c>
      <x:c r="N399" s="11" t="n">
        <x:f>IF(K399=1,1,0)</x:f>
        <x:v>1</x:v>
      </x:c>
      <x:c r="O399" s="12"/>
      <x:c r="P399" s="11" t="n">
        <x:v>0</x:v>
      </x:c>
      <x:c r="Q399" s="12" t="str">
        <x:v>AF-G3X9B1-F1-model_v6</x:v>
      </x:c>
      <x:c r="R399" s="12" t="str">
        <x:v>ok</x:v>
      </x:c>
      <x:c r="S399" s="11" t="n">
        <x:v>3081</x:v>
      </x:c>
      <x:c r="T399" s="11" t="n">
        <x:v>2143</x:v>
      </x:c>
    </x:row>
    <x:row r="400" ht="23" customHeight="1">
      <x:c r="A400" s="2" t="str">
        <x:v>G3X9I1</x:v>
      </x:c>
      <x:c r="B400" s="2" t="str">
        <x:v>UN</x:v>
      </x:c>
      <x:c r="C400" s="2"/>
      <x:c r="D400" s="2"/>
      <x:c r="E400" s="10"/>
      <x:c r="F400" s="11"/>
      <x:c r="G400" s="11" t="n">
        <x:v>0</x:v>
      </x:c>
      <x:c r="H400" s="11" t="n">
        <x:v>0</x:v>
      </x:c>
      <x:c r="I400" s="11" t="n">
        <x:v>0</x:v>
      </x:c>
      <x:c r="J400" s="11" t="n">
        <x:v>1</x:v>
      </x:c>
      <x:c r="K400" s="11" t="n">
        <x:v>0</x:v>
      </x:c>
      <x:c r="L400" s="11" t="n">
        <x:f>IF(B400="NED",1,IF(OR(B400="ED",B400="UN"),0,""))</x:f>
        <x:v>0</x:v>
      </x:c>
      <x:c r="M400" s="11" t="n">
        <x:f>IF(AND(K400=1,OR(B400="ED",B400="NED")),1,0)</x:f>
        <x:v>0</x:v>
      </x:c>
      <x:c r="N400" s="11" t="n">
        <x:f>IF(K400=1,1,0)</x:f>
        <x:v>0</x:v>
      </x:c>
      <x:c r="O400" s="12" t="str">
        <x:v>Require exact native accession match</x:v>
      </x:c>
      <x:c r="P400" s="11" t="n">
        <x:v>0</x:v>
      </x:c>
      <x:c r="Q400" s="12"/>
      <x:c r="R400" s="12"/>
      <x:c r="S400" s="11" t="n">
        <x:v>3082</x:v>
      </x:c>
      <x:c r="T400" s="11" t="n">
        <x:v>197</x:v>
      </x:c>
    </x:row>
    <x:row r="401" ht="23" customHeight="1">
      <x:c r="A401" s="2" t="str">
        <x:v>G3X9J0</x:v>
      </x:c>
      <x:c r="B401" s="2" t="str">
        <x:v>UN</x:v>
      </x:c>
      <x:c r="C401" s="2" t="n">
        <x:v>1</x:v>
      </x:c>
      <x:c r="D401" s="2" t="n">
        <x:v>1</x:v>
      </x:c>
      <x:c r="E401" s="10"/>
      <x:c r="F401" s="11" t="n">
        <x:v>1776</x:v>
      </x:c>
      <x:c r="G401" s="11" t="n">
        <x:v>0</x:v>
      </x:c>
      <x:c r="H401" s="11" t="n">
        <x:v>0</x:v>
      </x:c>
      <x:c r="I401" s="11" t="n">
        <x:v>1</x:v>
      </x:c>
      <x:c r="J401" s="11" t="n">
        <x:v>0</x:v>
      </x:c>
      <x:c r="K401" s="11" t="n">
        <x:v>0</x:v>
      </x:c>
      <x:c r="L401" s="11" t="n">
        <x:f>IF(B401="NED",1,IF(OR(B401="ED",B401="UN"),0,""))</x:f>
        <x:v>0</x:v>
      </x:c>
      <x:c r="M401" s="11" t="n">
        <x:f>IF(AND(K401=1,OR(B401="ED",B401="NED")),1,0)</x:f>
        <x:v>0</x:v>
      </x:c>
      <x:c r="N401" s="11" t="n">
        <x:f>IF(K401=1,1,0)</x:f>
        <x:v>0</x:v>
      </x:c>
      <x:c r="O401" s="12" t="str">
        <x:v>Exclude UniProt Membrane keyword</x:v>
      </x:c>
      <x:c r="P401" s="11" t="n">
        <x:v>0</x:v>
      </x:c>
      <x:c r="Q401" s="12" t="str">
        <x:v>AF-G3X9J0-F1-model_v6</x:v>
      </x:c>
      <x:c r="R401" s="12" t="str">
        <x:v>ok</x:v>
      </x:c>
      <x:c r="S401" s="11" t="n">
        <x:v>3083</x:v>
      </x:c>
      <x:c r="T401" s="11" t="n">
        <x:v>1776</x:v>
      </x:c>
    </x:row>
    <x:row r="402" ht="23" customHeight="1">
      <x:c r="A402" s="2" t="str">
        <x:v>G3X9K3</x:v>
      </x:c>
      <x:c r="B402" s="2" t="str">
        <x:v>UN</x:v>
      </x:c>
      <x:c r="C402" s="2" t="n">
        <x:v>1</x:v>
      </x:c>
      <x:c r="D402" s="2" t="n">
        <x:v>1</x:v>
      </x:c>
      <x:c r="E402" s="10"/>
      <x:c r="F402" s="11" t="n">
        <x:v>1846</x:v>
      </x:c>
      <x:c r="G402" s="11" t="n">
        <x:v>0</x:v>
      </x:c>
      <x:c r="H402" s="11" t="n">
        <x:v>0</x:v>
      </x:c>
      <x:c r="I402" s="11" t="n">
        <x:v>1</x:v>
      </x:c>
      <x:c r="J402" s="11" t="n">
        <x:v>0</x:v>
      </x:c>
      <x:c r="K402" s="11" t="n">
        <x:v>0</x:v>
      </x:c>
      <x:c r="L402" s="11" t="n">
        <x:f>IF(B402="NED",1,IF(OR(B402="ED",B402="UN"),0,""))</x:f>
        <x:v>0</x:v>
      </x:c>
      <x:c r="M402" s="11" t="n">
        <x:f>IF(AND(K402=1,OR(B402="ED",B402="NED")),1,0)</x:f>
        <x:v>0</x:v>
      </x:c>
      <x:c r="N402" s="11" t="n">
        <x:f>IF(K402=1,1,0)</x:f>
        <x:v>0</x:v>
      </x:c>
      <x:c r="O402" s="12" t="str">
        <x:v>Exclude UniProt Membrane keyword</x:v>
      </x:c>
      <x:c r="P402" s="11" t="n">
        <x:v>0</x:v>
      </x:c>
      <x:c r="Q402" s="12" t="str">
        <x:v>AF-G3X9K3-F1-model_v6</x:v>
      </x:c>
      <x:c r="R402" s="12" t="str">
        <x:v>ok</x:v>
      </x:c>
      <x:c r="S402" s="11" t="n">
        <x:v>61</x:v>
      </x:c>
      <x:c r="T402" s="11" t="n">
        <x:v>1846</x:v>
      </x:c>
    </x:row>
    <x:row r="403" ht="23" customHeight="1">
      <x:c r="A403" s="2" t="str">
        <x:v>G3X9L6</x:v>
      </x:c>
      <x:c r="B403" s="2" t="str">
        <x:v>NED</x:v>
      </x:c>
      <x:c r="C403" s="2"/>
      <x:c r="D403" s="2"/>
      <x:c r="E403" s="10"/>
      <x:c r="F403" s="11"/>
      <x:c r="G403" s="11" t="n">
        <x:v>0</x:v>
      </x:c>
      <x:c r="H403" s="11" t="n">
        <x:v>0</x:v>
      </x:c>
      <x:c r="I403" s="11"/>
      <x:c r="J403" s="11"/>
      <x:c r="K403" s="11" t="n">
        <x:v>0</x:v>
      </x:c>
      <x:c r="L403" s="11" t="n">
        <x:f>IF(B403="NED",1,IF(OR(B403="ED",B403="UN"),0,""))</x:f>
        <x:v>1</x:v>
      </x:c>
      <x:c r="M403" s="11" t="n">
        <x:f>IF(AND(K403=1,OR(B403="ED",B403="NED")),1,0)</x:f>
        <x:v>0</x:v>
      </x:c>
      <x:c r="N403" s="11" t="n">
        <x:f>IF(K403=1,1,0)</x:f>
        <x:v>0</x:v>
      </x:c>
      <x:c r="O403" s="12" t="str">
        <x:v>Require exact native accession match</x:v>
      </x:c>
      <x:c r="P403" s="11" t="n">
        <x:v>0</x:v>
      </x:c>
      <x:c r="Q403" s="12"/>
      <x:c r="R403" s="12"/>
      <x:c r="S403" s="11" t="n">
        <x:v>3084</x:v>
      </x:c>
      <x:c r="T403" s="11"/>
    </x:row>
    <x:row r="404" ht="23" customHeight="1">
      <x:c r="A404" s="2" t="str">
        <x:v>G3X9N6</x:v>
      </x:c>
      <x:c r="B404" s="2" t="str">
        <x:v>UN</x:v>
      </x:c>
      <x:c r="C404" s="2"/>
      <x:c r="D404" s="2"/>
      <x:c r="E404" s="10"/>
      <x:c r="F404" s="11"/>
      <x:c r="G404" s="11" t="n">
        <x:v>0</x:v>
      </x:c>
      <x:c r="H404" s="11" t="n">
        <x:v>0</x:v>
      </x:c>
      <x:c r="I404" s="11"/>
      <x:c r="J404" s="11"/>
      <x:c r="K404" s="11" t="n">
        <x:v>0</x:v>
      </x:c>
      <x:c r="L404" s="11" t="n">
        <x:f>IF(B404="NED",1,IF(OR(B404="ED",B404="UN"),0,""))</x:f>
        <x:v>0</x:v>
      </x:c>
      <x:c r="M404" s="11" t="n">
        <x:f>IF(AND(K404=1,OR(B404="ED",B404="NED")),1,0)</x:f>
        <x:v>0</x:v>
      </x:c>
      <x:c r="N404" s="11" t="n">
        <x:f>IF(K404=1,1,0)</x:f>
        <x:v>0</x:v>
      </x:c>
      <x:c r="O404" s="12" t="str">
        <x:v>Require exact native accession match</x:v>
      </x:c>
      <x:c r="P404" s="11" t="n">
        <x:v>0</x:v>
      </x:c>
      <x:c r="Q404" s="12"/>
      <x:c r="R404" s="12"/>
      <x:c r="S404" s="11" t="n">
        <x:v>3085</x:v>
      </x:c>
      <x:c r="T404" s="11"/>
    </x:row>
    <x:row r="405" ht="23" customHeight="1">
      <x:c r="A405" s="2" t="str">
        <x:v>G3X9V0</x:v>
      </x:c>
      <x:c r="B405" s="2" t="str">
        <x:v>UN</x:v>
      </x:c>
      <x:c r="C405" s="2"/>
      <x:c r="D405" s="2"/>
      <x:c r="E405" s="10"/>
      <x:c r="F405" s="11"/>
      <x:c r="G405" s="11" t="n">
        <x:v>0</x:v>
      </x:c>
      <x:c r="H405" s="11" t="n">
        <x:v>0</x:v>
      </x:c>
      <x:c r="I405" s="11" t="n">
        <x:v>0</x:v>
      </x:c>
      <x:c r="J405" s="11" t="n">
        <x:v>0</x:v>
      </x:c>
      <x:c r="K405" s="11" t="n">
        <x:v>0</x:v>
      </x:c>
      <x:c r="L405" s="11" t="n">
        <x:f>IF(B405="NED",1,IF(OR(B405="ED",B405="UN"),0,""))</x:f>
        <x:v>0</x:v>
      </x:c>
      <x:c r="M405" s="11" t="n">
        <x:f>IF(AND(K405=1,OR(B405="ED",B405="NED")),1,0)</x:f>
        <x:v>0</x:v>
      </x:c>
      <x:c r="N405" s="11" t="n">
        <x:f>IF(K405=1,1,0)</x:f>
        <x:v>0</x:v>
      </x:c>
      <x:c r="O405" s="12" t="str">
        <x:v>Require exact native accession match</x:v>
      </x:c>
      <x:c r="P405" s="11" t="n">
        <x:v>0</x:v>
      </x:c>
      <x:c r="Q405" s="12"/>
      <x:c r="R405" s="12"/>
      <x:c r="S405" s="11" t="n">
        <x:v>3086</x:v>
      </x:c>
      <x:c r="T405" s="11" t="n">
        <x:v>231</x:v>
      </x:c>
    </x:row>
    <x:row r="406" ht="23" customHeight="1">
      <x:c r="A406" s="2" t="str">
        <x:v>G3X9V2</x:v>
      </x:c>
      <x:c r="B406" s="2" t="str">
        <x:v>ED</x:v>
      </x:c>
      <x:c r="C406" s="2"/>
      <x:c r="D406" s="2"/>
      <x:c r="E406" s="10"/>
      <x:c r="F406" s="11"/>
      <x:c r="G406" s="11" t="n">
        <x:v>0</x:v>
      </x:c>
      <x:c r="H406" s="11" t="n">
        <x:v>0</x:v>
      </x:c>
      <x:c r="I406" s="11" t="n">
        <x:v>0</x:v>
      </x:c>
      <x:c r="J406" s="11" t="n">
        <x:v>0</x:v>
      </x:c>
      <x:c r="K406" s="11" t="n">
        <x:v>0</x:v>
      </x:c>
      <x:c r="L406" s="11" t="n">
        <x:f>IF(B406="NED",1,IF(OR(B406="ED",B406="UN"),0,""))</x:f>
        <x:v>0</x:v>
      </x:c>
      <x:c r="M406" s="11" t="n">
        <x:f>IF(AND(K406=1,OR(B406="ED",B406="NED")),1,0)</x:f>
        <x:v>0</x:v>
      </x:c>
      <x:c r="N406" s="11" t="n">
        <x:f>IF(K406=1,1,0)</x:f>
        <x:v>0</x:v>
      </x:c>
      <x:c r="O406" s="12" t="str">
        <x:v>Require exact native accession match</x:v>
      </x:c>
      <x:c r="P406" s="11" t="n">
        <x:v>0</x:v>
      </x:c>
      <x:c r="Q406" s="12"/>
      <x:c r="R406" s="12"/>
      <x:c r="S406" s="11" t="n">
        <x:v>3087</x:v>
      </x:c>
      <x:c r="T406" s="11" t="n">
        <x:v>932</x:v>
      </x:c>
    </x:row>
    <x:row r="407" ht="23" customHeight="1">
      <x:c r="A407" s="2" t="str">
        <x:v>G3X9Z4</x:v>
      </x:c>
      <x:c r="B407" s="2" t="str">
        <x:v>ED</x:v>
      </x:c>
      <x:c r="C407" s="2" t="n">
        <x:v>1</x:v>
      </x:c>
      <x:c r="D407" s="2" t="n">
        <x:v>1</x:v>
      </x:c>
      <x:c r="E407" s="10" t="n">
        <x:v>48.104018029620086</x:v>
      </x:c>
      <x:c r="F407" s="11" t="n">
        <x:v>1553</x:v>
      </x:c>
      <x:c r="G407" s="11" t="n">
        <x:v>0</x:v>
      </x:c>
      <x:c r="H407" s="11" t="n">
        <x:v>0</x:v>
      </x:c>
      <x:c r="I407" s="11" t="n">
        <x:v>0</x:v>
      </x:c>
      <x:c r="J407" s="11" t="n">
        <x:v>0</x:v>
      </x:c>
      <x:c r="K407" s="11" t="n">
        <x:v>0</x:v>
      </x:c>
      <x:c r="L407" s="11" t="n">
        <x:f>IF(B407="NED",1,IF(OR(B407="ED",B407="UN"),0,""))</x:f>
        <x:v>0</x:v>
      </x:c>
      <x:c r="M407" s="11" t="n">
        <x:f>IF(AND(K407=1,OR(B407="ED",B407="NED")),1,0)</x:f>
        <x:v>0</x:v>
      </x:c>
      <x:c r="N407" s="11" t="n">
        <x:f>IF(K407=1,1,0)</x:f>
        <x:v>0</x:v>
      </x:c>
      <x:c r="O407" s="12" t="str">
        <x:v>Retain protein mean pLDDT &gt;=70</x:v>
      </x:c>
      <x:c r="P407" s="11" t="n">
        <x:v>0</x:v>
      </x:c>
      <x:c r="Q407" s="12" t="str">
        <x:v>AF-G3X9Z4-F1-model_v6</x:v>
      </x:c>
      <x:c r="R407" s="12" t="str">
        <x:v>ok</x:v>
      </x:c>
      <x:c r="S407" s="11" t="n">
        <x:v>3088</x:v>
      </x:c>
      <x:c r="T407" s="11" t="n">
        <x:v>1553</x:v>
      </x:c>
    </x:row>
    <x:row r="408" ht="23" customHeight="1">
      <x:c r="A408" s="2" t="str">
        <x:v>G3XA17</x:v>
      </x:c>
      <x:c r="B408" s="2" t="str">
        <x:v>UN</x:v>
      </x:c>
      <x:c r="C408" s="2"/>
      <x:c r="D408" s="2"/>
      <x:c r="E408" s="10"/>
      <x:c r="F408" s="11"/>
      <x:c r="G408" s="11" t="n">
        <x:v>0</x:v>
      </x:c>
      <x:c r="H408" s="11" t="n">
        <x:v>0</x:v>
      </x:c>
      <x:c r="I408" s="11" t="n">
        <x:v>0</x:v>
      </x:c>
      <x:c r="J408" s="11" t="n">
        <x:v>0</x:v>
      </x:c>
      <x:c r="K408" s="11" t="n">
        <x:v>0</x:v>
      </x:c>
      <x:c r="L408" s="11" t="n">
        <x:f>IF(B408="NED",1,IF(OR(B408="ED",B408="UN"),0,""))</x:f>
        <x:v>0</x:v>
      </x:c>
      <x:c r="M408" s="11" t="n">
        <x:f>IF(AND(K408=1,OR(B408="ED",B408="NED")),1,0)</x:f>
        <x:v>0</x:v>
      </x:c>
      <x:c r="N408" s="11" t="n">
        <x:f>IF(K408=1,1,0)</x:f>
        <x:v>0</x:v>
      </x:c>
      <x:c r="O408" s="12" t="str">
        <x:v>Require exact native accession match</x:v>
      </x:c>
      <x:c r="P408" s="11" t="n">
        <x:v>0</x:v>
      </x:c>
      <x:c r="Q408" s="12"/>
      <x:c r="R408" s="12"/>
      <x:c r="S408" s="11" t="n">
        <x:v>3089</x:v>
      </x:c>
      <x:c r="T408" s="11" t="n">
        <x:v>906</x:v>
      </x:c>
    </x:row>
    <x:row r="409" ht="23" customHeight="1">
      <x:c r="A409" s="2" t="str">
        <x:v>G3XA21</x:v>
      </x:c>
      <x:c r="B409" s="2" t="str">
        <x:v>UN</x:v>
      </x:c>
      <x:c r="C409" s="2"/>
      <x:c r="D409" s="2"/>
      <x:c r="E409" s="10"/>
      <x:c r="F409" s="11"/>
      <x:c r="G409" s="11" t="n">
        <x:v>0</x:v>
      </x:c>
      <x:c r="H409" s="11" t="n">
        <x:v>0</x:v>
      </x:c>
      <x:c r="I409" s="11"/>
      <x:c r="J409" s="11"/>
      <x:c r="K409" s="11" t="n">
        <x:v>0</x:v>
      </x:c>
      <x:c r="L409" s="11" t="n">
        <x:f>IF(B409="NED",1,IF(OR(B409="ED",B409="UN"),0,""))</x:f>
        <x:v>0</x:v>
      </x:c>
      <x:c r="M409" s="11" t="n">
        <x:f>IF(AND(K409=1,OR(B409="ED",B409="NED")),1,0)</x:f>
        <x:v>0</x:v>
      </x:c>
      <x:c r="N409" s="11" t="n">
        <x:f>IF(K409=1,1,0)</x:f>
        <x:v>0</x:v>
      </x:c>
      <x:c r="O409" s="12" t="str">
        <x:v>Require exact native accession match</x:v>
      </x:c>
      <x:c r="P409" s="11" t="n">
        <x:v>0</x:v>
      </x:c>
      <x:c r="Q409" s="12"/>
      <x:c r="R409" s="12"/>
      <x:c r="S409" s="11" t="n">
        <x:v>3090</x:v>
      </x:c>
      <x:c r="T409" s="11"/>
    </x:row>
    <x:row r="410" ht="23" customHeight="1">
      <x:c r="A410" s="2" t="str">
        <x:v>G5E829</x:v>
      </x:c>
      <x:c r="B410" s="2" t="str">
        <x:v>UN</x:v>
      </x:c>
      <x:c r="C410" s="2"/>
      <x:c r="D410" s="2"/>
      <x:c r="E410" s="10"/>
      <x:c r="F410" s="11" t="n">
        <x:v>1220</x:v>
      </x:c>
      <x:c r="G410" s="11" t="n">
        <x:v>0</x:v>
      </x:c>
      <x:c r="H410" s="11" t="n">
        <x:v>1</x:v>
      </x:c>
      <x:c r="I410" s="11" t="n">
        <x:v>1</x:v>
      </x:c>
      <x:c r="J410" s="11" t="n">
        <x:v>0</x:v>
      </x:c>
      <x:c r="K410" s="11" t="n">
        <x:v>0</x:v>
      </x:c>
      <x:c r="L410" s="11" t="n">
        <x:f>IF(B410="NED",1,IF(OR(B410="ED",B410="UN"),0,""))</x:f>
        <x:v>0</x:v>
      </x:c>
      <x:c r="M410" s="11" t="n">
        <x:f>IF(AND(K410=1,OR(B410="ED",B410="NED")),1,0)</x:f>
        <x:v>0</x:v>
      </x:c>
      <x:c r="N410" s="11" t="n">
        <x:f>IF(K410=1,1,0)</x:f>
        <x:v>0</x:v>
      </x:c>
      <x:c r="O410" s="12" t="str">
        <x:v>Require binary native NCLE status</x:v>
      </x:c>
      <x:c r="P410" s="11" t="n">
        <x:v>0</x:v>
      </x:c>
      <x:c r="Q410" s="12" t="str">
        <x:v>AF-G5E829-F1-model_v6</x:v>
      </x:c>
      <x:c r="R410" s="12" t="str">
        <x:v>ok</x:v>
      </x:c>
      <x:c r="S410" s="11" t="n">
        <x:v>62</x:v>
      </x:c>
      <x:c r="T410" s="11" t="n">
        <x:v>1220</x:v>
      </x:c>
    </x:row>
    <x:row r="411" ht="23" customHeight="1">
      <x:c r="A411" s="2" t="str">
        <x:v>G5E850</x:v>
      </x:c>
      <x:c r="B411" s="2" t="str">
        <x:v>UN</x:v>
      </x:c>
      <x:c r="C411" s="2"/>
      <x:c r="D411" s="2"/>
      <x:c r="E411" s="10"/>
      <x:c r="F411" s="11"/>
      <x:c r="G411" s="11" t="n">
        <x:v>0</x:v>
      </x:c>
      <x:c r="H411" s="11" t="n">
        <x:v>0</x:v>
      </x:c>
      <x:c r="I411" s="11" t="n">
        <x:v>1</x:v>
      </x:c>
      <x:c r="J411" s="11" t="n">
        <x:v>0</x:v>
      </x:c>
      <x:c r="K411" s="11" t="n">
        <x:v>0</x:v>
      </x:c>
      <x:c r="L411" s="11" t="n">
        <x:f>IF(B411="NED",1,IF(OR(B411="ED",B411="UN"),0,""))</x:f>
        <x:v>0</x:v>
      </x:c>
      <x:c r="M411" s="11" t="n">
        <x:f>IF(AND(K411=1,OR(B411="ED",B411="NED")),1,0)</x:f>
        <x:v>0</x:v>
      </x:c>
      <x:c r="N411" s="11" t="n">
        <x:f>IF(K411=1,1,0)</x:f>
        <x:v>0</x:v>
      </x:c>
      <x:c r="O411" s="12" t="str">
        <x:v>Require exact native accession match</x:v>
      </x:c>
      <x:c r="P411" s="11" t="n">
        <x:v>0</x:v>
      </x:c>
      <x:c r="Q411" s="12"/>
      <x:c r="R411" s="12"/>
      <x:c r="S411" s="11" t="n">
        <x:v>3091</x:v>
      </x:c>
      <x:c r="T411" s="11" t="n">
        <x:v>98</x:v>
      </x:c>
    </x:row>
    <x:row r="412" ht="23" customHeight="1">
      <x:c r="A412" s="2" t="str">
        <x:v>G5E884</x:v>
      </x:c>
      <x:c r="B412" s="2" t="str">
        <x:v>ED</x:v>
      </x:c>
      <x:c r="C412" s="2"/>
      <x:c r="D412" s="2"/>
      <x:c r="E412" s="10"/>
      <x:c r="F412" s="11"/>
      <x:c r="G412" s="11" t="n">
        <x:v>0</x:v>
      </x:c>
      <x:c r="H412" s="11" t="n">
        <x:v>0</x:v>
      </x:c>
      <x:c r="I412" s="11" t="n">
        <x:v>0</x:v>
      </x:c>
      <x:c r="J412" s="11" t="n">
        <x:v>0</x:v>
      </x:c>
      <x:c r="K412" s="11" t="n">
        <x:v>0</x:v>
      </x:c>
      <x:c r="L412" s="11" t="n">
        <x:f>IF(B412="NED",1,IF(OR(B412="ED",B412="UN"),0,""))</x:f>
        <x:v>0</x:v>
      </x:c>
      <x:c r="M412" s="11" t="n">
        <x:f>IF(AND(K412=1,OR(B412="ED",B412="NED")),1,0)</x:f>
        <x:v>0</x:v>
      </x:c>
      <x:c r="N412" s="11" t="n">
        <x:f>IF(K412=1,1,0)</x:f>
        <x:v>0</x:v>
      </x:c>
      <x:c r="O412" s="12" t="str">
        <x:v>Require exact native accession match</x:v>
      </x:c>
      <x:c r="P412" s="11" t="n">
        <x:v>0</x:v>
      </x:c>
      <x:c r="Q412" s="12"/>
      <x:c r="R412" s="12"/>
      <x:c r="S412" s="11" t="n">
        <x:v>3092</x:v>
      </x:c>
      <x:c r="T412" s="11" t="n">
        <x:v>544</x:v>
      </x:c>
    </x:row>
    <x:row r="413" ht="23" customHeight="1">
      <x:c r="A413" s="2" t="str">
        <x:v>G5E896</x:v>
      </x:c>
      <x:c r="B413" s="2" t="str">
        <x:v>ED</x:v>
      </x:c>
      <x:c r="C413" s="2"/>
      <x:c r="D413" s="2"/>
      <x:c r="E413" s="10"/>
      <x:c r="F413" s="11"/>
      <x:c r="G413" s="11" t="n">
        <x:v>0</x:v>
      </x:c>
      <x:c r="H413" s="11" t="n">
        <x:v>0</x:v>
      </x:c>
      <x:c r="I413" s="11" t="n">
        <x:v>0</x:v>
      </x:c>
      <x:c r="J413" s="11" t="n">
        <x:v>0</x:v>
      </x:c>
      <x:c r="K413" s="11" t="n">
        <x:v>0</x:v>
      </x:c>
      <x:c r="L413" s="11" t="n">
        <x:f>IF(B413="NED",1,IF(OR(B413="ED",B413="UN"),0,""))</x:f>
        <x:v>0</x:v>
      </x:c>
      <x:c r="M413" s="11" t="n">
        <x:f>IF(AND(K413=1,OR(B413="ED",B413="NED")),1,0)</x:f>
        <x:v>0</x:v>
      </x:c>
      <x:c r="N413" s="11" t="n">
        <x:f>IF(K413=1,1,0)</x:f>
        <x:v>0</x:v>
      </x:c>
      <x:c r="O413" s="12" t="str">
        <x:v>Require exact native accession match</x:v>
      </x:c>
      <x:c r="P413" s="11" t="n">
        <x:v>0</x:v>
      </x:c>
      <x:c r="Q413" s="12"/>
      <x:c r="R413" s="12"/>
      <x:c r="S413" s="11" t="n">
        <x:v>3093</x:v>
      </x:c>
      <x:c r="T413" s="11" t="n">
        <x:v>1406</x:v>
      </x:c>
    </x:row>
    <x:row r="414" ht="23" customHeight="1">
      <x:c r="A414" s="2" t="str">
        <x:v>G5E897</x:v>
      </x:c>
      <x:c r="B414" s="2" t="str">
        <x:v>ED</x:v>
      </x:c>
      <x:c r="C414" s="2" t="n">
        <x:v>1</x:v>
      </x:c>
      <x:c r="D414" s="2" t="n">
        <x:v>1</x:v>
      </x:c>
      <x:c r="E414" s="10" t="n">
        <x:v>93.3086878727634</x:v>
      </x:c>
      <x:c r="F414" s="11" t="n">
        <x:v>503</x:v>
      </x:c>
      <x:c r="G414" s="11" t="n">
        <x:v>0</x:v>
      </x:c>
      <x:c r="H414" s="11" t="n">
        <x:v>0</x:v>
      </x:c>
      <x:c r="I414" s="11" t="n">
        <x:v>0</x:v>
      </x:c>
      <x:c r="J414" s="11" t="n">
        <x:v>0</x:v>
      </x:c>
      <x:c r="K414" s="11" t="n">
        <x:v>1</x:v>
      </x:c>
      <x:c r="L414" s="11" t="n">
        <x:f>IF(B414="NED",1,IF(OR(B414="ED",B414="UN"),0,""))</x:f>
        <x:v>0</x:v>
      </x:c>
      <x:c r="M414" s="11" t="n">
        <x:f>IF(AND(K414=1,OR(B414="ED",B414="NED")),1,0)</x:f>
        <x:v>1</x:v>
      </x:c>
      <x:c r="N414" s="11" t="n">
        <x:f>IF(K414=1,1,0)</x:f>
        <x:v>1</x:v>
      </x:c>
      <x:c r="O414" s="12"/>
      <x:c r="P414" s="11" t="n">
        <x:v>0</x:v>
      </x:c>
      <x:c r="Q414" s="12" t="str">
        <x:v>AF-G5E897-F1-model_v6</x:v>
      </x:c>
      <x:c r="R414" s="12" t="str">
        <x:v>ok</x:v>
      </x:c>
      <x:c r="S414" s="11" t="n">
        <x:v>3094</x:v>
      </x:c>
      <x:c r="T414" s="11" t="n">
        <x:v>503</x:v>
      </x:c>
    </x:row>
    <x:row r="415" ht="23" customHeight="1">
      <x:c r="A415" s="2" t="str">
        <x:v>G5E8A7</x:v>
      </x:c>
      <x:c r="B415" s="2" t="str">
        <x:v>ED</x:v>
      </x:c>
      <x:c r="C415" s="2"/>
      <x:c r="D415" s="2"/>
      <x:c r="E415" s="10"/>
      <x:c r="F415" s="11"/>
      <x:c r="G415" s="11" t="n">
        <x:v>0</x:v>
      </x:c>
      <x:c r="H415" s="11" t="n">
        <x:v>0</x:v>
      </x:c>
      <x:c r="I415" s="11" t="n">
        <x:v>0</x:v>
      </x:c>
      <x:c r="J415" s="11" t="n">
        <x:v>0</x:v>
      </x:c>
      <x:c r="K415" s="11" t="n">
        <x:v>0</x:v>
      </x:c>
      <x:c r="L415" s="11" t="n">
        <x:f>IF(B415="NED",1,IF(OR(B415="ED",B415="UN"),0,""))</x:f>
        <x:v>0</x:v>
      </x:c>
      <x:c r="M415" s="11" t="n">
        <x:f>IF(AND(K415=1,OR(B415="ED",B415="NED")),1,0)</x:f>
        <x:v>0</x:v>
      </x:c>
      <x:c r="N415" s="11" t="n">
        <x:f>IF(K415=1,1,0)</x:f>
        <x:v>0</x:v>
      </x:c>
      <x:c r="O415" s="12" t="str">
        <x:v>Require exact native accession match</x:v>
      </x:c>
      <x:c r="P415" s="11" t="n">
        <x:v>0</x:v>
      </x:c>
      <x:c r="Q415" s="12"/>
      <x:c r="R415" s="12"/>
      <x:c r="S415" s="11" t="n">
        <x:v>3095</x:v>
      </x:c>
      <x:c r="T415" s="11" t="n">
        <x:v>687</x:v>
      </x:c>
    </x:row>
    <x:row r="416" ht="23" customHeight="1">
      <x:c r="A416" s="2" t="str">
        <x:v>G5E8J0</x:v>
      </x:c>
      <x:c r="B416" s="2" t="str">
        <x:v>ED</x:v>
      </x:c>
      <x:c r="C416" s="2"/>
      <x:c r="D416" s="2"/>
      <x:c r="E416" s="10"/>
      <x:c r="F416" s="11"/>
      <x:c r="G416" s="11" t="n">
        <x:v>0</x:v>
      </x:c>
      <x:c r="H416" s="11" t="n">
        <x:v>0</x:v>
      </x:c>
      <x:c r="I416" s="11"/>
      <x:c r="J416" s="11"/>
      <x:c r="K416" s="11" t="n">
        <x:v>0</x:v>
      </x:c>
      <x:c r="L416" s="11" t="n">
        <x:f>IF(B416="NED",1,IF(OR(B416="ED",B416="UN"),0,""))</x:f>
        <x:v>0</x:v>
      </x:c>
      <x:c r="M416" s="11" t="n">
        <x:f>IF(AND(K416=1,OR(B416="ED",B416="NED")),1,0)</x:f>
        <x:v>0</x:v>
      </x:c>
      <x:c r="N416" s="11" t="n">
        <x:f>IF(K416=1,1,0)</x:f>
        <x:v>0</x:v>
      </x:c>
      <x:c r="O416" s="12" t="str">
        <x:v>Require exact native accession match</x:v>
      </x:c>
      <x:c r="P416" s="11" t="n">
        <x:v>0</x:v>
      </x:c>
      <x:c r="Q416" s="12"/>
      <x:c r="R416" s="12"/>
      <x:c r="S416" s="11" t="n">
        <x:v>3096</x:v>
      </x:c>
      <x:c r="T416" s="11"/>
    </x:row>
    <x:row r="417" ht="23" customHeight="1">
      <x:c r="A417" s="2" t="str">
        <x:v>G5E8J9</x:v>
      </x:c>
      <x:c r="B417" s="2" t="str">
        <x:v>ED</x:v>
      </x:c>
      <x:c r="C417" s="2"/>
      <x:c r="D417" s="2"/>
      <x:c r="E417" s="10"/>
      <x:c r="F417" s="11"/>
      <x:c r="G417" s="11" t="n">
        <x:v>0</x:v>
      </x:c>
      <x:c r="H417" s="11" t="n">
        <x:v>0</x:v>
      </x:c>
      <x:c r="I417" s="11" t="n">
        <x:v>1</x:v>
      </x:c>
      <x:c r="J417" s="11" t="n">
        <x:v>0</x:v>
      </x:c>
      <x:c r="K417" s="11" t="n">
        <x:v>0</x:v>
      </x:c>
      <x:c r="L417" s="11" t="n">
        <x:f>IF(B417="NED",1,IF(OR(B417="ED",B417="UN"),0,""))</x:f>
        <x:v>0</x:v>
      </x:c>
      <x:c r="M417" s="11" t="n">
        <x:f>IF(AND(K417=1,OR(B417="ED",B417="NED")),1,0)</x:f>
        <x:v>0</x:v>
      </x:c>
      <x:c r="N417" s="11" t="n">
        <x:f>IF(K417=1,1,0)</x:f>
        <x:v>0</x:v>
      </x:c>
      <x:c r="O417" s="12" t="str">
        <x:v>Require exact native accession match</x:v>
      </x:c>
      <x:c r="P417" s="11" t="n">
        <x:v>0</x:v>
      </x:c>
      <x:c r="Q417" s="12"/>
      <x:c r="R417" s="12"/>
      <x:c r="S417" s="11" t="n">
        <x:v>3097</x:v>
      </x:c>
      <x:c r="T417" s="11" t="n">
        <x:v>929</x:v>
      </x:c>
    </x:row>
    <x:row r="418" ht="23" customHeight="1">
      <x:c r="A418" s="2" t="str">
        <x:v>G5E8L2</x:v>
      </x:c>
      <x:c r="B418" s="2" t="str">
        <x:v>ED</x:v>
      </x:c>
      <x:c r="C418" s="2"/>
      <x:c r="D418" s="2"/>
      <x:c r="E418" s="10"/>
      <x:c r="F418" s="11"/>
      <x:c r="G418" s="11" t="n">
        <x:v>0</x:v>
      </x:c>
      <x:c r="H418" s="11" t="n">
        <x:v>0</x:v>
      </x:c>
      <x:c r="I418" s="11" t="n">
        <x:v>0</x:v>
      </x:c>
      <x:c r="J418" s="11" t="n">
        <x:v>0</x:v>
      </x:c>
      <x:c r="K418" s="11" t="n">
        <x:v>0</x:v>
      </x:c>
      <x:c r="L418" s="11" t="n">
        <x:f>IF(B418="NED",1,IF(OR(B418="ED",B418="UN"),0,""))</x:f>
        <x:v>0</x:v>
      </x:c>
      <x:c r="M418" s="11" t="n">
        <x:f>IF(AND(K418=1,OR(B418="ED",B418="NED")),1,0)</x:f>
        <x:v>0</x:v>
      </x:c>
      <x:c r="N418" s="11" t="n">
        <x:f>IF(K418=1,1,0)</x:f>
        <x:v>0</x:v>
      </x:c>
      <x:c r="O418" s="12" t="str">
        <x:v>Require exact native accession match</x:v>
      </x:c>
      <x:c r="P418" s="11" t="n">
        <x:v>0</x:v>
      </x:c>
      <x:c r="Q418" s="12"/>
      <x:c r="R418" s="12"/>
      <x:c r="S418" s="11" t="n">
        <x:v>3098</x:v>
      </x:c>
      <x:c r="T418" s="11" t="n">
        <x:v>375</x:v>
      </x:c>
    </x:row>
    <x:row r="419" ht="23" customHeight="1">
      <x:c r="A419" s="2" t="str">
        <x:v>G5E8R8</x:v>
      </x:c>
      <x:c r="B419" s="2" t="str">
        <x:v>UN</x:v>
      </x:c>
      <x:c r="C419" s="2"/>
      <x:c r="D419" s="2"/>
      <x:c r="E419" s="10"/>
      <x:c r="F419" s="11"/>
      <x:c r="G419" s="11" t="n">
        <x:v>0</x:v>
      </x:c>
      <x:c r="H419" s="11" t="n">
        <x:v>0</x:v>
      </x:c>
      <x:c r="I419" s="11" t="n">
        <x:v>0</x:v>
      </x:c>
      <x:c r="J419" s="11" t="n">
        <x:v>0</x:v>
      </x:c>
      <x:c r="K419" s="11" t="n">
        <x:v>0</x:v>
      </x:c>
      <x:c r="L419" s="11" t="n">
        <x:f>IF(B419="NED",1,IF(OR(B419="ED",B419="UN"),0,""))</x:f>
        <x:v>0</x:v>
      </x:c>
      <x:c r="M419" s="11" t="n">
        <x:f>IF(AND(K419=1,OR(B419="ED",B419="NED")),1,0)</x:f>
        <x:v>0</x:v>
      </x:c>
      <x:c r="N419" s="11" t="n">
        <x:f>IF(K419=1,1,0)</x:f>
        <x:v>0</x:v>
      </x:c>
      <x:c r="O419" s="12" t="str">
        <x:v>Require exact native accession match</x:v>
      </x:c>
      <x:c r="P419" s="11" t="n">
        <x:v>0</x:v>
      </x:c>
      <x:c r="Q419" s="12"/>
      <x:c r="R419" s="12"/>
      <x:c r="S419" s="11" t="n">
        <x:v>3099</x:v>
      </x:c>
      <x:c r="T419" s="11" t="n">
        <x:v>489</x:v>
      </x:c>
    </x:row>
    <x:row r="420" ht="23" customHeight="1">
      <x:c r="A420" s="2" t="str">
        <x:v>G5E8S8</x:v>
      </x:c>
      <x:c r="B420" s="2" t="str">
        <x:v>UN</x:v>
      </x:c>
      <x:c r="C420" s="2"/>
      <x:c r="D420" s="2"/>
      <x:c r="E420" s="10"/>
      <x:c r="F420" s="11"/>
      <x:c r="G420" s="11" t="n">
        <x:v>0</x:v>
      </x:c>
      <x:c r="H420" s="11" t="n">
        <x:v>0</x:v>
      </x:c>
      <x:c r="I420" s="11" t="n">
        <x:v>1</x:v>
      </x:c>
      <x:c r="J420" s="11" t="n">
        <x:v>0</x:v>
      </x:c>
      <x:c r="K420" s="11" t="n">
        <x:v>0</x:v>
      </x:c>
      <x:c r="L420" s="11" t="n">
        <x:f>IF(B420="NED",1,IF(OR(B420="ED",B420="UN"),0,""))</x:f>
        <x:v>0</x:v>
      </x:c>
      <x:c r="M420" s="11" t="n">
        <x:f>IF(AND(K420=1,OR(B420="ED",B420="NED")),1,0)</x:f>
        <x:v>0</x:v>
      </x:c>
      <x:c r="N420" s="11" t="n">
        <x:f>IF(K420=1,1,0)</x:f>
        <x:v>0</x:v>
      </x:c>
      <x:c r="O420" s="12" t="str">
        <x:v>Require exact native accession match</x:v>
      </x:c>
      <x:c r="P420" s="11" t="n">
        <x:v>0</x:v>
      </x:c>
      <x:c r="Q420" s="12"/>
      <x:c r="R420" s="12"/>
      <x:c r="S420" s="11" t="n">
        <x:v>3100</x:v>
      </x:c>
      <x:c r="T420" s="11" t="n">
        <x:v>576</x:v>
      </x:c>
    </x:row>
    <x:row r="421" ht="23" customHeight="1">
      <x:c r="A421" s="2" t="str">
        <x:v>G5E8V8</x:v>
      </x:c>
      <x:c r="B421" s="2" t="str">
        <x:v>ED</x:v>
      </x:c>
      <x:c r="C421" s="2"/>
      <x:c r="D421" s="2"/>
      <x:c r="E421" s="10"/>
      <x:c r="F421" s="11"/>
      <x:c r="G421" s="11" t="n">
        <x:v>0</x:v>
      </x:c>
      <x:c r="H421" s="11" t="n">
        <x:v>0</x:v>
      </x:c>
      <x:c r="I421" s="11" t="n">
        <x:v>0</x:v>
      </x:c>
      <x:c r="J421" s="11" t="n">
        <x:v>0</x:v>
      </x:c>
      <x:c r="K421" s="11" t="n">
        <x:v>0</x:v>
      </x:c>
      <x:c r="L421" s="11" t="n">
        <x:f>IF(B421="NED",1,IF(OR(B421="ED",B421="UN"),0,""))</x:f>
        <x:v>0</x:v>
      </x:c>
      <x:c r="M421" s="11" t="n">
        <x:f>IF(AND(K421=1,OR(B421="ED",B421="NED")),1,0)</x:f>
        <x:v>0</x:v>
      </x:c>
      <x:c r="N421" s="11" t="n">
        <x:f>IF(K421=1,1,0)</x:f>
        <x:v>0</x:v>
      </x:c>
      <x:c r="O421" s="12" t="str">
        <x:v>Require exact native accession match</x:v>
      </x:c>
      <x:c r="P421" s="11" t="n">
        <x:v>0</x:v>
      </x:c>
      <x:c r="Q421" s="12"/>
      <x:c r="R421" s="12"/>
      <x:c r="S421" s="11" t="n">
        <x:v>3101</x:v>
      </x:c>
      <x:c r="T421" s="11" t="n">
        <x:v>363</x:v>
      </x:c>
    </x:row>
    <x:row r="422" ht="23" customHeight="1">
      <x:c r="A422" s="2" t="str">
        <x:v>G5E8V9</x:v>
      </x:c>
      <x:c r="B422" s="2" t="str">
        <x:v>ED</x:v>
      </x:c>
      <x:c r="C422" s="2" t="n">
        <x:v>0</x:v>
      </x:c>
      <x:c r="D422" s="2" t="n">
        <x:v>0</x:v>
      </x:c>
      <x:c r="E422" s="10"/>
      <x:c r="F422" s="11" t="n">
        <x:v>373</x:v>
      </x:c>
      <x:c r="G422" s="11" t="n">
        <x:v>0</x:v>
      </x:c>
      <x:c r="H422" s="11" t="n">
        <x:v>0</x:v>
      </x:c>
      <x:c r="I422" s="11" t="n">
        <x:v>1</x:v>
      </x:c>
      <x:c r="J422" s="11" t="n">
        <x:v>0</x:v>
      </x:c>
      <x:c r="K422" s="11" t="n">
        <x:v>0</x:v>
      </x:c>
      <x:c r="L422" s="11" t="n">
        <x:f>IF(B422="NED",1,IF(OR(B422="ED",B422="UN"),0,""))</x:f>
        <x:v>0</x:v>
      </x:c>
      <x:c r="M422" s="11" t="n">
        <x:f>IF(AND(K422=1,OR(B422="ED",B422="NED")),1,0)</x:f>
        <x:v>0</x:v>
      </x:c>
      <x:c r="N422" s="11" t="n">
        <x:f>IF(K422=1,1,0)</x:f>
        <x:v>0</x:v>
      </x:c>
      <x:c r="O422" s="12" t="str">
        <x:v>Exclude UniProt Membrane keyword</x:v>
      </x:c>
      <x:c r="P422" s="11" t="n">
        <x:v>0</x:v>
      </x:c>
      <x:c r="Q422" s="12" t="str">
        <x:v>AF-G5E8V9-F1-model_v6</x:v>
      </x:c>
      <x:c r="R422" s="12" t="str">
        <x:v>ok</x:v>
      </x:c>
      <x:c r="S422" s="11" t="n">
        <x:v>3102</x:v>
      </x:c>
      <x:c r="T422" s="11" t="n">
        <x:v>373</x:v>
      </x:c>
    </x:row>
    <x:row r="423" ht="23" customHeight="1">
      <x:c r="A423" s="2" t="str">
        <x:v>G8JL74</x:v>
      </x:c>
      <x:c r="B423" s="2" t="str">
        <x:v>ED</x:v>
      </x:c>
      <x:c r="C423" s="2"/>
      <x:c r="D423" s="2"/>
      <x:c r="E423" s="10"/>
      <x:c r="F423" s="11"/>
      <x:c r="G423" s="11" t="n">
        <x:v>0</x:v>
      </x:c>
      <x:c r="H423" s="11" t="n">
        <x:v>0</x:v>
      </x:c>
      <x:c r="I423" s="11" t="n">
        <x:v>0</x:v>
      </x:c>
      <x:c r="J423" s="11" t="n">
        <x:v>0</x:v>
      </x:c>
      <x:c r="K423" s="11" t="n">
        <x:v>0</x:v>
      </x:c>
      <x:c r="L423" s="11" t="n">
        <x:f>IF(B423="NED",1,IF(OR(B423="ED",B423="UN"),0,""))</x:f>
        <x:v>0</x:v>
      </x:c>
      <x:c r="M423" s="11" t="n">
        <x:f>IF(AND(K423=1,OR(B423="ED",B423="NED")),1,0)</x:f>
        <x:v>0</x:v>
      </x:c>
      <x:c r="N423" s="11" t="n">
        <x:f>IF(K423=1,1,0)</x:f>
        <x:v>0</x:v>
      </x:c>
      <x:c r="O423" s="12" t="str">
        <x:v>Require exact native accession match</x:v>
      </x:c>
      <x:c r="P423" s="11" t="n">
        <x:v>0</x:v>
      </x:c>
      <x:c r="Q423" s="12"/>
      <x:c r="R423" s="12"/>
      <x:c r="S423" s="11" t="n">
        <x:v>3103</x:v>
      </x:c>
      <x:c r="T423" s="11" t="n">
        <x:v>551</x:v>
      </x:c>
    </x:row>
    <x:row r="424" ht="23" customHeight="1">
      <x:c r="A424" s="2" t="str">
        <x:v>H3BIX9</x:v>
      </x:c>
      <x:c r="B424" s="2" t="str">
        <x:v>ED</x:v>
      </x:c>
      <x:c r="C424" s="2"/>
      <x:c r="D424" s="2"/>
      <x:c r="E424" s="10"/>
      <x:c r="F424" s="11"/>
      <x:c r="G424" s="11" t="n">
        <x:v>0</x:v>
      </x:c>
      <x:c r="H424" s="11" t="n">
        <x:v>0</x:v>
      </x:c>
      <x:c r="I424" s="11" t="n">
        <x:v>1</x:v>
      </x:c>
      <x:c r="J424" s="11" t="n">
        <x:v>0</x:v>
      </x:c>
      <x:c r="K424" s="11" t="n">
        <x:v>0</x:v>
      </x:c>
      <x:c r="L424" s="11" t="n">
        <x:f>IF(B424="NED",1,IF(OR(B424="ED",B424="UN"),0,""))</x:f>
        <x:v>0</x:v>
      </x:c>
      <x:c r="M424" s="11" t="n">
        <x:f>IF(AND(K424=1,OR(B424="ED",B424="NED")),1,0)</x:f>
        <x:v>0</x:v>
      </x:c>
      <x:c r="N424" s="11" t="n">
        <x:f>IF(K424=1,1,0)</x:f>
        <x:v>0</x:v>
      </x:c>
      <x:c r="O424" s="12" t="str">
        <x:v>Require exact native accession match</x:v>
      </x:c>
      <x:c r="P424" s="11" t="n">
        <x:v>0</x:v>
      </x:c>
      <x:c r="Q424" s="12"/>
      <x:c r="R424" s="12"/>
      <x:c r="S424" s="11" t="n">
        <x:v>3104</x:v>
      </x:c>
      <x:c r="T424" s="11" t="n">
        <x:v>626</x:v>
      </x:c>
    </x:row>
    <x:row r="425" ht="23" customHeight="1">
      <x:c r="A425" s="2" t="str">
        <x:v>H3BJ51</x:v>
      </x:c>
      <x:c r="B425" s="2" t="str">
        <x:v>UN</x:v>
      </x:c>
      <x:c r="C425" s="2"/>
      <x:c r="D425" s="2"/>
      <x:c r="E425" s="10"/>
      <x:c r="F425" s="11"/>
      <x:c r="G425" s="11" t="n">
        <x:v>0</x:v>
      </x:c>
      <x:c r="H425" s="11" t="n">
        <x:v>0</x:v>
      </x:c>
      <x:c r="I425" s="11" t="n">
        <x:v>1</x:v>
      </x:c>
      <x:c r="J425" s="11" t="n">
        <x:v>0</x:v>
      </x:c>
      <x:c r="K425" s="11" t="n">
        <x:v>0</x:v>
      </x:c>
      <x:c r="L425" s="11" t="n">
        <x:f>IF(B425="NED",1,IF(OR(B425="ED",B425="UN"),0,""))</x:f>
        <x:v>0</x:v>
      </x:c>
      <x:c r="M425" s="11" t="n">
        <x:f>IF(AND(K425=1,OR(B425="ED",B425="NED")),1,0)</x:f>
        <x:v>0</x:v>
      </x:c>
      <x:c r="N425" s="11" t="n">
        <x:f>IF(K425=1,1,0)</x:f>
        <x:v>0</x:v>
      </x:c>
      <x:c r="O425" s="12" t="str">
        <x:v>Require exact native accession match</x:v>
      </x:c>
      <x:c r="P425" s="11" t="n">
        <x:v>0</x:v>
      </x:c>
      <x:c r="Q425" s="12"/>
      <x:c r="R425" s="12"/>
      <x:c r="S425" s="11" t="n">
        <x:v>3105</x:v>
      </x:c>
      <x:c r="T425" s="11" t="n">
        <x:v>548</x:v>
      </x:c>
    </x:row>
    <x:row r="426" ht="23" customHeight="1">
      <x:c r="A426" s="2" t="str">
        <x:v>H3BK44</x:v>
      </x:c>
      <x:c r="B426" s="2" t="str">
        <x:v>ED</x:v>
      </x:c>
      <x:c r="C426" s="2"/>
      <x:c r="D426" s="2"/>
      <x:c r="E426" s="10"/>
      <x:c r="F426" s="11"/>
      <x:c r="G426" s="11" t="n">
        <x:v>0</x:v>
      </x:c>
      <x:c r="H426" s="11" t="n">
        <x:v>0</x:v>
      </x:c>
      <x:c r="I426" s="11" t="n">
        <x:v>1</x:v>
      </x:c>
      <x:c r="J426" s="11" t="n">
        <x:v>0</x:v>
      </x:c>
      <x:c r="K426" s="11" t="n">
        <x:v>0</x:v>
      </x:c>
      <x:c r="L426" s="11" t="n">
        <x:f>IF(B426="NED",1,IF(OR(B426="ED",B426="UN"),0,""))</x:f>
        <x:v>0</x:v>
      </x:c>
      <x:c r="M426" s="11" t="n">
        <x:f>IF(AND(K426=1,OR(B426="ED",B426="NED")),1,0)</x:f>
        <x:v>0</x:v>
      </x:c>
      <x:c r="N426" s="11" t="n">
        <x:f>IF(K426=1,1,0)</x:f>
        <x:v>0</x:v>
      </x:c>
      <x:c r="O426" s="12" t="str">
        <x:v>Require exact native accession match</x:v>
      </x:c>
      <x:c r="P426" s="11" t="n">
        <x:v>0</x:v>
      </x:c>
      <x:c r="Q426" s="12"/>
      <x:c r="R426" s="12"/>
      <x:c r="S426" s="11" t="n">
        <x:v>3106</x:v>
      </x:c>
      <x:c r="T426" s="11" t="n">
        <x:v>761</x:v>
      </x:c>
    </x:row>
    <x:row r="427" ht="23" customHeight="1">
      <x:c r="A427" s="2" t="str">
        <x:v>H3BKH9</x:v>
      </x:c>
      <x:c r="B427" s="2" t="str">
        <x:v>UN</x:v>
      </x:c>
      <x:c r="C427" s="2"/>
      <x:c r="D427" s="2"/>
      <x:c r="E427" s="10"/>
      <x:c r="F427" s="11"/>
      <x:c r="G427" s="11" t="n">
        <x:v>0</x:v>
      </x:c>
      <x:c r="H427" s="11" t="n">
        <x:v>0</x:v>
      </x:c>
      <x:c r="I427" s="11" t="n">
        <x:v>0</x:v>
      </x:c>
      <x:c r="J427" s="11" t="n">
        <x:v>0</x:v>
      </x:c>
      <x:c r="K427" s="11" t="n">
        <x:v>0</x:v>
      </x:c>
      <x:c r="L427" s="11" t="n">
        <x:f>IF(B427="NED",1,IF(OR(B427="ED",B427="UN"),0,""))</x:f>
        <x:v>0</x:v>
      </x:c>
      <x:c r="M427" s="11" t="n">
        <x:f>IF(AND(K427=1,OR(B427="ED",B427="NED")),1,0)</x:f>
        <x:v>0</x:v>
      </x:c>
      <x:c r="N427" s="11" t="n">
        <x:f>IF(K427=1,1,0)</x:f>
        <x:v>0</x:v>
      </x:c>
      <x:c r="O427" s="12" t="str">
        <x:v>Require exact native accession match</x:v>
      </x:c>
      <x:c r="P427" s="11" t="n">
        <x:v>0</x:v>
      </x:c>
      <x:c r="Q427" s="12"/>
      <x:c r="R427" s="12"/>
      <x:c r="S427" s="11" t="n">
        <x:v>3107</x:v>
      </x:c>
      <x:c r="T427" s="11" t="n">
        <x:v>983</x:v>
      </x:c>
    </x:row>
    <x:row r="428" ht="23" customHeight="1">
      <x:c r="A428" s="2" t="str">
        <x:v>H3BL41</x:v>
      </x:c>
      <x:c r="B428" s="2" t="str">
        <x:v>NED</x:v>
      </x:c>
      <x:c r="C428" s="2"/>
      <x:c r="D428" s="2"/>
      <x:c r="E428" s="10"/>
      <x:c r="F428" s="11"/>
      <x:c r="G428" s="11" t="n">
        <x:v>0</x:v>
      </x:c>
      <x:c r="H428" s="11" t="n">
        <x:v>0</x:v>
      </x:c>
      <x:c r="I428" s="11" t="n">
        <x:v>1</x:v>
      </x:c>
      <x:c r="J428" s="11" t="n">
        <x:v>0</x:v>
      </x:c>
      <x:c r="K428" s="11" t="n">
        <x:v>0</x:v>
      </x:c>
      <x:c r="L428" s="11" t="n">
        <x:f>IF(B428="NED",1,IF(OR(B428="ED",B428="UN"),0,""))</x:f>
        <x:v>1</x:v>
      </x:c>
      <x:c r="M428" s="11" t="n">
        <x:f>IF(AND(K428=1,OR(B428="ED",B428="NED")),1,0)</x:f>
        <x:v>0</x:v>
      </x:c>
      <x:c r="N428" s="11" t="n">
        <x:f>IF(K428=1,1,0)</x:f>
        <x:v>0</x:v>
      </x:c>
      <x:c r="O428" s="12" t="str">
        <x:v>Require exact native accession match</x:v>
      </x:c>
      <x:c r="P428" s="11" t="n">
        <x:v>0</x:v>
      </x:c>
      <x:c r="Q428" s="12"/>
      <x:c r="R428" s="12"/>
      <x:c r="S428" s="11" t="n">
        <x:v>3108</x:v>
      </x:c>
      <x:c r="T428" s="11" t="n">
        <x:v>1124</x:v>
      </x:c>
    </x:row>
    <x:row r="429" ht="23" customHeight="1">
      <x:c r="A429" s="2" t="str">
        <x:v>H7BWX9</x:v>
      </x:c>
      <x:c r="B429" s="2" t="str">
        <x:v>UN</x:v>
      </x:c>
      <x:c r="C429" s="2"/>
      <x:c r="D429" s="2"/>
      <x:c r="E429" s="10"/>
      <x:c r="F429" s="11"/>
      <x:c r="G429" s="11" t="n">
        <x:v>0</x:v>
      </x:c>
      <x:c r="H429" s="11" t="n">
        <x:v>0</x:v>
      </x:c>
      <x:c r="I429" s="11" t="n">
        <x:v>0</x:v>
      </x:c>
      <x:c r="J429" s="11" t="n">
        <x:v>0</x:v>
      </x:c>
      <x:c r="K429" s="11" t="n">
        <x:v>0</x:v>
      </x:c>
      <x:c r="L429" s="11" t="n">
        <x:f>IF(B429="NED",1,IF(OR(B429="ED",B429="UN"),0,""))</x:f>
        <x:v>0</x:v>
      </x:c>
      <x:c r="M429" s="11" t="n">
        <x:f>IF(AND(K429=1,OR(B429="ED",B429="NED")),1,0)</x:f>
        <x:v>0</x:v>
      </x:c>
      <x:c r="N429" s="11" t="n">
        <x:f>IF(K429=1,1,0)</x:f>
        <x:v>0</x:v>
      </x:c>
      <x:c r="O429" s="12" t="str">
        <x:v>Require exact native accession match</x:v>
      </x:c>
      <x:c r="P429" s="11" t="n">
        <x:v>0</x:v>
      </x:c>
      <x:c r="Q429" s="12"/>
      <x:c r="R429" s="12"/>
      <x:c r="S429" s="11" t="n">
        <x:v>3109</x:v>
      </x:c>
      <x:c r="T429" s="11" t="n">
        <x:v>53</x:v>
      </x:c>
    </x:row>
    <x:row r="430" ht="23" customHeight="1">
      <x:c r="A430" s="2" t="str">
        <x:v>H7BWY4</x:v>
      </x:c>
      <x:c r="B430" s="2" t="str">
        <x:v>ED</x:v>
      </x:c>
      <x:c r="C430" s="2"/>
      <x:c r="D430" s="2"/>
      <x:c r="E430" s="10"/>
      <x:c r="F430" s="11"/>
      <x:c r="G430" s="11" t="n">
        <x:v>0</x:v>
      </x:c>
      <x:c r="H430" s="11" t="n">
        <x:v>0</x:v>
      </x:c>
      <x:c r="I430" s="11" t="n">
        <x:v>1</x:v>
      </x:c>
      <x:c r="J430" s="11" t="n">
        <x:v>0</x:v>
      </x:c>
      <x:c r="K430" s="11" t="n">
        <x:v>0</x:v>
      </x:c>
      <x:c r="L430" s="11" t="n">
        <x:f>IF(B430="NED",1,IF(OR(B430="ED",B430="UN"),0,""))</x:f>
        <x:v>0</x:v>
      </x:c>
      <x:c r="M430" s="11" t="n">
        <x:f>IF(AND(K430=1,OR(B430="ED",B430="NED")),1,0)</x:f>
        <x:v>0</x:v>
      </x:c>
      <x:c r="N430" s="11" t="n">
        <x:f>IF(K430=1,1,0)</x:f>
        <x:v>0</x:v>
      </x:c>
      <x:c r="O430" s="12" t="str">
        <x:v>Require exact native accession match</x:v>
      </x:c>
      <x:c r="P430" s="11" t="n">
        <x:v>0</x:v>
      </x:c>
      <x:c r="Q430" s="12"/>
      <x:c r="R430" s="12"/>
      <x:c r="S430" s="11" t="n">
        <x:v>3110</x:v>
      </x:c>
      <x:c r="T430" s="11" t="n">
        <x:v>872</x:v>
      </x:c>
    </x:row>
    <x:row r="431" ht="23" customHeight="1">
      <x:c r="A431" s="2" t="str">
        <x:v>H7BX02</x:v>
      </x:c>
      <x:c r="B431" s="2" t="str">
        <x:v>ED</x:v>
      </x:c>
      <x:c r="C431" s="2"/>
      <x:c r="D431" s="2"/>
      <x:c r="E431" s="10"/>
      <x:c r="F431" s="11"/>
      <x:c r="G431" s="11" t="n">
        <x:v>0</x:v>
      </x:c>
      <x:c r="H431" s="11" t="n">
        <x:v>0</x:v>
      </x:c>
      <x:c r="I431" s="11" t="n">
        <x:v>0</x:v>
      </x:c>
      <x:c r="J431" s="11" t="n">
        <x:v>0</x:v>
      </x:c>
      <x:c r="K431" s="11" t="n">
        <x:v>0</x:v>
      </x:c>
      <x:c r="L431" s="11" t="n">
        <x:f>IF(B431="NED",1,IF(OR(B431="ED",B431="UN"),0,""))</x:f>
        <x:v>0</x:v>
      </x:c>
      <x:c r="M431" s="11" t="n">
        <x:f>IF(AND(K431=1,OR(B431="ED",B431="NED")),1,0)</x:f>
        <x:v>0</x:v>
      </x:c>
      <x:c r="N431" s="11" t="n">
        <x:f>IF(K431=1,1,0)</x:f>
        <x:v>0</x:v>
      </x:c>
      <x:c r="O431" s="12" t="str">
        <x:v>Require exact native accession match</x:v>
      </x:c>
      <x:c r="P431" s="11" t="n">
        <x:v>0</x:v>
      </x:c>
      <x:c r="Q431" s="12"/>
      <x:c r="R431" s="12"/>
      <x:c r="S431" s="11" t="n">
        <x:v>3111</x:v>
      </x:c>
      <x:c r="T431" s="11" t="n">
        <x:v>1121</x:v>
      </x:c>
    </x:row>
    <x:row r="432" ht="23" customHeight="1">
      <x:c r="A432" s="2" t="str">
        <x:v>H7BX14</x:v>
      </x:c>
      <x:c r="B432" s="2" t="str">
        <x:v>ED</x:v>
      </x:c>
      <x:c r="C432" s="2"/>
      <x:c r="D432" s="2"/>
      <x:c r="E432" s="10"/>
      <x:c r="F432" s="11"/>
      <x:c r="G432" s="11" t="n">
        <x:v>0</x:v>
      </x:c>
      <x:c r="H432" s="11" t="n">
        <x:v>0</x:v>
      </x:c>
      <x:c r="I432" s="11" t="n">
        <x:v>0</x:v>
      </x:c>
      <x:c r="J432" s="11" t="n">
        <x:v>0</x:v>
      </x:c>
      <x:c r="K432" s="11" t="n">
        <x:v>0</x:v>
      </x:c>
      <x:c r="L432" s="11" t="n">
        <x:f>IF(B432="NED",1,IF(OR(B432="ED",B432="UN"),0,""))</x:f>
        <x:v>0</x:v>
      </x:c>
      <x:c r="M432" s="11" t="n">
        <x:f>IF(AND(K432=1,OR(B432="ED",B432="NED")),1,0)</x:f>
        <x:v>0</x:v>
      </x:c>
      <x:c r="N432" s="11" t="n">
        <x:f>IF(K432=1,1,0)</x:f>
        <x:v>0</x:v>
      </x:c>
      <x:c r="O432" s="12" t="str">
        <x:v>Require exact native accession match</x:v>
      </x:c>
      <x:c r="P432" s="11" t="n">
        <x:v>0</x:v>
      </x:c>
      <x:c r="Q432" s="12"/>
      <x:c r="R432" s="12"/>
      <x:c r="S432" s="11" t="n">
        <x:v>3112</x:v>
      </x:c>
      <x:c r="T432" s="11" t="n">
        <x:v>312</x:v>
      </x:c>
    </x:row>
    <x:row r="433" ht="23" customHeight="1">
      <x:c r="A433" s="2" t="str">
        <x:v>H7BX26</x:v>
      </x:c>
      <x:c r="B433" s="2" t="str">
        <x:v>ED</x:v>
      </x:c>
      <x:c r="C433" s="2"/>
      <x:c r="D433" s="2"/>
      <x:c r="E433" s="10"/>
      <x:c r="F433" s="11"/>
      <x:c r="G433" s="11" t="n">
        <x:v>0</x:v>
      </x:c>
      <x:c r="H433" s="11" t="n">
        <x:v>0</x:v>
      </x:c>
      <x:c r="I433" s="11" t="n">
        <x:v>0</x:v>
      </x:c>
      <x:c r="J433" s="11" t="n">
        <x:v>0</x:v>
      </x:c>
      <x:c r="K433" s="11" t="n">
        <x:v>0</x:v>
      </x:c>
      <x:c r="L433" s="11" t="n">
        <x:f>IF(B433="NED",1,IF(OR(B433="ED",B433="UN"),0,""))</x:f>
        <x:v>0</x:v>
      </x:c>
      <x:c r="M433" s="11" t="n">
        <x:f>IF(AND(K433=1,OR(B433="ED",B433="NED")),1,0)</x:f>
        <x:v>0</x:v>
      </x:c>
      <x:c r="N433" s="11" t="n">
        <x:f>IF(K433=1,1,0)</x:f>
        <x:v>0</x:v>
      </x:c>
      <x:c r="O433" s="12" t="str">
        <x:v>Require exact native accession match</x:v>
      </x:c>
      <x:c r="P433" s="11" t="n">
        <x:v>0</x:v>
      </x:c>
      <x:c r="Q433" s="12"/>
      <x:c r="R433" s="12"/>
      <x:c r="S433" s="11" t="n">
        <x:v>3113</x:v>
      </x:c>
      <x:c r="T433" s="11" t="n">
        <x:v>1578</x:v>
      </x:c>
    </x:row>
    <x:row r="434" ht="23" customHeight="1">
      <x:c r="A434" s="2" t="str">
        <x:v>H7BX32</x:v>
      </x:c>
      <x:c r="B434" s="2" t="str">
        <x:v>UN</x:v>
      </x:c>
      <x:c r="C434" s="2"/>
      <x:c r="D434" s="2"/>
      <x:c r="E434" s="10"/>
      <x:c r="F434" s="11"/>
      <x:c r="G434" s="11" t="n">
        <x:v>0</x:v>
      </x:c>
      <x:c r="H434" s="11" t="n">
        <x:v>0</x:v>
      </x:c>
      <x:c r="I434" s="11"/>
      <x:c r="J434" s="11"/>
      <x:c r="K434" s="11" t="n">
        <x:v>0</x:v>
      </x:c>
      <x:c r="L434" s="11" t="n">
        <x:f>IF(B434="NED",1,IF(OR(B434="ED",B434="UN"),0,""))</x:f>
        <x:v>0</x:v>
      </x:c>
      <x:c r="M434" s="11" t="n">
        <x:f>IF(AND(K434=1,OR(B434="ED",B434="NED")),1,0)</x:f>
        <x:v>0</x:v>
      </x:c>
      <x:c r="N434" s="11" t="n">
        <x:f>IF(K434=1,1,0)</x:f>
        <x:v>0</x:v>
      </x:c>
      <x:c r="O434" s="12" t="str">
        <x:v>Require exact native accession match</x:v>
      </x:c>
      <x:c r="P434" s="11" t="n">
        <x:v>0</x:v>
      </x:c>
      <x:c r="Q434" s="12"/>
      <x:c r="R434" s="12"/>
      <x:c r="S434" s="11" t="n">
        <x:v>3114</x:v>
      </x:c>
      <x:c r="T434" s="11"/>
    </x:row>
    <x:row r="435" ht="23" customHeight="1">
      <x:c r="A435" s="2" t="str">
        <x:v>H7BX50</x:v>
      </x:c>
      <x:c r="B435" s="2" t="str">
        <x:v>ED</x:v>
      </x:c>
      <x:c r="C435" s="2"/>
      <x:c r="D435" s="2"/>
      <x:c r="E435" s="10"/>
      <x:c r="F435" s="11"/>
      <x:c r="G435" s="11" t="n">
        <x:v>0</x:v>
      </x:c>
      <x:c r="H435" s="11" t="n">
        <x:v>0</x:v>
      </x:c>
      <x:c r="I435" s="11" t="n">
        <x:v>0</x:v>
      </x:c>
      <x:c r="J435" s="11" t="n">
        <x:v>0</x:v>
      </x:c>
      <x:c r="K435" s="11" t="n">
        <x:v>0</x:v>
      </x:c>
      <x:c r="L435" s="11" t="n">
        <x:f>IF(B435="NED",1,IF(OR(B435="ED",B435="UN"),0,""))</x:f>
        <x:v>0</x:v>
      </x:c>
      <x:c r="M435" s="11" t="n">
        <x:f>IF(AND(K435=1,OR(B435="ED",B435="NED")),1,0)</x:f>
        <x:v>0</x:v>
      </x:c>
      <x:c r="N435" s="11" t="n">
        <x:f>IF(K435=1,1,0)</x:f>
        <x:v>0</x:v>
      </x:c>
      <x:c r="O435" s="12" t="str">
        <x:v>Require exact native accession match</x:v>
      </x:c>
      <x:c r="P435" s="11" t="n">
        <x:v>0</x:v>
      </x:c>
      <x:c r="Q435" s="12"/>
      <x:c r="R435" s="12"/>
      <x:c r="S435" s="11" t="n">
        <x:v>3115</x:v>
      </x:c>
      <x:c r="T435" s="11" t="n">
        <x:v>2833</x:v>
      </x:c>
    </x:row>
    <x:row r="436" ht="23" customHeight="1">
      <x:c r="A436" s="2" t="str">
        <x:v>H9H9S3</x:v>
      </x:c>
      <x:c r="B436" s="2" t="str">
        <x:v>ED</x:v>
      </x:c>
      <x:c r="C436" s="2"/>
      <x:c r="D436" s="2"/>
      <x:c r="E436" s="10"/>
      <x:c r="F436" s="11"/>
      <x:c r="G436" s="11" t="n">
        <x:v>0</x:v>
      </x:c>
      <x:c r="H436" s="11" t="n">
        <x:v>0</x:v>
      </x:c>
      <x:c r="I436" s="11" t="n">
        <x:v>0</x:v>
      </x:c>
      <x:c r="J436" s="11" t="n">
        <x:v>0</x:v>
      </x:c>
      <x:c r="K436" s="11" t="n">
        <x:v>0</x:v>
      </x:c>
      <x:c r="L436" s="11" t="n">
        <x:f>IF(B436="NED",1,IF(OR(B436="ED",B436="UN"),0,""))</x:f>
        <x:v>0</x:v>
      </x:c>
      <x:c r="M436" s="11" t="n">
        <x:f>IF(AND(K436=1,OR(B436="ED",B436="NED")),1,0)</x:f>
        <x:v>0</x:v>
      </x:c>
      <x:c r="N436" s="11" t="n">
        <x:f>IF(K436=1,1,0)</x:f>
        <x:v>0</x:v>
      </x:c>
      <x:c r="O436" s="12" t="str">
        <x:v>Require exact native accession match</x:v>
      </x:c>
      <x:c r="P436" s="11" t="n">
        <x:v>0</x:v>
      </x:c>
      <x:c r="Q436" s="12"/>
      <x:c r="R436" s="12"/>
      <x:c r="S436" s="11" t="n">
        <x:v>3116</x:v>
      </x:c>
      <x:c r="T436" s="11" t="n">
        <x:v>1214</x:v>
      </x:c>
    </x:row>
    <x:row r="437" ht="23" customHeight="1">
      <x:c r="A437" s="2" t="str">
        <x:v>H9KV00</x:v>
      </x:c>
      <x:c r="B437" s="2" t="str">
        <x:v>UN</x:v>
      </x:c>
      <x:c r="C437" s="2"/>
      <x:c r="D437" s="2"/>
      <x:c r="E437" s="10"/>
      <x:c r="F437" s="11"/>
      <x:c r="G437" s="11" t="n">
        <x:v>0</x:v>
      </x:c>
      <x:c r="H437" s="11" t="n">
        <x:v>0</x:v>
      </x:c>
      <x:c r="I437" s="11" t="n">
        <x:v>0</x:v>
      </x:c>
      <x:c r="J437" s="11" t="n">
        <x:v>0</x:v>
      </x:c>
      <x:c r="K437" s="11" t="n">
        <x:v>0</x:v>
      </x:c>
      <x:c r="L437" s="11" t="n">
        <x:f>IF(B437="NED",1,IF(OR(B437="ED",B437="UN"),0,""))</x:f>
        <x:v>0</x:v>
      </x:c>
      <x:c r="M437" s="11" t="n">
        <x:f>IF(AND(K437=1,OR(B437="ED",B437="NED")),1,0)</x:f>
        <x:v>0</x:v>
      </x:c>
      <x:c r="N437" s="11" t="n">
        <x:f>IF(K437=1,1,0)</x:f>
        <x:v>0</x:v>
      </x:c>
      <x:c r="O437" s="12" t="str">
        <x:v>Require exact native accession match</x:v>
      </x:c>
      <x:c r="P437" s="11" t="n">
        <x:v>0</x:v>
      </x:c>
      <x:c r="Q437" s="12"/>
      <x:c r="R437" s="12"/>
      <x:c r="S437" s="11" t="n">
        <x:v>3117</x:v>
      </x:c>
      <x:c r="T437" s="11" t="n">
        <x:v>2477</x:v>
      </x:c>
    </x:row>
    <x:row r="438" ht="23" customHeight="1">
      <x:c r="A438" s="2" t="str">
        <x:v>J3QK48</x:v>
      </x:c>
      <x:c r="B438" s="2" t="str">
        <x:v>ED</x:v>
      </x:c>
      <x:c r="C438" s="2"/>
      <x:c r="D438" s="2"/>
      <x:c r="E438" s="10"/>
      <x:c r="F438" s="11"/>
      <x:c r="G438" s="11" t="n">
        <x:v>0</x:v>
      </x:c>
      <x:c r="H438" s="11" t="n">
        <x:v>0</x:v>
      </x:c>
      <x:c r="I438" s="11"/>
      <x:c r="J438" s="11"/>
      <x:c r="K438" s="11" t="n">
        <x:v>0</x:v>
      </x:c>
      <x:c r="L438" s="11" t="n">
        <x:f>IF(B438="NED",1,IF(OR(B438="ED",B438="UN"),0,""))</x:f>
        <x:v>0</x:v>
      </x:c>
      <x:c r="M438" s="11" t="n">
        <x:f>IF(AND(K438=1,OR(B438="ED",B438="NED")),1,0)</x:f>
        <x:v>0</x:v>
      </x:c>
      <x:c r="N438" s="11" t="n">
        <x:f>IF(K438=1,1,0)</x:f>
        <x:v>0</x:v>
      </x:c>
      <x:c r="O438" s="12" t="str">
        <x:v>Require exact native accession match</x:v>
      </x:c>
      <x:c r="P438" s="11" t="n">
        <x:v>0</x:v>
      </x:c>
      <x:c r="Q438" s="12"/>
      <x:c r="R438" s="12"/>
      <x:c r="S438" s="11" t="n">
        <x:v>3118</x:v>
      </x:c>
      <x:c r="T438" s="11"/>
    </x:row>
    <x:row r="439" ht="23" customHeight="1">
      <x:c r="A439" s="2" t="str">
        <x:v>J3QMC5</x:v>
      </x:c>
      <x:c r="B439" s="2" t="str">
        <x:v>NED</x:v>
      </x:c>
      <x:c r="C439" s="2"/>
      <x:c r="D439" s="2"/>
      <x:c r="E439" s="10"/>
      <x:c r="F439" s="11"/>
      <x:c r="G439" s="11" t="n">
        <x:v>0</x:v>
      </x:c>
      <x:c r="H439" s="11" t="n">
        <x:v>0</x:v>
      </x:c>
      <x:c r="I439" s="11" t="n">
        <x:v>0</x:v>
      </x:c>
      <x:c r="J439" s="11" t="n">
        <x:v>0</x:v>
      </x:c>
      <x:c r="K439" s="11" t="n">
        <x:v>0</x:v>
      </x:c>
      <x:c r="L439" s="11" t="n">
        <x:f>IF(B439="NED",1,IF(OR(B439="ED",B439="UN"),0,""))</x:f>
        <x:v>1</x:v>
      </x:c>
      <x:c r="M439" s="11" t="n">
        <x:f>IF(AND(K439=1,OR(B439="ED",B439="NED")),1,0)</x:f>
        <x:v>0</x:v>
      </x:c>
      <x:c r="N439" s="11" t="n">
        <x:f>IF(K439=1,1,0)</x:f>
        <x:v>0</x:v>
      </x:c>
      <x:c r="O439" s="12" t="str">
        <x:v>Require exact native accession match</x:v>
      </x:c>
      <x:c r="P439" s="11" t="n">
        <x:v>0</x:v>
      </x:c>
      <x:c r="Q439" s="12"/>
      <x:c r="R439" s="12"/>
      <x:c r="S439" s="11" t="n">
        <x:v>3119</x:v>
      </x:c>
      <x:c r="T439" s="11" t="n">
        <x:v>5582</x:v>
      </x:c>
    </x:row>
    <x:row r="440" ht="23" customHeight="1">
      <x:c r="A440" s="2" t="str">
        <x:v>J3QQ22</x:v>
      </x:c>
      <x:c r="B440" s="2" t="str">
        <x:v>ED</x:v>
      </x:c>
      <x:c r="C440" s="2"/>
      <x:c r="D440" s="2"/>
      <x:c r="E440" s="10"/>
      <x:c r="F440" s="11"/>
      <x:c r="G440" s="11" t="n">
        <x:v>0</x:v>
      </x:c>
      <x:c r="H440" s="11" t="n">
        <x:v>0</x:v>
      </x:c>
      <x:c r="I440" s="11" t="n">
        <x:v>0</x:v>
      </x:c>
      <x:c r="J440" s="11" t="n">
        <x:v>0</x:v>
      </x:c>
      <x:c r="K440" s="11" t="n">
        <x:v>0</x:v>
      </x:c>
      <x:c r="L440" s="11" t="n">
        <x:f>IF(B440="NED",1,IF(OR(B440="ED",B440="UN"),0,""))</x:f>
        <x:v>0</x:v>
      </x:c>
      <x:c r="M440" s="11" t="n">
        <x:f>IF(AND(K440=1,OR(B440="ED",B440="NED")),1,0)</x:f>
        <x:v>0</x:v>
      </x:c>
      <x:c r="N440" s="11" t="n">
        <x:f>IF(K440=1,1,0)</x:f>
        <x:v>0</x:v>
      </x:c>
      <x:c r="O440" s="12" t="str">
        <x:v>Require exact native accession match</x:v>
      </x:c>
      <x:c r="P440" s="11" t="n">
        <x:v>0</x:v>
      </x:c>
      <x:c r="Q440" s="12"/>
      <x:c r="R440" s="12"/>
      <x:c r="S440" s="11" t="n">
        <x:v>3120</x:v>
      </x:c>
      <x:c r="T440" s="11" t="n">
        <x:v>59</x:v>
      </x:c>
    </x:row>
    <x:row r="441" ht="23" customHeight="1">
      <x:c r="A441" s="2" t="str">
        <x:v>K3W4P9</x:v>
      </x:c>
      <x:c r="B441" s="2" t="str">
        <x:v>ED</x:v>
      </x:c>
      <x:c r="C441" s="2"/>
      <x:c r="D441" s="2"/>
      <x:c r="E441" s="10"/>
      <x:c r="F441" s="11"/>
      <x:c r="G441" s="11" t="n">
        <x:v>0</x:v>
      </x:c>
      <x:c r="H441" s="11" t="n">
        <x:v>0</x:v>
      </x:c>
      <x:c r="I441" s="11"/>
      <x:c r="J441" s="11"/>
      <x:c r="K441" s="11" t="n">
        <x:v>0</x:v>
      </x:c>
      <x:c r="L441" s="11" t="n">
        <x:f>IF(B441="NED",1,IF(OR(B441="ED",B441="UN"),0,""))</x:f>
        <x:v>0</x:v>
      </x:c>
      <x:c r="M441" s="11" t="n">
        <x:f>IF(AND(K441=1,OR(B441="ED",B441="NED")),1,0)</x:f>
        <x:v>0</x:v>
      </x:c>
      <x:c r="N441" s="11" t="n">
        <x:f>IF(K441=1,1,0)</x:f>
        <x:v>0</x:v>
      </x:c>
      <x:c r="O441" s="12" t="str">
        <x:v>Require exact native accession match</x:v>
      </x:c>
      <x:c r="P441" s="11" t="n">
        <x:v>0</x:v>
      </x:c>
      <x:c r="Q441" s="12"/>
      <x:c r="R441" s="12"/>
      <x:c r="S441" s="11" t="n">
        <x:v>3121</x:v>
      </x:c>
      <x:c r="T441" s="11"/>
    </x:row>
    <x:row r="442" ht="23" customHeight="1">
      <x:c r="A442" s="2" t="str">
        <x:v>K3W4Q8</x:v>
      </x:c>
      <x:c r="B442" s="2" t="str">
        <x:v>NED</x:v>
      </x:c>
      <x:c r="C442" s="2"/>
      <x:c r="D442" s="2"/>
      <x:c r="E442" s="10"/>
      <x:c r="F442" s="11"/>
      <x:c r="G442" s="11" t="n">
        <x:v>0</x:v>
      </x:c>
      <x:c r="H442" s="11" t="n">
        <x:v>0</x:v>
      </x:c>
      <x:c r="I442" s="11" t="n">
        <x:v>1</x:v>
      </x:c>
      <x:c r="J442" s="11" t="n">
        <x:v>0</x:v>
      </x:c>
      <x:c r="K442" s="11" t="n">
        <x:v>0</x:v>
      </x:c>
      <x:c r="L442" s="11" t="n">
        <x:f>IF(B442="NED",1,IF(OR(B442="ED",B442="UN"),0,""))</x:f>
        <x:v>1</x:v>
      </x:c>
      <x:c r="M442" s="11" t="n">
        <x:f>IF(AND(K442=1,OR(B442="ED",B442="NED")),1,0)</x:f>
        <x:v>0</x:v>
      </x:c>
      <x:c r="N442" s="11" t="n">
        <x:f>IF(K442=1,1,0)</x:f>
        <x:v>0</x:v>
      </x:c>
      <x:c r="O442" s="12" t="str">
        <x:v>Require exact native accession match</x:v>
      </x:c>
      <x:c r="P442" s="11" t="n">
        <x:v>0</x:v>
      </x:c>
      <x:c r="Q442" s="12"/>
      <x:c r="R442" s="12"/>
      <x:c r="S442" s="11" t="n">
        <x:v>3122</x:v>
      </x:c>
      <x:c r="T442" s="11" t="n">
        <x:v>218</x:v>
      </x:c>
    </x:row>
    <x:row r="443" ht="23" customHeight="1">
      <x:c r="A443" s="2" t="str">
        <x:v>K3W4R5</x:v>
      </x:c>
      <x:c r="B443" s="2" t="str">
        <x:v>ED</x:v>
      </x:c>
      <x:c r="C443" s="2"/>
      <x:c r="D443" s="2"/>
      <x:c r="E443" s="10"/>
      <x:c r="F443" s="11"/>
      <x:c r="G443" s="11" t="n">
        <x:v>0</x:v>
      </x:c>
      <x:c r="H443" s="11" t="n">
        <x:v>0</x:v>
      </x:c>
      <x:c r="I443" s="11" t="n">
        <x:v>0</x:v>
      </x:c>
      <x:c r="J443" s="11" t="n">
        <x:v>0</x:v>
      </x:c>
      <x:c r="K443" s="11" t="n">
        <x:v>0</x:v>
      </x:c>
      <x:c r="L443" s="11" t="n">
        <x:f>IF(B443="NED",1,IF(OR(B443="ED",B443="UN"),0,""))</x:f>
        <x:v>0</x:v>
      </x:c>
      <x:c r="M443" s="11" t="n">
        <x:f>IF(AND(K443=1,OR(B443="ED",B443="NED")),1,0)</x:f>
        <x:v>0</x:v>
      </x:c>
      <x:c r="N443" s="11" t="n">
        <x:f>IF(K443=1,1,0)</x:f>
        <x:v>0</x:v>
      </x:c>
      <x:c r="O443" s="12" t="str">
        <x:v>Require exact native accession match</x:v>
      </x:c>
      <x:c r="P443" s="11" t="n">
        <x:v>0</x:v>
      </x:c>
      <x:c r="Q443" s="12"/>
      <x:c r="R443" s="12"/>
      <x:c r="S443" s="11" t="n">
        <x:v>3123</x:v>
      </x:c>
      <x:c r="T443" s="11" t="n">
        <x:v>2032</x:v>
      </x:c>
    </x:row>
    <x:row r="444" ht="23" customHeight="1">
      <x:c r="A444" s="2" t="str">
        <x:v>M0QWZ1</x:v>
      </x:c>
      <x:c r="B444" s="2" t="str">
        <x:v>UN</x:v>
      </x:c>
      <x:c r="C444" s="2"/>
      <x:c r="D444" s="2"/>
      <x:c r="E444" s="10"/>
      <x:c r="F444" s="11"/>
      <x:c r="G444" s="11" t="n">
        <x:v>0</x:v>
      </x:c>
      <x:c r="H444" s="11" t="n">
        <x:v>0</x:v>
      </x:c>
      <x:c r="I444" s="11"/>
      <x:c r="J444" s="11"/>
      <x:c r="K444" s="11" t="n">
        <x:v>0</x:v>
      </x:c>
      <x:c r="L444" s="11" t="n">
        <x:f>IF(B444="NED",1,IF(OR(B444="ED",B444="UN"),0,""))</x:f>
        <x:v>0</x:v>
      </x:c>
      <x:c r="M444" s="11" t="n">
        <x:f>IF(AND(K444=1,OR(B444="ED",B444="NED")),1,0)</x:f>
        <x:v>0</x:v>
      </x:c>
      <x:c r="N444" s="11" t="n">
        <x:f>IF(K444=1,1,0)</x:f>
        <x:v>0</x:v>
      </x:c>
      <x:c r="O444" s="12" t="str">
        <x:v>Require exact native accession match</x:v>
      </x:c>
      <x:c r="P444" s="11" t="n">
        <x:v>0</x:v>
      </x:c>
      <x:c r="Q444" s="12"/>
      <x:c r="R444" s="12"/>
      <x:c r="S444" s="11" t="n">
        <x:v>3124</x:v>
      </x:c>
      <x:c r="T444" s="11"/>
    </x:row>
    <x:row r="445" ht="23" customHeight="1">
      <x:c r="A445" s="2" t="str">
        <x:v>O08529</x:v>
      </x:c>
      <x:c r="B445" s="2" t="str">
        <x:v>UN</x:v>
      </x:c>
      <x:c r="C445" s="2" t="n">
        <x:v>1</x:v>
      </x:c>
      <x:c r="D445" s="2" t="n">
        <x:v>1</x:v>
      </x:c>
      <x:c r="E445" s="10"/>
      <x:c r="F445" s="11" t="n">
        <x:v>700</x:v>
      </x:c>
      <x:c r="G445" s="11" t="n">
        <x:v>0</x:v>
      </x:c>
      <x:c r="H445" s="11" t="n">
        <x:v>0</x:v>
      </x:c>
      <x:c r="I445" s="11" t="n">
        <x:v>1</x:v>
      </x:c>
      <x:c r="J445" s="11" t="n">
        <x:v>0</x:v>
      </x:c>
      <x:c r="K445" s="11" t="n">
        <x:v>0</x:v>
      </x:c>
      <x:c r="L445" s="11" t="n">
        <x:f>IF(B445="NED",1,IF(OR(B445="ED",B445="UN"),0,""))</x:f>
        <x:v>0</x:v>
      </x:c>
      <x:c r="M445" s="11" t="n">
        <x:f>IF(AND(K445=1,OR(B445="ED",B445="NED")),1,0)</x:f>
        <x:v>0</x:v>
      </x:c>
      <x:c r="N445" s="11" t="n">
        <x:f>IF(K445=1,1,0)</x:f>
        <x:v>0</x:v>
      </x:c>
      <x:c r="O445" s="12" t="str">
        <x:v>Exclude UniProt Membrane keyword</x:v>
      </x:c>
      <x:c r="P445" s="11" t="n">
        <x:v>0</x:v>
      </x:c>
      <x:c r="Q445" s="12" t="str">
        <x:v>AF-O08529-F1-model_v6</x:v>
      </x:c>
      <x:c r="R445" s="12" t="str">
        <x:v>ok</x:v>
      </x:c>
      <x:c r="S445" s="11" t="n">
        <x:v>63</x:v>
      </x:c>
      <x:c r="T445" s="11" t="n">
        <x:v>700</x:v>
      </x:c>
    </x:row>
    <x:row r="446" ht="23" customHeight="1">
      <x:c r="A446" s="2" t="str">
        <x:v>O08539-2</x:v>
      </x:c>
      <x:c r="B446" s="2" t="str">
        <x:v>UN</x:v>
      </x:c>
      <x:c r="C446" s="2"/>
      <x:c r="D446" s="2"/>
      <x:c r="E446" s="10"/>
      <x:c r="F446" s="11"/>
      <x:c r="G446" s="11" t="n">
        <x:v>0</x:v>
      </x:c>
      <x:c r="H446" s="11" t="n">
        <x:v>0</x:v>
      </x:c>
      <x:c r="I446" s="11"/>
      <x:c r="J446" s="11"/>
      <x:c r="K446" s="11" t="n">
        <x:v>0</x:v>
      </x:c>
      <x:c r="L446" s="11" t="n">
        <x:f>IF(B446="NED",1,IF(OR(B446="ED",B446="UN"),0,""))</x:f>
        <x:v>0</x:v>
      </x:c>
      <x:c r="M446" s="11" t="n">
        <x:f>IF(AND(K446=1,OR(B446="ED",B446="NED")),1,0)</x:f>
        <x:v>0</x:v>
      </x:c>
      <x:c r="N446" s="11" t="n">
        <x:f>IF(K446=1,1,0)</x:f>
        <x:v>0</x:v>
      </x:c>
      <x:c r="O446" s="12" t="str">
        <x:v>Require exact native accession match</x:v>
      </x:c>
      <x:c r="P446" s="11" t="n">
        <x:v>0</x:v>
      </x:c>
      <x:c r="Q446" s="12"/>
      <x:c r="R446" s="12"/>
      <x:c r="S446" s="11" t="n">
        <x:v>64</x:v>
      </x:c>
      <x:c r="T446" s="11"/>
    </x:row>
    <x:row r="447" ht="23" customHeight="1">
      <x:c r="A447" s="2" t="str">
        <x:v>O08547</x:v>
      </x:c>
      <x:c r="B447" s="2" t="str">
        <x:v>ED</x:v>
      </x:c>
      <x:c r="C447" s="2" t="n">
        <x:v>0</x:v>
      </x:c>
      <x:c r="D447" s="2" t="n">
        <x:v>0</x:v>
      </x:c>
      <x:c r="E447" s="10"/>
      <x:c r="F447" s="11" t="n">
        <x:v>215</x:v>
      </x:c>
      <x:c r="G447" s="11" t="n">
        <x:v>0</x:v>
      </x:c>
      <x:c r="H447" s="11" t="n">
        <x:v>0</x:v>
      </x:c>
      <x:c r="I447" s="11" t="n">
        <x:v>1</x:v>
      </x:c>
      <x:c r="J447" s="11" t="n">
        <x:v>0</x:v>
      </x:c>
      <x:c r="K447" s="11" t="n">
        <x:v>0</x:v>
      </x:c>
      <x:c r="L447" s="11" t="n">
        <x:f>IF(B447="NED",1,IF(OR(B447="ED",B447="UN"),0,""))</x:f>
        <x:v>0</x:v>
      </x:c>
      <x:c r="M447" s="11" t="n">
        <x:f>IF(AND(K447=1,OR(B447="ED",B447="NED")),1,0)</x:f>
        <x:v>0</x:v>
      </x:c>
      <x:c r="N447" s="11" t="n">
        <x:f>IF(K447=1,1,0)</x:f>
        <x:v>0</x:v>
      </x:c>
      <x:c r="O447" s="12" t="str">
        <x:v>Exclude UniProt Membrane keyword</x:v>
      </x:c>
      <x:c r="P447" s="11" t="n">
        <x:v>0</x:v>
      </x:c>
      <x:c r="Q447" s="12" t="str">
        <x:v>AF-O08547-F1-model_v6</x:v>
      </x:c>
      <x:c r="R447" s="12" t="str">
        <x:v>ok</x:v>
      </x:c>
      <x:c r="S447" s="11" t="n">
        <x:v>65</x:v>
      </x:c>
      <x:c r="T447" s="11" t="n">
        <x:v>215</x:v>
      </x:c>
    </x:row>
    <x:row r="448" ht="23" customHeight="1">
      <x:c r="A448" s="2" t="str">
        <x:v>O08553</x:v>
      </x:c>
      <x:c r="B448" s="2" t="str">
        <x:v>UN</x:v>
      </x:c>
      <x:c r="C448" s="2" t="n">
        <x:v>1</x:v>
      </x:c>
      <x:c r="D448" s="2" t="n">
        <x:v>1</x:v>
      </x:c>
      <x:c r="E448" s="10"/>
      <x:c r="F448" s="11" t="n">
        <x:v>572</x:v>
      </x:c>
      <x:c r="G448" s="11" t="n">
        <x:v>0</x:v>
      </x:c>
      <x:c r="H448" s="11" t="n">
        <x:v>0</x:v>
      </x:c>
      <x:c r="I448" s="11" t="n">
        <x:v>1</x:v>
      </x:c>
      <x:c r="J448" s="11" t="n">
        <x:v>0</x:v>
      </x:c>
      <x:c r="K448" s="11" t="n">
        <x:v>0</x:v>
      </x:c>
      <x:c r="L448" s="11" t="n">
        <x:f>IF(B448="NED",1,IF(OR(B448="ED",B448="UN"),0,""))</x:f>
        <x:v>0</x:v>
      </x:c>
      <x:c r="M448" s="11" t="n">
        <x:f>IF(AND(K448=1,OR(B448="ED",B448="NED")),1,0)</x:f>
        <x:v>0</x:v>
      </x:c>
      <x:c r="N448" s="11" t="n">
        <x:f>IF(K448=1,1,0)</x:f>
        <x:v>0</x:v>
      </x:c>
      <x:c r="O448" s="12" t="str">
        <x:v>Exclude UniProt Membrane keyword</x:v>
      </x:c>
      <x:c r="P448" s="11" t="n">
        <x:v>0</x:v>
      </x:c>
      <x:c r="Q448" s="12" t="str">
        <x:v>AF-O08553-F1-model_v6</x:v>
      </x:c>
      <x:c r="R448" s="12" t="str">
        <x:v>ok</x:v>
      </x:c>
      <x:c r="S448" s="11" t="n">
        <x:v>66</x:v>
      </x:c>
      <x:c r="T448" s="11" t="n">
        <x:v>572</x:v>
      </x:c>
    </x:row>
    <x:row r="449" ht="23" customHeight="1">
      <x:c r="A449" s="2" t="str">
        <x:v>O08573-2</x:v>
      </x:c>
      <x:c r="B449" s="2" t="str">
        <x:v>ED</x:v>
      </x:c>
      <x:c r="C449" s="2"/>
      <x:c r="D449" s="2"/>
      <x:c r="E449" s="10"/>
      <x:c r="F449" s="11"/>
      <x:c r="G449" s="11" t="n">
        <x:v>0</x:v>
      </x:c>
      <x:c r="H449" s="11" t="n">
        <x:v>0</x:v>
      </x:c>
      <x:c r="I449" s="11"/>
      <x:c r="J449" s="11"/>
      <x:c r="K449" s="11" t="n">
        <x:v>0</x:v>
      </x:c>
      <x:c r="L449" s="11" t="n">
        <x:f>IF(B449="NED",1,IF(OR(B449="ED",B449="UN"),0,""))</x:f>
        <x:v>0</x:v>
      </x:c>
      <x:c r="M449" s="11" t="n">
        <x:f>IF(AND(K449=1,OR(B449="ED",B449="NED")),1,0)</x:f>
        <x:v>0</x:v>
      </x:c>
      <x:c r="N449" s="11" t="n">
        <x:f>IF(K449=1,1,0)</x:f>
        <x:v>0</x:v>
      </x:c>
      <x:c r="O449" s="12" t="str">
        <x:v>Require exact native accession match</x:v>
      </x:c>
      <x:c r="P449" s="11" t="n">
        <x:v>0</x:v>
      </x:c>
      <x:c r="Q449" s="12"/>
      <x:c r="R449" s="12"/>
      <x:c r="S449" s="11" t="n">
        <x:v>67</x:v>
      </x:c>
      <x:c r="T449" s="11"/>
    </x:row>
    <x:row r="450" ht="23" customHeight="1">
      <x:c r="A450" s="2" t="str">
        <x:v>O08579</x:v>
      </x:c>
      <x:c r="B450" s="2" t="str">
        <x:v>UN</x:v>
      </x:c>
      <x:c r="C450" s="2" t="n">
        <x:v>0</x:v>
      </x:c>
      <x:c r="D450" s="2" t="n">
        <x:v>0</x:v>
      </x:c>
      <x:c r="E450" s="10"/>
      <x:c r="F450" s="11" t="n">
        <x:v>259</x:v>
      </x:c>
      <x:c r="G450" s="11" t="n">
        <x:v>0</x:v>
      </x:c>
      <x:c r="H450" s="11" t="n">
        <x:v>0</x:v>
      </x:c>
      <x:c r="I450" s="11" t="n">
        <x:v>1</x:v>
      </x:c>
      <x:c r="J450" s="11" t="n">
        <x:v>0</x:v>
      </x:c>
      <x:c r="K450" s="11" t="n">
        <x:v>0</x:v>
      </x:c>
      <x:c r="L450" s="11" t="n">
        <x:f>IF(B450="NED",1,IF(OR(B450="ED",B450="UN"),0,""))</x:f>
        <x:v>0</x:v>
      </x:c>
      <x:c r="M450" s="11" t="n">
        <x:f>IF(AND(K450=1,OR(B450="ED",B450="NED")),1,0)</x:f>
        <x:v>0</x:v>
      </x:c>
      <x:c r="N450" s="11" t="n">
        <x:f>IF(K450=1,1,0)</x:f>
        <x:v>0</x:v>
      </x:c>
      <x:c r="O450" s="12" t="str">
        <x:v>Exclude UniProt Membrane keyword</x:v>
      </x:c>
      <x:c r="P450" s="11" t="n">
        <x:v>0</x:v>
      </x:c>
      <x:c r="Q450" s="12" t="str">
        <x:v>AF-O08579-F1-model_v6</x:v>
      </x:c>
      <x:c r="R450" s="12" t="str">
        <x:v>ok</x:v>
      </x:c>
      <x:c r="S450" s="11" t="n">
        <x:v>68</x:v>
      </x:c>
      <x:c r="T450" s="11" t="n">
        <x:v>259</x:v>
      </x:c>
    </x:row>
    <x:row r="451" ht="23" customHeight="1">
      <x:c r="A451" s="2" t="str">
        <x:v>O08580</x:v>
      </x:c>
      <x:c r="B451" s="2" t="str">
        <x:v>UN</x:v>
      </x:c>
      <x:c r="C451" s="2" t="n">
        <x:v>1</x:v>
      </x:c>
      <x:c r="D451" s="2" t="n">
        <x:v>1</x:v>
      </x:c>
      <x:c r="E451" s="10" t="n">
        <x:v>77.32462085308057</x:v>
      </x:c>
      <x:c r="F451" s="11" t="n">
        <x:v>422</x:v>
      </x:c>
      <x:c r="G451" s="11" t="n">
        <x:v>0</x:v>
      </x:c>
      <x:c r="H451" s="11" t="n">
        <x:v>0</x:v>
      </x:c>
      <x:c r="I451" s="11" t="n">
        <x:v>0</x:v>
      </x:c>
      <x:c r="J451" s="11" t="n">
        <x:v>0</x:v>
      </x:c>
      <x:c r="K451" s="11" t="n">
        <x:v>1</x:v>
      </x:c>
      <x:c r="L451" s="11" t="n">
        <x:f>IF(B451="NED",1,IF(OR(B451="ED",B451="UN"),0,""))</x:f>
        <x:v>0</x:v>
      </x:c>
      <x:c r="M451" s="11" t="n">
        <x:f>IF(AND(K451=1,OR(B451="ED",B451="NED")),1,0)</x:f>
        <x:v>0</x:v>
      </x:c>
      <x:c r="N451" s="11" t="n">
        <x:f>IF(K451=1,1,0)</x:f>
        <x:v>1</x:v>
      </x:c>
      <x:c r="O451" s="12"/>
      <x:c r="P451" s="11" t="n">
        <x:v>0</x:v>
      </x:c>
      <x:c r="Q451" s="12" t="str">
        <x:v>AF-O08580-F1-model_v6</x:v>
      </x:c>
      <x:c r="R451" s="12" t="str">
        <x:v>ok</x:v>
      </x:c>
      <x:c r="S451" s="11" t="n">
        <x:v>69</x:v>
      </x:c>
      <x:c r="T451" s="11" t="n">
        <x:v>422</x:v>
      </x:c>
    </x:row>
    <x:row r="452" ht="23" customHeight="1">
      <x:c r="A452" s="2" t="str">
        <x:v>O08582</x:v>
      </x:c>
      <x:c r="B452" s="2" t="str">
        <x:v>ED</x:v>
      </x:c>
      <x:c r="C452" s="2" t="n">
        <x:v>1</x:v>
      </x:c>
      <x:c r="D452" s="2" t="n">
        <x:v>1</x:v>
      </x:c>
      <x:c r="E452" s="10" t="n">
        <x:v>77.34923652694611</x:v>
      </x:c>
      <x:c r="F452" s="11" t="n">
        <x:v>668</x:v>
      </x:c>
      <x:c r="G452" s="11" t="n">
        <x:v>0</x:v>
      </x:c>
      <x:c r="H452" s="11" t="n">
        <x:v>0</x:v>
      </x:c>
      <x:c r="I452" s="11" t="n">
        <x:v>0</x:v>
      </x:c>
      <x:c r="J452" s="11" t="n">
        <x:v>0</x:v>
      </x:c>
      <x:c r="K452" s="11" t="n">
        <x:v>1</x:v>
      </x:c>
      <x:c r="L452" s="11" t="n">
        <x:f>IF(B452="NED",1,IF(OR(B452="ED",B452="UN"),0,""))</x:f>
        <x:v>0</x:v>
      </x:c>
      <x:c r="M452" s="11" t="n">
        <x:f>IF(AND(K452=1,OR(B452="ED",B452="NED")),1,0)</x:f>
        <x:v>1</x:v>
      </x:c>
      <x:c r="N452" s="11" t="n">
        <x:f>IF(K452=1,1,0)</x:f>
        <x:v>1</x:v>
      </x:c>
      <x:c r="O452" s="12"/>
      <x:c r="P452" s="11" t="n">
        <x:v>0</x:v>
      </x:c>
      <x:c r="Q452" s="12" t="str">
        <x:v>AF-O08582-F1-model_v6</x:v>
      </x:c>
      <x:c r="R452" s="12" t="str">
        <x:v>ok</x:v>
      </x:c>
      <x:c r="S452" s="11" t="n">
        <x:v>70</x:v>
      </x:c>
      <x:c r="T452" s="11" t="n">
        <x:v>668</x:v>
      </x:c>
    </x:row>
    <x:row r="453" ht="23" customHeight="1">
      <x:c r="A453" s="2" t="str">
        <x:v>O08583</x:v>
      </x:c>
      <x:c r="B453" s="2" t="str">
        <x:v>ED</x:v>
      </x:c>
      <x:c r="C453" s="2" t="n">
        <x:v>1</x:v>
      </x:c>
      <x:c r="D453" s="2" t="n">
        <x:v>1</x:v>
      </x:c>
      <x:c r="E453" s="10" t="n">
        <x:v>64.54356862745098</x:v>
      </x:c>
      <x:c r="F453" s="11" t="n">
        <x:v>255</x:v>
      </x:c>
      <x:c r="G453" s="11" t="n">
        <x:v>0</x:v>
      </x:c>
      <x:c r="H453" s="11" t="n">
        <x:v>0</x:v>
      </x:c>
      <x:c r="I453" s="11" t="n">
        <x:v>0</x:v>
      </x:c>
      <x:c r="J453" s="11" t="n">
        <x:v>0</x:v>
      </x:c>
      <x:c r="K453" s="11" t="n">
        <x:v>0</x:v>
      </x:c>
      <x:c r="L453" s="11" t="n">
        <x:f>IF(B453="NED",1,IF(OR(B453="ED",B453="UN"),0,""))</x:f>
        <x:v>0</x:v>
      </x:c>
      <x:c r="M453" s="11" t="n">
        <x:f>IF(AND(K453=1,OR(B453="ED",B453="NED")),1,0)</x:f>
        <x:v>0</x:v>
      </x:c>
      <x:c r="N453" s="11" t="n">
        <x:f>IF(K453=1,1,0)</x:f>
        <x:v>0</x:v>
      </x:c>
      <x:c r="O453" s="12" t="str">
        <x:v>Retain protein mean pLDDT &gt;=70</x:v>
      </x:c>
      <x:c r="P453" s="11" t="n">
        <x:v>0</x:v>
      </x:c>
      <x:c r="Q453" s="12" t="str">
        <x:v>AF-O08583-F1-model_v6</x:v>
      </x:c>
      <x:c r="R453" s="12" t="str">
        <x:v>ok</x:v>
      </x:c>
      <x:c r="S453" s="11" t="n">
        <x:v>71</x:v>
      </x:c>
      <x:c r="T453" s="11" t="n">
        <x:v>255</x:v>
      </x:c>
    </x:row>
    <x:row r="454" ht="23" customHeight="1">
      <x:c r="A454" s="2" t="str">
        <x:v>O08599</x:v>
      </x:c>
      <x:c r="B454" s="2" t="str">
        <x:v>ED</x:v>
      </x:c>
      <x:c r="C454" s="2" t="n">
        <x:v>1</x:v>
      </x:c>
      <x:c r="D454" s="2" t="n">
        <x:v>1</x:v>
      </x:c>
      <x:c r="E454" s="10"/>
      <x:c r="F454" s="11" t="n">
        <x:v>594</x:v>
      </x:c>
      <x:c r="G454" s="11" t="n">
        <x:v>0</x:v>
      </x:c>
      <x:c r="H454" s="11" t="n">
        <x:v>0</x:v>
      </x:c>
      <x:c r="I454" s="11" t="n">
        <x:v>1</x:v>
      </x:c>
      <x:c r="J454" s="11" t="n">
        <x:v>0</x:v>
      </x:c>
      <x:c r="K454" s="11" t="n">
        <x:v>0</x:v>
      </x:c>
      <x:c r="L454" s="11" t="n">
        <x:f>IF(B454="NED",1,IF(OR(B454="ED",B454="UN"),0,""))</x:f>
        <x:v>0</x:v>
      </x:c>
      <x:c r="M454" s="11" t="n">
        <x:f>IF(AND(K454=1,OR(B454="ED",B454="NED")),1,0)</x:f>
        <x:v>0</x:v>
      </x:c>
      <x:c r="N454" s="11" t="n">
        <x:f>IF(K454=1,1,0)</x:f>
        <x:v>0</x:v>
      </x:c>
      <x:c r="O454" s="12" t="str">
        <x:v>Exclude UniProt Membrane keyword</x:v>
      </x:c>
      <x:c r="P454" s="11" t="n">
        <x:v>0</x:v>
      </x:c>
      <x:c r="Q454" s="12" t="str">
        <x:v>AF-O08599-F1-model_v6</x:v>
      </x:c>
      <x:c r="R454" s="12" t="str">
        <x:v>ok</x:v>
      </x:c>
      <x:c r="S454" s="11" t="n">
        <x:v>72</x:v>
      </x:c>
      <x:c r="T454" s="11" t="n">
        <x:v>594</x:v>
      </x:c>
    </x:row>
    <x:row r="455" ht="23" customHeight="1">
      <x:c r="A455" s="2" t="str">
        <x:v>O08609-2</x:v>
      </x:c>
      <x:c r="B455" s="2" t="str">
        <x:v>UN</x:v>
      </x:c>
      <x:c r="C455" s="2"/>
      <x:c r="D455" s="2"/>
      <x:c r="E455" s="10"/>
      <x:c r="F455" s="11"/>
      <x:c r="G455" s="11" t="n">
        <x:v>0</x:v>
      </x:c>
      <x:c r="H455" s="11" t="n">
        <x:v>0</x:v>
      </x:c>
      <x:c r="I455" s="11"/>
      <x:c r="J455" s="11"/>
      <x:c r="K455" s="11" t="n">
        <x:v>0</x:v>
      </x:c>
      <x:c r="L455" s="11" t="n">
        <x:f>IF(B455="NED",1,IF(OR(B455="ED",B455="UN"),0,""))</x:f>
        <x:v>0</x:v>
      </x:c>
      <x:c r="M455" s="11" t="n">
        <x:f>IF(AND(K455=1,OR(B455="ED",B455="NED")),1,0)</x:f>
        <x:v>0</x:v>
      </x:c>
      <x:c r="N455" s="11" t="n">
        <x:f>IF(K455=1,1,0)</x:f>
        <x:v>0</x:v>
      </x:c>
      <x:c r="O455" s="12" t="str">
        <x:v>Require exact native accession match</x:v>
      </x:c>
      <x:c r="P455" s="11" t="n">
        <x:v>0</x:v>
      </x:c>
      <x:c r="Q455" s="12"/>
      <x:c r="R455" s="12"/>
      <x:c r="S455" s="11" t="n">
        <x:v>73</x:v>
      </x:c>
      <x:c r="T455" s="11"/>
    </x:row>
    <x:row r="456" ht="23" customHeight="1">
      <x:c r="A456" s="2" t="str">
        <x:v>O08648-2</x:v>
      </x:c>
      <x:c r="B456" s="2" t="str">
        <x:v>ED</x:v>
      </x:c>
      <x:c r="C456" s="2"/>
      <x:c r="D456" s="2"/>
      <x:c r="E456" s="10"/>
      <x:c r="F456" s="11"/>
      <x:c r="G456" s="11" t="n">
        <x:v>0</x:v>
      </x:c>
      <x:c r="H456" s="11" t="n">
        <x:v>0</x:v>
      </x:c>
      <x:c r="I456" s="11"/>
      <x:c r="J456" s="11"/>
      <x:c r="K456" s="11" t="n">
        <x:v>0</x:v>
      </x:c>
      <x:c r="L456" s="11" t="n">
        <x:f>IF(B456="NED",1,IF(OR(B456="ED",B456="UN"),0,""))</x:f>
        <x:v>0</x:v>
      </x:c>
      <x:c r="M456" s="11" t="n">
        <x:f>IF(AND(K456=1,OR(B456="ED",B456="NED")),1,0)</x:f>
        <x:v>0</x:v>
      </x:c>
      <x:c r="N456" s="11" t="n">
        <x:f>IF(K456=1,1,0)</x:f>
        <x:v>0</x:v>
      </x:c>
      <x:c r="O456" s="12" t="str">
        <x:v>Require exact native accession match</x:v>
      </x:c>
      <x:c r="P456" s="11" t="n">
        <x:v>0</x:v>
      </x:c>
      <x:c r="Q456" s="12"/>
      <x:c r="R456" s="12"/>
      <x:c r="S456" s="11" t="n">
        <x:v>74</x:v>
      </x:c>
      <x:c r="T456" s="11"/>
    </x:row>
    <x:row r="457" ht="23" customHeight="1">
      <x:c r="A457" s="2" t="str">
        <x:v>O08663</x:v>
      </x:c>
      <x:c r="B457" s="2" t="str">
        <x:v>NED</x:v>
      </x:c>
      <x:c r="C457" s="2" t="n">
        <x:v>1</x:v>
      </x:c>
      <x:c r="D457" s="2" t="n">
        <x:v>1</x:v>
      </x:c>
      <x:c r="E457" s="10" t="n">
        <x:v>85.78646443514644</x:v>
      </x:c>
      <x:c r="F457" s="11" t="n">
        <x:v>478</x:v>
      </x:c>
      <x:c r="G457" s="11" t="n">
        <x:v>0</x:v>
      </x:c>
      <x:c r="H457" s="11" t="n">
        <x:v>0</x:v>
      </x:c>
      <x:c r="I457" s="11" t="n">
        <x:v>0</x:v>
      </x:c>
      <x:c r="J457" s="11" t="n">
        <x:v>0</x:v>
      </x:c>
      <x:c r="K457" s="11" t="n">
        <x:v>1</x:v>
      </x:c>
      <x:c r="L457" s="11" t="n">
        <x:f>IF(B457="NED",1,IF(OR(B457="ED",B457="UN"),0,""))</x:f>
        <x:v>1</x:v>
      </x:c>
      <x:c r="M457" s="11" t="n">
        <x:f>IF(AND(K457=1,OR(B457="ED",B457="NED")),1,0)</x:f>
        <x:v>1</x:v>
      </x:c>
      <x:c r="N457" s="11" t="n">
        <x:f>IF(K457=1,1,0)</x:f>
        <x:v>1</x:v>
      </x:c>
      <x:c r="O457" s="12"/>
      <x:c r="P457" s="11" t="n">
        <x:v>0</x:v>
      </x:c>
      <x:c r="Q457" s="12" t="str">
        <x:v>AF-O08663-F1-model_v6</x:v>
      </x:c>
      <x:c r="R457" s="12" t="str">
        <x:v>ok</x:v>
      </x:c>
      <x:c r="S457" s="11" t="n">
        <x:v>75</x:v>
      </x:c>
      <x:c r="T457" s="11" t="n">
        <x:v>478</x:v>
      </x:c>
    </x:row>
    <x:row r="458" ht="23" customHeight="1">
      <x:c r="A458" s="2" t="str">
        <x:v>O08715</x:v>
      </x:c>
      <x:c r="B458" s="2" t="str">
        <x:v>ED</x:v>
      </x:c>
      <x:c r="C458" s="2" t="n">
        <x:v>1</x:v>
      </x:c>
      <x:c r="D458" s="2" t="n">
        <x:v>1</x:v>
      </x:c>
      <x:c r="E458" s="10"/>
      <x:c r="F458" s="11" t="n">
        <x:v>857</x:v>
      </x:c>
      <x:c r="G458" s="11" t="n">
        <x:v>0</x:v>
      </x:c>
      <x:c r="H458" s="11" t="n">
        <x:v>0</x:v>
      </x:c>
      <x:c r="I458" s="11" t="n">
        <x:v>1</x:v>
      </x:c>
      <x:c r="J458" s="11" t="n">
        <x:v>0</x:v>
      </x:c>
      <x:c r="K458" s="11" t="n">
        <x:v>0</x:v>
      </x:c>
      <x:c r="L458" s="11" t="n">
        <x:f>IF(B458="NED",1,IF(OR(B458="ED",B458="UN"),0,""))</x:f>
        <x:v>0</x:v>
      </x:c>
      <x:c r="M458" s="11" t="n">
        <x:f>IF(AND(K458=1,OR(B458="ED",B458="NED")),1,0)</x:f>
        <x:v>0</x:v>
      </x:c>
      <x:c r="N458" s="11" t="n">
        <x:f>IF(K458=1,1,0)</x:f>
        <x:v>0</x:v>
      </x:c>
      <x:c r="O458" s="12" t="str">
        <x:v>Exclude UniProt Membrane keyword</x:v>
      </x:c>
      <x:c r="P458" s="11" t="n">
        <x:v>0</x:v>
      </x:c>
      <x:c r="Q458" s="12" t="str">
        <x:v>AF-O08715-F1-model_v6</x:v>
      </x:c>
      <x:c r="R458" s="12" t="str">
        <x:v>ok</x:v>
      </x:c>
      <x:c r="S458" s="11" t="n">
        <x:v>76</x:v>
      </x:c>
      <x:c r="T458" s="11" t="n">
        <x:v>857</x:v>
      </x:c>
    </x:row>
    <x:row r="459" ht="23" customHeight="1">
      <x:c r="A459" s="2" t="str">
        <x:v>O08734</x:v>
      </x:c>
      <x:c r="B459" s="2" t="str">
        <x:v>UN</x:v>
      </x:c>
      <x:c r="C459" s="2" t="n">
        <x:v>1</x:v>
      </x:c>
      <x:c r="D459" s="2" t="n">
        <x:v>1</x:v>
      </x:c>
      <x:c r="E459" s="10"/>
      <x:c r="F459" s="11" t="n">
        <x:v>209</x:v>
      </x:c>
      <x:c r="G459" s="11" t="n">
        <x:v>0</x:v>
      </x:c>
      <x:c r="H459" s="11" t="n">
        <x:v>0</x:v>
      </x:c>
      <x:c r="I459" s="11" t="n">
        <x:v>1</x:v>
      </x:c>
      <x:c r="J459" s="11" t="n">
        <x:v>0</x:v>
      </x:c>
      <x:c r="K459" s="11" t="n">
        <x:v>0</x:v>
      </x:c>
      <x:c r="L459" s="11" t="n">
        <x:f>IF(B459="NED",1,IF(OR(B459="ED",B459="UN"),0,""))</x:f>
        <x:v>0</x:v>
      </x:c>
      <x:c r="M459" s="11" t="n">
        <x:f>IF(AND(K459=1,OR(B459="ED",B459="NED")),1,0)</x:f>
        <x:v>0</x:v>
      </x:c>
      <x:c r="N459" s="11" t="n">
        <x:f>IF(K459=1,1,0)</x:f>
        <x:v>0</x:v>
      </x:c>
      <x:c r="O459" s="12" t="str">
        <x:v>Exclude UniProt Membrane keyword</x:v>
      </x:c>
      <x:c r="P459" s="11" t="n">
        <x:v>0</x:v>
      </x:c>
      <x:c r="Q459" s="12" t="str">
        <x:v>AF-O08734-F1-model_v6</x:v>
      </x:c>
      <x:c r="R459" s="12" t="str">
        <x:v>ok</x:v>
      </x:c>
      <x:c r="S459" s="11" t="n">
        <x:v>77</x:v>
      </x:c>
      <x:c r="T459" s="11" t="n">
        <x:v>209</x:v>
      </x:c>
    </x:row>
    <x:row r="460" ht="23" customHeight="1">
      <x:c r="A460" s="2" t="str">
        <x:v>O08738</x:v>
      </x:c>
      <x:c r="B460" s="2" t="str">
        <x:v>ED</x:v>
      </x:c>
      <x:c r="C460" s="2" t="n">
        <x:v>1</x:v>
      </x:c>
      <x:c r="D460" s="2" t="n">
        <x:v>1</x:v>
      </x:c>
      <x:c r="E460" s="10" t="n">
        <x:v>87.01746376811595</x:v>
      </x:c>
      <x:c r="F460" s="11" t="n">
        <x:v>276</x:v>
      </x:c>
      <x:c r="G460" s="11" t="n">
        <x:v>0</x:v>
      </x:c>
      <x:c r="H460" s="11" t="n">
        <x:v>0</x:v>
      </x:c>
      <x:c r="I460" s="11" t="n">
        <x:v>0</x:v>
      </x:c>
      <x:c r="J460" s="11" t="n">
        <x:v>0</x:v>
      </x:c>
      <x:c r="K460" s="11" t="n">
        <x:v>1</x:v>
      </x:c>
      <x:c r="L460" s="11" t="n">
        <x:f>IF(B460="NED",1,IF(OR(B460="ED",B460="UN"),0,""))</x:f>
        <x:v>0</x:v>
      </x:c>
      <x:c r="M460" s="11" t="n">
        <x:f>IF(AND(K460=1,OR(B460="ED",B460="NED")),1,0)</x:f>
        <x:v>1</x:v>
      </x:c>
      <x:c r="N460" s="11" t="n">
        <x:f>IF(K460=1,1,0)</x:f>
        <x:v>1</x:v>
      </x:c>
      <x:c r="O460" s="12"/>
      <x:c r="P460" s="11" t="n">
        <x:v>0</x:v>
      </x:c>
      <x:c r="Q460" s="12" t="str">
        <x:v>AF-O08738-F1-model_v6</x:v>
      </x:c>
      <x:c r="R460" s="12" t="str">
        <x:v>ok</x:v>
      </x:c>
      <x:c r="S460" s="11" t="n">
        <x:v>78</x:v>
      </x:c>
      <x:c r="T460" s="11" t="n">
        <x:v>276</x:v>
      </x:c>
    </x:row>
    <x:row r="461" ht="23" customHeight="1">
      <x:c r="A461" s="2" t="str">
        <x:v>O08739</x:v>
      </x:c>
      <x:c r="B461" s="2" t="str">
        <x:v>ED</x:v>
      </x:c>
      <x:c r="C461" s="2" t="n">
        <x:v>1</x:v>
      </x:c>
      <x:c r="D461" s="2" t="n">
        <x:v>1</x:v>
      </x:c>
      <x:c r="E461" s="10" t="n">
        <x:v>84.5566318537859</x:v>
      </x:c>
      <x:c r="F461" s="11" t="n">
        <x:v>766</x:v>
      </x:c>
      <x:c r="G461" s="11" t="n">
        <x:v>0</x:v>
      </x:c>
      <x:c r="H461" s="11" t="n">
        <x:v>0</x:v>
      </x:c>
      <x:c r="I461" s="11" t="n">
        <x:v>0</x:v>
      </x:c>
      <x:c r="J461" s="11" t="n">
        <x:v>0</x:v>
      </x:c>
      <x:c r="K461" s="11" t="n">
        <x:v>1</x:v>
      </x:c>
      <x:c r="L461" s="11" t="n">
        <x:f>IF(B461="NED",1,IF(OR(B461="ED",B461="UN"),0,""))</x:f>
        <x:v>0</x:v>
      </x:c>
      <x:c r="M461" s="11" t="n">
        <x:f>IF(AND(K461=1,OR(B461="ED",B461="NED")),1,0)</x:f>
        <x:v>1</x:v>
      </x:c>
      <x:c r="N461" s="11" t="n">
        <x:f>IF(K461=1,1,0)</x:f>
        <x:v>1</x:v>
      </x:c>
      <x:c r="O461" s="12"/>
      <x:c r="P461" s="11" t="n">
        <x:v>0</x:v>
      </x:c>
      <x:c r="Q461" s="12" t="str">
        <x:v>AF-O08739-F1-model_v6</x:v>
      </x:c>
      <x:c r="R461" s="12" t="str">
        <x:v>ok</x:v>
      </x:c>
      <x:c r="S461" s="11" t="n">
        <x:v>79</x:v>
      </x:c>
      <x:c r="T461" s="11" t="n">
        <x:v>766</x:v>
      </x:c>
    </x:row>
    <x:row r="462" ht="23" customHeight="1">
      <x:c r="A462" s="2" t="str">
        <x:v>O08749</x:v>
      </x:c>
      <x:c r="B462" s="2" t="str">
        <x:v>UN</x:v>
      </x:c>
      <x:c r="C462" s="2" t="n">
        <x:v>1</x:v>
      </x:c>
      <x:c r="D462" s="2" t="n">
        <x:v>1</x:v>
      </x:c>
      <x:c r="E462" s="10" t="n">
        <x:v>93.79878192534382</x:v>
      </x:c>
      <x:c r="F462" s="11" t="n">
        <x:v>509</x:v>
      </x:c>
      <x:c r="G462" s="11" t="n">
        <x:v>0</x:v>
      </x:c>
      <x:c r="H462" s="11" t="n">
        <x:v>0</x:v>
      </x:c>
      <x:c r="I462" s="11" t="n">
        <x:v>0</x:v>
      </x:c>
      <x:c r="J462" s="11" t="n">
        <x:v>0</x:v>
      </x:c>
      <x:c r="K462" s="11" t="n">
        <x:v>1</x:v>
      </x:c>
      <x:c r="L462" s="11" t="n">
        <x:f>IF(B462="NED",1,IF(OR(B462="ED",B462="UN"),0,""))</x:f>
        <x:v>0</x:v>
      </x:c>
      <x:c r="M462" s="11" t="n">
        <x:f>IF(AND(K462=1,OR(B462="ED",B462="NED")),1,0)</x:f>
        <x:v>0</x:v>
      </x:c>
      <x:c r="N462" s="11" t="n">
        <x:f>IF(K462=1,1,0)</x:f>
        <x:v>1</x:v>
      </x:c>
      <x:c r="O462" s="12"/>
      <x:c r="P462" s="11" t="n">
        <x:v>0</x:v>
      </x:c>
      <x:c r="Q462" s="12" t="str">
        <x:v>AF-O08749-F1-model_v6</x:v>
      </x:c>
      <x:c r="R462" s="12" t="str">
        <x:v>ok</x:v>
      </x:c>
      <x:c r="S462" s="11" t="n">
        <x:v>80</x:v>
      </x:c>
      <x:c r="T462" s="11" t="n">
        <x:v>509</x:v>
      </x:c>
    </x:row>
    <x:row r="463" ht="23" customHeight="1">
      <x:c r="A463" s="2" t="str">
        <x:v>O08784</x:v>
      </x:c>
      <x:c r="B463" s="2" t="str">
        <x:v>ED</x:v>
      </x:c>
      <x:c r="C463" s="2" t="n">
        <x:v>1</x:v>
      </x:c>
      <x:c r="D463" s="2"/>
      <x:c r="E463" s="10"/>
      <x:c r="F463" s="11" t="n">
        <x:v>1320</x:v>
      </x:c>
      <x:c r="G463" s="11" t="n">
        <x:v>1</x:v>
      </x:c>
      <x:c r="H463" s="11" t="n">
        <x:v>0</x:v>
      </x:c>
      <x:c r="I463" s="11" t="n">
        <x:v>0</x:v>
      </x:c>
      <x:c r="J463" s="11" t="n">
        <x:v>0</x:v>
      </x:c>
      <x:c r="K463" s="11" t="n">
        <x:v>0</x:v>
      </x:c>
      <x:c r="L463" s="11" t="n">
        <x:f>IF(B463="NED",1,IF(OR(B463="ED",B463="UN"),0,""))</x:f>
        <x:v>0</x:v>
      </x:c>
      <x:c r="M463" s="11" t="n">
        <x:f>IF(AND(K463=1,OR(B463="ED",B463="NED")),1,0)</x:f>
        <x:v>0</x:v>
      </x:c>
      <x:c r="N463" s="11" t="n">
        <x:f>IF(K463=1,1,0)</x:f>
        <x:v>0</x:v>
      </x:c>
      <x:c r="O463" s="12" t="str">
        <x:v>Exclude supplied knotted proteins</x:v>
      </x:c>
      <x:c r="P463" s="11" t="n">
        <x:v>0</x:v>
      </x:c>
      <x:c r="Q463" s="12" t="str">
        <x:v>AF-O08784-F1-model_v6</x:v>
      </x:c>
      <x:c r="R463" s="12" t="str">
        <x:v>ok</x:v>
      </x:c>
      <x:c r="S463" s="11" t="n">
        <x:v>81</x:v>
      </x:c>
      <x:c r="T463" s="11" t="n">
        <x:v>1320</x:v>
      </x:c>
    </x:row>
    <x:row r="464" ht="23" customHeight="1">
      <x:c r="A464" s="2" t="str">
        <x:v>O08795</x:v>
      </x:c>
      <x:c r="B464" s="2" t="str">
        <x:v>ED</x:v>
      </x:c>
      <x:c r="C464" s="2" t="n">
        <x:v>1</x:v>
      </x:c>
      <x:c r="D464" s="2" t="n">
        <x:v>1</x:v>
      </x:c>
      <x:c r="E464" s="10"/>
      <x:c r="F464" s="11" t="n">
        <x:v>521</x:v>
      </x:c>
      <x:c r="G464" s="11" t="n">
        <x:v>0</x:v>
      </x:c>
      <x:c r="H464" s="11" t="n">
        <x:v>1</x:v>
      </x:c>
      <x:c r="I464" s="11" t="n">
        <x:v>0</x:v>
      </x:c>
      <x:c r="J464" s="11" t="n">
        <x:v>0</x:v>
      </x:c>
      <x:c r="K464" s="11" t="n">
        <x:v>0</x:v>
      </x:c>
      <x:c r="L464" s="11" t="n">
        <x:f>IF(B464="NED",1,IF(OR(B464="ED",B464="UN"),0,""))</x:f>
        <x:v>0</x:v>
      </x:c>
      <x:c r="M464" s="11" t="n">
        <x:f>IF(AND(K464=1,OR(B464="ED",B464="NED")),1,0)</x:f>
        <x:v>0</x:v>
      </x:c>
      <x:c r="N464" s="11" t="n">
        <x:f>IF(K464=1,1,0)</x:f>
        <x:v>0</x:v>
      </x:c>
      <x:c r="O464" s="12" t="str">
        <x:v>Exclude supplied or detected covalent lassos</x:v>
      </x:c>
      <x:c r="P464" s="11" t="n">
        <x:v>0</x:v>
      </x:c>
      <x:c r="Q464" s="12" t="str">
        <x:v>AF-O08795-F1-model_v6</x:v>
      </x:c>
      <x:c r="R464" s="12" t="str">
        <x:v>ok</x:v>
      </x:c>
      <x:c r="S464" s="11" t="n">
        <x:v>82</x:v>
      </x:c>
      <x:c r="T464" s="11" t="n">
        <x:v>521</x:v>
      </x:c>
    </x:row>
    <x:row r="465" ht="23" customHeight="1">
      <x:c r="A465" s="2" t="str">
        <x:v>O08797</x:v>
      </x:c>
      <x:c r="B465" s="2" t="str">
        <x:v>ED</x:v>
      </x:c>
      <x:c r="C465" s="2" t="n">
        <x:v>1</x:v>
      </x:c>
      <x:c r="D465" s="2" t="n">
        <x:v>1</x:v>
      </x:c>
      <x:c r="E465" s="10" t="n">
        <x:v>91.60478609625667</x:v>
      </x:c>
      <x:c r="F465" s="11" t="n">
        <x:v>374</x:v>
      </x:c>
      <x:c r="G465" s="11" t="n">
        <x:v>0</x:v>
      </x:c>
      <x:c r="H465" s="11" t="n">
        <x:v>0</x:v>
      </x:c>
      <x:c r="I465" s="11" t="n">
        <x:v>0</x:v>
      </x:c>
      <x:c r="J465" s="11" t="n">
        <x:v>0</x:v>
      </x:c>
      <x:c r="K465" s="11" t="n">
        <x:v>1</x:v>
      </x:c>
      <x:c r="L465" s="11" t="n">
        <x:f>IF(B465="NED",1,IF(OR(B465="ED",B465="UN"),0,""))</x:f>
        <x:v>0</x:v>
      </x:c>
      <x:c r="M465" s="11" t="n">
        <x:f>IF(AND(K465=1,OR(B465="ED",B465="NED")),1,0)</x:f>
        <x:v>1</x:v>
      </x:c>
      <x:c r="N465" s="11" t="n">
        <x:f>IF(K465=1,1,0)</x:f>
        <x:v>1</x:v>
      </x:c>
      <x:c r="O465" s="12"/>
      <x:c r="P465" s="11" t="n">
        <x:v>0</x:v>
      </x:c>
      <x:c r="Q465" s="12" t="str">
        <x:v>AF-O08797-F1-model_v6</x:v>
      </x:c>
      <x:c r="R465" s="12" t="str">
        <x:v>ok</x:v>
      </x:c>
      <x:c r="S465" s="11" t="n">
        <x:v>3125</x:v>
      </x:c>
      <x:c r="T465" s="11" t="n">
        <x:v>374</x:v>
      </x:c>
    </x:row>
    <x:row r="466" ht="23" customHeight="1">
      <x:c r="A466" s="2" t="str">
        <x:v>O08807</x:v>
      </x:c>
      <x:c r="B466" s="2" t="str">
        <x:v>ED</x:v>
      </x:c>
      <x:c r="C466" s="2" t="n">
        <x:v>1</x:v>
      </x:c>
      <x:c r="D466" s="2" t="n">
        <x:v>1</x:v>
      </x:c>
      <x:c r="E466" s="10" t="n">
        <x:v>82.47430656934306</x:v>
      </x:c>
      <x:c r="F466" s="11" t="n">
        <x:v>274</x:v>
      </x:c>
      <x:c r="G466" s="11" t="n">
        <x:v>0</x:v>
      </x:c>
      <x:c r="H466" s="11" t="n">
        <x:v>0</x:v>
      </x:c>
      <x:c r="I466" s="11" t="n">
        <x:v>0</x:v>
      </x:c>
      <x:c r="J466" s="11" t="n">
        <x:v>0</x:v>
      </x:c>
      <x:c r="K466" s="11" t="n">
        <x:v>1</x:v>
      </x:c>
      <x:c r="L466" s="11" t="n">
        <x:f>IF(B466="NED",1,IF(OR(B466="ED",B466="UN"),0,""))</x:f>
        <x:v>0</x:v>
      </x:c>
      <x:c r="M466" s="11" t="n">
        <x:f>IF(AND(K466=1,OR(B466="ED",B466="NED")),1,0)</x:f>
        <x:v>1</x:v>
      </x:c>
      <x:c r="N466" s="11" t="n">
        <x:f>IF(K466=1,1,0)</x:f>
        <x:v>1</x:v>
      </x:c>
      <x:c r="O466" s="12"/>
      <x:c r="P466" s="11" t="n">
        <x:v>0</x:v>
      </x:c>
      <x:c r="Q466" s="12" t="str">
        <x:v>AF-O08807-F1-model_v6</x:v>
      </x:c>
      <x:c r="R466" s="12" t="str">
        <x:v>ok</x:v>
      </x:c>
      <x:c r="S466" s="11" t="n">
        <x:v>83</x:v>
      </x:c>
      <x:c r="T466" s="11" t="n">
        <x:v>274</x:v>
      </x:c>
    </x:row>
    <x:row r="467" ht="23" customHeight="1">
      <x:c r="A467" s="2" t="str">
        <x:v>O08810</x:v>
      </x:c>
      <x:c r="B467" s="2" t="str">
        <x:v>UN</x:v>
      </x:c>
      <x:c r="C467" s="2" t="n">
        <x:v>1</x:v>
      </x:c>
      <x:c r="D467" s="2" t="n">
        <x:v>1</x:v>
      </x:c>
      <x:c r="E467" s="10" t="n">
        <x:v>89.64453141091657</x:v>
      </x:c>
      <x:c r="F467" s="11" t="n">
        <x:v>971</x:v>
      </x:c>
      <x:c r="G467" s="11" t="n">
        <x:v>0</x:v>
      </x:c>
      <x:c r="H467" s="11" t="n">
        <x:v>0</x:v>
      </x:c>
      <x:c r="I467" s="11" t="n">
        <x:v>0</x:v>
      </x:c>
      <x:c r="J467" s="11" t="n">
        <x:v>0</x:v>
      </x:c>
      <x:c r="K467" s="11" t="n">
        <x:v>1</x:v>
      </x:c>
      <x:c r="L467" s="11" t="n">
        <x:f>IF(B467="NED",1,IF(OR(B467="ED",B467="UN"),0,""))</x:f>
        <x:v>0</x:v>
      </x:c>
      <x:c r="M467" s="11" t="n">
        <x:f>IF(AND(K467=1,OR(B467="ED",B467="NED")),1,0)</x:f>
        <x:v>0</x:v>
      </x:c>
      <x:c r="N467" s="11" t="n">
        <x:f>IF(K467=1,1,0)</x:f>
        <x:v>1</x:v>
      </x:c>
      <x:c r="O467" s="12"/>
      <x:c r="P467" s="11" t="n">
        <x:v>0</x:v>
      </x:c>
      <x:c r="Q467" s="12" t="str">
        <x:v>AF-O08810-F1-model_v6</x:v>
      </x:c>
      <x:c r="R467" s="12" t="str">
        <x:v>ok</x:v>
      </x:c>
      <x:c r="S467" s="11" t="n">
        <x:v>84</x:v>
      </x:c>
      <x:c r="T467" s="11" t="n">
        <x:v>971</x:v>
      </x:c>
    </x:row>
    <x:row r="468" ht="23" customHeight="1">
      <x:c r="A468" s="2" t="str">
        <x:v>O08848</x:v>
      </x:c>
      <x:c r="B468" s="2" t="str">
        <x:v>UN</x:v>
      </x:c>
      <x:c r="C468" s="2" t="n">
        <x:v>1</x:v>
      </x:c>
      <x:c r="D468" s="2" t="n">
        <x:v>1</x:v>
      </x:c>
      <x:c r="E468" s="10" t="n">
        <x:v>92.4014126394052</x:v>
      </x:c>
      <x:c r="F468" s="11" t="n">
        <x:v>538</x:v>
      </x:c>
      <x:c r="G468" s="11" t="n">
        <x:v>0</x:v>
      </x:c>
      <x:c r="H468" s="11" t="n">
        <x:v>0</x:v>
      </x:c>
      <x:c r="I468" s="11" t="n">
        <x:v>0</x:v>
      </x:c>
      <x:c r="J468" s="11" t="n">
        <x:v>0</x:v>
      </x:c>
      <x:c r="K468" s="11" t="n">
        <x:v>1</x:v>
      </x:c>
      <x:c r="L468" s="11" t="n">
        <x:f>IF(B468="NED",1,IF(OR(B468="ED",B468="UN"),0,""))</x:f>
        <x:v>0</x:v>
      </x:c>
      <x:c r="M468" s="11" t="n">
        <x:f>IF(AND(K468=1,OR(B468="ED",B468="NED")),1,0)</x:f>
        <x:v>0</x:v>
      </x:c>
      <x:c r="N468" s="11" t="n">
        <x:f>IF(K468=1,1,0)</x:f>
        <x:v>1</x:v>
      </x:c>
      <x:c r="O468" s="12"/>
      <x:c r="P468" s="11" t="n">
        <x:v>0</x:v>
      </x:c>
      <x:c r="Q468" s="12" t="str">
        <x:v>AF-O08848-F1-model_v6</x:v>
      </x:c>
      <x:c r="R468" s="12" t="str">
        <x:v>ok</x:v>
      </x:c>
      <x:c r="S468" s="11" t="n">
        <x:v>85</x:v>
      </x:c>
      <x:c r="T468" s="11" t="n">
        <x:v>538</x:v>
      </x:c>
    </x:row>
    <x:row r="469" ht="23" customHeight="1">
      <x:c r="A469" s="2" t="str">
        <x:v>O08912</x:v>
      </x:c>
      <x:c r="B469" s="2" t="str">
        <x:v>UN</x:v>
      </x:c>
      <x:c r="C469" s="2"/>
      <x:c r="D469" s="2"/>
      <x:c r="E469" s="10"/>
      <x:c r="F469" s="11" t="n">
        <x:v>559</x:v>
      </x:c>
      <x:c r="G469" s="11" t="n">
        <x:v>0</x:v>
      </x:c>
      <x:c r="H469" s="11" t="n">
        <x:v>1</x:v>
      </x:c>
      <x:c r="I469" s="11" t="n">
        <x:v>1</x:v>
      </x:c>
      <x:c r="J469" s="11" t="n">
        <x:v>1</x:v>
      </x:c>
      <x:c r="K469" s="11" t="n">
        <x:v>0</x:v>
      </x:c>
      <x:c r="L469" s="11" t="n">
        <x:f>IF(B469="NED",1,IF(OR(B469="ED",B469="UN"),0,""))</x:f>
        <x:v>0</x:v>
      </x:c>
      <x:c r="M469" s="11" t="n">
        <x:f>IF(AND(K469=1,OR(B469="ED",B469="NED")),1,0)</x:f>
        <x:v>0</x:v>
      </x:c>
      <x:c r="N469" s="11" t="n">
        <x:f>IF(K469=1,1,0)</x:f>
        <x:v>0</x:v>
      </x:c>
      <x:c r="O469" s="12" t="str">
        <x:v>Require binary native NCLE status</x:v>
      </x:c>
      <x:c r="P469" s="11" t="n">
        <x:v>0</x:v>
      </x:c>
      <x:c r="Q469" s="12" t="str">
        <x:v>AF-O08912-F1-model_v6</x:v>
      </x:c>
      <x:c r="R469" s="12" t="str">
        <x:v>ok</x:v>
      </x:c>
      <x:c r="S469" s="11" t="n">
        <x:v>86</x:v>
      </x:c>
      <x:c r="T469" s="11" t="n">
        <x:v>559</x:v>
      </x:c>
    </x:row>
    <x:row r="470" ht="23" customHeight="1">
      <x:c r="A470" s="2" t="str">
        <x:v>O08915</x:v>
      </x:c>
      <x:c r="B470" s="2" t="str">
        <x:v>ED</x:v>
      </x:c>
      <x:c r="C470" s="2" t="n">
        <x:v>1</x:v>
      </x:c>
      <x:c r="D470" s="2" t="n">
        <x:v>1</x:v>
      </x:c>
      <x:c r="E470" s="10" t="n">
        <x:v>90.75830303030304</x:v>
      </x:c>
      <x:c r="F470" s="11" t="n">
        <x:v>330</x:v>
      </x:c>
      <x:c r="G470" s="11" t="n">
        <x:v>0</x:v>
      </x:c>
      <x:c r="H470" s="11" t="n">
        <x:v>0</x:v>
      </x:c>
      <x:c r="I470" s="11" t="n">
        <x:v>0</x:v>
      </x:c>
      <x:c r="J470" s="11" t="n">
        <x:v>0</x:v>
      </x:c>
      <x:c r="K470" s="11" t="n">
        <x:v>1</x:v>
      </x:c>
      <x:c r="L470" s="11" t="n">
        <x:f>IF(B470="NED",1,IF(OR(B470="ED",B470="UN"),0,""))</x:f>
        <x:v>0</x:v>
      </x:c>
      <x:c r="M470" s="11" t="n">
        <x:f>IF(AND(K470=1,OR(B470="ED",B470="NED")),1,0)</x:f>
        <x:v>1</x:v>
      </x:c>
      <x:c r="N470" s="11" t="n">
        <x:f>IF(K470=1,1,0)</x:f>
        <x:v>1</x:v>
      </x:c>
      <x:c r="O470" s="12"/>
      <x:c r="P470" s="11" t="n">
        <x:v>0</x:v>
      </x:c>
      <x:c r="Q470" s="12" t="str">
        <x:v>AF-O08915-F1-model_v6</x:v>
      </x:c>
      <x:c r="R470" s="12" t="str">
        <x:v>ok</x:v>
      </x:c>
      <x:c r="S470" s="11" t="n">
        <x:v>87</x:v>
      </x:c>
      <x:c r="T470" s="11" t="n">
        <x:v>330</x:v>
      </x:c>
    </x:row>
    <x:row r="471" ht="23" customHeight="1">
      <x:c r="A471" s="2" t="str">
        <x:v>O08917</x:v>
      </x:c>
      <x:c r="B471" s="2" t="str">
        <x:v>UN</x:v>
      </x:c>
      <x:c r="C471" s="2" t="n">
        <x:v>1</x:v>
      </x:c>
      <x:c r="D471" s="2" t="n">
        <x:v>1</x:v>
      </x:c>
      <x:c r="E471" s="10"/>
      <x:c r="F471" s="11" t="n">
        <x:v>428</x:v>
      </x:c>
      <x:c r="G471" s="11" t="n">
        <x:v>0</x:v>
      </x:c>
      <x:c r="H471" s="11" t="n">
        <x:v>0</x:v>
      </x:c>
      <x:c r="I471" s="11" t="n">
        <x:v>1</x:v>
      </x:c>
      <x:c r="J471" s="11" t="n">
        <x:v>0</x:v>
      </x:c>
      <x:c r="K471" s="11" t="n">
        <x:v>0</x:v>
      </x:c>
      <x:c r="L471" s="11" t="n">
        <x:f>IF(B471="NED",1,IF(OR(B471="ED",B471="UN"),0,""))</x:f>
        <x:v>0</x:v>
      </x:c>
      <x:c r="M471" s="11" t="n">
        <x:f>IF(AND(K471=1,OR(B471="ED",B471="NED")),1,0)</x:f>
        <x:v>0</x:v>
      </x:c>
      <x:c r="N471" s="11" t="n">
        <x:f>IF(K471=1,1,0)</x:f>
        <x:v>0</x:v>
      </x:c>
      <x:c r="O471" s="12" t="str">
        <x:v>Exclude UniProt Membrane keyword</x:v>
      </x:c>
      <x:c r="P471" s="11" t="n">
        <x:v>0</x:v>
      </x:c>
      <x:c r="Q471" s="12" t="str">
        <x:v>AF-O08917-F1-model_v6</x:v>
      </x:c>
      <x:c r="R471" s="12" t="str">
        <x:v>ok</x:v>
      </x:c>
      <x:c r="S471" s="11" t="n">
        <x:v>88</x:v>
      </x:c>
      <x:c r="T471" s="11" t="n">
        <x:v>428</x:v>
      </x:c>
    </x:row>
    <x:row r="472" ht="23" customHeight="1">
      <x:c r="A472" s="2" t="str">
        <x:v>O08997</x:v>
      </x:c>
      <x:c r="B472" s="2" t="str">
        <x:v>ED</x:v>
      </x:c>
      <x:c r="C472" s="2" t="n">
        <x:v>0</x:v>
      </x:c>
      <x:c r="D472" s="2" t="n">
        <x:v>0</x:v>
      </x:c>
      <x:c r="E472" s="10" t="n">
        <x:v>97.8875</x:v>
      </x:c>
      <x:c r="F472" s="11" t="n">
        <x:v>68</x:v>
      </x:c>
      <x:c r="G472" s="11" t="n">
        <x:v>0</x:v>
      </x:c>
      <x:c r="H472" s="11" t="n">
        <x:v>0</x:v>
      </x:c>
      <x:c r="I472" s="11" t="n">
        <x:v>0</x:v>
      </x:c>
      <x:c r="J472" s="11" t="n">
        <x:v>0</x:v>
      </x:c>
      <x:c r="K472" s="11" t="n">
        <x:v>1</x:v>
      </x:c>
      <x:c r="L472" s="11" t="n">
        <x:f>IF(B472="NED",1,IF(OR(B472="ED",B472="UN"),0,""))</x:f>
        <x:v>0</x:v>
      </x:c>
      <x:c r="M472" s="11" t="n">
        <x:f>IF(AND(K472=1,OR(B472="ED",B472="NED")),1,0)</x:f>
        <x:v>1</x:v>
      </x:c>
      <x:c r="N472" s="11" t="n">
        <x:f>IF(K472=1,1,0)</x:f>
        <x:v>1</x:v>
      </x:c>
      <x:c r="O472" s="12"/>
      <x:c r="P472" s="11" t="n">
        <x:v>0</x:v>
      </x:c>
      <x:c r="Q472" s="12" t="str">
        <x:v>AF-O08997-F1-model_v6</x:v>
      </x:c>
      <x:c r="R472" s="12" t="str">
        <x:v>ok</x:v>
      </x:c>
      <x:c r="S472" s="11" t="n">
        <x:v>89</x:v>
      </x:c>
      <x:c r="T472" s="11" t="n">
        <x:v>68</x:v>
      </x:c>
    </x:row>
    <x:row r="473" ht="23" customHeight="1">
      <x:c r="A473" s="2" t="str">
        <x:v>O09012-2</x:v>
      </x:c>
      <x:c r="B473" s="2" t="str">
        <x:v>ED</x:v>
      </x:c>
      <x:c r="C473" s="2"/>
      <x:c r="D473" s="2"/>
      <x:c r="E473" s="10"/>
      <x:c r="F473" s="11"/>
      <x:c r="G473" s="11" t="n">
        <x:v>0</x:v>
      </x:c>
      <x:c r="H473" s="11" t="n">
        <x:v>0</x:v>
      </x:c>
      <x:c r="I473" s="11"/>
      <x:c r="J473" s="11"/>
      <x:c r="K473" s="11" t="n">
        <x:v>0</x:v>
      </x:c>
      <x:c r="L473" s="11" t="n">
        <x:f>IF(B473="NED",1,IF(OR(B473="ED",B473="UN"),0,""))</x:f>
        <x:v>0</x:v>
      </x:c>
      <x:c r="M473" s="11" t="n">
        <x:f>IF(AND(K473=1,OR(B473="ED",B473="NED")),1,0)</x:f>
        <x:v>0</x:v>
      </x:c>
      <x:c r="N473" s="11" t="n">
        <x:f>IF(K473=1,1,0)</x:f>
        <x:v>0</x:v>
      </x:c>
      <x:c r="O473" s="12" t="str">
        <x:v>Require exact native accession match</x:v>
      </x:c>
      <x:c r="P473" s="11" t="n">
        <x:v>0</x:v>
      </x:c>
      <x:c r="Q473" s="12"/>
      <x:c r="R473" s="12"/>
      <x:c r="S473" s="11" t="n">
        <x:v>90</x:v>
      </x:c>
      <x:c r="T473" s="11"/>
    </x:row>
    <x:row r="474" ht="23" customHeight="1">
      <x:c r="A474" s="2" t="str">
        <x:v>O09053</x:v>
      </x:c>
      <x:c r="B474" s="2" t="str">
        <x:v>ED</x:v>
      </x:c>
      <x:c r="C474" s="2" t="n">
        <x:v>1</x:v>
      </x:c>
      <x:c r="D474" s="2" t="n">
        <x:v>1</x:v>
      </x:c>
      <x:c r="E474" s="10" t="n">
        <x:v>69.01924339757316</x:v>
      </x:c>
      <x:c r="F474" s="11" t="n">
        <x:v>1401</x:v>
      </x:c>
      <x:c r="G474" s="11" t="n">
        <x:v>0</x:v>
      </x:c>
      <x:c r="H474" s="11" t="n">
        <x:v>0</x:v>
      </x:c>
      <x:c r="I474" s="11" t="n">
        <x:v>0</x:v>
      </x:c>
      <x:c r="J474" s="11" t="n">
        <x:v>0</x:v>
      </x:c>
      <x:c r="K474" s="11" t="n">
        <x:v>0</x:v>
      </x:c>
      <x:c r="L474" s="11" t="n">
        <x:f>IF(B474="NED",1,IF(OR(B474="ED",B474="UN"),0,""))</x:f>
        <x:v>0</x:v>
      </x:c>
      <x:c r="M474" s="11" t="n">
        <x:f>IF(AND(K474=1,OR(B474="ED",B474="NED")),1,0)</x:f>
        <x:v>0</x:v>
      </x:c>
      <x:c r="N474" s="11" t="n">
        <x:f>IF(K474=1,1,0)</x:f>
        <x:v>0</x:v>
      </x:c>
      <x:c r="O474" s="12" t="str">
        <x:v>Retain protein mean pLDDT &gt;=70</x:v>
      </x:c>
      <x:c r="P474" s="11" t="n">
        <x:v>0</x:v>
      </x:c>
      <x:c r="Q474" s="12" t="str">
        <x:v>AF-O09053-F1-model_v6</x:v>
      </x:c>
      <x:c r="R474" s="12" t="str">
        <x:v>ok</x:v>
      </x:c>
      <x:c r="S474" s="11" t="n">
        <x:v>91</x:v>
      </x:c>
      <x:c r="T474" s="11" t="n">
        <x:v>1401</x:v>
      </x:c>
    </x:row>
    <x:row r="475" ht="23" customHeight="1">
      <x:c r="A475" s="2" t="str">
        <x:v>O09061</x:v>
      </x:c>
      <x:c r="B475" s="2" t="str">
        <x:v>UN</x:v>
      </x:c>
      <x:c r="C475" s="2" t="n">
        <x:v>1</x:v>
      </x:c>
      <x:c r="D475" s="2" t="n">
        <x:v>1</x:v>
      </x:c>
      <x:c r="E475" s="10" t="n">
        <x:v>92.31133333333334</x:v>
      </x:c>
      <x:c r="F475" s="11" t="n">
        <x:v>240</x:v>
      </x:c>
      <x:c r="G475" s="11" t="n">
        <x:v>0</x:v>
      </x:c>
      <x:c r="H475" s="11" t="n">
        <x:v>0</x:v>
      </x:c>
      <x:c r="I475" s="11" t="n">
        <x:v>0</x:v>
      </x:c>
      <x:c r="J475" s="11" t="n">
        <x:v>0</x:v>
      </x:c>
      <x:c r="K475" s="11" t="n">
        <x:v>1</x:v>
      </x:c>
      <x:c r="L475" s="11" t="n">
        <x:f>IF(B475="NED",1,IF(OR(B475="ED",B475="UN"),0,""))</x:f>
        <x:v>0</x:v>
      </x:c>
      <x:c r="M475" s="11" t="n">
        <x:f>IF(AND(K475=1,OR(B475="ED",B475="NED")),1,0)</x:f>
        <x:v>0</x:v>
      </x:c>
      <x:c r="N475" s="11" t="n">
        <x:f>IF(K475=1,1,0)</x:f>
        <x:v>1</x:v>
      </x:c>
      <x:c r="O475" s="12"/>
      <x:c r="P475" s="11" t="n">
        <x:v>0</x:v>
      </x:c>
      <x:c r="Q475" s="12" t="str">
        <x:v>AF-O09061-F1-model_v6</x:v>
      </x:c>
      <x:c r="R475" s="12" t="str">
        <x:v>ok</x:v>
      </x:c>
      <x:c r="S475" s="11" t="n">
        <x:v>92</x:v>
      </x:c>
      <x:c r="T475" s="11" t="n">
        <x:v>240</x:v>
      </x:c>
    </x:row>
    <x:row r="476" ht="23" customHeight="1">
      <x:c r="A476" s="2" t="str">
        <x:v>O09106</x:v>
      </x:c>
      <x:c r="B476" s="2" t="str">
        <x:v>NED</x:v>
      </x:c>
      <x:c r="C476" s="2" t="n">
        <x:v>1</x:v>
      </x:c>
      <x:c r="D476" s="2" t="n">
        <x:v>1</x:v>
      </x:c>
      <x:c r="E476" s="10" t="n">
        <x:v>85.70064315352697</x:v>
      </x:c>
      <x:c r="F476" s="11" t="n">
        <x:v>482</x:v>
      </x:c>
      <x:c r="G476" s="11" t="n">
        <x:v>0</x:v>
      </x:c>
      <x:c r="H476" s="11" t="n">
        <x:v>0</x:v>
      </x:c>
      <x:c r="I476" s="11" t="n">
        <x:v>0</x:v>
      </x:c>
      <x:c r="J476" s="11" t="n">
        <x:v>0</x:v>
      </x:c>
      <x:c r="K476" s="11" t="n">
        <x:v>1</x:v>
      </x:c>
      <x:c r="L476" s="11" t="n">
        <x:f>IF(B476="NED",1,IF(OR(B476="ED",B476="UN"),0,""))</x:f>
        <x:v>1</x:v>
      </x:c>
      <x:c r="M476" s="11" t="n">
        <x:f>IF(AND(K476=1,OR(B476="ED",B476="NED")),1,0)</x:f>
        <x:v>1</x:v>
      </x:c>
      <x:c r="N476" s="11" t="n">
        <x:f>IF(K476=1,1,0)</x:f>
        <x:v>1</x:v>
      </x:c>
      <x:c r="O476" s="12"/>
      <x:c r="P476" s="11" t="n">
        <x:v>0</x:v>
      </x:c>
      <x:c r="Q476" s="12" t="str">
        <x:v>AF-O09106-F1-model_v6</x:v>
      </x:c>
      <x:c r="R476" s="12" t="str">
        <x:v>ok</x:v>
      </x:c>
      <x:c r="S476" s="11" t="n">
        <x:v>93</x:v>
      </x:c>
      <x:c r="T476" s="11" t="n">
        <x:v>482</x:v>
      </x:c>
    </x:row>
    <x:row r="477" ht="23" customHeight="1">
      <x:c r="A477" s="2" t="str">
        <x:v>O09110</x:v>
      </x:c>
      <x:c r="B477" s="2" t="str">
        <x:v>ED</x:v>
      </x:c>
      <x:c r="C477" s="2" t="n">
        <x:v>1</x:v>
      </x:c>
      <x:c r="D477" s="2" t="n">
        <x:v>1</x:v>
      </x:c>
      <x:c r="E477" s="10" t="n">
        <x:v>81.08080691642651</x:v>
      </x:c>
      <x:c r="F477" s="11" t="n">
        <x:v>347</x:v>
      </x:c>
      <x:c r="G477" s="11" t="n">
        <x:v>0</x:v>
      </x:c>
      <x:c r="H477" s="11" t="n">
        <x:v>0</x:v>
      </x:c>
      <x:c r="I477" s="11" t="n">
        <x:v>0</x:v>
      </x:c>
      <x:c r="J477" s="11" t="n">
        <x:v>0</x:v>
      </x:c>
      <x:c r="K477" s="11" t="n">
        <x:v>1</x:v>
      </x:c>
      <x:c r="L477" s="11" t="n">
        <x:f>IF(B477="NED",1,IF(OR(B477="ED",B477="UN"),0,""))</x:f>
        <x:v>0</x:v>
      </x:c>
      <x:c r="M477" s="11" t="n">
        <x:f>IF(AND(K477=1,OR(B477="ED",B477="NED")),1,0)</x:f>
        <x:v>1</x:v>
      </x:c>
      <x:c r="N477" s="11" t="n">
        <x:f>IF(K477=1,1,0)</x:f>
        <x:v>1</x:v>
      </x:c>
      <x:c r="O477" s="12"/>
      <x:c r="P477" s="11" t="n">
        <x:v>0</x:v>
      </x:c>
      <x:c r="Q477" s="12" t="str">
        <x:v>AF-O09110-F1-model_v6</x:v>
      </x:c>
      <x:c r="R477" s="12" t="str">
        <x:v>ok</x:v>
      </x:c>
      <x:c r="S477" s="11" t="n">
        <x:v>94</x:v>
      </x:c>
      <x:c r="T477" s="11" t="n">
        <x:v>347</x:v>
      </x:c>
    </x:row>
    <x:row r="478" ht="23" customHeight="1">
      <x:c r="A478" s="2" t="str">
        <x:v>O09172</x:v>
      </x:c>
      <x:c r="B478" s="2" t="str">
        <x:v>ED</x:v>
      </x:c>
      <x:c r="C478" s="2" t="n">
        <x:v>1</x:v>
      </x:c>
      <x:c r="D478" s="2" t="n">
        <x:v>1</x:v>
      </x:c>
      <x:c r="E478" s="10" t="n">
        <x:v>91.33886861313869</x:v>
      </x:c>
      <x:c r="F478" s="11" t="n">
        <x:v>274</x:v>
      </x:c>
      <x:c r="G478" s="11" t="n">
        <x:v>0</x:v>
      </x:c>
      <x:c r="H478" s="11" t="n">
        <x:v>0</x:v>
      </x:c>
      <x:c r="I478" s="11" t="n">
        <x:v>0</x:v>
      </x:c>
      <x:c r="J478" s="11" t="n">
        <x:v>0</x:v>
      </x:c>
      <x:c r="K478" s="11" t="n">
        <x:v>1</x:v>
      </x:c>
      <x:c r="L478" s="11" t="n">
        <x:f>IF(B478="NED",1,IF(OR(B478="ED",B478="UN"),0,""))</x:f>
        <x:v>0</x:v>
      </x:c>
      <x:c r="M478" s="11" t="n">
        <x:f>IF(AND(K478=1,OR(B478="ED",B478="NED")),1,0)</x:f>
        <x:v>1</x:v>
      </x:c>
      <x:c r="N478" s="11" t="n">
        <x:f>IF(K478=1,1,0)</x:f>
        <x:v>1</x:v>
      </x:c>
      <x:c r="O478" s="12"/>
      <x:c r="P478" s="11" t="n">
        <x:v>0</x:v>
      </x:c>
      <x:c r="Q478" s="12" t="str">
        <x:v>AF-O09172-F1-model_v6</x:v>
      </x:c>
      <x:c r="R478" s="12" t="str">
        <x:v>ok</x:v>
      </x:c>
      <x:c r="S478" s="11" t="n">
        <x:v>95</x:v>
      </x:c>
      <x:c r="T478" s="11" t="n">
        <x:v>274</x:v>
      </x:c>
    </x:row>
    <x:row r="479" ht="23" customHeight="1">
      <x:c r="A479" s="2" t="str">
        <x:v>O35126</x:v>
      </x:c>
      <x:c r="B479" s="2" t="str">
        <x:v>ED</x:v>
      </x:c>
      <x:c r="C479" s="2" t="n">
        <x:v>1</x:v>
      </x:c>
      <x:c r="D479" s="2"/>
      <x:c r="E479" s="10"/>
      <x:c r="F479" s="11" t="n">
        <x:v>1175</x:v>
      </x:c>
      <x:c r="G479" s="11" t="n">
        <x:v>1</x:v>
      </x:c>
      <x:c r="H479" s="11" t="n">
        <x:v>0</x:v>
      </x:c>
      <x:c r="I479" s="11" t="n">
        <x:v>0</x:v>
      </x:c>
      <x:c r="J479" s="11" t="n">
        <x:v>0</x:v>
      </x:c>
      <x:c r="K479" s="11" t="n">
        <x:v>0</x:v>
      </x:c>
      <x:c r="L479" s="11" t="n">
        <x:f>IF(B479="NED",1,IF(OR(B479="ED",B479="UN"),0,""))</x:f>
        <x:v>0</x:v>
      </x:c>
      <x:c r="M479" s="11" t="n">
        <x:f>IF(AND(K479=1,OR(B479="ED",B479="NED")),1,0)</x:f>
        <x:v>0</x:v>
      </x:c>
      <x:c r="N479" s="11" t="n">
        <x:f>IF(K479=1,1,0)</x:f>
        <x:v>0</x:v>
      </x:c>
      <x:c r="O479" s="12" t="str">
        <x:v>Exclude supplied knotted proteins</x:v>
      </x:c>
      <x:c r="P479" s="11" t="n">
        <x:v>0</x:v>
      </x:c>
      <x:c r="Q479" s="12" t="str">
        <x:v>AF-O35126-F1-model_v6</x:v>
      </x:c>
      <x:c r="R479" s="12" t="str">
        <x:v>ok</x:v>
      </x:c>
      <x:c r="S479" s="11" t="n">
        <x:v>96</x:v>
      </x:c>
      <x:c r="T479" s="11" t="n">
        <x:v>1175</x:v>
      </x:c>
    </x:row>
    <x:row r="480" ht="23" customHeight="1">
      <x:c r="A480" s="2" t="str">
        <x:v>O35127</x:v>
      </x:c>
      <x:c r="B480" s="2" t="str">
        <x:v>UN</x:v>
      </x:c>
      <x:c r="C480" s="2" t="n">
        <x:v>0</x:v>
      </x:c>
      <x:c r="D480" s="2" t="n">
        <x:v>0</x:v>
      </x:c>
      <x:c r="E480" s="10" t="n">
        <x:v>80.36761904761904</x:v>
      </x:c>
      <x:c r="F480" s="11" t="n">
        <x:v>126</x:v>
      </x:c>
      <x:c r="G480" s="11" t="n">
        <x:v>0</x:v>
      </x:c>
      <x:c r="H480" s="11" t="n">
        <x:v>0</x:v>
      </x:c>
      <x:c r="I480" s="11" t="n">
        <x:v>0</x:v>
      </x:c>
      <x:c r="J480" s="11" t="n">
        <x:v>0</x:v>
      </x:c>
      <x:c r="K480" s="11" t="n">
        <x:v>1</x:v>
      </x:c>
      <x:c r="L480" s="11" t="n">
        <x:f>IF(B480="NED",1,IF(OR(B480="ED",B480="UN"),0,""))</x:f>
        <x:v>0</x:v>
      </x:c>
      <x:c r="M480" s="11" t="n">
        <x:f>IF(AND(K480=1,OR(B480="ED",B480="NED")),1,0)</x:f>
        <x:v>0</x:v>
      </x:c>
      <x:c r="N480" s="11" t="n">
        <x:f>IF(K480=1,1,0)</x:f>
        <x:v>1</x:v>
      </x:c>
      <x:c r="O480" s="12"/>
      <x:c r="P480" s="11" t="n">
        <x:v>0</x:v>
      </x:c>
      <x:c r="Q480" s="12" t="str">
        <x:v>AF-O35127-F1-model_v6</x:v>
      </x:c>
      <x:c r="R480" s="12" t="str">
        <x:v>ok</x:v>
      </x:c>
      <x:c r="S480" s="11" t="n">
        <x:v>97</x:v>
      </x:c>
      <x:c r="T480" s="11" t="n">
        <x:v>126</x:v>
      </x:c>
    </x:row>
    <x:row r="481" ht="23" customHeight="1">
      <x:c r="A481" s="2" t="str">
        <x:v>O35129</x:v>
      </x:c>
      <x:c r="B481" s="2" t="str">
        <x:v>ED</x:v>
      </x:c>
      <x:c r="C481" s="2" t="n">
        <x:v>1</x:v>
      </x:c>
      <x:c r="D481" s="2" t="n">
        <x:v>1</x:v>
      </x:c>
      <x:c r="E481" s="10"/>
      <x:c r="F481" s="11" t="n">
        <x:v>299</x:v>
      </x:c>
      <x:c r="G481" s="11" t="n">
        <x:v>0</x:v>
      </x:c>
      <x:c r="H481" s="11" t="n">
        <x:v>0</x:v>
      </x:c>
      <x:c r="I481" s="11" t="n">
        <x:v>1</x:v>
      </x:c>
      <x:c r="J481" s="11" t="n">
        <x:v>0</x:v>
      </x:c>
      <x:c r="K481" s="11" t="n">
        <x:v>0</x:v>
      </x:c>
      <x:c r="L481" s="11" t="n">
        <x:f>IF(B481="NED",1,IF(OR(B481="ED",B481="UN"),0,""))</x:f>
        <x:v>0</x:v>
      </x:c>
      <x:c r="M481" s="11" t="n">
        <x:f>IF(AND(K481=1,OR(B481="ED",B481="NED")),1,0)</x:f>
        <x:v>0</x:v>
      </x:c>
      <x:c r="N481" s="11" t="n">
        <x:f>IF(K481=1,1,0)</x:f>
        <x:v>0</x:v>
      </x:c>
      <x:c r="O481" s="12" t="str">
        <x:v>Exclude UniProt Membrane keyword</x:v>
      </x:c>
      <x:c r="P481" s="11" t="n">
        <x:v>0</x:v>
      </x:c>
      <x:c r="Q481" s="12" t="str">
        <x:v>AF-O35129-F1-model_v6</x:v>
      </x:c>
      <x:c r="R481" s="12" t="str">
        <x:v>ok</x:v>
      </x:c>
      <x:c r="S481" s="11" t="n">
        <x:v>98</x:v>
      </x:c>
      <x:c r="T481" s="11" t="n">
        <x:v>299</x:v>
      </x:c>
    </x:row>
    <x:row r="482" ht="23" customHeight="1">
      <x:c r="A482" s="2" t="str">
        <x:v>O35130</x:v>
      </x:c>
      <x:c r="B482" s="2" t="str">
        <x:v>ED</x:v>
      </x:c>
      <x:c r="C482" s="2" t="n">
        <x:v>1</x:v>
      </x:c>
      <x:c r="D482" s="2" t="n">
        <x:v>1</x:v>
      </x:c>
      <x:c r="E482" s="10"/>
      <x:c r="F482" s="11" t="n">
        <x:v>244</x:v>
      </x:c>
      <x:c r="G482" s="11" t="n">
        <x:v>1</x:v>
      </x:c>
      <x:c r="H482" s="11" t="n">
        <x:v>0</x:v>
      </x:c>
      <x:c r="I482" s="11" t="n">
        <x:v>0</x:v>
      </x:c>
      <x:c r="J482" s="11" t="n">
        <x:v>0</x:v>
      </x:c>
      <x:c r="K482" s="11" t="n">
        <x:v>0</x:v>
      </x:c>
      <x:c r="L482" s="11" t="n">
        <x:f>IF(B482="NED",1,IF(OR(B482="ED",B482="UN"),0,""))</x:f>
        <x:v>0</x:v>
      </x:c>
      <x:c r="M482" s="11" t="n">
        <x:f>IF(AND(K482=1,OR(B482="ED",B482="NED")),1,0)</x:f>
        <x:v>0</x:v>
      </x:c>
      <x:c r="N482" s="11" t="n">
        <x:f>IF(K482=1,1,0)</x:f>
        <x:v>0</x:v>
      </x:c>
      <x:c r="O482" s="12" t="str">
        <x:v>Exclude supplied knotted proteins</x:v>
      </x:c>
      <x:c r="P482" s="11" t="n">
        <x:v>0</x:v>
      </x:c>
      <x:c r="Q482" s="12" t="str">
        <x:v>AF-O35130-F1-model_v6</x:v>
      </x:c>
      <x:c r="R482" s="12" t="str">
        <x:v>ok</x:v>
      </x:c>
      <x:c r="S482" s="11" t="n">
        <x:v>99</x:v>
      </x:c>
      <x:c r="T482" s="11" t="n">
        <x:v>244</x:v>
      </x:c>
    </x:row>
    <x:row r="483" ht="23" customHeight="1">
      <x:c r="A483" s="2" t="str">
        <x:v>O35134</x:v>
      </x:c>
      <x:c r="B483" s="2" t="str">
        <x:v>UN</x:v>
      </x:c>
      <x:c r="C483" s="2" t="n">
        <x:v>1</x:v>
      </x:c>
      <x:c r="D483" s="2" t="n">
        <x:v>1</x:v>
      </x:c>
      <x:c r="E483" s="10" t="n">
        <x:v>80.43549796156086</x:v>
      </x:c>
      <x:c r="F483" s="11" t="n">
        <x:v>1717</x:v>
      </x:c>
      <x:c r="G483" s="11" t="n">
        <x:v>0</x:v>
      </x:c>
      <x:c r="H483" s="11" t="n">
        <x:v>0</x:v>
      </x:c>
      <x:c r="I483" s="11" t="n">
        <x:v>0</x:v>
      </x:c>
      <x:c r="J483" s="11" t="n">
        <x:v>0</x:v>
      </x:c>
      <x:c r="K483" s="11" t="n">
        <x:v>1</x:v>
      </x:c>
      <x:c r="L483" s="11" t="n">
        <x:f>IF(B483="NED",1,IF(OR(B483="ED",B483="UN"),0,""))</x:f>
        <x:v>0</x:v>
      </x:c>
      <x:c r="M483" s="11" t="n">
        <x:f>IF(AND(K483=1,OR(B483="ED",B483="NED")),1,0)</x:f>
        <x:v>0</x:v>
      </x:c>
      <x:c r="N483" s="11" t="n">
        <x:f>IF(K483=1,1,0)</x:f>
        <x:v>1</x:v>
      </x:c>
      <x:c r="O483" s="12"/>
      <x:c r="P483" s="11" t="n">
        <x:v>0</x:v>
      </x:c>
      <x:c r="Q483" s="12" t="str">
        <x:v>AF-O35134-F1-model_v6</x:v>
      </x:c>
      <x:c r="R483" s="12" t="str">
        <x:v>ok</x:v>
      </x:c>
      <x:c r="S483" s="11" t="n">
        <x:v>100</x:v>
      </x:c>
      <x:c r="T483" s="11" t="n">
        <x:v>1717</x:v>
      </x:c>
    </x:row>
    <x:row r="484" ht="23" customHeight="1">
      <x:c r="A484" s="2" t="str">
        <x:v>O35226</x:v>
      </x:c>
      <x:c r="B484" s="2" t="str">
        <x:v>ED</x:v>
      </x:c>
      <x:c r="C484" s="2" t="n">
        <x:v>0</x:v>
      </x:c>
      <x:c r="D484" s="2" t="n">
        <x:v>0</x:v>
      </x:c>
      <x:c r="E484" s="10" t="n">
        <x:v>72.00321808510638</x:v>
      </x:c>
      <x:c r="F484" s="11" t="n">
        <x:v>376</x:v>
      </x:c>
      <x:c r="G484" s="11" t="n">
        <x:v>0</x:v>
      </x:c>
      <x:c r="H484" s="11" t="n">
        <x:v>0</x:v>
      </x:c>
      <x:c r="I484" s="11" t="n">
        <x:v>0</x:v>
      </x:c>
      <x:c r="J484" s="11" t="n">
        <x:v>0</x:v>
      </x:c>
      <x:c r="K484" s="11" t="n">
        <x:v>1</x:v>
      </x:c>
      <x:c r="L484" s="11" t="n">
        <x:f>IF(B484="NED",1,IF(OR(B484="ED",B484="UN"),0,""))</x:f>
        <x:v>0</x:v>
      </x:c>
      <x:c r="M484" s="11" t="n">
        <x:f>IF(AND(K484=1,OR(B484="ED",B484="NED")),1,0)</x:f>
        <x:v>1</x:v>
      </x:c>
      <x:c r="N484" s="11" t="n">
        <x:f>IF(K484=1,1,0)</x:f>
        <x:v>1</x:v>
      </x:c>
      <x:c r="O484" s="12"/>
      <x:c r="P484" s="11" t="n">
        <x:v>0</x:v>
      </x:c>
      <x:c r="Q484" s="12" t="str">
        <x:v>AF-O35226-F1-model_v6</x:v>
      </x:c>
      <x:c r="R484" s="12" t="str">
        <x:v>ok</x:v>
      </x:c>
      <x:c r="S484" s="11" t="n">
        <x:v>101</x:v>
      </x:c>
      <x:c r="T484" s="11" t="n">
        <x:v>376</x:v>
      </x:c>
    </x:row>
    <x:row r="485" ht="23" customHeight="1">
      <x:c r="A485" s="2" t="str">
        <x:v>O35226-2</x:v>
      </x:c>
      <x:c r="B485" s="2" t="str">
        <x:v>UN</x:v>
      </x:c>
      <x:c r="C485" s="2"/>
      <x:c r="D485" s="2"/>
      <x:c r="E485" s="10"/>
      <x:c r="F485" s="11"/>
      <x:c r="G485" s="11" t="n">
        <x:v>0</x:v>
      </x:c>
      <x:c r="H485" s="11" t="n">
        <x:v>0</x:v>
      </x:c>
      <x:c r="I485" s="11"/>
      <x:c r="J485" s="11"/>
      <x:c r="K485" s="11" t="n">
        <x:v>0</x:v>
      </x:c>
      <x:c r="L485" s="11" t="n">
        <x:f>IF(B485="NED",1,IF(OR(B485="ED",B485="UN"),0,""))</x:f>
        <x:v>0</x:v>
      </x:c>
      <x:c r="M485" s="11" t="n">
        <x:f>IF(AND(K485=1,OR(B485="ED",B485="NED")),1,0)</x:f>
        <x:v>0</x:v>
      </x:c>
      <x:c r="N485" s="11" t="n">
        <x:f>IF(K485=1,1,0)</x:f>
        <x:v>0</x:v>
      </x:c>
      <x:c r="O485" s="12" t="str">
        <x:v>Require exact native accession match</x:v>
      </x:c>
      <x:c r="P485" s="11" t="n">
        <x:v>0</x:v>
      </x:c>
      <x:c r="Q485" s="12"/>
      <x:c r="R485" s="12"/>
      <x:c r="S485" s="11" t="n">
        <x:v>102</x:v>
      </x:c>
      <x:c r="T485" s="11"/>
    </x:row>
    <x:row r="486" ht="23" customHeight="1">
      <x:c r="A486" s="2" t="str">
        <x:v>O35239</x:v>
      </x:c>
      <x:c r="B486" s="2" t="str">
        <x:v>ED</x:v>
      </x:c>
      <x:c r="C486" s="2" t="n">
        <x:v>1</x:v>
      </x:c>
      <x:c r="D486" s="2" t="n">
        <x:v>1</x:v>
      </x:c>
      <x:c r="E486" s="10" t="n">
        <x:v>87.55308600337268</x:v>
      </x:c>
      <x:c r="F486" s="11" t="n">
        <x:v>593</x:v>
      </x:c>
      <x:c r="G486" s="11" t="n">
        <x:v>0</x:v>
      </x:c>
      <x:c r="H486" s="11" t="n">
        <x:v>0</x:v>
      </x:c>
      <x:c r="I486" s="11" t="n">
        <x:v>0</x:v>
      </x:c>
      <x:c r="J486" s="11" t="n">
        <x:v>0</x:v>
      </x:c>
      <x:c r="K486" s="11" t="n">
        <x:v>1</x:v>
      </x:c>
      <x:c r="L486" s="11" t="n">
        <x:f>IF(B486="NED",1,IF(OR(B486="ED",B486="UN"),0,""))</x:f>
        <x:v>0</x:v>
      </x:c>
      <x:c r="M486" s="11" t="n">
        <x:f>IF(AND(K486=1,OR(B486="ED",B486="NED")),1,0)</x:f>
        <x:v>1</x:v>
      </x:c>
      <x:c r="N486" s="11" t="n">
        <x:f>IF(K486=1,1,0)</x:f>
        <x:v>1</x:v>
      </x:c>
      <x:c r="O486" s="12"/>
      <x:c r="P486" s="11" t="n">
        <x:v>0</x:v>
      </x:c>
      <x:c r="Q486" s="12" t="str">
        <x:v>AF-O35239-F1-model_v6</x:v>
      </x:c>
      <x:c r="R486" s="12" t="str">
        <x:v>ok</x:v>
      </x:c>
      <x:c r="S486" s="11" t="n">
        <x:v>103</x:v>
      </x:c>
      <x:c r="T486" s="11" t="n">
        <x:v>593</x:v>
      </x:c>
    </x:row>
    <x:row r="487" ht="23" customHeight="1">
      <x:c r="A487" s="2" t="str">
        <x:v>O35245-3</x:v>
      </x:c>
      <x:c r="B487" s="2" t="str">
        <x:v>UN</x:v>
      </x:c>
      <x:c r="C487" s="2"/>
      <x:c r="D487" s="2"/>
      <x:c r="E487" s="10"/>
      <x:c r="F487" s="11"/>
      <x:c r="G487" s="11" t="n">
        <x:v>0</x:v>
      </x:c>
      <x:c r="H487" s="11" t="n">
        <x:v>0</x:v>
      </x:c>
      <x:c r="I487" s="11"/>
      <x:c r="J487" s="11"/>
      <x:c r="K487" s="11" t="n">
        <x:v>0</x:v>
      </x:c>
      <x:c r="L487" s="11" t="n">
        <x:f>IF(B487="NED",1,IF(OR(B487="ED",B487="UN"),0,""))</x:f>
        <x:v>0</x:v>
      </x:c>
      <x:c r="M487" s="11" t="n">
        <x:f>IF(AND(K487=1,OR(B487="ED",B487="NED")),1,0)</x:f>
        <x:v>0</x:v>
      </x:c>
      <x:c r="N487" s="11" t="n">
        <x:f>IF(K487=1,1,0)</x:f>
        <x:v>0</x:v>
      </x:c>
      <x:c r="O487" s="12" t="str">
        <x:v>Require exact native accession match</x:v>
      </x:c>
      <x:c r="P487" s="11" t="n">
        <x:v>0</x:v>
      </x:c>
      <x:c r="Q487" s="12"/>
      <x:c r="R487" s="12"/>
      <x:c r="S487" s="11" t="n">
        <x:v>104</x:v>
      </x:c>
      <x:c r="T487" s="11"/>
    </x:row>
    <x:row r="488" ht="23" customHeight="1">
      <x:c r="A488" s="2" t="str">
        <x:v>O35250-2</x:v>
      </x:c>
      <x:c r="B488" s="2" t="str">
        <x:v>NED</x:v>
      </x:c>
      <x:c r="C488" s="2"/>
      <x:c r="D488" s="2"/>
      <x:c r="E488" s="10"/>
      <x:c r="F488" s="11"/>
      <x:c r="G488" s="11" t="n">
        <x:v>0</x:v>
      </x:c>
      <x:c r="H488" s="11" t="n">
        <x:v>0</x:v>
      </x:c>
      <x:c r="I488" s="11"/>
      <x:c r="J488" s="11"/>
      <x:c r="K488" s="11" t="n">
        <x:v>0</x:v>
      </x:c>
      <x:c r="L488" s="11" t="n">
        <x:f>IF(B488="NED",1,IF(OR(B488="ED",B488="UN"),0,""))</x:f>
        <x:v>1</x:v>
      </x:c>
      <x:c r="M488" s="11" t="n">
        <x:f>IF(AND(K488=1,OR(B488="ED",B488="NED")),1,0)</x:f>
        <x:v>0</x:v>
      </x:c>
      <x:c r="N488" s="11" t="n">
        <x:f>IF(K488=1,1,0)</x:f>
        <x:v>0</x:v>
      </x:c>
      <x:c r="O488" s="12" t="str">
        <x:v>Require exact native accession match</x:v>
      </x:c>
      <x:c r="P488" s="11" t="n">
        <x:v>0</x:v>
      </x:c>
      <x:c r="Q488" s="12"/>
      <x:c r="R488" s="12"/>
      <x:c r="S488" s="11" t="n">
        <x:v>105</x:v>
      </x:c>
      <x:c r="T488" s="11"/>
    </x:row>
    <x:row r="489" ht="23" customHeight="1">
      <x:c r="A489" s="2" t="str">
        <x:v>O35286</x:v>
      </x:c>
      <x:c r="B489" s="2" t="str">
        <x:v>ED</x:v>
      </x:c>
      <x:c r="C489" s="2" t="n">
        <x:v>1</x:v>
      </x:c>
      <x:c r="D489" s="2" t="n">
        <x:v>1</x:v>
      </x:c>
      <x:c r="E489" s="10" t="n">
        <x:v>86.52364779874215</x:v>
      </x:c>
      <x:c r="F489" s="11" t="n">
        <x:v>795</x:v>
      </x:c>
      <x:c r="G489" s="11" t="n">
        <x:v>0</x:v>
      </x:c>
      <x:c r="H489" s="11" t="n">
        <x:v>0</x:v>
      </x:c>
      <x:c r="I489" s="11" t="n">
        <x:v>0</x:v>
      </x:c>
      <x:c r="J489" s="11" t="n">
        <x:v>0</x:v>
      </x:c>
      <x:c r="K489" s="11" t="n">
        <x:v>1</x:v>
      </x:c>
      <x:c r="L489" s="11" t="n">
        <x:f>IF(B489="NED",1,IF(OR(B489="ED",B489="UN"),0,""))</x:f>
        <x:v>0</x:v>
      </x:c>
      <x:c r="M489" s="11" t="n">
        <x:f>IF(AND(K489=1,OR(B489="ED",B489="NED")),1,0)</x:f>
        <x:v>1</x:v>
      </x:c>
      <x:c r="N489" s="11" t="n">
        <x:f>IF(K489=1,1,0)</x:f>
        <x:v>1</x:v>
      </x:c>
      <x:c r="O489" s="12"/>
      <x:c r="P489" s="11" t="n">
        <x:v>0</x:v>
      </x:c>
      <x:c r="Q489" s="12" t="str">
        <x:v>AF-O35286-F1-model_v6</x:v>
      </x:c>
      <x:c r="R489" s="12" t="str">
        <x:v>ok</x:v>
      </x:c>
      <x:c r="S489" s="11" t="n">
        <x:v>106</x:v>
      </x:c>
      <x:c r="T489" s="11" t="n">
        <x:v>795</x:v>
      </x:c>
    </x:row>
    <x:row r="490" ht="23" customHeight="1">
      <x:c r="A490" s="2" t="str">
        <x:v>O35295</x:v>
      </x:c>
      <x:c r="B490" s="2" t="str">
        <x:v>ED</x:v>
      </x:c>
      <x:c r="C490" s="2" t="n">
        <x:v>1</x:v>
      </x:c>
      <x:c r="D490" s="2" t="n">
        <x:v>1</x:v>
      </x:c>
      <x:c r="E490" s="10" t="n">
        <x:v>71.7587962962963</x:v>
      </x:c>
      <x:c r="F490" s="11" t="n">
        <x:v>324</x:v>
      </x:c>
      <x:c r="G490" s="11" t="n">
        <x:v>0</x:v>
      </x:c>
      <x:c r="H490" s="11" t="n">
        <x:v>0</x:v>
      </x:c>
      <x:c r="I490" s="11" t="n">
        <x:v>0</x:v>
      </x:c>
      <x:c r="J490" s="11" t="n">
        <x:v>0</x:v>
      </x:c>
      <x:c r="K490" s="11" t="n">
        <x:v>1</x:v>
      </x:c>
      <x:c r="L490" s="11" t="n">
        <x:f>IF(B490="NED",1,IF(OR(B490="ED",B490="UN"),0,""))</x:f>
        <x:v>0</x:v>
      </x:c>
      <x:c r="M490" s="11" t="n">
        <x:f>IF(AND(K490=1,OR(B490="ED",B490="NED")),1,0)</x:f>
        <x:v>1</x:v>
      </x:c>
      <x:c r="N490" s="11" t="n">
        <x:f>IF(K490=1,1,0)</x:f>
        <x:v>1</x:v>
      </x:c>
      <x:c r="O490" s="12"/>
      <x:c r="P490" s="11" t="n">
        <x:v>0</x:v>
      </x:c>
      <x:c r="Q490" s="12" t="str">
        <x:v>AF-O35295-F1-model_v6</x:v>
      </x:c>
      <x:c r="R490" s="12" t="str">
        <x:v>ok</x:v>
      </x:c>
      <x:c r="S490" s="11" t="n">
        <x:v>107</x:v>
      </x:c>
      <x:c r="T490" s="11" t="n">
        <x:v>324</x:v>
      </x:c>
    </x:row>
    <x:row r="491" ht="23" customHeight="1">
      <x:c r="A491" s="2" t="str">
        <x:v>O35316</x:v>
      </x:c>
      <x:c r="B491" s="2" t="str">
        <x:v>UN</x:v>
      </x:c>
      <x:c r="C491" s="2" t="n">
        <x:v>1</x:v>
      </x:c>
      <x:c r="D491" s="2" t="n">
        <x:v>1</x:v>
      </x:c>
      <x:c r="E491" s="10"/>
      <x:c r="F491" s="11" t="n">
        <x:v>621</x:v>
      </x:c>
      <x:c r="G491" s="11" t="n">
        <x:v>0</x:v>
      </x:c>
      <x:c r="H491" s="11" t="n">
        <x:v>0</x:v>
      </x:c>
      <x:c r="I491" s="11" t="n">
        <x:v>1</x:v>
      </x:c>
      <x:c r="J491" s="11" t="n">
        <x:v>0</x:v>
      </x:c>
      <x:c r="K491" s="11" t="n">
        <x:v>0</x:v>
      </x:c>
      <x:c r="L491" s="11" t="n">
        <x:f>IF(B491="NED",1,IF(OR(B491="ED",B491="UN"),0,""))</x:f>
        <x:v>0</x:v>
      </x:c>
      <x:c r="M491" s="11" t="n">
        <x:f>IF(AND(K491=1,OR(B491="ED",B491="NED")),1,0)</x:f>
        <x:v>0</x:v>
      </x:c>
      <x:c r="N491" s="11" t="n">
        <x:f>IF(K491=1,1,0)</x:f>
        <x:v>0</x:v>
      </x:c>
      <x:c r="O491" s="12" t="str">
        <x:v>Exclude UniProt Membrane keyword</x:v>
      </x:c>
      <x:c r="P491" s="11" t="n">
        <x:v>0</x:v>
      </x:c>
      <x:c r="Q491" s="12" t="str">
        <x:v>AF-O35316-F1-model_v6</x:v>
      </x:c>
      <x:c r="R491" s="12" t="str">
        <x:v>ok</x:v>
      </x:c>
      <x:c r="S491" s="11" t="n">
        <x:v>108</x:v>
      </x:c>
      <x:c r="T491" s="11" t="n">
        <x:v>621</x:v>
      </x:c>
    </x:row>
    <x:row r="492" ht="23" customHeight="1">
      <x:c r="A492" s="2" t="str">
        <x:v>O35326</x:v>
      </x:c>
      <x:c r="B492" s="2" t="str">
        <x:v>UN</x:v>
      </x:c>
      <x:c r="C492" s="2" t="n">
        <x:v>1</x:v>
      </x:c>
      <x:c r="D492" s="2" t="n">
        <x:v>1</x:v>
      </x:c>
      <x:c r="E492" s="10" t="n">
        <x:v>63.58442379182156</x:v>
      </x:c>
      <x:c r="F492" s="11" t="n">
        <x:v>269</x:v>
      </x:c>
      <x:c r="G492" s="11" t="n">
        <x:v>0</x:v>
      </x:c>
      <x:c r="H492" s="11" t="n">
        <x:v>0</x:v>
      </x:c>
      <x:c r="I492" s="11" t="n">
        <x:v>0</x:v>
      </x:c>
      <x:c r="J492" s="11" t="n">
        <x:v>0</x:v>
      </x:c>
      <x:c r="K492" s="11" t="n">
        <x:v>0</x:v>
      </x:c>
      <x:c r="L492" s="11" t="n">
        <x:f>IF(B492="NED",1,IF(OR(B492="ED",B492="UN"),0,""))</x:f>
        <x:v>0</x:v>
      </x:c>
      <x:c r="M492" s="11" t="n">
        <x:f>IF(AND(K492=1,OR(B492="ED",B492="NED")),1,0)</x:f>
        <x:v>0</x:v>
      </x:c>
      <x:c r="N492" s="11" t="n">
        <x:f>IF(K492=1,1,0)</x:f>
        <x:v>0</x:v>
      </x:c>
      <x:c r="O492" s="12" t="str">
        <x:v>Retain protein mean pLDDT &gt;=70</x:v>
      </x:c>
      <x:c r="P492" s="11" t="n">
        <x:v>0</x:v>
      </x:c>
      <x:c r="Q492" s="12" t="str">
        <x:v>AF-O35326-F1-model_v6</x:v>
      </x:c>
      <x:c r="R492" s="12" t="str">
        <x:v>ok</x:v>
      </x:c>
      <x:c r="S492" s="11" t="n">
        <x:v>109</x:v>
      </x:c>
      <x:c r="T492" s="11" t="n">
        <x:v>269</x:v>
      </x:c>
    </x:row>
    <x:row r="493" ht="23" customHeight="1">
      <x:c r="A493" s="2" t="str">
        <x:v>O35343</x:v>
      </x:c>
      <x:c r="B493" s="2" t="str">
        <x:v>ED</x:v>
      </x:c>
      <x:c r="C493" s="2" t="n">
        <x:v>0</x:v>
      </x:c>
      <x:c r="D493" s="2" t="n">
        <x:v>0</x:v>
      </x:c>
      <x:c r="E493" s="10" t="n">
        <x:v>86.03742802303263</x:v>
      </x:c>
      <x:c r="F493" s="11" t="n">
        <x:v>521</x:v>
      </x:c>
      <x:c r="G493" s="11" t="n">
        <x:v>0</x:v>
      </x:c>
      <x:c r="H493" s="11" t="n">
        <x:v>0</x:v>
      </x:c>
      <x:c r="I493" s="11" t="n">
        <x:v>0</x:v>
      </x:c>
      <x:c r="J493" s="11" t="n">
        <x:v>0</x:v>
      </x:c>
      <x:c r="K493" s="11" t="n">
        <x:v>1</x:v>
      </x:c>
      <x:c r="L493" s="11" t="n">
        <x:f>IF(B493="NED",1,IF(OR(B493="ED",B493="UN"),0,""))</x:f>
        <x:v>0</x:v>
      </x:c>
      <x:c r="M493" s="11" t="n">
        <x:f>IF(AND(K493=1,OR(B493="ED",B493="NED")),1,0)</x:f>
        <x:v>1</x:v>
      </x:c>
      <x:c r="N493" s="11" t="n">
        <x:f>IF(K493=1,1,0)</x:f>
        <x:v>1</x:v>
      </x:c>
      <x:c r="O493" s="12"/>
      <x:c r="P493" s="11" t="n">
        <x:v>0</x:v>
      </x:c>
      <x:c r="Q493" s="12" t="str">
        <x:v>AF-O35343-F1-model_v6</x:v>
      </x:c>
      <x:c r="R493" s="12" t="str">
        <x:v>ok</x:v>
      </x:c>
      <x:c r="S493" s="11" t="n">
        <x:v>110</x:v>
      </x:c>
      <x:c r="T493" s="11" t="n">
        <x:v>521</x:v>
      </x:c>
    </x:row>
    <x:row r="494" ht="23" customHeight="1">
      <x:c r="A494" s="2" t="str">
        <x:v>O35344</x:v>
      </x:c>
      <x:c r="B494" s="2" t="str">
        <x:v>ED</x:v>
      </x:c>
      <x:c r="C494" s="2" t="n">
        <x:v>0</x:v>
      </x:c>
      <x:c r="D494" s="2" t="n">
        <x:v>0</x:v>
      </x:c>
      <x:c r="E494" s="10" t="n">
        <x:v>86.15140115163148</x:v>
      </x:c>
      <x:c r="F494" s="11" t="n">
        <x:v>521</x:v>
      </x:c>
      <x:c r="G494" s="11" t="n">
        <x:v>0</x:v>
      </x:c>
      <x:c r="H494" s="11" t="n">
        <x:v>0</x:v>
      </x:c>
      <x:c r="I494" s="11" t="n">
        <x:v>0</x:v>
      </x:c>
      <x:c r="J494" s="11" t="n">
        <x:v>0</x:v>
      </x:c>
      <x:c r="K494" s="11" t="n">
        <x:v>1</x:v>
      </x:c>
      <x:c r="L494" s="11" t="n">
        <x:f>IF(B494="NED",1,IF(OR(B494="ED",B494="UN"),0,""))</x:f>
        <x:v>0</x:v>
      </x:c>
      <x:c r="M494" s="11" t="n">
        <x:f>IF(AND(K494=1,OR(B494="ED",B494="NED")),1,0)</x:f>
        <x:v>1</x:v>
      </x:c>
      <x:c r="N494" s="11" t="n">
        <x:f>IF(K494=1,1,0)</x:f>
        <x:v>1</x:v>
      </x:c>
      <x:c r="O494" s="12"/>
      <x:c r="P494" s="11" t="n">
        <x:v>0</x:v>
      </x:c>
      <x:c r="Q494" s="12" t="str">
        <x:v>AF-O35344-F1-model_v6</x:v>
      </x:c>
      <x:c r="R494" s="12" t="str">
        <x:v>ok</x:v>
      </x:c>
      <x:c r="S494" s="11" t="n">
        <x:v>111</x:v>
      </x:c>
      <x:c r="T494" s="11" t="n">
        <x:v>521</x:v>
      </x:c>
    </x:row>
    <x:row r="495" ht="23" customHeight="1">
      <x:c r="A495" s="2" t="str">
        <x:v>O35350</x:v>
      </x:c>
      <x:c r="B495" s="2" t="str">
        <x:v>ED</x:v>
      </x:c>
      <x:c r="C495" s="2" t="n">
        <x:v>1</x:v>
      </x:c>
      <x:c r="D495" s="2" t="n">
        <x:v>1</x:v>
      </x:c>
      <x:c r="E495" s="10"/>
      <x:c r="F495" s="11" t="n">
        <x:v>713</x:v>
      </x:c>
      <x:c r="G495" s="11" t="n">
        <x:v>0</x:v>
      </x:c>
      <x:c r="H495" s="11" t="n">
        <x:v>0</x:v>
      </x:c>
      <x:c r="I495" s="11" t="n">
        <x:v>1</x:v>
      </x:c>
      <x:c r="J495" s="11" t="n">
        <x:v>0</x:v>
      </x:c>
      <x:c r="K495" s="11" t="n">
        <x:v>0</x:v>
      </x:c>
      <x:c r="L495" s="11" t="n">
        <x:f>IF(B495="NED",1,IF(OR(B495="ED",B495="UN"),0,""))</x:f>
        <x:v>0</x:v>
      </x:c>
      <x:c r="M495" s="11" t="n">
        <x:f>IF(AND(K495=1,OR(B495="ED",B495="NED")),1,0)</x:f>
        <x:v>0</x:v>
      </x:c>
      <x:c r="N495" s="11" t="n">
        <x:f>IF(K495=1,1,0)</x:f>
        <x:v>0</x:v>
      </x:c>
      <x:c r="O495" s="12" t="str">
        <x:v>Exclude UniProt Membrane keyword</x:v>
      </x:c>
      <x:c r="P495" s="11" t="n">
        <x:v>0</x:v>
      </x:c>
      <x:c r="Q495" s="12" t="str">
        <x:v>AF-O35350-F1-model_v6</x:v>
      </x:c>
      <x:c r="R495" s="12" t="str">
        <x:v>ok</x:v>
      </x:c>
      <x:c r="S495" s="11" t="n">
        <x:v>112</x:v>
      </x:c>
      <x:c r="T495" s="11" t="n">
        <x:v>713</x:v>
      </x:c>
    </x:row>
    <x:row r="496" ht="23" customHeight="1">
      <x:c r="A496" s="2" t="str">
        <x:v>O35379</x:v>
      </x:c>
      <x:c r="B496" s="2" t="str">
        <x:v>NED</x:v>
      </x:c>
      <x:c r="C496" s="2" t="n">
        <x:v>1</x:v>
      </x:c>
      <x:c r="D496" s="2" t="n">
        <x:v>1</x:v>
      </x:c>
      <x:c r="E496" s="10"/>
      <x:c r="F496" s="11" t="n">
        <x:v>1528</x:v>
      </x:c>
      <x:c r="G496" s="11" t="n">
        <x:v>0</x:v>
      </x:c>
      <x:c r="H496" s="11" t="n">
        <x:v>0</x:v>
      </x:c>
      <x:c r="I496" s="11" t="n">
        <x:v>1</x:v>
      </x:c>
      <x:c r="J496" s="11" t="n">
        <x:v>0</x:v>
      </x:c>
      <x:c r="K496" s="11" t="n">
        <x:v>0</x:v>
      </x:c>
      <x:c r="L496" s="11" t="n">
        <x:f>IF(B496="NED",1,IF(OR(B496="ED",B496="UN"),0,""))</x:f>
        <x:v>1</x:v>
      </x:c>
      <x:c r="M496" s="11" t="n">
        <x:f>IF(AND(K496=1,OR(B496="ED",B496="NED")),1,0)</x:f>
        <x:v>0</x:v>
      </x:c>
      <x:c r="N496" s="11" t="n">
        <x:f>IF(K496=1,1,0)</x:f>
        <x:v>0</x:v>
      </x:c>
      <x:c r="O496" s="12" t="str">
        <x:v>Exclude UniProt Membrane keyword</x:v>
      </x:c>
      <x:c r="P496" s="11" t="n">
        <x:v>0</x:v>
      </x:c>
      <x:c r="Q496" s="12" t="str">
        <x:v>AF-O35379-F1-model_v6</x:v>
      </x:c>
      <x:c r="R496" s="12" t="str">
        <x:v>ok</x:v>
      </x:c>
      <x:c r="S496" s="11" t="n">
        <x:v>113</x:v>
      </x:c>
      <x:c r="T496" s="11" t="n">
        <x:v>1528</x:v>
      </x:c>
    </x:row>
    <x:row r="497" ht="23" customHeight="1">
      <x:c r="A497" s="2" t="str">
        <x:v>O35381</x:v>
      </x:c>
      <x:c r="B497" s="2" t="str">
        <x:v>ED</x:v>
      </x:c>
      <x:c r="C497" s="2" t="n">
        <x:v>0</x:v>
      </x:c>
      <x:c r="D497" s="2" t="n">
        <x:v>0</x:v>
      </x:c>
      <x:c r="E497" s="10" t="n">
        <x:v>80.53910931174089</x:v>
      </x:c>
      <x:c r="F497" s="11" t="n">
        <x:v>247</x:v>
      </x:c>
      <x:c r="G497" s="11" t="n">
        <x:v>0</x:v>
      </x:c>
      <x:c r="H497" s="11" t="n">
        <x:v>0</x:v>
      </x:c>
      <x:c r="I497" s="11" t="n">
        <x:v>0</x:v>
      </x:c>
      <x:c r="J497" s="11" t="n">
        <x:v>0</x:v>
      </x:c>
      <x:c r="K497" s="11" t="n">
        <x:v>1</x:v>
      </x:c>
      <x:c r="L497" s="11" t="n">
        <x:f>IF(B497="NED",1,IF(OR(B497="ED",B497="UN"),0,""))</x:f>
        <x:v>0</x:v>
      </x:c>
      <x:c r="M497" s="11" t="n">
        <x:f>IF(AND(K497=1,OR(B497="ED",B497="NED")),1,0)</x:f>
        <x:v>1</x:v>
      </x:c>
      <x:c r="N497" s="11" t="n">
        <x:f>IF(K497=1,1,0)</x:f>
        <x:v>1</x:v>
      </x:c>
      <x:c r="O497" s="12"/>
      <x:c r="P497" s="11" t="n">
        <x:v>0</x:v>
      </x:c>
      <x:c r="Q497" s="12" t="str">
        <x:v>AF-O35381-F1-model_v6</x:v>
      </x:c>
      <x:c r="R497" s="12" t="str">
        <x:v>ok</x:v>
      </x:c>
      <x:c r="S497" s="11" t="n">
        <x:v>114</x:v>
      </x:c>
      <x:c r="T497" s="11" t="n">
        <x:v>247</x:v>
      </x:c>
    </x:row>
    <x:row r="498" ht="23" customHeight="1">
      <x:c r="A498" s="2" t="str">
        <x:v>O35382</x:v>
      </x:c>
      <x:c r="B498" s="2" t="str">
        <x:v>UN</x:v>
      </x:c>
      <x:c r="C498" s="2" t="n">
        <x:v>1</x:v>
      </x:c>
      <x:c r="D498" s="2"/>
      <x:c r="E498" s="10" t="n">
        <x:v>79.0160205128205</x:v>
      </x:c>
      <x:c r="F498" s="11" t="n">
        <x:v>975</x:v>
      </x:c>
      <x:c r="G498" s="11" t="n">
        <x:v>0</x:v>
      </x:c>
      <x:c r="H498" s="11" t="n">
        <x:v>0</x:v>
      </x:c>
      <x:c r="I498" s="11" t="n">
        <x:v>0</x:v>
      </x:c>
      <x:c r="J498" s="11" t="n">
        <x:v>0</x:v>
      </x:c>
      <x:c r="K498" s="11" t="n">
        <x:v>1</x:v>
      </x:c>
      <x:c r="L498" s="11" t="n">
        <x:f>IF(B498="NED",1,IF(OR(B498="ED",B498="UN"),0,""))</x:f>
        <x:v>0</x:v>
      </x:c>
      <x:c r="M498" s="11" t="n">
        <x:f>IF(AND(K498=1,OR(B498="ED",B498="NED")),1,0)</x:f>
        <x:v>0</x:v>
      </x:c>
      <x:c r="N498" s="11" t="n">
        <x:f>IF(K498=1,1,0)</x:f>
        <x:v>1</x:v>
      </x:c>
      <x:c r="O498" s="12"/>
      <x:c r="P498" s="11" t="n">
        <x:v>0</x:v>
      </x:c>
      <x:c r="Q498" s="12" t="str">
        <x:v>AF-O35382-F1-model_v6</x:v>
      </x:c>
      <x:c r="R498" s="12" t="str">
        <x:v>ok</x:v>
      </x:c>
      <x:c r="S498" s="11" t="n">
        <x:v>115</x:v>
      </x:c>
      <x:c r="T498" s="11" t="n">
        <x:v>975</x:v>
      </x:c>
    </x:row>
    <x:row r="499" ht="23" customHeight="1">
      <x:c r="A499" s="2" t="str">
        <x:v>O35387</x:v>
      </x:c>
      <x:c r="B499" s="2" t="str">
        <x:v>ED</x:v>
      </x:c>
      <x:c r="C499" s="2" t="n">
        <x:v>0</x:v>
      </x:c>
      <x:c r="D499" s="2" t="n">
        <x:v>0</x:v>
      </x:c>
      <x:c r="E499" s="10"/>
      <x:c r="F499" s="11" t="n">
        <x:v>280</x:v>
      </x:c>
      <x:c r="G499" s="11" t="n">
        <x:v>0</x:v>
      </x:c>
      <x:c r="H499" s="11" t="n">
        <x:v>0</x:v>
      </x:c>
      <x:c r="I499" s="11" t="n">
        <x:v>1</x:v>
      </x:c>
      <x:c r="J499" s="11" t="n">
        <x:v>0</x:v>
      </x:c>
      <x:c r="K499" s="11" t="n">
        <x:v>0</x:v>
      </x:c>
      <x:c r="L499" s="11" t="n">
        <x:f>IF(B499="NED",1,IF(OR(B499="ED",B499="UN"),0,""))</x:f>
        <x:v>0</x:v>
      </x:c>
      <x:c r="M499" s="11" t="n">
        <x:f>IF(AND(K499=1,OR(B499="ED",B499="NED")),1,0)</x:f>
        <x:v>0</x:v>
      </x:c>
      <x:c r="N499" s="11" t="n">
        <x:f>IF(K499=1,1,0)</x:f>
        <x:v>0</x:v>
      </x:c>
      <x:c r="O499" s="12" t="str">
        <x:v>Exclude UniProt Membrane keyword</x:v>
      </x:c>
      <x:c r="P499" s="11" t="n">
        <x:v>0</x:v>
      </x:c>
      <x:c r="Q499" s="12" t="str">
        <x:v>AF-O35387-F1-model_v6</x:v>
      </x:c>
      <x:c r="R499" s="12" t="str">
        <x:v>ok</x:v>
      </x:c>
      <x:c r="S499" s="11" t="n">
        <x:v>116</x:v>
      </x:c>
      <x:c r="T499" s="11" t="n">
        <x:v>280</x:v>
      </x:c>
    </x:row>
    <x:row r="500" ht="23" customHeight="1">
      <x:c r="A500" s="2" t="str">
        <x:v>O35495-2</x:v>
      </x:c>
      <x:c r="B500" s="2" t="str">
        <x:v>UN</x:v>
      </x:c>
      <x:c r="C500" s="2"/>
      <x:c r="D500" s="2"/>
      <x:c r="E500" s="10"/>
      <x:c r="F500" s="11"/>
      <x:c r="G500" s="11" t="n">
        <x:v>0</x:v>
      </x:c>
      <x:c r="H500" s="11" t="n">
        <x:v>0</x:v>
      </x:c>
      <x:c r="I500" s="11"/>
      <x:c r="J500" s="11"/>
      <x:c r="K500" s="11" t="n">
        <x:v>0</x:v>
      </x:c>
      <x:c r="L500" s="11" t="n">
        <x:f>IF(B500="NED",1,IF(OR(B500="ED",B500="UN"),0,""))</x:f>
        <x:v>0</x:v>
      </x:c>
      <x:c r="M500" s="11" t="n">
        <x:f>IF(AND(K500=1,OR(B500="ED",B500="NED")),1,0)</x:f>
        <x:v>0</x:v>
      </x:c>
      <x:c r="N500" s="11" t="n">
        <x:f>IF(K500=1,1,0)</x:f>
        <x:v>0</x:v>
      </x:c>
      <x:c r="O500" s="12" t="str">
        <x:v>Require exact native accession match</x:v>
      </x:c>
      <x:c r="P500" s="11" t="n">
        <x:v>0</x:v>
      </x:c>
      <x:c r="Q500" s="12"/>
      <x:c r="R500" s="12"/>
      <x:c r="S500" s="11" t="n">
        <x:v>117</x:v>
      </x:c>
      <x:c r="T500" s="11"/>
    </x:row>
    <x:row r="501" ht="23" customHeight="1">
      <x:c r="A501" s="2" t="str">
        <x:v>O35551-3</x:v>
      </x:c>
      <x:c r="B501" s="2" t="str">
        <x:v>UN</x:v>
      </x:c>
      <x:c r="C501" s="2"/>
      <x:c r="D501" s="2"/>
      <x:c r="E501" s="10"/>
      <x:c r="F501" s="11"/>
      <x:c r="G501" s="11" t="n">
        <x:v>0</x:v>
      </x:c>
      <x:c r="H501" s="11" t="n">
        <x:v>0</x:v>
      </x:c>
      <x:c r="I501" s="11"/>
      <x:c r="J501" s="11"/>
      <x:c r="K501" s="11" t="n">
        <x:v>0</x:v>
      </x:c>
      <x:c r="L501" s="11" t="n">
        <x:f>IF(B501="NED",1,IF(OR(B501="ED",B501="UN"),0,""))</x:f>
        <x:v>0</x:v>
      </x:c>
      <x:c r="M501" s="11" t="n">
        <x:f>IF(AND(K501=1,OR(B501="ED",B501="NED")),1,0)</x:f>
        <x:v>0</x:v>
      </x:c>
      <x:c r="N501" s="11" t="n">
        <x:f>IF(K501=1,1,0)</x:f>
        <x:v>0</x:v>
      </x:c>
      <x:c r="O501" s="12" t="str">
        <x:v>Require exact native accession match</x:v>
      </x:c>
      <x:c r="P501" s="11" t="n">
        <x:v>0</x:v>
      </x:c>
      <x:c r="Q501" s="12"/>
      <x:c r="R501" s="12"/>
      <x:c r="S501" s="11" t="n">
        <x:v>118</x:v>
      </x:c>
      <x:c r="T501" s="11"/>
    </x:row>
    <x:row r="502" ht="23" customHeight="1">
      <x:c r="A502" s="2" t="str">
        <x:v>O35593</x:v>
      </x:c>
      <x:c r="B502" s="2" t="str">
        <x:v>NED</x:v>
      </x:c>
      <x:c r="C502" s="2" t="n">
        <x:v>1</x:v>
      </x:c>
      <x:c r="D502" s="2" t="n">
        <x:v>1</x:v>
      </x:c>
      <x:c r="E502" s="10" t="n">
        <x:v>81.74380645161291</x:v>
      </x:c>
      <x:c r="F502" s="11" t="n">
        <x:v>310</x:v>
      </x:c>
      <x:c r="G502" s="11" t="n">
        <x:v>0</x:v>
      </x:c>
      <x:c r="H502" s="11" t="n">
        <x:v>0</x:v>
      </x:c>
      <x:c r="I502" s="11" t="n">
        <x:v>0</x:v>
      </x:c>
      <x:c r="J502" s="11" t="n">
        <x:v>0</x:v>
      </x:c>
      <x:c r="K502" s="11" t="n">
        <x:v>1</x:v>
      </x:c>
      <x:c r="L502" s="11" t="n">
        <x:f>IF(B502="NED",1,IF(OR(B502="ED",B502="UN"),0,""))</x:f>
        <x:v>1</x:v>
      </x:c>
      <x:c r="M502" s="11" t="n">
        <x:f>IF(AND(K502=1,OR(B502="ED",B502="NED")),1,0)</x:f>
        <x:v>1</x:v>
      </x:c>
      <x:c r="N502" s="11" t="n">
        <x:f>IF(K502=1,1,0)</x:f>
        <x:v>1</x:v>
      </x:c>
      <x:c r="O502" s="12"/>
      <x:c r="P502" s="11" t="n">
        <x:v>0</x:v>
      </x:c>
      <x:c r="Q502" s="12" t="str">
        <x:v>AF-O35593-F1-model_v6</x:v>
      </x:c>
      <x:c r="R502" s="12" t="str">
        <x:v>ok</x:v>
      </x:c>
      <x:c r="S502" s="11" t="n">
        <x:v>119</x:v>
      </x:c>
      <x:c r="T502" s="11" t="n">
        <x:v>310</x:v>
      </x:c>
    </x:row>
    <x:row r="503" ht="23" customHeight="1">
      <x:c r="A503" s="2" t="str">
        <x:v>O35604</x:v>
      </x:c>
      <x:c r="B503" s="2" t="str">
        <x:v>UN</x:v>
      </x:c>
      <x:c r="C503" s="2" t="n">
        <x:v>1</x:v>
      </x:c>
      <x:c r="D503" s="2" t="n">
        <x:v>1</x:v>
      </x:c>
      <x:c r="E503" s="10"/>
      <x:c r="F503" s="11" t="n">
        <x:v>1277</x:v>
      </x:c>
      <x:c r="G503" s="11" t="n">
        <x:v>0</x:v>
      </x:c>
      <x:c r="H503" s="11" t="n">
        <x:v>0</x:v>
      </x:c>
      <x:c r="I503" s="11" t="n">
        <x:v>1</x:v>
      </x:c>
      <x:c r="J503" s="11" t="n">
        <x:v>0</x:v>
      </x:c>
      <x:c r="K503" s="11" t="n">
        <x:v>0</x:v>
      </x:c>
      <x:c r="L503" s="11" t="n">
        <x:f>IF(B503="NED",1,IF(OR(B503="ED",B503="UN"),0,""))</x:f>
        <x:v>0</x:v>
      </x:c>
      <x:c r="M503" s="11" t="n">
        <x:f>IF(AND(K503=1,OR(B503="ED",B503="NED")),1,0)</x:f>
        <x:v>0</x:v>
      </x:c>
      <x:c r="N503" s="11" t="n">
        <x:f>IF(K503=1,1,0)</x:f>
        <x:v>0</x:v>
      </x:c>
      <x:c r="O503" s="12" t="str">
        <x:v>Exclude UniProt Membrane keyword</x:v>
      </x:c>
      <x:c r="P503" s="11" t="n">
        <x:v>0</x:v>
      </x:c>
      <x:c r="Q503" s="12" t="str">
        <x:v>AF-O35604-F1-model_v6</x:v>
      </x:c>
      <x:c r="R503" s="12" t="str">
        <x:v>ok</x:v>
      </x:c>
      <x:c r="S503" s="11" t="n">
        <x:v>120</x:v>
      </x:c>
      <x:c r="T503" s="11" t="n">
        <x:v>1277</x:v>
      </x:c>
    </x:row>
    <x:row r="504" ht="23" customHeight="1">
      <x:c r="A504" s="2" t="str">
        <x:v>O35638</x:v>
      </x:c>
      <x:c r="B504" s="2" t="str">
        <x:v>UN</x:v>
      </x:c>
      <x:c r="C504" s="2" t="n">
        <x:v>0</x:v>
      </x:c>
      <x:c r="D504" s="2" t="n">
        <x:v>0</x:v>
      </x:c>
      <x:c r="E504" s="10" t="n">
        <x:v>79.92609260763606</x:v>
      </x:c>
      <x:c r="F504" s="11" t="n">
        <x:v>1231</x:v>
      </x:c>
      <x:c r="G504" s="11" t="n">
        <x:v>0</x:v>
      </x:c>
      <x:c r="H504" s="11" t="n">
        <x:v>0</x:v>
      </x:c>
      <x:c r="I504" s="11" t="n">
        <x:v>0</x:v>
      </x:c>
      <x:c r="J504" s="11" t="n">
        <x:v>0</x:v>
      </x:c>
      <x:c r="K504" s="11" t="n">
        <x:v>1</x:v>
      </x:c>
      <x:c r="L504" s="11" t="n">
        <x:f>IF(B504="NED",1,IF(OR(B504="ED",B504="UN"),0,""))</x:f>
        <x:v>0</x:v>
      </x:c>
      <x:c r="M504" s="11" t="n">
        <x:f>IF(AND(K504=1,OR(B504="ED",B504="NED")),1,0)</x:f>
        <x:v>0</x:v>
      </x:c>
      <x:c r="N504" s="11" t="n">
        <x:f>IF(K504=1,1,0)</x:f>
        <x:v>1</x:v>
      </x:c>
      <x:c r="O504" s="12"/>
      <x:c r="P504" s="11" t="n">
        <x:v>0</x:v>
      </x:c>
      <x:c r="Q504" s="12" t="str">
        <x:v>AF-O35638-F1-model_v6</x:v>
      </x:c>
      <x:c r="R504" s="12" t="str">
        <x:v>ok</x:v>
      </x:c>
      <x:c r="S504" s="11" t="n">
        <x:v>121</x:v>
      </x:c>
      <x:c r="T504" s="11" t="n">
        <x:v>1231</x:v>
      </x:c>
    </x:row>
    <x:row r="505" ht="23" customHeight="1">
      <x:c r="A505" s="2" t="str">
        <x:v>O35639</x:v>
      </x:c>
      <x:c r="B505" s="2" t="str">
        <x:v>ED</x:v>
      </x:c>
      <x:c r="C505" s="2" t="n">
        <x:v>0</x:v>
      </x:c>
      <x:c r="D505" s="2" t="n">
        <x:v>0</x:v>
      </x:c>
      <x:c r="E505" s="10" t="n">
        <x:v>97.23458204334364</x:v>
      </x:c>
      <x:c r="F505" s="11" t="n">
        <x:v>323</x:v>
      </x:c>
      <x:c r="G505" s="11" t="n">
        <x:v>0</x:v>
      </x:c>
      <x:c r="H505" s="11" t="n">
        <x:v>0</x:v>
      </x:c>
      <x:c r="I505" s="11" t="n">
        <x:v>0</x:v>
      </x:c>
      <x:c r="J505" s="11" t="n">
        <x:v>0</x:v>
      </x:c>
      <x:c r="K505" s="11" t="n">
        <x:v>1</x:v>
      </x:c>
      <x:c r="L505" s="11" t="n">
        <x:f>IF(B505="NED",1,IF(OR(B505="ED",B505="UN"),0,""))</x:f>
        <x:v>0</x:v>
      </x:c>
      <x:c r="M505" s="11" t="n">
        <x:f>IF(AND(K505=1,OR(B505="ED",B505="NED")),1,0)</x:f>
        <x:v>1</x:v>
      </x:c>
      <x:c r="N505" s="11" t="n">
        <x:f>IF(K505=1,1,0)</x:f>
        <x:v>1</x:v>
      </x:c>
      <x:c r="O505" s="12"/>
      <x:c r="P505" s="11" t="n">
        <x:v>0</x:v>
      </x:c>
      <x:c r="Q505" s="12" t="str">
        <x:v>AF-O35639-F1-model_v6</x:v>
      </x:c>
      <x:c r="R505" s="12" t="str">
        <x:v>ok</x:v>
      </x:c>
      <x:c r="S505" s="11" t="n">
        <x:v>122</x:v>
      </x:c>
      <x:c r="T505" s="11" t="n">
        <x:v>323</x:v>
      </x:c>
    </x:row>
    <x:row r="506" ht="23" customHeight="1">
      <x:c r="A506" s="2" t="str">
        <x:v>O35640</x:v>
      </x:c>
      <x:c r="B506" s="2" t="str">
        <x:v>ED</x:v>
      </x:c>
      <x:c r="C506" s="2" t="n">
        <x:v>0</x:v>
      </x:c>
      <x:c r="D506" s="2" t="n">
        <x:v>0</x:v>
      </x:c>
      <x:c r="E506" s="10" t="n">
        <x:v>94.335749235474</x:v>
      </x:c>
      <x:c r="F506" s="11" t="n">
        <x:v>327</x:v>
      </x:c>
      <x:c r="G506" s="11" t="n">
        <x:v>0</x:v>
      </x:c>
      <x:c r="H506" s="11" t="n">
        <x:v>0</x:v>
      </x:c>
      <x:c r="I506" s="11" t="n">
        <x:v>0</x:v>
      </x:c>
      <x:c r="J506" s="11" t="n">
        <x:v>0</x:v>
      </x:c>
      <x:c r="K506" s="11" t="n">
        <x:v>1</x:v>
      </x:c>
      <x:c r="L506" s="11" t="n">
        <x:f>IF(B506="NED",1,IF(OR(B506="ED",B506="UN"),0,""))</x:f>
        <x:v>0</x:v>
      </x:c>
      <x:c r="M506" s="11" t="n">
        <x:f>IF(AND(K506=1,OR(B506="ED",B506="NED")),1,0)</x:f>
        <x:v>1</x:v>
      </x:c>
      <x:c r="N506" s="11" t="n">
        <x:f>IF(K506=1,1,0)</x:f>
        <x:v>1</x:v>
      </x:c>
      <x:c r="O506" s="12"/>
      <x:c r="P506" s="11" t="n">
        <x:v>0</x:v>
      </x:c>
      <x:c r="Q506" s="12" t="str">
        <x:v>AF-O35640-F1-model_v6</x:v>
      </x:c>
      <x:c r="R506" s="12" t="str">
        <x:v>ok</x:v>
      </x:c>
      <x:c r="S506" s="11" t="n">
        <x:v>123</x:v>
      </x:c>
      <x:c r="T506" s="11" t="n">
        <x:v>327</x:v>
      </x:c>
    </x:row>
    <x:row r="507" ht="23" customHeight="1">
      <x:c r="A507" s="2" t="str">
        <x:v>O35685</x:v>
      </x:c>
      <x:c r="B507" s="2" t="str">
        <x:v>ED</x:v>
      </x:c>
      <x:c r="C507" s="2" t="n">
        <x:v>0</x:v>
      </x:c>
      <x:c r="D507" s="2" t="n">
        <x:v>0</x:v>
      </x:c>
      <x:c r="E507" s="10" t="n">
        <x:v>81.44021084337349</x:v>
      </x:c>
      <x:c r="F507" s="11" t="n">
        <x:v>332</x:v>
      </x:c>
      <x:c r="G507" s="11" t="n">
        <x:v>0</x:v>
      </x:c>
      <x:c r="H507" s="11" t="n">
        <x:v>0</x:v>
      </x:c>
      <x:c r="I507" s="11" t="n">
        <x:v>0</x:v>
      </x:c>
      <x:c r="J507" s="11" t="n">
        <x:v>0</x:v>
      </x:c>
      <x:c r="K507" s="11" t="n">
        <x:v>1</x:v>
      </x:c>
      <x:c r="L507" s="11" t="n">
        <x:f>IF(B507="NED",1,IF(OR(B507="ED",B507="UN"),0,""))</x:f>
        <x:v>0</x:v>
      </x:c>
      <x:c r="M507" s="11" t="n">
        <x:f>IF(AND(K507=1,OR(B507="ED",B507="NED")),1,0)</x:f>
        <x:v>1</x:v>
      </x:c>
      <x:c r="N507" s="11" t="n">
        <x:f>IF(K507=1,1,0)</x:f>
        <x:v>1</x:v>
      </x:c>
      <x:c r="O507" s="12"/>
      <x:c r="P507" s="11" t="n">
        <x:v>0</x:v>
      </x:c>
      <x:c r="Q507" s="12" t="str">
        <x:v>AF-O35685-F1-model_v6</x:v>
      </x:c>
      <x:c r="R507" s="12" t="str">
        <x:v>ok</x:v>
      </x:c>
      <x:c r="S507" s="11" t="n">
        <x:v>124</x:v>
      </x:c>
      <x:c r="T507" s="11" t="n">
        <x:v>332</x:v>
      </x:c>
    </x:row>
    <x:row r="508" ht="23" customHeight="1">
      <x:c r="A508" s="2" t="str">
        <x:v>O35691</x:v>
      </x:c>
      <x:c r="B508" s="2" t="str">
        <x:v>UN</x:v>
      </x:c>
      <x:c r="C508" s="2" t="n">
        <x:v>0</x:v>
      </x:c>
      <x:c r="D508" s="2" t="n">
        <x:v>0</x:v>
      </x:c>
      <x:c r="E508" s="10" t="n">
        <x:v>57.22977931034482</x:v>
      </x:c>
      <x:c r="F508" s="11" t="n">
        <x:v>725</x:v>
      </x:c>
      <x:c r="G508" s="11" t="n">
        <x:v>0</x:v>
      </x:c>
      <x:c r="H508" s="11" t="n">
        <x:v>0</x:v>
      </x:c>
      <x:c r="I508" s="11" t="n">
        <x:v>0</x:v>
      </x:c>
      <x:c r="J508" s="11" t="n">
        <x:v>0</x:v>
      </x:c>
      <x:c r="K508" s="11" t="n">
        <x:v>0</x:v>
      </x:c>
      <x:c r="L508" s="11" t="n">
        <x:f>IF(B508="NED",1,IF(OR(B508="ED",B508="UN"),0,""))</x:f>
        <x:v>0</x:v>
      </x:c>
      <x:c r="M508" s="11" t="n">
        <x:f>IF(AND(K508=1,OR(B508="ED",B508="NED")),1,0)</x:f>
        <x:v>0</x:v>
      </x:c>
      <x:c r="N508" s="11" t="n">
        <x:f>IF(K508=1,1,0)</x:f>
        <x:v>0</x:v>
      </x:c>
      <x:c r="O508" s="12" t="str">
        <x:v>Retain protein mean pLDDT &gt;=70</x:v>
      </x:c>
      <x:c r="P508" s="11" t="n">
        <x:v>0</x:v>
      </x:c>
      <x:c r="Q508" s="12" t="str">
        <x:v>AF-O35691-F1-model_v6</x:v>
      </x:c>
      <x:c r="R508" s="12" t="str">
        <x:v>ok</x:v>
      </x:c>
      <x:c r="S508" s="11" t="n">
        <x:v>125</x:v>
      </x:c>
      <x:c r="T508" s="11" t="n">
        <x:v>725</x:v>
      </x:c>
    </x:row>
    <x:row r="509" ht="23" customHeight="1">
      <x:c r="A509" s="2" t="str">
        <x:v>O35737</x:v>
      </x:c>
      <x:c r="B509" s="2" t="str">
        <x:v>UN</x:v>
      </x:c>
      <x:c r="C509" s="2" t="n">
        <x:v>1</x:v>
      </x:c>
      <x:c r="D509" s="2" t="n">
        <x:v>1</x:v>
      </x:c>
      <x:c r="E509" s="10" t="n">
        <x:v>61.411380846325166</x:v>
      </x:c>
      <x:c r="F509" s="11" t="n">
        <x:v>449</x:v>
      </x:c>
      <x:c r="G509" s="11" t="n">
        <x:v>0</x:v>
      </x:c>
      <x:c r="H509" s="11" t="n">
        <x:v>0</x:v>
      </x:c>
      <x:c r="I509" s="11" t="n">
        <x:v>0</x:v>
      </x:c>
      <x:c r="J509" s="11" t="n">
        <x:v>0</x:v>
      </x:c>
      <x:c r="K509" s="11" t="n">
        <x:v>0</x:v>
      </x:c>
      <x:c r="L509" s="11" t="n">
        <x:f>IF(B509="NED",1,IF(OR(B509="ED",B509="UN"),0,""))</x:f>
        <x:v>0</x:v>
      </x:c>
      <x:c r="M509" s="11" t="n">
        <x:f>IF(AND(K509=1,OR(B509="ED",B509="NED")),1,0)</x:f>
        <x:v>0</x:v>
      </x:c>
      <x:c r="N509" s="11" t="n">
        <x:f>IF(K509=1,1,0)</x:f>
        <x:v>0</x:v>
      </x:c>
      <x:c r="O509" s="12" t="str">
        <x:v>Retain protein mean pLDDT &gt;=70</x:v>
      </x:c>
      <x:c r="P509" s="11" t="n">
        <x:v>0</x:v>
      </x:c>
      <x:c r="Q509" s="12" t="str">
        <x:v>AF-O35737-F1-model_v6</x:v>
      </x:c>
      <x:c r="R509" s="12" t="str">
        <x:v>ok</x:v>
      </x:c>
      <x:c r="S509" s="11" t="n">
        <x:v>126</x:v>
      </x:c>
      <x:c r="T509" s="11" t="n">
        <x:v>449</x:v>
      </x:c>
    </x:row>
    <x:row r="510" ht="23" customHeight="1">
      <x:c r="A510" s="2" t="str">
        <x:v>O35841</x:v>
      </x:c>
      <x:c r="B510" s="2" t="str">
        <x:v>ED</x:v>
      </x:c>
      <x:c r="C510" s="2" t="n">
        <x:v>0</x:v>
      </x:c>
      <x:c r="D510" s="2" t="n">
        <x:v>0</x:v>
      </x:c>
      <x:c r="E510" s="10" t="n">
        <x:v>87.10630952380953</x:v>
      </x:c>
      <x:c r="F510" s="11" t="n">
        <x:v>504</x:v>
      </x:c>
      <x:c r="G510" s="11" t="n">
        <x:v>0</x:v>
      </x:c>
      <x:c r="H510" s="11" t="n">
        <x:v>0</x:v>
      </x:c>
      <x:c r="I510" s="11" t="n">
        <x:v>0</x:v>
      </x:c>
      <x:c r="J510" s="11" t="n">
        <x:v>0</x:v>
      </x:c>
      <x:c r="K510" s="11" t="n">
        <x:v>1</x:v>
      </x:c>
      <x:c r="L510" s="11" t="n">
        <x:f>IF(B510="NED",1,IF(OR(B510="ED",B510="UN"),0,""))</x:f>
        <x:v>0</x:v>
      </x:c>
      <x:c r="M510" s="11" t="n">
        <x:f>IF(AND(K510=1,OR(B510="ED",B510="NED")),1,0)</x:f>
        <x:v>1</x:v>
      </x:c>
      <x:c r="N510" s="11" t="n">
        <x:f>IF(K510=1,1,0)</x:f>
        <x:v>1</x:v>
      </x:c>
      <x:c r="O510" s="12"/>
      <x:c r="P510" s="11" t="n">
        <x:v>0</x:v>
      </x:c>
      <x:c r="Q510" s="12" t="str">
        <x:v>AF-O35841-F1-model_v6</x:v>
      </x:c>
      <x:c r="R510" s="12" t="str">
        <x:v>ok</x:v>
      </x:c>
      <x:c r="S510" s="11" t="n">
        <x:v>127</x:v>
      </x:c>
      <x:c r="T510" s="11" t="n">
        <x:v>504</x:v>
      </x:c>
    </x:row>
    <x:row r="511" ht="23" customHeight="1">
      <x:c r="A511" s="2" t="str">
        <x:v>O35857</x:v>
      </x:c>
      <x:c r="B511" s="2" t="str">
        <x:v>UN</x:v>
      </x:c>
      <x:c r="C511" s="2" t="n">
        <x:v>0</x:v>
      </x:c>
      <x:c r="D511" s="2" t="n">
        <x:v>0</x:v>
      </x:c>
      <x:c r="E511" s="10"/>
      <x:c r="F511" s="11" t="n">
        <x:v>452</x:v>
      </x:c>
      <x:c r="G511" s="11" t="n">
        <x:v>0</x:v>
      </x:c>
      <x:c r="H511" s="11" t="n">
        <x:v>0</x:v>
      </x:c>
      <x:c r="I511" s="11" t="n">
        <x:v>1</x:v>
      </x:c>
      <x:c r="J511" s="11" t="n">
        <x:v>0</x:v>
      </x:c>
      <x:c r="K511" s="11" t="n">
        <x:v>0</x:v>
      </x:c>
      <x:c r="L511" s="11" t="n">
        <x:f>IF(B511="NED",1,IF(OR(B511="ED",B511="UN"),0,""))</x:f>
        <x:v>0</x:v>
      </x:c>
      <x:c r="M511" s="11" t="n">
        <x:f>IF(AND(K511=1,OR(B511="ED",B511="NED")),1,0)</x:f>
        <x:v>0</x:v>
      </x:c>
      <x:c r="N511" s="11" t="n">
        <x:f>IF(K511=1,1,0)</x:f>
        <x:v>0</x:v>
      </x:c>
      <x:c r="O511" s="12" t="str">
        <x:v>Exclude UniProt Membrane keyword</x:v>
      </x:c>
      <x:c r="P511" s="11" t="n">
        <x:v>0</x:v>
      </x:c>
      <x:c r="Q511" s="12" t="str">
        <x:v>AF-O35857-F1-model_v6</x:v>
      </x:c>
      <x:c r="R511" s="12" t="str">
        <x:v>ok</x:v>
      </x:c>
      <x:c r="S511" s="11" t="n">
        <x:v>128</x:v>
      </x:c>
      <x:c r="T511" s="11" t="n">
        <x:v>452</x:v>
      </x:c>
    </x:row>
    <x:row r="512" ht="23" customHeight="1">
      <x:c r="A512" s="2" t="str">
        <x:v>O35864</x:v>
      </x:c>
      <x:c r="B512" s="2" t="str">
        <x:v>UN</x:v>
      </x:c>
      <x:c r="C512" s="2" t="n">
        <x:v>1</x:v>
      </x:c>
      <x:c r="D512" s="2" t="n">
        <x:v>1</x:v>
      </x:c>
      <x:c r="E512" s="10" t="n">
        <x:v>86.13994011976048</x:v>
      </x:c>
      <x:c r="F512" s="11" t="n">
        <x:v>334</x:v>
      </x:c>
      <x:c r="G512" s="11" t="n">
        <x:v>0</x:v>
      </x:c>
      <x:c r="H512" s="11" t="n">
        <x:v>0</x:v>
      </x:c>
      <x:c r="I512" s="11" t="n">
        <x:v>0</x:v>
      </x:c>
      <x:c r="J512" s="11" t="n">
        <x:v>0</x:v>
      </x:c>
      <x:c r="K512" s="11" t="n">
        <x:v>1</x:v>
      </x:c>
      <x:c r="L512" s="11" t="n">
        <x:f>IF(B512="NED",1,IF(OR(B512="ED",B512="UN"),0,""))</x:f>
        <x:v>0</x:v>
      </x:c>
      <x:c r="M512" s="11" t="n">
        <x:f>IF(AND(K512=1,OR(B512="ED",B512="NED")),1,0)</x:f>
        <x:v>0</x:v>
      </x:c>
      <x:c r="N512" s="11" t="n">
        <x:f>IF(K512=1,1,0)</x:f>
        <x:v>1</x:v>
      </x:c>
      <x:c r="O512" s="12"/>
      <x:c r="P512" s="11" t="n">
        <x:v>0</x:v>
      </x:c>
      <x:c r="Q512" s="12" t="str">
        <x:v>AF-O35864-F1-model_v6</x:v>
      </x:c>
      <x:c r="R512" s="12" t="str">
        <x:v>ok</x:v>
      </x:c>
      <x:c r="S512" s="11" t="n">
        <x:v>129</x:v>
      </x:c>
      <x:c r="T512" s="11" t="n">
        <x:v>334</x:v>
      </x:c>
    </x:row>
    <x:row r="513" ht="23" customHeight="1">
      <x:c r="A513" s="2" t="str">
        <x:v>O35874</x:v>
      </x:c>
      <x:c r="B513" s="2" t="str">
        <x:v>UN</x:v>
      </x:c>
      <x:c r="C513" s="2" t="n">
        <x:v>1</x:v>
      </x:c>
      <x:c r="D513" s="2" t="n">
        <x:v>1</x:v>
      </x:c>
      <x:c r="E513" s="10"/>
      <x:c r="F513" s="11" t="n">
        <x:v>532</x:v>
      </x:c>
      <x:c r="G513" s="11" t="n">
        <x:v>0</x:v>
      </x:c>
      <x:c r="H513" s="11" t="n">
        <x:v>0</x:v>
      </x:c>
      <x:c r="I513" s="11" t="n">
        <x:v>1</x:v>
      </x:c>
      <x:c r="J513" s="11" t="n">
        <x:v>0</x:v>
      </x:c>
      <x:c r="K513" s="11" t="n">
        <x:v>0</x:v>
      </x:c>
      <x:c r="L513" s="11" t="n">
        <x:f>IF(B513="NED",1,IF(OR(B513="ED",B513="UN"),0,""))</x:f>
        <x:v>0</x:v>
      </x:c>
      <x:c r="M513" s="11" t="n">
        <x:f>IF(AND(K513=1,OR(B513="ED",B513="NED")),1,0)</x:f>
        <x:v>0</x:v>
      </x:c>
      <x:c r="N513" s="11" t="n">
        <x:f>IF(K513=1,1,0)</x:f>
        <x:v>0</x:v>
      </x:c>
      <x:c r="O513" s="12" t="str">
        <x:v>Exclude UniProt Membrane keyword</x:v>
      </x:c>
      <x:c r="P513" s="11" t="n">
        <x:v>0</x:v>
      </x:c>
      <x:c r="Q513" s="12" t="str">
        <x:v>AF-O35874-F1-model_v6</x:v>
      </x:c>
      <x:c r="R513" s="12" t="str">
        <x:v>ok</x:v>
      </x:c>
      <x:c r="S513" s="11" t="n">
        <x:v>130</x:v>
      </x:c>
      <x:c r="T513" s="11" t="n">
        <x:v>532</x:v>
      </x:c>
    </x:row>
    <x:row r="514" ht="23" customHeight="1">
      <x:c r="A514" s="2" t="str">
        <x:v>O35887</x:v>
      </x:c>
      <x:c r="B514" s="2" t="str">
        <x:v>UN</x:v>
      </x:c>
      <x:c r="C514" s="2" t="n">
        <x:v>0</x:v>
      </x:c>
      <x:c r="D514" s="2" t="n">
        <x:v>0</x:v>
      </x:c>
      <x:c r="E514" s="10"/>
      <x:c r="F514" s="11" t="n">
        <x:v>315</x:v>
      </x:c>
      <x:c r="G514" s="11" t="n">
        <x:v>0</x:v>
      </x:c>
      <x:c r="H514" s="11" t="n">
        <x:v>0</x:v>
      </x:c>
      <x:c r="I514" s="11" t="n">
        <x:v>1</x:v>
      </x:c>
      <x:c r="J514" s="11" t="n">
        <x:v>1</x:v>
      </x:c>
      <x:c r="K514" s="11" t="n">
        <x:v>0</x:v>
      </x:c>
      <x:c r="L514" s="11" t="n">
        <x:f>IF(B514="NED",1,IF(OR(B514="ED",B514="UN"),0,""))</x:f>
        <x:v>0</x:v>
      </x:c>
      <x:c r="M514" s="11" t="n">
        <x:f>IF(AND(K514=1,OR(B514="ED",B514="NED")),1,0)</x:f>
        <x:v>0</x:v>
      </x:c>
      <x:c r="N514" s="11" t="n">
        <x:f>IF(K514=1,1,0)</x:f>
        <x:v>0</x:v>
      </x:c>
      <x:c r="O514" s="12" t="str">
        <x:v>Exclude UniProt Membrane keyword</x:v>
      </x:c>
      <x:c r="P514" s="11" t="n">
        <x:v>0</x:v>
      </x:c>
      <x:c r="Q514" s="12" t="str">
        <x:v>AF-O35887-F1-model_v6</x:v>
      </x:c>
      <x:c r="R514" s="12" t="str">
        <x:v>ok</x:v>
      </x:c>
      <x:c r="S514" s="11" t="n">
        <x:v>131</x:v>
      </x:c>
      <x:c r="T514" s="11" t="n">
        <x:v>315</x:v>
      </x:c>
    </x:row>
    <x:row r="515" ht="23" customHeight="1">
      <x:c r="A515" s="2" t="str">
        <x:v>O35900</x:v>
      </x:c>
      <x:c r="B515" s="2" t="str">
        <x:v>ED</x:v>
      </x:c>
      <x:c r="C515" s="2" t="n">
        <x:v>0</x:v>
      </x:c>
      <x:c r="D515" s="2" t="n">
        <x:v>0</x:v>
      </x:c>
      <x:c r="E515" s="10" t="n">
        <x:v>94.67231578947369</x:v>
      </x:c>
      <x:c r="F515" s="11" t="n">
        <x:v>95</x:v>
      </x:c>
      <x:c r="G515" s="11" t="n">
        <x:v>0</x:v>
      </x:c>
      <x:c r="H515" s="11" t="n">
        <x:v>0</x:v>
      </x:c>
      <x:c r="I515" s="11" t="n">
        <x:v>0</x:v>
      </x:c>
      <x:c r="J515" s="11" t="n">
        <x:v>0</x:v>
      </x:c>
      <x:c r="K515" s="11" t="n">
        <x:v>1</x:v>
      </x:c>
      <x:c r="L515" s="11" t="n">
        <x:f>IF(B515="NED",1,IF(OR(B515="ED",B515="UN"),0,""))</x:f>
        <x:v>0</x:v>
      </x:c>
      <x:c r="M515" s="11" t="n">
        <x:f>IF(AND(K515=1,OR(B515="ED",B515="NED")),1,0)</x:f>
        <x:v>1</x:v>
      </x:c>
      <x:c r="N515" s="11" t="n">
        <x:f>IF(K515=1,1,0)</x:f>
        <x:v>1</x:v>
      </x:c>
      <x:c r="O515" s="12"/>
      <x:c r="P515" s="11" t="n">
        <x:v>0</x:v>
      </x:c>
      <x:c r="Q515" s="12" t="str">
        <x:v>AF-O35900-F1-model_v6</x:v>
      </x:c>
      <x:c r="R515" s="12" t="str">
        <x:v>ok</x:v>
      </x:c>
      <x:c r="S515" s="11" t="n">
        <x:v>132</x:v>
      </x:c>
      <x:c r="T515" s="11" t="n">
        <x:v>95</x:v>
      </x:c>
    </x:row>
    <x:row r="516" ht="23" customHeight="1">
      <x:c r="A516" s="2" t="str">
        <x:v>O35955</x:v>
      </x:c>
      <x:c r="B516" s="2" t="str">
        <x:v>UN</x:v>
      </x:c>
      <x:c r="C516" s="2" t="n">
        <x:v>1</x:v>
      </x:c>
      <x:c r="D516" s="2" t="n">
        <x:v>1</x:v>
      </x:c>
      <x:c r="E516" s="10" t="n">
        <x:v>91.05564102564102</x:v>
      </x:c>
      <x:c r="F516" s="11" t="n">
        <x:v>273</x:v>
      </x:c>
      <x:c r="G516" s="11" t="n">
        <x:v>0</x:v>
      </x:c>
      <x:c r="H516" s="11" t="n">
        <x:v>0</x:v>
      </x:c>
      <x:c r="I516" s="11" t="n">
        <x:v>0</x:v>
      </x:c>
      <x:c r="J516" s="11" t="n">
        <x:v>0</x:v>
      </x:c>
      <x:c r="K516" s="11" t="n">
        <x:v>1</x:v>
      </x:c>
      <x:c r="L516" s="11" t="n">
        <x:f>IF(B516="NED",1,IF(OR(B516="ED",B516="UN"),0,""))</x:f>
        <x:v>0</x:v>
      </x:c>
      <x:c r="M516" s="11" t="n">
        <x:f>IF(AND(K516=1,OR(B516="ED",B516="NED")),1,0)</x:f>
        <x:v>0</x:v>
      </x:c>
      <x:c r="N516" s="11" t="n">
        <x:f>IF(K516=1,1,0)</x:f>
        <x:v>1</x:v>
      </x:c>
      <x:c r="O516" s="12"/>
      <x:c r="P516" s="11" t="n">
        <x:v>0</x:v>
      </x:c>
      <x:c r="Q516" s="12" t="str">
        <x:v>AF-O35955-F1-model_v6</x:v>
      </x:c>
      <x:c r="R516" s="12" t="str">
        <x:v>ok</x:v>
      </x:c>
      <x:c r="S516" s="11" t="n">
        <x:v>133</x:v>
      </x:c>
      <x:c r="T516" s="11" t="n">
        <x:v>273</x:v>
      </x:c>
    </x:row>
    <x:row r="517" ht="23" customHeight="1">
      <x:c r="A517" s="2" t="str">
        <x:v>O35972</x:v>
      </x:c>
      <x:c r="B517" s="2" t="str">
        <x:v>ED</x:v>
      </x:c>
      <x:c r="C517" s="2" t="n">
        <x:v>0</x:v>
      </x:c>
      <x:c r="D517" s="2" t="n">
        <x:v>0</x:v>
      </x:c>
      <x:c r="E517" s="10" t="n">
        <x:v>89.68513698630137</x:v>
      </x:c>
      <x:c r="F517" s="11" t="n">
        <x:v>146</x:v>
      </x:c>
      <x:c r="G517" s="11" t="n">
        <x:v>0</x:v>
      </x:c>
      <x:c r="H517" s="11" t="n">
        <x:v>0</x:v>
      </x:c>
      <x:c r="I517" s="11" t="n">
        <x:v>0</x:v>
      </x:c>
      <x:c r="J517" s="11" t="n">
        <x:v>0</x:v>
      </x:c>
      <x:c r="K517" s="11" t="n">
        <x:v>1</x:v>
      </x:c>
      <x:c r="L517" s="11" t="n">
        <x:f>IF(B517="NED",1,IF(OR(B517="ED",B517="UN"),0,""))</x:f>
        <x:v>0</x:v>
      </x:c>
      <x:c r="M517" s="11" t="n">
        <x:f>IF(AND(K517=1,OR(B517="ED",B517="NED")),1,0)</x:f>
        <x:v>1</x:v>
      </x:c>
      <x:c r="N517" s="11" t="n">
        <x:f>IF(K517=1,1,0)</x:f>
        <x:v>1</x:v>
      </x:c>
      <x:c r="O517" s="12"/>
      <x:c r="P517" s="11" t="n">
        <x:v>0</x:v>
      </x:c>
      <x:c r="Q517" s="12" t="str">
        <x:v>AF-O35972-F1-model_v6</x:v>
      </x:c>
      <x:c r="R517" s="12" t="str">
        <x:v>ok</x:v>
      </x:c>
      <x:c r="S517" s="11" t="n">
        <x:v>134</x:v>
      </x:c>
      <x:c r="T517" s="11" t="n">
        <x:v>146</x:v>
      </x:c>
    </x:row>
    <x:row r="518" ht="23" customHeight="1">
      <x:c r="A518" s="2" t="str">
        <x:v>O54692</x:v>
      </x:c>
      <x:c r="B518" s="2" t="str">
        <x:v>UN</x:v>
      </x:c>
      <x:c r="C518" s="2" t="n">
        <x:v>1</x:v>
      </x:c>
      <x:c r="D518" s="2" t="n">
        <x:v>1</x:v>
      </x:c>
      <x:c r="E518" s="10"/>
      <x:c r="F518" s="11" t="n">
        <x:v>779</x:v>
      </x:c>
      <x:c r="G518" s="11" t="n">
        <x:v>0</x:v>
      </x:c>
      <x:c r="H518" s="11" t="n">
        <x:v>0</x:v>
      </x:c>
      <x:c r="I518" s="11" t="n">
        <x:v>1</x:v>
      </x:c>
      <x:c r="J518" s="11" t="n">
        <x:v>0</x:v>
      </x:c>
      <x:c r="K518" s="11" t="n">
        <x:v>0</x:v>
      </x:c>
      <x:c r="L518" s="11" t="n">
        <x:f>IF(B518="NED",1,IF(OR(B518="ED",B518="UN"),0,""))</x:f>
        <x:v>0</x:v>
      </x:c>
      <x:c r="M518" s="11" t="n">
        <x:f>IF(AND(K518=1,OR(B518="ED",B518="NED")),1,0)</x:f>
        <x:v>0</x:v>
      </x:c>
      <x:c r="N518" s="11" t="n">
        <x:f>IF(K518=1,1,0)</x:f>
        <x:v>0</x:v>
      </x:c>
      <x:c r="O518" s="12" t="str">
        <x:v>Exclude UniProt Membrane keyword</x:v>
      </x:c>
      <x:c r="P518" s="11" t="n">
        <x:v>0</x:v>
      </x:c>
      <x:c r="Q518" s="12" t="str">
        <x:v>AF-O54692-F1-model_v6</x:v>
      </x:c>
      <x:c r="R518" s="12" t="str">
        <x:v>ok</x:v>
      </x:c>
      <x:c r="S518" s="11" t="n">
        <x:v>135</x:v>
      </x:c>
      <x:c r="T518" s="11" t="n">
        <x:v>779</x:v>
      </x:c>
    </x:row>
    <x:row r="519" ht="23" customHeight="1">
      <x:c r="A519" s="2" t="str">
        <x:v>O54724</x:v>
      </x:c>
      <x:c r="B519" s="2" t="str">
        <x:v>NED</x:v>
      </x:c>
      <x:c r="C519" s="2" t="n">
        <x:v>0</x:v>
      </x:c>
      <x:c r="D519" s="2" t="n">
        <x:v>0</x:v>
      </x:c>
      <x:c r="E519" s="10"/>
      <x:c r="F519" s="11" t="n">
        <x:v>392</x:v>
      </x:c>
      <x:c r="G519" s="11" t="n">
        <x:v>0</x:v>
      </x:c>
      <x:c r="H519" s="11" t="n">
        <x:v>0</x:v>
      </x:c>
      <x:c r="I519" s="11" t="n">
        <x:v>1</x:v>
      </x:c>
      <x:c r="J519" s="11" t="n">
        <x:v>0</x:v>
      </x:c>
      <x:c r="K519" s="11" t="n">
        <x:v>0</x:v>
      </x:c>
      <x:c r="L519" s="11" t="n">
        <x:f>IF(B519="NED",1,IF(OR(B519="ED",B519="UN"),0,""))</x:f>
        <x:v>1</x:v>
      </x:c>
      <x:c r="M519" s="11" t="n">
        <x:f>IF(AND(K519=1,OR(B519="ED",B519="NED")),1,0)</x:f>
        <x:v>0</x:v>
      </x:c>
      <x:c r="N519" s="11" t="n">
        <x:f>IF(K519=1,1,0)</x:f>
        <x:v>0</x:v>
      </x:c>
      <x:c r="O519" s="12" t="str">
        <x:v>Exclude UniProt Membrane keyword</x:v>
      </x:c>
      <x:c r="P519" s="11" t="n">
        <x:v>0</x:v>
      </x:c>
      <x:c r="Q519" s="12" t="str">
        <x:v>AF-O54724-F1-model_v6</x:v>
      </x:c>
      <x:c r="R519" s="12" t="str">
        <x:v>ok</x:v>
      </x:c>
      <x:c r="S519" s="11" t="n">
        <x:v>136</x:v>
      </x:c>
      <x:c r="T519" s="11" t="n">
        <x:v>392</x:v>
      </x:c>
    </x:row>
    <x:row r="520" ht="23" customHeight="1">
      <x:c r="A520" s="2" t="str">
        <x:v>O54734</x:v>
      </x:c>
      <x:c r="B520" s="2" t="str">
        <x:v>NED</x:v>
      </x:c>
      <x:c r="C520" s="2" t="n">
        <x:v>1</x:v>
      </x:c>
      <x:c r="D520" s="2" t="n">
        <x:v>1</x:v>
      </x:c>
      <x:c r="E520" s="10"/>
      <x:c r="F520" s="11" t="n">
        <x:v>441</x:v>
      </x:c>
      <x:c r="G520" s="11" t="n">
        <x:v>0</x:v>
      </x:c>
      <x:c r="H520" s="11" t="n">
        <x:v>0</x:v>
      </x:c>
      <x:c r="I520" s="11" t="n">
        <x:v>1</x:v>
      </x:c>
      <x:c r="J520" s="11" t="n">
        <x:v>0</x:v>
      </x:c>
      <x:c r="K520" s="11" t="n">
        <x:v>0</x:v>
      </x:c>
      <x:c r="L520" s="11" t="n">
        <x:f>IF(B520="NED",1,IF(OR(B520="ED",B520="UN"),0,""))</x:f>
        <x:v>1</x:v>
      </x:c>
      <x:c r="M520" s="11" t="n">
        <x:f>IF(AND(K520=1,OR(B520="ED",B520="NED")),1,0)</x:f>
        <x:v>0</x:v>
      </x:c>
      <x:c r="N520" s="11" t="n">
        <x:f>IF(K520=1,1,0)</x:f>
        <x:v>0</x:v>
      </x:c>
      <x:c r="O520" s="12" t="str">
        <x:v>Exclude UniProt Membrane keyword</x:v>
      </x:c>
      <x:c r="P520" s="11" t="n">
        <x:v>0</x:v>
      </x:c>
      <x:c r="Q520" s="12" t="str">
        <x:v>AF-O54734-F1-model_v6</x:v>
      </x:c>
      <x:c r="R520" s="12" t="str">
        <x:v>ok</x:v>
      </x:c>
      <x:c r="S520" s="11" t="n">
        <x:v>137</x:v>
      </x:c>
      <x:c r="T520" s="11" t="n">
        <x:v>441</x:v>
      </x:c>
    </x:row>
    <x:row r="521" ht="23" customHeight="1">
      <x:c r="A521" s="2" t="str">
        <x:v>O54743</x:v>
      </x:c>
      <x:c r="B521" s="2" t="str">
        <x:v>UN</x:v>
      </x:c>
      <x:c r="C521" s="2" t="n">
        <x:v>1</x:v>
      </x:c>
      <x:c r="D521" s="2" t="n">
        <x:v>1</x:v>
      </x:c>
      <x:c r="E521" s="10" t="n">
        <x:v>57.31661434977578</x:v>
      </x:c>
      <x:c r="F521" s="11" t="n">
        <x:v>446</x:v>
      </x:c>
      <x:c r="G521" s="11" t="n">
        <x:v>0</x:v>
      </x:c>
      <x:c r="H521" s="11" t="n">
        <x:v>0</x:v>
      </x:c>
      <x:c r="I521" s="11" t="n">
        <x:v>0</x:v>
      </x:c>
      <x:c r="J521" s="11" t="n">
        <x:v>0</x:v>
      </x:c>
      <x:c r="K521" s="11" t="n">
        <x:v>0</x:v>
      </x:c>
      <x:c r="L521" s="11" t="n">
        <x:f>IF(B521="NED",1,IF(OR(B521="ED",B521="UN"),0,""))</x:f>
        <x:v>0</x:v>
      </x:c>
      <x:c r="M521" s="11" t="n">
        <x:f>IF(AND(K521=1,OR(B521="ED",B521="NED")),1,0)</x:f>
        <x:v>0</x:v>
      </x:c>
      <x:c r="N521" s="11" t="n">
        <x:f>IF(K521=1,1,0)</x:f>
        <x:v>0</x:v>
      </x:c>
      <x:c r="O521" s="12" t="str">
        <x:v>Retain protein mean pLDDT &gt;=70</x:v>
      </x:c>
      <x:c r="P521" s="11" t="n">
        <x:v>0</x:v>
      </x:c>
      <x:c r="Q521" s="12" t="str">
        <x:v>AF-O54743-F1-model_v6</x:v>
      </x:c>
      <x:c r="R521" s="12" t="str">
        <x:v>ok</x:v>
      </x:c>
      <x:c r="S521" s="11" t="n">
        <x:v>138</x:v>
      </x:c>
      <x:c r="T521" s="11" t="n">
        <x:v>446</x:v>
      </x:c>
    </x:row>
    <x:row r="522" ht="23" customHeight="1">
      <x:c r="A522" s="2" t="str">
        <x:v>O54774</x:v>
      </x:c>
      <x:c r="B522" s="2" t="str">
        <x:v>ED</x:v>
      </x:c>
      <x:c r="C522" s="2" t="n">
        <x:v>1</x:v>
      </x:c>
      <x:c r="D522" s="2" t="n">
        <x:v>1</x:v>
      </x:c>
      <x:c r="E522" s="10"/>
      <x:c r="F522" s="11" t="n">
        <x:v>1199</x:v>
      </x:c>
      <x:c r="G522" s="11" t="n">
        <x:v>0</x:v>
      </x:c>
      <x:c r="H522" s="11" t="n">
        <x:v>0</x:v>
      </x:c>
      <x:c r="I522" s="11" t="n">
        <x:v>1</x:v>
      </x:c>
      <x:c r="J522" s="11" t="n">
        <x:v>0</x:v>
      </x:c>
      <x:c r="K522" s="11" t="n">
        <x:v>0</x:v>
      </x:c>
      <x:c r="L522" s="11" t="n">
        <x:f>IF(B522="NED",1,IF(OR(B522="ED",B522="UN"),0,""))</x:f>
        <x:v>0</x:v>
      </x:c>
      <x:c r="M522" s="11" t="n">
        <x:f>IF(AND(K522=1,OR(B522="ED",B522="NED")),1,0)</x:f>
        <x:v>0</x:v>
      </x:c>
      <x:c r="N522" s="11" t="n">
        <x:f>IF(K522=1,1,0)</x:f>
        <x:v>0</x:v>
      </x:c>
      <x:c r="O522" s="12" t="str">
        <x:v>Exclude UniProt Membrane keyword</x:v>
      </x:c>
      <x:c r="P522" s="11" t="n">
        <x:v>0</x:v>
      </x:c>
      <x:c r="Q522" s="12" t="str">
        <x:v>AF-O54774-F1-model_v6</x:v>
      </x:c>
      <x:c r="R522" s="12" t="str">
        <x:v>ok</x:v>
      </x:c>
      <x:c r="S522" s="11" t="n">
        <x:v>139</x:v>
      </x:c>
      <x:c r="T522" s="11" t="n">
        <x:v>1199</x:v>
      </x:c>
    </x:row>
    <x:row r="523" ht="23" customHeight="1">
      <x:c r="A523" s="2" t="str">
        <x:v>O54782</x:v>
      </x:c>
      <x:c r="B523" s="2" t="str">
        <x:v>UN</x:v>
      </x:c>
      <x:c r="C523" s="2" t="n">
        <x:v>1</x:v>
      </x:c>
      <x:c r="D523" s="2" t="n">
        <x:v>1</x:v>
      </x:c>
      <x:c r="E523" s="10"/>
      <x:c r="F523" s="11" t="n">
        <x:v>1018</x:v>
      </x:c>
      <x:c r="G523" s="11" t="n">
        <x:v>0</x:v>
      </x:c>
      <x:c r="H523" s="11" t="n">
        <x:v>0</x:v>
      </x:c>
      <x:c r="I523" s="11" t="n">
        <x:v>0</x:v>
      </x:c>
      <x:c r="J523" s="11" t="n">
        <x:v>1</x:v>
      </x:c>
      <x:c r="K523" s="11" t="n">
        <x:v>0</x:v>
      </x:c>
      <x:c r="L523" s="11" t="n">
        <x:f>IF(B523="NED",1,IF(OR(B523="ED",B523="UN"),0,""))</x:f>
        <x:v>0</x:v>
      </x:c>
      <x:c r="M523" s="11" t="n">
        <x:f>IF(AND(K523=1,OR(B523="ED",B523="NED")),1,0)</x:f>
        <x:v>0</x:v>
      </x:c>
      <x:c r="N523" s="11" t="n">
        <x:f>IF(K523=1,1,0)</x:f>
        <x:v>0</x:v>
      </x:c>
      <x:c r="O523" s="12" t="str">
        <x:v>Exclude UniProt Secreted keyword</x:v>
      </x:c>
      <x:c r="P523" s="11" t="n">
        <x:v>0</x:v>
      </x:c>
      <x:c r="Q523" s="12" t="str">
        <x:v>AF-O54782-F1-model_v6</x:v>
      </x:c>
      <x:c r="R523" s="12" t="str">
        <x:v>ok</x:v>
      </x:c>
      <x:c r="S523" s="11" t="n">
        <x:v>140</x:v>
      </x:c>
      <x:c r="T523" s="11" t="n">
        <x:v>1018</x:v>
      </x:c>
    </x:row>
    <x:row r="524" ht="23" customHeight="1">
      <x:c r="A524" s="2" t="str">
        <x:v>O54790</x:v>
      </x:c>
      <x:c r="B524" s="2" t="str">
        <x:v>UN</x:v>
      </x:c>
      <x:c r="C524" s="2" t="n">
        <x:v>0</x:v>
      </x:c>
      <x:c r="D524" s="2" t="n">
        <x:v>0</x:v>
      </x:c>
      <x:c r="E524" s="10" t="n">
        <x:v>79.69043209876543</x:v>
      </x:c>
      <x:c r="F524" s="11" t="n">
        <x:v>162</x:v>
      </x:c>
      <x:c r="G524" s="11" t="n">
        <x:v>0</x:v>
      </x:c>
      <x:c r="H524" s="11" t="n">
        <x:v>0</x:v>
      </x:c>
      <x:c r="I524" s="11" t="n">
        <x:v>0</x:v>
      </x:c>
      <x:c r="J524" s="11" t="n">
        <x:v>0</x:v>
      </x:c>
      <x:c r="K524" s="11" t="n">
        <x:v>1</x:v>
      </x:c>
      <x:c r="L524" s="11" t="n">
        <x:f>IF(B524="NED",1,IF(OR(B524="ED",B524="UN"),0,""))</x:f>
        <x:v>0</x:v>
      </x:c>
      <x:c r="M524" s="11" t="n">
        <x:f>IF(AND(K524=1,OR(B524="ED",B524="NED")),1,0)</x:f>
        <x:v>0</x:v>
      </x:c>
      <x:c r="N524" s="11" t="n">
        <x:f>IF(K524=1,1,0)</x:f>
        <x:v>1</x:v>
      </x:c>
      <x:c r="O524" s="12"/>
      <x:c r="P524" s="11" t="n">
        <x:v>0</x:v>
      </x:c>
      <x:c r="Q524" s="12" t="str">
        <x:v>AF-O54790-F1-model_v6</x:v>
      </x:c>
      <x:c r="R524" s="12" t="str">
        <x:v>ok</x:v>
      </x:c>
      <x:c r="S524" s="11" t="n">
        <x:v>141</x:v>
      </x:c>
      <x:c r="T524" s="11" t="n">
        <x:v>162</x:v>
      </x:c>
    </x:row>
    <x:row r="525" ht="23" customHeight="1">
      <x:c r="A525" s="2" t="str">
        <x:v>O54791</x:v>
      </x:c>
      <x:c r="B525" s="2" t="str">
        <x:v>UN</x:v>
      </x:c>
      <x:c r="C525" s="2" t="n">
        <x:v>0</x:v>
      </x:c>
      <x:c r="D525" s="2" t="n">
        <x:v>0</x:v>
      </x:c>
      <x:c r="E525" s="10" t="n">
        <x:v>83.28326923076924</x:v>
      </x:c>
      <x:c r="F525" s="11" t="n">
        <x:v>156</x:v>
      </x:c>
      <x:c r="G525" s="11" t="n">
        <x:v>0</x:v>
      </x:c>
      <x:c r="H525" s="11" t="n">
        <x:v>0</x:v>
      </x:c>
      <x:c r="I525" s="11" t="n">
        <x:v>0</x:v>
      </x:c>
      <x:c r="J525" s="11" t="n">
        <x:v>0</x:v>
      </x:c>
      <x:c r="K525" s="11" t="n">
        <x:v>1</x:v>
      </x:c>
      <x:c r="L525" s="11" t="n">
        <x:f>IF(B525="NED",1,IF(OR(B525="ED",B525="UN"),0,""))</x:f>
        <x:v>0</x:v>
      </x:c>
      <x:c r="M525" s="11" t="n">
        <x:f>IF(AND(K525=1,OR(B525="ED",B525="NED")),1,0)</x:f>
        <x:v>0</x:v>
      </x:c>
      <x:c r="N525" s="11" t="n">
        <x:f>IF(K525=1,1,0)</x:f>
        <x:v>1</x:v>
      </x:c>
      <x:c r="O525" s="12"/>
      <x:c r="P525" s="11" t="n">
        <x:v>0</x:v>
      </x:c>
      <x:c r="Q525" s="12" t="str">
        <x:v>AF-O54791-F1-model_v6</x:v>
      </x:c>
      <x:c r="R525" s="12" t="str">
        <x:v>ok</x:v>
      </x:c>
      <x:c r="S525" s="11" t="n">
        <x:v>142</x:v>
      </x:c>
      <x:c r="T525" s="11" t="n">
        <x:v>156</x:v>
      </x:c>
    </x:row>
    <x:row r="526" ht="23" customHeight="1">
      <x:c r="A526" s="2" t="str">
        <x:v>O54825</x:v>
      </x:c>
      <x:c r="B526" s="2" t="str">
        <x:v>UN</x:v>
      </x:c>
      <x:c r="C526" s="2" t="n">
        <x:v>0</x:v>
      </x:c>
      <x:c r="D526" s="2" t="n">
        <x:v>0</x:v>
      </x:c>
      <x:c r="E526" s="10" t="n">
        <x:v>78.89114678899082</x:v>
      </x:c>
      <x:c r="F526" s="11" t="n">
        <x:v>436</x:v>
      </x:c>
      <x:c r="G526" s="11" t="n">
        <x:v>0</x:v>
      </x:c>
      <x:c r="H526" s="11" t="n">
        <x:v>0</x:v>
      </x:c>
      <x:c r="I526" s="11" t="n">
        <x:v>0</x:v>
      </x:c>
      <x:c r="J526" s="11" t="n">
        <x:v>0</x:v>
      </x:c>
      <x:c r="K526" s="11" t="n">
        <x:v>1</x:v>
      </x:c>
      <x:c r="L526" s="11" t="n">
        <x:f>IF(B526="NED",1,IF(OR(B526="ED",B526="UN"),0,""))</x:f>
        <x:v>0</x:v>
      </x:c>
      <x:c r="M526" s="11" t="n">
        <x:f>IF(AND(K526=1,OR(B526="ED",B526="NED")),1,0)</x:f>
        <x:v>0</x:v>
      </x:c>
      <x:c r="N526" s="11" t="n">
        <x:f>IF(K526=1,1,0)</x:f>
        <x:v>1</x:v>
      </x:c>
      <x:c r="O526" s="12"/>
      <x:c r="P526" s="11" t="n">
        <x:v>0</x:v>
      </x:c>
      <x:c r="Q526" s="12" t="str">
        <x:v>AF-O54825-F1-model_v6</x:v>
      </x:c>
      <x:c r="R526" s="12" t="str">
        <x:v>ok</x:v>
      </x:c>
      <x:c r="S526" s="11" t="n">
        <x:v>143</x:v>
      </x:c>
      <x:c r="T526" s="11" t="n">
        <x:v>436</x:v>
      </x:c>
    </x:row>
    <x:row r="527" ht="23" customHeight="1">
      <x:c r="A527" s="2" t="str">
        <x:v>O54833</x:v>
      </x:c>
      <x:c r="B527" s="2" t="str">
        <x:v>ED</x:v>
      </x:c>
      <x:c r="C527" s="2" t="n">
        <x:v>1</x:v>
      </x:c>
      <x:c r="D527" s="2" t="n">
        <x:v>1</x:v>
      </x:c>
      <x:c r="E527" s="10" t="n">
        <x:v>93.8514</x:v>
      </x:c>
      <x:c r="F527" s="11" t="n">
        <x:v>350</x:v>
      </x:c>
      <x:c r="G527" s="11" t="n">
        <x:v>0</x:v>
      </x:c>
      <x:c r="H527" s="11" t="n">
        <x:v>0</x:v>
      </x:c>
      <x:c r="I527" s="11" t="n">
        <x:v>0</x:v>
      </x:c>
      <x:c r="J527" s="11" t="n">
        <x:v>0</x:v>
      </x:c>
      <x:c r="K527" s="11" t="n">
        <x:v>1</x:v>
      </x:c>
      <x:c r="L527" s="11" t="n">
        <x:f>IF(B527="NED",1,IF(OR(B527="ED",B527="UN"),0,""))</x:f>
        <x:v>0</x:v>
      </x:c>
      <x:c r="M527" s="11" t="n">
        <x:f>IF(AND(K527=1,OR(B527="ED",B527="NED")),1,0)</x:f>
        <x:v>1</x:v>
      </x:c>
      <x:c r="N527" s="11" t="n">
        <x:f>IF(K527=1,1,0)</x:f>
        <x:v>1</x:v>
      </x:c>
      <x:c r="O527" s="12"/>
      <x:c r="P527" s="11" t="n">
        <x:v>0</x:v>
      </x:c>
      <x:c r="Q527" s="12" t="str">
        <x:v>AF-O54833-F1-model_v6</x:v>
      </x:c>
      <x:c r="R527" s="12" t="str">
        <x:v>ok</x:v>
      </x:c>
      <x:c r="S527" s="11" t="n">
        <x:v>144</x:v>
      </x:c>
      <x:c r="T527" s="11" t="n">
        <x:v>350</x:v>
      </x:c>
    </x:row>
    <x:row r="528" ht="23" customHeight="1">
      <x:c r="A528" s="2" t="str">
        <x:v>O54941</x:v>
      </x:c>
      <x:c r="B528" s="2" t="str">
        <x:v>UN</x:v>
      </x:c>
      <x:c r="C528" s="2" t="n">
        <x:v>0</x:v>
      </x:c>
      <x:c r="D528" s="2" t="n">
        <x:v>0</x:v>
      </x:c>
      <x:c r="E528" s="10" t="n">
        <x:v>69.51413625304137</x:v>
      </x:c>
      <x:c r="F528" s="11" t="n">
        <x:v>411</x:v>
      </x:c>
      <x:c r="G528" s="11" t="n">
        <x:v>0</x:v>
      </x:c>
      <x:c r="H528" s="11" t="n">
        <x:v>0</x:v>
      </x:c>
      <x:c r="I528" s="11" t="n">
        <x:v>0</x:v>
      </x:c>
      <x:c r="J528" s="11" t="n">
        <x:v>0</x:v>
      </x:c>
      <x:c r="K528" s="11" t="n">
        <x:v>0</x:v>
      </x:c>
      <x:c r="L528" s="11" t="n">
        <x:f>IF(B528="NED",1,IF(OR(B528="ED",B528="UN"),0,""))</x:f>
        <x:v>0</x:v>
      </x:c>
      <x:c r="M528" s="11" t="n">
        <x:f>IF(AND(K528=1,OR(B528="ED",B528="NED")),1,0)</x:f>
        <x:v>0</x:v>
      </x:c>
      <x:c r="N528" s="11" t="n">
        <x:f>IF(K528=1,1,0)</x:f>
        <x:v>0</x:v>
      </x:c>
      <x:c r="O528" s="12" t="str">
        <x:v>Retain protein mean pLDDT &gt;=70</x:v>
      </x:c>
      <x:c r="P528" s="11" t="n">
        <x:v>0</x:v>
      </x:c>
      <x:c r="Q528" s="12" t="str">
        <x:v>AF-O54941-F1-model_v6</x:v>
      </x:c>
      <x:c r="R528" s="12" t="str">
        <x:v>ok</x:v>
      </x:c>
      <x:c r="S528" s="11" t="n">
        <x:v>145</x:v>
      </x:c>
      <x:c r="T528" s="11" t="n">
        <x:v>411</x:v>
      </x:c>
    </x:row>
    <x:row r="529" ht="23" customHeight="1">
      <x:c r="A529" s="2" t="str">
        <x:v>O54950</x:v>
      </x:c>
      <x:c r="B529" s="2" t="str">
        <x:v>NED</x:v>
      </x:c>
      <x:c r="C529" s="2" t="n">
        <x:v>1</x:v>
      </x:c>
      <x:c r="D529" s="2" t="n">
        <x:v>1</x:v>
      </x:c>
      <x:c r="E529" s="10" t="n">
        <x:v>86.94348484848484</x:v>
      </x:c>
      <x:c r="F529" s="11" t="n">
        <x:v>330</x:v>
      </x:c>
      <x:c r="G529" s="11" t="n">
        <x:v>0</x:v>
      </x:c>
      <x:c r="H529" s="11" t="n">
        <x:v>0</x:v>
      </x:c>
      <x:c r="I529" s="11" t="n">
        <x:v>0</x:v>
      </x:c>
      <x:c r="J529" s="11" t="n">
        <x:v>0</x:v>
      </x:c>
      <x:c r="K529" s="11" t="n">
        <x:v>1</x:v>
      </x:c>
      <x:c r="L529" s="11" t="n">
        <x:f>IF(B529="NED",1,IF(OR(B529="ED",B529="UN"),0,""))</x:f>
        <x:v>1</x:v>
      </x:c>
      <x:c r="M529" s="11" t="n">
        <x:f>IF(AND(K529=1,OR(B529="ED",B529="NED")),1,0)</x:f>
        <x:v>1</x:v>
      </x:c>
      <x:c r="N529" s="11" t="n">
        <x:f>IF(K529=1,1,0)</x:f>
        <x:v>1</x:v>
      </x:c>
      <x:c r="O529" s="12"/>
      <x:c r="P529" s="11" t="n">
        <x:v>0</x:v>
      </x:c>
      <x:c r="Q529" s="12" t="str">
        <x:v>AF-O54950-F1-model_v6</x:v>
      </x:c>
      <x:c r="R529" s="12" t="str">
        <x:v>ok</x:v>
      </x:c>
      <x:c r="S529" s="11" t="n">
        <x:v>146</x:v>
      </x:c>
      <x:c r="T529" s="11" t="n">
        <x:v>330</x:v>
      </x:c>
    </x:row>
    <x:row r="530" ht="23" customHeight="1">
      <x:c r="A530" s="2" t="str">
        <x:v>O54962</x:v>
      </x:c>
      <x:c r="B530" s="2" t="str">
        <x:v>ED</x:v>
      </x:c>
      <x:c r="C530" s="2" t="n">
        <x:v>0</x:v>
      </x:c>
      <x:c r="D530" s="2" t="n">
        <x:v>0</x:v>
      </x:c>
      <x:c r="E530" s="10" t="n">
        <x:v>97.18685393258426</x:v>
      </x:c>
      <x:c r="F530" s="11" t="n">
        <x:v>89</x:v>
      </x:c>
      <x:c r="G530" s="11" t="n">
        <x:v>0</x:v>
      </x:c>
      <x:c r="H530" s="11" t="n">
        <x:v>0</x:v>
      </x:c>
      <x:c r="I530" s="11" t="n">
        <x:v>0</x:v>
      </x:c>
      <x:c r="J530" s="11" t="n">
        <x:v>0</x:v>
      </x:c>
      <x:c r="K530" s="11" t="n">
        <x:v>1</x:v>
      </x:c>
      <x:c r="L530" s="11" t="n">
        <x:f>IF(B530="NED",1,IF(OR(B530="ED",B530="UN"),0,""))</x:f>
        <x:v>0</x:v>
      </x:c>
      <x:c r="M530" s="11" t="n">
        <x:f>IF(AND(K530=1,OR(B530="ED",B530="NED")),1,0)</x:f>
        <x:v>1</x:v>
      </x:c>
      <x:c r="N530" s="11" t="n">
        <x:f>IF(K530=1,1,0)</x:f>
        <x:v>1</x:v>
      </x:c>
      <x:c r="O530" s="12"/>
      <x:c r="P530" s="11" t="n">
        <x:v>0</x:v>
      </x:c>
      <x:c r="Q530" s="12" t="str">
        <x:v>AF-O54962-F1-model_v6</x:v>
      </x:c>
      <x:c r="R530" s="12" t="str">
        <x:v>ok</x:v>
      </x:c>
      <x:c r="S530" s="11" t="n">
        <x:v>147</x:v>
      </x:c>
      <x:c r="T530" s="11" t="n">
        <x:v>89</x:v>
      </x:c>
    </x:row>
    <x:row r="531" ht="23" customHeight="1">
      <x:c r="A531" s="2" t="str">
        <x:v>O54967-3</x:v>
      </x:c>
      <x:c r="B531" s="2" t="str">
        <x:v>UN</x:v>
      </x:c>
      <x:c r="C531" s="2"/>
      <x:c r="D531" s="2"/>
      <x:c r="E531" s="10"/>
      <x:c r="F531" s="11"/>
      <x:c r="G531" s="11" t="n">
        <x:v>0</x:v>
      </x:c>
      <x:c r="H531" s="11" t="n">
        <x:v>0</x:v>
      </x:c>
      <x:c r="I531" s="11"/>
      <x:c r="J531" s="11"/>
      <x:c r="K531" s="11" t="n">
        <x:v>0</x:v>
      </x:c>
      <x:c r="L531" s="11" t="n">
        <x:f>IF(B531="NED",1,IF(OR(B531="ED",B531="UN"),0,""))</x:f>
        <x:v>0</x:v>
      </x:c>
      <x:c r="M531" s="11" t="n">
        <x:f>IF(AND(K531=1,OR(B531="ED",B531="NED")),1,0)</x:f>
        <x:v>0</x:v>
      </x:c>
      <x:c r="N531" s="11" t="n">
        <x:f>IF(K531=1,1,0)</x:f>
        <x:v>0</x:v>
      </x:c>
      <x:c r="O531" s="12" t="str">
        <x:v>Require exact native accession match</x:v>
      </x:c>
      <x:c r="P531" s="11" t="n">
        <x:v>0</x:v>
      </x:c>
      <x:c r="Q531" s="12"/>
      <x:c r="R531" s="12"/>
      <x:c r="S531" s="11" t="n">
        <x:v>148</x:v>
      </x:c>
      <x:c r="T531" s="11"/>
    </x:row>
    <x:row r="532" ht="23" customHeight="1">
      <x:c r="A532" s="2" t="str">
        <x:v>O54984</x:v>
      </x:c>
      <x:c r="B532" s="2" t="str">
        <x:v>ED</x:v>
      </x:c>
      <x:c r="C532" s="2" t="n">
        <x:v>1</x:v>
      </x:c>
      <x:c r="D532" s="2" t="n">
        <x:v>1</x:v>
      </x:c>
      <x:c r="E532" s="10" t="n">
        <x:v>79.4366091954023</x:v>
      </x:c>
      <x:c r="F532" s="11" t="n">
        <x:v>348</x:v>
      </x:c>
      <x:c r="G532" s="11" t="n">
        <x:v>0</x:v>
      </x:c>
      <x:c r="H532" s="11" t="n">
        <x:v>0</x:v>
      </x:c>
      <x:c r="I532" s="11" t="n">
        <x:v>0</x:v>
      </x:c>
      <x:c r="J532" s="11" t="n">
        <x:v>0</x:v>
      </x:c>
      <x:c r="K532" s="11" t="n">
        <x:v>1</x:v>
      </x:c>
      <x:c r="L532" s="11" t="n">
        <x:f>IF(B532="NED",1,IF(OR(B532="ED",B532="UN"),0,""))</x:f>
        <x:v>0</x:v>
      </x:c>
      <x:c r="M532" s="11" t="n">
        <x:f>IF(AND(K532=1,OR(B532="ED",B532="NED")),1,0)</x:f>
        <x:v>1</x:v>
      </x:c>
      <x:c r="N532" s="11" t="n">
        <x:f>IF(K532=1,1,0)</x:f>
        <x:v>1</x:v>
      </x:c>
      <x:c r="O532" s="12"/>
      <x:c r="P532" s="11" t="n">
        <x:v>0</x:v>
      </x:c>
      <x:c r="Q532" s="12" t="str">
        <x:v>AF-O54984-F1-model_v6</x:v>
      </x:c>
      <x:c r="R532" s="12" t="str">
        <x:v>ok</x:v>
      </x:c>
      <x:c r="S532" s="11" t="n">
        <x:v>149</x:v>
      </x:c>
      <x:c r="T532" s="11" t="n">
        <x:v>348</x:v>
      </x:c>
    </x:row>
    <x:row r="533" ht="23" customHeight="1">
      <x:c r="A533" s="2" t="str">
        <x:v>O54988-2</x:v>
      </x:c>
      <x:c r="B533" s="2" t="str">
        <x:v>ED</x:v>
      </x:c>
      <x:c r="C533" s="2"/>
      <x:c r="D533" s="2"/>
      <x:c r="E533" s="10"/>
      <x:c r="F533" s="11"/>
      <x:c r="G533" s="11" t="n">
        <x:v>0</x:v>
      </x:c>
      <x:c r="H533" s="11" t="n">
        <x:v>0</x:v>
      </x:c>
      <x:c r="I533" s="11"/>
      <x:c r="J533" s="11"/>
      <x:c r="K533" s="11" t="n">
        <x:v>0</x:v>
      </x:c>
      <x:c r="L533" s="11" t="n">
        <x:f>IF(B533="NED",1,IF(OR(B533="ED",B533="UN"),0,""))</x:f>
        <x:v>0</x:v>
      </x:c>
      <x:c r="M533" s="11" t="n">
        <x:f>IF(AND(K533=1,OR(B533="ED",B533="NED")),1,0)</x:f>
        <x:v>0</x:v>
      </x:c>
      <x:c r="N533" s="11" t="n">
        <x:f>IF(K533=1,1,0)</x:f>
        <x:v>0</x:v>
      </x:c>
      <x:c r="O533" s="12" t="str">
        <x:v>Require exact native accession match</x:v>
      </x:c>
      <x:c r="P533" s="11" t="n">
        <x:v>0</x:v>
      </x:c>
      <x:c r="Q533" s="12"/>
      <x:c r="R533" s="12"/>
      <x:c r="S533" s="11" t="n">
        <x:v>150</x:v>
      </x:c>
      <x:c r="T533" s="11"/>
    </x:row>
    <x:row r="534" ht="23" customHeight="1">
      <x:c r="A534" s="2" t="str">
        <x:v>O54998</x:v>
      </x:c>
      <x:c r="B534" s="2" t="str">
        <x:v>ED</x:v>
      </x:c>
      <x:c r="C534" s="2" t="n">
        <x:v>1</x:v>
      </x:c>
      <x:c r="D534" s="2" t="n">
        <x:v>1</x:v>
      </x:c>
      <x:c r="E534" s="10" t="n">
        <x:v>85.69004587155963</x:v>
      </x:c>
      <x:c r="F534" s="11" t="n">
        <x:v>218</x:v>
      </x:c>
      <x:c r="G534" s="11" t="n">
        <x:v>0</x:v>
      </x:c>
      <x:c r="H534" s="11" t="n">
        <x:v>0</x:v>
      </x:c>
      <x:c r="I534" s="11" t="n">
        <x:v>0</x:v>
      </x:c>
      <x:c r="J534" s="11" t="n">
        <x:v>0</x:v>
      </x:c>
      <x:c r="K534" s="11" t="n">
        <x:v>1</x:v>
      </x:c>
      <x:c r="L534" s="11" t="n">
        <x:f>IF(B534="NED",1,IF(OR(B534="ED",B534="UN"),0,""))</x:f>
        <x:v>0</x:v>
      </x:c>
      <x:c r="M534" s="11" t="n">
        <x:f>IF(AND(K534=1,OR(B534="ED",B534="NED")),1,0)</x:f>
        <x:v>1</x:v>
      </x:c>
      <x:c r="N534" s="11" t="n">
        <x:f>IF(K534=1,1,0)</x:f>
        <x:v>1</x:v>
      </x:c>
      <x:c r="O534" s="12"/>
      <x:c r="P534" s="11" t="n">
        <x:v>0</x:v>
      </x:c>
      <x:c r="Q534" s="12" t="str">
        <x:v>AF-O54998-F1-model_v6</x:v>
      </x:c>
      <x:c r="R534" s="12" t="str">
        <x:v>ok</x:v>
      </x:c>
      <x:c r="S534" s="11" t="n">
        <x:v>151</x:v>
      </x:c>
      <x:c r="T534" s="11" t="n">
        <x:v>218</x:v>
      </x:c>
    </x:row>
    <x:row r="535" ht="23" customHeight="1">
      <x:c r="A535" s="2" t="str">
        <x:v>O55022</x:v>
      </x:c>
      <x:c r="B535" s="2" t="str">
        <x:v>UN</x:v>
      </x:c>
      <x:c r="C535" s="2" t="n">
        <x:v>0</x:v>
      </x:c>
      <x:c r="D535" s="2" t="n">
        <x:v>0</x:v>
      </x:c>
      <x:c r="E535" s="10"/>
      <x:c r="F535" s="11" t="n">
        <x:v>195</x:v>
      </x:c>
      <x:c r="G535" s="11" t="n">
        <x:v>0</x:v>
      </x:c>
      <x:c r="H535" s="11" t="n">
        <x:v>0</x:v>
      </x:c>
      <x:c r="I535" s="11" t="n">
        <x:v>1</x:v>
      </x:c>
      <x:c r="J535" s="11" t="n">
        <x:v>1</x:v>
      </x:c>
      <x:c r="K535" s="11" t="n">
        <x:v>0</x:v>
      </x:c>
      <x:c r="L535" s="11" t="n">
        <x:f>IF(B535="NED",1,IF(OR(B535="ED",B535="UN"),0,""))</x:f>
        <x:v>0</x:v>
      </x:c>
      <x:c r="M535" s="11" t="n">
        <x:f>IF(AND(K535=1,OR(B535="ED",B535="NED")),1,0)</x:f>
        <x:v>0</x:v>
      </x:c>
      <x:c r="N535" s="11" t="n">
        <x:f>IF(K535=1,1,0)</x:f>
        <x:v>0</x:v>
      </x:c>
      <x:c r="O535" s="12" t="str">
        <x:v>Exclude UniProt Membrane keyword</x:v>
      </x:c>
      <x:c r="P535" s="11" t="n">
        <x:v>0</x:v>
      </x:c>
      <x:c r="Q535" s="12" t="str">
        <x:v>AF-O55022-F1-model_v6</x:v>
      </x:c>
      <x:c r="R535" s="12" t="str">
        <x:v>ok</x:v>
      </x:c>
      <x:c r="S535" s="11" t="n">
        <x:v>152</x:v>
      </x:c>
      <x:c r="T535" s="11" t="n">
        <x:v>195</x:v>
      </x:c>
    </x:row>
    <x:row r="536" ht="23" customHeight="1">
      <x:c r="A536" s="2" t="str">
        <x:v>O55029</x:v>
      </x:c>
      <x:c r="B536" s="2" t="str">
        <x:v>UN</x:v>
      </x:c>
      <x:c r="C536" s="2" t="n">
        <x:v>1</x:v>
      </x:c>
      <x:c r="D536" s="2" t="n">
        <x:v>1</x:v>
      </x:c>
      <x:c r="E536" s="10"/>
      <x:c r="F536" s="11" t="n">
        <x:v>905</x:v>
      </x:c>
      <x:c r="G536" s="11" t="n">
        <x:v>0</x:v>
      </x:c>
      <x:c r="H536" s="11" t="n">
        <x:v>0</x:v>
      </x:c>
      <x:c r="I536" s="11" t="n">
        <x:v>1</x:v>
      </x:c>
      <x:c r="J536" s="11" t="n">
        <x:v>0</x:v>
      </x:c>
      <x:c r="K536" s="11" t="n">
        <x:v>0</x:v>
      </x:c>
      <x:c r="L536" s="11" t="n">
        <x:f>IF(B536="NED",1,IF(OR(B536="ED",B536="UN"),0,""))</x:f>
        <x:v>0</x:v>
      </x:c>
      <x:c r="M536" s="11" t="n">
        <x:f>IF(AND(K536=1,OR(B536="ED",B536="NED")),1,0)</x:f>
        <x:v>0</x:v>
      </x:c>
      <x:c r="N536" s="11" t="n">
        <x:f>IF(K536=1,1,0)</x:f>
        <x:v>0</x:v>
      </x:c>
      <x:c r="O536" s="12" t="str">
        <x:v>Exclude UniProt Membrane keyword</x:v>
      </x:c>
      <x:c r="P536" s="11" t="n">
        <x:v>0</x:v>
      </x:c>
      <x:c r="Q536" s="12" t="str">
        <x:v>AF-O55029-F1-model_v6</x:v>
      </x:c>
      <x:c r="R536" s="12" t="str">
        <x:v>ok</x:v>
      </x:c>
      <x:c r="S536" s="11" t="n">
        <x:v>153</x:v>
      </x:c>
      <x:c r="T536" s="11" t="n">
        <x:v>905</x:v>
      </x:c>
    </x:row>
    <x:row r="537" ht="23" customHeight="1">
      <x:c r="A537" s="2" t="str">
        <x:v>O55091</x:v>
      </x:c>
      <x:c r="B537" s="2" t="str">
        <x:v>ED</x:v>
      </x:c>
      <x:c r="C537" s="2" t="n">
        <x:v>0</x:v>
      </x:c>
      <x:c r="D537" s="2" t="n">
        <x:v>0</x:v>
      </x:c>
      <x:c r="E537" s="10" t="n">
        <x:v>81.99003144654088</x:v>
      </x:c>
      <x:c r="F537" s="11" t="n">
        <x:v>318</x:v>
      </x:c>
      <x:c r="G537" s="11" t="n">
        <x:v>0</x:v>
      </x:c>
      <x:c r="H537" s="11" t="n">
        <x:v>0</x:v>
      </x:c>
      <x:c r="I537" s="11" t="n">
        <x:v>0</x:v>
      </x:c>
      <x:c r="J537" s="11" t="n">
        <x:v>0</x:v>
      </x:c>
      <x:c r="K537" s="11" t="n">
        <x:v>1</x:v>
      </x:c>
      <x:c r="L537" s="11" t="n">
        <x:f>IF(B537="NED",1,IF(OR(B537="ED",B537="UN"),0,""))</x:f>
        <x:v>0</x:v>
      </x:c>
      <x:c r="M537" s="11" t="n">
        <x:f>IF(AND(K537=1,OR(B537="ED",B537="NED")),1,0)</x:f>
        <x:v>1</x:v>
      </x:c>
      <x:c r="N537" s="11" t="n">
        <x:f>IF(K537=1,1,0)</x:f>
        <x:v>1</x:v>
      </x:c>
      <x:c r="O537" s="12"/>
      <x:c r="P537" s="11" t="n">
        <x:v>0</x:v>
      </x:c>
      <x:c r="Q537" s="12" t="str">
        <x:v>AF-O55091-F1-model_v6</x:v>
      </x:c>
      <x:c r="R537" s="12" t="str">
        <x:v>ok</x:v>
      </x:c>
      <x:c r="S537" s="11" t="n">
        <x:v>154</x:v>
      </x:c>
      <x:c r="T537" s="11" t="n">
        <x:v>318</x:v>
      </x:c>
    </x:row>
    <x:row r="538" ht="23" customHeight="1">
      <x:c r="A538" s="2" t="str">
        <x:v>O55106</x:v>
      </x:c>
      <x:c r="B538" s="2" t="str">
        <x:v>ED</x:v>
      </x:c>
      <x:c r="C538" s="2" t="n">
        <x:v>1</x:v>
      </x:c>
      <x:c r="D538" s="2" t="n">
        <x:v>1</x:v>
      </x:c>
      <x:c r="E538" s="10"/>
      <x:c r="F538" s="11" t="n">
        <x:v>780</x:v>
      </x:c>
      <x:c r="G538" s="11" t="n">
        <x:v>0</x:v>
      </x:c>
      <x:c r="H538" s="11" t="n">
        <x:v>0</x:v>
      </x:c>
      <x:c r="I538" s="11" t="n">
        <x:v>1</x:v>
      </x:c>
      <x:c r="J538" s="11" t="n">
        <x:v>0</x:v>
      </x:c>
      <x:c r="K538" s="11" t="n">
        <x:v>0</x:v>
      </x:c>
      <x:c r="L538" s="11" t="n">
        <x:f>IF(B538="NED",1,IF(OR(B538="ED",B538="UN"),0,""))</x:f>
        <x:v>0</x:v>
      </x:c>
      <x:c r="M538" s="11" t="n">
        <x:f>IF(AND(K538=1,OR(B538="ED",B538="NED")),1,0)</x:f>
        <x:v>0</x:v>
      </x:c>
      <x:c r="N538" s="11" t="n">
        <x:f>IF(K538=1,1,0)</x:f>
        <x:v>0</x:v>
      </x:c>
      <x:c r="O538" s="12" t="str">
        <x:v>Exclude UniProt Membrane keyword</x:v>
      </x:c>
      <x:c r="P538" s="11" t="n">
        <x:v>0</x:v>
      </x:c>
      <x:c r="Q538" s="12" t="str">
        <x:v>AF-O55106-F1-model_v6</x:v>
      </x:c>
      <x:c r="R538" s="12" t="str">
        <x:v>ok</x:v>
      </x:c>
      <x:c r="S538" s="11" t="n">
        <x:v>155</x:v>
      </x:c>
      <x:c r="T538" s="11" t="n">
        <x:v>780</x:v>
      </x:c>
    </x:row>
    <x:row r="539" ht="23" customHeight="1">
      <x:c r="A539" s="2" t="str">
        <x:v>O55128</x:v>
      </x:c>
      <x:c r="B539" s="2" t="str">
        <x:v>NED</x:v>
      </x:c>
      <x:c r="C539" s="2" t="n">
        <x:v>1</x:v>
      </x:c>
      <x:c r="D539" s="2" t="n">
        <x:v>1</x:v>
      </x:c>
      <x:c r="E539" s="10" t="n">
        <x:v>87.46457516339869</x:v>
      </x:c>
      <x:c r="F539" s="11" t="n">
        <x:v>153</x:v>
      </x:c>
      <x:c r="G539" s="11" t="n">
        <x:v>0</x:v>
      </x:c>
      <x:c r="H539" s="11" t="n">
        <x:v>0</x:v>
      </x:c>
      <x:c r="I539" s="11" t="n">
        <x:v>0</x:v>
      </x:c>
      <x:c r="J539" s="11" t="n">
        <x:v>0</x:v>
      </x:c>
      <x:c r="K539" s="11" t="n">
        <x:v>1</x:v>
      </x:c>
      <x:c r="L539" s="11" t="n">
        <x:f>IF(B539="NED",1,IF(OR(B539="ED",B539="UN"),0,""))</x:f>
        <x:v>1</x:v>
      </x:c>
      <x:c r="M539" s="11" t="n">
        <x:f>IF(AND(K539=1,OR(B539="ED",B539="NED")),1,0)</x:f>
        <x:v>1</x:v>
      </x:c>
      <x:c r="N539" s="11" t="n">
        <x:f>IF(K539=1,1,0)</x:f>
        <x:v>1</x:v>
      </x:c>
      <x:c r="O539" s="12"/>
      <x:c r="P539" s="11" t="n">
        <x:v>0</x:v>
      </x:c>
      <x:c r="Q539" s="12" t="str">
        <x:v>AF-O55128-F1-model_v6</x:v>
      </x:c>
      <x:c r="R539" s="12" t="str">
        <x:v>ok</x:v>
      </x:c>
      <x:c r="S539" s="11" t="n">
        <x:v>156</x:v>
      </x:c>
      <x:c r="T539" s="11" t="n">
        <x:v>153</x:v>
      </x:c>
    </x:row>
    <x:row r="540" ht="23" customHeight="1">
      <x:c r="A540" s="2" t="str">
        <x:v>O55135</x:v>
      </x:c>
      <x:c r="B540" s="2" t="str">
        <x:v>ED</x:v>
      </x:c>
      <x:c r="C540" s="2" t="n">
        <x:v>1</x:v>
      </x:c>
      <x:c r="D540" s="2" t="n">
        <x:v>1</x:v>
      </x:c>
      <x:c r="E540" s="10" t="n">
        <x:v>90.2021224489796</x:v>
      </x:c>
      <x:c r="F540" s="11" t="n">
        <x:v>245</x:v>
      </x:c>
      <x:c r="G540" s="11" t="n">
        <x:v>0</x:v>
      </x:c>
      <x:c r="H540" s="11" t="n">
        <x:v>0</x:v>
      </x:c>
      <x:c r="I540" s="11" t="n">
        <x:v>0</x:v>
      </x:c>
      <x:c r="J540" s="11" t="n">
        <x:v>0</x:v>
      </x:c>
      <x:c r="K540" s="11" t="n">
        <x:v>1</x:v>
      </x:c>
      <x:c r="L540" s="11" t="n">
        <x:f>IF(B540="NED",1,IF(OR(B540="ED",B540="UN"),0,""))</x:f>
        <x:v>0</x:v>
      </x:c>
      <x:c r="M540" s="11" t="n">
        <x:f>IF(AND(K540=1,OR(B540="ED",B540="NED")),1,0)</x:f>
        <x:v>1</x:v>
      </x:c>
      <x:c r="N540" s="11" t="n">
        <x:f>IF(K540=1,1,0)</x:f>
        <x:v>1</x:v>
      </x:c>
      <x:c r="O540" s="12"/>
      <x:c r="P540" s="11" t="n">
        <x:v>0</x:v>
      </x:c>
      <x:c r="Q540" s="12" t="str">
        <x:v>AF-O55135-F1-model_v6</x:v>
      </x:c>
      <x:c r="R540" s="12" t="str">
        <x:v>ok</x:v>
      </x:c>
      <x:c r="S540" s="11" t="n">
        <x:v>157</x:v>
      </x:c>
      <x:c r="T540" s="11" t="n">
        <x:v>245</x:v>
      </x:c>
    </x:row>
    <x:row r="541" ht="23" customHeight="1">
      <x:c r="A541" s="2" t="str">
        <x:v>O55142</x:v>
      </x:c>
      <x:c r="B541" s="2" t="str">
        <x:v>ED</x:v>
      </x:c>
      <x:c r="C541" s="2" t="n">
        <x:v>1</x:v>
      </x:c>
      <x:c r="D541" s="2" t="n">
        <x:v>1</x:v>
      </x:c>
      <x:c r="E541" s="10" t="n">
        <x:v>96.20627272727272</x:v>
      </x:c>
      <x:c r="F541" s="11" t="n">
        <x:v>110</x:v>
      </x:c>
      <x:c r="G541" s="11" t="n">
        <x:v>0</x:v>
      </x:c>
      <x:c r="H541" s="11" t="n">
        <x:v>0</x:v>
      </x:c>
      <x:c r="I541" s="11" t="n">
        <x:v>0</x:v>
      </x:c>
      <x:c r="J541" s="11" t="n">
        <x:v>0</x:v>
      </x:c>
      <x:c r="K541" s="11" t="n">
        <x:v>1</x:v>
      </x:c>
      <x:c r="L541" s="11" t="n">
        <x:f>IF(B541="NED",1,IF(OR(B541="ED",B541="UN"),0,""))</x:f>
        <x:v>0</x:v>
      </x:c>
      <x:c r="M541" s="11" t="n">
        <x:f>IF(AND(K541=1,OR(B541="ED",B541="NED")),1,0)</x:f>
        <x:v>1</x:v>
      </x:c>
      <x:c r="N541" s="11" t="n">
        <x:f>IF(K541=1,1,0)</x:f>
        <x:v>1</x:v>
      </x:c>
      <x:c r="O541" s="12"/>
      <x:c r="P541" s="11" t="n">
        <x:v>0</x:v>
      </x:c>
      <x:c r="Q541" s="12" t="str">
        <x:v>AF-O55142-F1-model_v6</x:v>
      </x:c>
      <x:c r="R541" s="12" t="str">
        <x:v>ok</x:v>
      </x:c>
      <x:c r="S541" s="11" t="n">
        <x:v>158</x:v>
      </x:c>
      <x:c r="T541" s="11" t="n">
        <x:v>110</x:v>
      </x:c>
    </x:row>
    <x:row r="542" ht="23" customHeight="1">
      <x:c r="A542" s="2" t="str">
        <x:v>O55201</x:v>
      </x:c>
      <x:c r="B542" s="2" t="str">
        <x:v>ED</x:v>
      </x:c>
      <x:c r="C542" s="2" t="n">
        <x:v>1</x:v>
      </x:c>
      <x:c r="D542" s="2" t="n">
        <x:v>1</x:v>
      </x:c>
      <x:c r="E542" s="10"/>
      <x:c r="F542" s="11" t="n">
        <x:v>1082</x:v>
      </x:c>
      <x:c r="G542" s="11" t="n">
        <x:v>1</x:v>
      </x:c>
      <x:c r="H542" s="11" t="n">
        <x:v>0</x:v>
      </x:c>
      <x:c r="I542" s="11" t="n">
        <x:v>0</x:v>
      </x:c>
      <x:c r="J542" s="11" t="n">
        <x:v>0</x:v>
      </x:c>
      <x:c r="K542" s="11" t="n">
        <x:v>0</x:v>
      </x:c>
      <x:c r="L542" s="11" t="n">
        <x:f>IF(B542="NED",1,IF(OR(B542="ED",B542="UN"),0,""))</x:f>
        <x:v>0</x:v>
      </x:c>
      <x:c r="M542" s="11" t="n">
        <x:f>IF(AND(K542=1,OR(B542="ED",B542="NED")),1,0)</x:f>
        <x:v>0</x:v>
      </x:c>
      <x:c r="N542" s="11" t="n">
        <x:f>IF(K542=1,1,0)</x:f>
        <x:v>0</x:v>
      </x:c>
      <x:c r="O542" s="12" t="str">
        <x:v>Exclude supplied knotted proteins</x:v>
      </x:c>
      <x:c r="P542" s="11" t="n">
        <x:v>0</x:v>
      </x:c>
      <x:c r="Q542" s="12" t="str">
        <x:v>AF-O55201-F1-model_v6</x:v>
      </x:c>
      <x:c r="R542" s="12" t="str">
        <x:v>ok</x:v>
      </x:c>
      <x:c r="S542" s="11" t="n">
        <x:v>159</x:v>
      </x:c>
      <x:c r="T542" s="11" t="n">
        <x:v>1082</x:v>
      </x:c>
    </x:row>
    <x:row r="543" ht="23" customHeight="1">
      <x:c r="A543" s="2" t="str">
        <x:v>O55222</x:v>
      </x:c>
      <x:c r="B543" s="2" t="str">
        <x:v>ED</x:v>
      </x:c>
      <x:c r="C543" s="2" t="n">
        <x:v>1</x:v>
      </x:c>
      <x:c r="D543" s="2" t="n">
        <x:v>1</x:v>
      </x:c>
      <x:c r="E543" s="10"/>
      <x:c r="F543" s="11" t="n">
        <x:v>452</x:v>
      </x:c>
      <x:c r="G543" s="11" t="n">
        <x:v>0</x:v>
      </x:c>
      <x:c r="H543" s="11" t="n">
        <x:v>0</x:v>
      </x:c>
      <x:c r="I543" s="11" t="n">
        <x:v>1</x:v>
      </x:c>
      <x:c r="J543" s="11" t="n">
        <x:v>0</x:v>
      </x:c>
      <x:c r="K543" s="11" t="n">
        <x:v>0</x:v>
      </x:c>
      <x:c r="L543" s="11" t="n">
        <x:f>IF(B543="NED",1,IF(OR(B543="ED",B543="UN"),0,""))</x:f>
        <x:v>0</x:v>
      </x:c>
      <x:c r="M543" s="11" t="n">
        <x:f>IF(AND(K543=1,OR(B543="ED",B543="NED")),1,0)</x:f>
        <x:v>0</x:v>
      </x:c>
      <x:c r="N543" s="11" t="n">
        <x:f>IF(K543=1,1,0)</x:f>
        <x:v>0</x:v>
      </x:c>
      <x:c r="O543" s="12" t="str">
        <x:v>Exclude UniProt Membrane keyword</x:v>
      </x:c>
      <x:c r="P543" s="11" t="n">
        <x:v>0</x:v>
      </x:c>
      <x:c r="Q543" s="12" t="str">
        <x:v>AF-O55222-F1-model_v6</x:v>
      </x:c>
      <x:c r="R543" s="12" t="str">
        <x:v>ok</x:v>
      </x:c>
      <x:c r="S543" s="11" t="n">
        <x:v>160</x:v>
      </x:c>
      <x:c r="T543" s="11" t="n">
        <x:v>452</x:v>
      </x:c>
    </x:row>
    <x:row r="544" ht="23" customHeight="1">
      <x:c r="A544" s="2" t="str">
        <x:v>O55234</x:v>
      </x:c>
      <x:c r="B544" s="2" t="str">
        <x:v>NED</x:v>
      </x:c>
      <x:c r="C544" s="2" t="n">
        <x:v>1</x:v>
      </x:c>
      <x:c r="D544" s="2" t="n">
        <x:v>1</x:v>
      </x:c>
      <x:c r="E544" s="10" t="n">
        <x:v>82.80287878787878</x:v>
      </x:c>
      <x:c r="F544" s="11" t="n">
        <x:v>264</x:v>
      </x:c>
      <x:c r="G544" s="11" t="n">
        <x:v>0</x:v>
      </x:c>
      <x:c r="H544" s="11" t="n">
        <x:v>0</x:v>
      </x:c>
      <x:c r="I544" s="11" t="n">
        <x:v>0</x:v>
      </x:c>
      <x:c r="J544" s="11" t="n">
        <x:v>0</x:v>
      </x:c>
      <x:c r="K544" s="11" t="n">
        <x:v>1</x:v>
      </x:c>
      <x:c r="L544" s="11" t="n">
        <x:f>IF(B544="NED",1,IF(OR(B544="ED",B544="UN"),0,""))</x:f>
        <x:v>1</x:v>
      </x:c>
      <x:c r="M544" s="11" t="n">
        <x:f>IF(AND(K544=1,OR(B544="ED",B544="NED")),1,0)</x:f>
        <x:v>1</x:v>
      </x:c>
      <x:c r="N544" s="11" t="n">
        <x:f>IF(K544=1,1,0)</x:f>
        <x:v>1</x:v>
      </x:c>
      <x:c r="O544" s="12"/>
      <x:c r="P544" s="11" t="n">
        <x:v>0</x:v>
      </x:c>
      <x:c r="Q544" s="12" t="str">
        <x:v>AF-O55234-F1-model_v6</x:v>
      </x:c>
      <x:c r="R544" s="12" t="str">
        <x:v>ok</x:v>
      </x:c>
      <x:c r="S544" s="11" t="n">
        <x:v>161</x:v>
      </x:c>
      <x:c r="T544" s="11" t="n">
        <x:v>264</x:v>
      </x:c>
    </x:row>
    <x:row r="545" ht="23" customHeight="1">
      <x:c r="A545" s="2" t="str">
        <x:v>O70126</x:v>
      </x:c>
      <x:c r="B545" s="2" t="str">
        <x:v>ED</x:v>
      </x:c>
      <x:c r="C545" s="2" t="n">
        <x:v>1</x:v>
      </x:c>
      <x:c r="D545" s="2" t="n">
        <x:v>1</x:v>
      </x:c>
      <x:c r="E545" s="10" t="n">
        <x:v>79.95310144927537</x:v>
      </x:c>
      <x:c r="F545" s="11" t="n">
        <x:v>345</x:v>
      </x:c>
      <x:c r="G545" s="11" t="n">
        <x:v>0</x:v>
      </x:c>
      <x:c r="H545" s="11" t="n">
        <x:v>0</x:v>
      </x:c>
      <x:c r="I545" s="11" t="n">
        <x:v>0</x:v>
      </x:c>
      <x:c r="J545" s="11" t="n">
        <x:v>0</x:v>
      </x:c>
      <x:c r="K545" s="11" t="n">
        <x:v>1</x:v>
      </x:c>
      <x:c r="L545" s="11" t="n">
        <x:f>IF(B545="NED",1,IF(OR(B545="ED",B545="UN"),0,""))</x:f>
        <x:v>0</x:v>
      </x:c>
      <x:c r="M545" s="11" t="n">
        <x:f>IF(AND(K545=1,OR(B545="ED",B545="NED")),1,0)</x:f>
        <x:v>1</x:v>
      </x:c>
      <x:c r="N545" s="11" t="n">
        <x:f>IF(K545=1,1,0)</x:f>
        <x:v>1</x:v>
      </x:c>
      <x:c r="O545" s="12"/>
      <x:c r="P545" s="11" t="n">
        <x:v>0</x:v>
      </x:c>
      <x:c r="Q545" s="12" t="str">
        <x:v>AF-O70126-F1-model_v6</x:v>
      </x:c>
      <x:c r="R545" s="12" t="str">
        <x:v>ok</x:v>
      </x:c>
      <x:c r="S545" s="11" t="n">
        <x:v>162</x:v>
      </x:c>
      <x:c r="T545" s="11" t="n">
        <x:v>345</x:v>
      </x:c>
    </x:row>
    <x:row r="546" ht="23" customHeight="1">
      <x:c r="A546" s="2" t="str">
        <x:v>O70152</x:v>
      </x:c>
      <x:c r="B546" s="2" t="str">
        <x:v>ED</x:v>
      </x:c>
      <x:c r="C546" s="2" t="n">
        <x:v>1</x:v>
      </x:c>
      <x:c r="D546" s="2" t="n">
        <x:v>1</x:v>
      </x:c>
      <x:c r="E546" s="10" t="n">
        <x:v>88.16942307692307</x:v>
      </x:c>
      <x:c r="F546" s="11" t="n">
        <x:v>260</x:v>
      </x:c>
      <x:c r="G546" s="11" t="n">
        <x:v>0</x:v>
      </x:c>
      <x:c r="H546" s="11" t="n">
        <x:v>0</x:v>
      </x:c>
      <x:c r="I546" s="11" t="n">
        <x:v>0</x:v>
      </x:c>
      <x:c r="J546" s="11" t="n">
        <x:v>0</x:v>
      </x:c>
      <x:c r="K546" s="11" t="n">
        <x:v>1</x:v>
      </x:c>
      <x:c r="L546" s="11" t="n">
        <x:f>IF(B546="NED",1,IF(OR(B546="ED",B546="UN"),0,""))</x:f>
        <x:v>0</x:v>
      </x:c>
      <x:c r="M546" s="11" t="n">
        <x:f>IF(AND(K546=1,OR(B546="ED",B546="NED")),1,0)</x:f>
        <x:v>1</x:v>
      </x:c>
      <x:c r="N546" s="11" t="n">
        <x:f>IF(K546=1,1,0)</x:f>
        <x:v>1</x:v>
      </x:c>
      <x:c r="O546" s="12"/>
      <x:c r="P546" s="11" t="n">
        <x:v>0</x:v>
      </x:c>
      <x:c r="Q546" s="12" t="str">
        <x:v>AF-O70152-F1-model_v6</x:v>
      </x:c>
      <x:c r="R546" s="12" t="str">
        <x:v>ok</x:v>
      </x:c>
      <x:c r="S546" s="11" t="n">
        <x:v>163</x:v>
      </x:c>
      <x:c r="T546" s="11" t="n">
        <x:v>260</x:v>
      </x:c>
    </x:row>
    <x:row r="547" ht="23" customHeight="1">
      <x:c r="A547" s="2" t="str">
        <x:v>O70161-2</x:v>
      </x:c>
      <x:c r="B547" s="2" t="str">
        <x:v>ED</x:v>
      </x:c>
      <x:c r="C547" s="2"/>
      <x:c r="D547" s="2"/>
      <x:c r="E547" s="10"/>
      <x:c r="F547" s="11"/>
      <x:c r="G547" s="11" t="n">
        <x:v>0</x:v>
      </x:c>
      <x:c r="H547" s="11" t="n">
        <x:v>0</x:v>
      </x:c>
      <x:c r="I547" s="11"/>
      <x:c r="J547" s="11"/>
      <x:c r="K547" s="11" t="n">
        <x:v>0</x:v>
      </x:c>
      <x:c r="L547" s="11" t="n">
        <x:f>IF(B547="NED",1,IF(OR(B547="ED",B547="UN"),0,""))</x:f>
        <x:v>0</x:v>
      </x:c>
      <x:c r="M547" s="11" t="n">
        <x:f>IF(AND(K547=1,OR(B547="ED",B547="NED")),1,0)</x:f>
        <x:v>0</x:v>
      </x:c>
      <x:c r="N547" s="11" t="n">
        <x:f>IF(K547=1,1,0)</x:f>
        <x:v>0</x:v>
      </x:c>
      <x:c r="O547" s="12" t="str">
        <x:v>Require exact native accession match</x:v>
      </x:c>
      <x:c r="P547" s="11" t="n">
        <x:v>0</x:v>
      </x:c>
      <x:c r="Q547" s="12"/>
      <x:c r="R547" s="12"/>
      <x:c r="S547" s="11" t="n">
        <x:v>164</x:v>
      </x:c>
      <x:c r="T547" s="11"/>
    </x:row>
    <x:row r="548" ht="23" customHeight="1">
      <x:c r="A548" s="2" t="str">
        <x:v>O70194</x:v>
      </x:c>
      <x:c r="B548" s="2" t="str">
        <x:v>NED</x:v>
      </x:c>
      <x:c r="C548" s="2" t="n">
        <x:v>1</x:v>
      </x:c>
      <x:c r="D548" s="2" t="n">
        <x:v>1</x:v>
      </x:c>
      <x:c r="E548" s="10" t="n">
        <x:v>87.02669708029197</x:v>
      </x:c>
      <x:c r="F548" s="11" t="n">
        <x:v>548</x:v>
      </x:c>
      <x:c r="G548" s="11" t="n">
        <x:v>0</x:v>
      </x:c>
      <x:c r="H548" s="11" t="n">
        <x:v>0</x:v>
      </x:c>
      <x:c r="I548" s="11" t="n">
        <x:v>0</x:v>
      </x:c>
      <x:c r="J548" s="11" t="n">
        <x:v>0</x:v>
      </x:c>
      <x:c r="K548" s="11" t="n">
        <x:v>1</x:v>
      </x:c>
      <x:c r="L548" s="11" t="n">
        <x:f>IF(B548="NED",1,IF(OR(B548="ED",B548="UN"),0,""))</x:f>
        <x:v>1</x:v>
      </x:c>
      <x:c r="M548" s="11" t="n">
        <x:f>IF(AND(K548=1,OR(B548="ED",B548="NED")),1,0)</x:f>
        <x:v>1</x:v>
      </x:c>
      <x:c r="N548" s="11" t="n">
        <x:f>IF(K548=1,1,0)</x:f>
        <x:v>1</x:v>
      </x:c>
      <x:c r="O548" s="12"/>
      <x:c r="P548" s="11" t="n">
        <x:v>0</x:v>
      </x:c>
      <x:c r="Q548" s="12" t="str">
        <x:v>AF-O70194-F1-model_v6</x:v>
      </x:c>
      <x:c r="R548" s="12" t="str">
        <x:v>ok</x:v>
      </x:c>
      <x:c r="S548" s="11" t="n">
        <x:v>165</x:v>
      </x:c>
      <x:c r="T548" s="11" t="n">
        <x:v>548</x:v>
      </x:c>
    </x:row>
    <x:row r="549" ht="23" customHeight="1">
      <x:c r="A549" s="2" t="str">
        <x:v>O70251</x:v>
      </x:c>
      <x:c r="B549" s="2" t="str">
        <x:v>ED</x:v>
      </x:c>
      <x:c r="C549" s="2" t="n">
        <x:v>1</x:v>
      </x:c>
      <x:c r="D549" s="2" t="n">
        <x:v>1</x:v>
      </x:c>
      <x:c r="E549" s="10" t="n">
        <x:v>77.06431111111111</x:v>
      </x:c>
      <x:c r="F549" s="11" t="n">
        <x:v>225</x:v>
      </x:c>
      <x:c r="G549" s="11" t="n">
        <x:v>0</x:v>
      </x:c>
      <x:c r="H549" s="11" t="n">
        <x:v>0</x:v>
      </x:c>
      <x:c r="I549" s="11" t="n">
        <x:v>0</x:v>
      </x:c>
      <x:c r="J549" s="11" t="n">
        <x:v>0</x:v>
      </x:c>
      <x:c r="K549" s="11" t="n">
        <x:v>1</x:v>
      </x:c>
      <x:c r="L549" s="11" t="n">
        <x:f>IF(B549="NED",1,IF(OR(B549="ED",B549="UN"),0,""))</x:f>
        <x:v>0</x:v>
      </x:c>
      <x:c r="M549" s="11" t="n">
        <x:f>IF(AND(K549=1,OR(B549="ED",B549="NED")),1,0)</x:f>
        <x:v>1</x:v>
      </x:c>
      <x:c r="N549" s="11" t="n">
        <x:f>IF(K549=1,1,0)</x:f>
        <x:v>1</x:v>
      </x:c>
      <x:c r="O549" s="12"/>
      <x:c r="P549" s="11" t="n">
        <x:v>0</x:v>
      </x:c>
      <x:c r="Q549" s="12" t="str">
        <x:v>AF-O70251-F1-model_v6</x:v>
      </x:c>
      <x:c r="R549" s="12" t="str">
        <x:v>ok</x:v>
      </x:c>
      <x:c r="S549" s="11" t="n">
        <x:v>166</x:v>
      </x:c>
      <x:c r="T549" s="11" t="n">
        <x:v>225</x:v>
      </x:c>
    </x:row>
    <x:row r="550" ht="23" customHeight="1">
      <x:c r="A550" s="2" t="str">
        <x:v>O70252</x:v>
      </x:c>
      <x:c r="B550" s="2" t="str">
        <x:v>ED</x:v>
      </x:c>
      <x:c r="C550" s="2" t="n">
        <x:v>1</x:v>
      </x:c>
      <x:c r="D550" s="2" t="n">
        <x:v>1</x:v>
      </x:c>
      <x:c r="E550" s="10"/>
      <x:c r="F550" s="11" t="n">
        <x:v>315</x:v>
      </x:c>
      <x:c r="G550" s="11" t="n">
        <x:v>0</x:v>
      </x:c>
      <x:c r="H550" s="11" t="n">
        <x:v>0</x:v>
      </x:c>
      <x:c r="I550" s="11" t="n">
        <x:v>1</x:v>
      </x:c>
      <x:c r="J550" s="11" t="n">
        <x:v>0</x:v>
      </x:c>
      <x:c r="K550" s="11" t="n">
        <x:v>0</x:v>
      </x:c>
      <x:c r="L550" s="11" t="n">
        <x:f>IF(B550="NED",1,IF(OR(B550="ED",B550="UN"),0,""))</x:f>
        <x:v>0</x:v>
      </x:c>
      <x:c r="M550" s="11" t="n">
        <x:f>IF(AND(K550=1,OR(B550="ED",B550="NED")),1,0)</x:f>
        <x:v>0</x:v>
      </x:c>
      <x:c r="N550" s="11" t="n">
        <x:f>IF(K550=1,1,0)</x:f>
        <x:v>0</x:v>
      </x:c>
      <x:c r="O550" s="12" t="str">
        <x:v>Exclude UniProt Membrane keyword</x:v>
      </x:c>
      <x:c r="P550" s="11" t="n">
        <x:v>0</x:v>
      </x:c>
      <x:c r="Q550" s="12" t="str">
        <x:v>AF-O70252-F1-model_v6</x:v>
      </x:c>
      <x:c r="R550" s="12" t="str">
        <x:v>ok</x:v>
      </x:c>
      <x:c r="S550" s="11" t="n">
        <x:v>167</x:v>
      </x:c>
      <x:c r="T550" s="11" t="n">
        <x:v>315</x:v>
      </x:c>
    </x:row>
    <x:row r="551" ht="23" customHeight="1">
      <x:c r="A551" s="2" t="str">
        <x:v>O70306</x:v>
      </x:c>
      <x:c r="B551" s="2" t="str">
        <x:v>UN</x:v>
      </x:c>
      <x:c r="C551" s="2" t="n">
        <x:v>1</x:v>
      </x:c>
      <x:c r="D551" s="2" t="n">
        <x:v>1</x:v>
      </x:c>
      <x:c r="E551" s="10" t="n">
        <x:v>60.46448504983389</x:v>
      </x:c>
      <x:c r="F551" s="11" t="n">
        <x:v>602</x:v>
      </x:c>
      <x:c r="G551" s="11" t="n">
        <x:v>0</x:v>
      </x:c>
      <x:c r="H551" s="11" t="n">
        <x:v>0</x:v>
      </x:c>
      <x:c r="I551" s="11" t="n">
        <x:v>0</x:v>
      </x:c>
      <x:c r="J551" s="11" t="n">
        <x:v>0</x:v>
      </x:c>
      <x:c r="K551" s="11" t="n">
        <x:v>0</x:v>
      </x:c>
      <x:c r="L551" s="11" t="n">
        <x:f>IF(B551="NED",1,IF(OR(B551="ED",B551="UN"),0,""))</x:f>
        <x:v>0</x:v>
      </x:c>
      <x:c r="M551" s="11" t="n">
        <x:f>IF(AND(K551=1,OR(B551="ED",B551="NED")),1,0)</x:f>
        <x:v>0</x:v>
      </x:c>
      <x:c r="N551" s="11" t="n">
        <x:f>IF(K551=1,1,0)</x:f>
        <x:v>0</x:v>
      </x:c>
      <x:c r="O551" s="12" t="str">
        <x:v>Retain protein mean pLDDT &gt;=70</x:v>
      </x:c>
      <x:c r="P551" s="11" t="n">
        <x:v>0</x:v>
      </x:c>
      <x:c r="Q551" s="12" t="str">
        <x:v>AF-O70306-F1-model_v6</x:v>
      </x:c>
      <x:c r="R551" s="12" t="str">
        <x:v>ok</x:v>
      </x:c>
      <x:c r="S551" s="11" t="n">
        <x:v>168</x:v>
      </x:c>
      <x:c r="T551" s="11" t="n">
        <x:v>602</x:v>
      </x:c>
    </x:row>
    <x:row r="552" ht="23" customHeight="1">
      <x:c r="A552" s="2" t="str">
        <x:v>O70310</x:v>
      </x:c>
      <x:c r="B552" s="2" t="str">
        <x:v>ED</x:v>
      </x:c>
      <x:c r="C552" s="2" t="n">
        <x:v>1</x:v>
      </x:c>
      <x:c r="D552" s="2" t="n">
        <x:v>1</x:v>
      </x:c>
      <x:c r="E552" s="10"/>
      <x:c r="F552" s="11" t="n">
        <x:v>496</x:v>
      </x:c>
      <x:c r="G552" s="11" t="n">
        <x:v>0</x:v>
      </x:c>
      <x:c r="H552" s="11" t="n">
        <x:v>0</x:v>
      </x:c>
      <x:c r="I552" s="11" t="n">
        <x:v>1</x:v>
      </x:c>
      <x:c r="J552" s="11" t="n">
        <x:v>0</x:v>
      </x:c>
      <x:c r="K552" s="11" t="n">
        <x:v>0</x:v>
      </x:c>
      <x:c r="L552" s="11" t="n">
        <x:f>IF(B552="NED",1,IF(OR(B552="ED",B552="UN"),0,""))</x:f>
        <x:v>0</x:v>
      </x:c>
      <x:c r="M552" s="11" t="n">
        <x:f>IF(AND(K552=1,OR(B552="ED",B552="NED")),1,0)</x:f>
        <x:v>0</x:v>
      </x:c>
      <x:c r="N552" s="11" t="n">
        <x:f>IF(K552=1,1,0)</x:f>
        <x:v>0</x:v>
      </x:c>
      <x:c r="O552" s="12" t="str">
        <x:v>Exclude UniProt Membrane keyword</x:v>
      </x:c>
      <x:c r="P552" s="11" t="n">
        <x:v>0</x:v>
      </x:c>
      <x:c r="Q552" s="12" t="str">
        <x:v>AF-O70310-F1-model_v6</x:v>
      </x:c>
      <x:c r="R552" s="12" t="str">
        <x:v>ok</x:v>
      </x:c>
      <x:c r="S552" s="11" t="n">
        <x:v>169</x:v>
      </x:c>
      <x:c r="T552" s="11" t="n">
        <x:v>496</x:v>
      </x:c>
    </x:row>
    <x:row r="553" ht="23" customHeight="1">
      <x:c r="A553" s="2" t="str">
        <x:v>O70318</x:v>
      </x:c>
      <x:c r="B553" s="2" t="str">
        <x:v>ED</x:v>
      </x:c>
      <x:c r="C553" s="2" t="n">
        <x:v>1</x:v>
      </x:c>
      <x:c r="D553" s="2" t="n">
        <x:v>1</x:v>
      </x:c>
      <x:c r="E553" s="10"/>
      <x:c r="F553" s="11" t="n">
        <x:v>988</x:v>
      </x:c>
      <x:c r="G553" s="11" t="n">
        <x:v>0</x:v>
      </x:c>
      <x:c r="H553" s="11" t="n">
        <x:v>0</x:v>
      </x:c>
      <x:c r="I553" s="11" t="n">
        <x:v>1</x:v>
      </x:c>
      <x:c r="J553" s="11" t="n">
        <x:v>0</x:v>
      </x:c>
      <x:c r="K553" s="11" t="n">
        <x:v>0</x:v>
      </x:c>
      <x:c r="L553" s="11" t="n">
        <x:f>IF(B553="NED",1,IF(OR(B553="ED",B553="UN"),0,""))</x:f>
        <x:v>0</x:v>
      </x:c>
      <x:c r="M553" s="11" t="n">
        <x:f>IF(AND(K553=1,OR(B553="ED",B553="NED")),1,0)</x:f>
        <x:v>0</x:v>
      </x:c>
      <x:c r="N553" s="11" t="n">
        <x:f>IF(K553=1,1,0)</x:f>
        <x:v>0</x:v>
      </x:c>
      <x:c r="O553" s="12" t="str">
        <x:v>Exclude UniProt Membrane keyword</x:v>
      </x:c>
      <x:c r="P553" s="11" t="n">
        <x:v>0</x:v>
      </x:c>
      <x:c r="Q553" s="12" t="str">
        <x:v>AF-O70318-F1-model_v6</x:v>
      </x:c>
      <x:c r="R553" s="12" t="str">
        <x:v>ok</x:v>
      </x:c>
      <x:c r="S553" s="11" t="n">
        <x:v>170</x:v>
      </x:c>
      <x:c r="T553" s="11" t="n">
        <x:v>988</x:v>
      </x:c>
    </x:row>
    <x:row r="554" ht="23" customHeight="1">
      <x:c r="A554" s="2" t="str">
        <x:v>O70378</x:v>
      </x:c>
      <x:c r="B554" s="2" t="str">
        <x:v>ED</x:v>
      </x:c>
      <x:c r="C554" s="2" t="n">
        <x:v>1</x:v>
      </x:c>
      <x:c r="D554" s="2" t="n">
        <x:v>1</x:v>
      </x:c>
      <x:c r="E554" s="10"/>
      <x:c r="F554" s="11" t="n">
        <x:v>207</x:v>
      </x:c>
      <x:c r="G554" s="11" t="n">
        <x:v>0</x:v>
      </x:c>
      <x:c r="H554" s="11" t="n">
        <x:v>0</x:v>
      </x:c>
      <x:c r="I554" s="11" t="n">
        <x:v>1</x:v>
      </x:c>
      <x:c r="J554" s="11" t="n">
        <x:v>0</x:v>
      </x:c>
      <x:c r="K554" s="11" t="n">
        <x:v>0</x:v>
      </x:c>
      <x:c r="L554" s="11" t="n">
        <x:f>IF(B554="NED",1,IF(OR(B554="ED",B554="UN"),0,""))</x:f>
        <x:v>0</x:v>
      </x:c>
      <x:c r="M554" s="11" t="n">
        <x:f>IF(AND(K554=1,OR(B554="ED",B554="NED")),1,0)</x:f>
        <x:v>0</x:v>
      </x:c>
      <x:c r="N554" s="11" t="n">
        <x:f>IF(K554=1,1,0)</x:f>
        <x:v>0</x:v>
      </x:c>
      <x:c r="O554" s="12" t="str">
        <x:v>Exclude UniProt Membrane keyword</x:v>
      </x:c>
      <x:c r="P554" s="11" t="n">
        <x:v>0</x:v>
      </x:c>
      <x:c r="Q554" s="12" t="str">
        <x:v>AF-O70378-F1-model_v6</x:v>
      </x:c>
      <x:c r="R554" s="12" t="str">
        <x:v>ok</x:v>
      </x:c>
      <x:c r="S554" s="11" t="n">
        <x:v>171</x:v>
      </x:c>
      <x:c r="T554" s="11" t="n">
        <x:v>207</x:v>
      </x:c>
    </x:row>
    <x:row r="555" ht="23" customHeight="1">
      <x:c r="A555" s="2" t="str">
        <x:v>O70400</x:v>
      </x:c>
      <x:c r="B555" s="2" t="str">
        <x:v>ED</x:v>
      </x:c>
      <x:c r="C555" s="2" t="n">
        <x:v>0</x:v>
      </x:c>
      <x:c r="D555" s="2" t="n">
        <x:v>0</x:v>
      </x:c>
      <x:c r="E555" s="10" t="n">
        <x:v>69.62214067278288</x:v>
      </x:c>
      <x:c r="F555" s="11" t="n">
        <x:v>327</x:v>
      </x:c>
      <x:c r="G555" s="11" t="n">
        <x:v>0</x:v>
      </x:c>
      <x:c r="H555" s="11" t="n">
        <x:v>0</x:v>
      </x:c>
      <x:c r="I555" s="11" t="n">
        <x:v>0</x:v>
      </x:c>
      <x:c r="J555" s="11" t="n">
        <x:v>0</x:v>
      </x:c>
      <x:c r="K555" s="11" t="n">
        <x:v>0</x:v>
      </x:c>
      <x:c r="L555" s="11" t="n">
        <x:f>IF(B555="NED",1,IF(OR(B555="ED",B555="UN"),0,""))</x:f>
        <x:v>0</x:v>
      </x:c>
      <x:c r="M555" s="11" t="n">
        <x:f>IF(AND(K555=1,OR(B555="ED",B555="NED")),1,0)</x:f>
        <x:v>0</x:v>
      </x:c>
      <x:c r="N555" s="11" t="n">
        <x:f>IF(K555=1,1,0)</x:f>
        <x:v>0</x:v>
      </x:c>
      <x:c r="O555" s="12" t="str">
        <x:v>Retain protein mean pLDDT &gt;=70</x:v>
      </x:c>
      <x:c r="P555" s="11" t="n">
        <x:v>0</x:v>
      </x:c>
      <x:c r="Q555" s="12" t="str">
        <x:v>AF-O70400-F1-model_v6</x:v>
      </x:c>
      <x:c r="R555" s="12" t="str">
        <x:v>ok</x:v>
      </x:c>
      <x:c r="S555" s="11" t="n">
        <x:v>172</x:v>
      </x:c>
      <x:c r="T555" s="11" t="n">
        <x:v>327</x:v>
      </x:c>
    </x:row>
    <x:row r="556" ht="23" customHeight="1">
      <x:c r="A556" s="2" t="str">
        <x:v>O70404</x:v>
      </x:c>
      <x:c r="B556" s="2" t="str">
        <x:v>NED</x:v>
      </x:c>
      <x:c r="C556" s="2" t="n">
        <x:v>0</x:v>
      </x:c>
      <x:c r="D556" s="2" t="n">
        <x:v>0</x:v>
      </x:c>
      <x:c r="E556" s="10"/>
      <x:c r="F556" s="11" t="n">
        <x:v>101</x:v>
      </x:c>
      <x:c r="G556" s="11" t="n">
        <x:v>0</x:v>
      </x:c>
      <x:c r="H556" s="11" t="n">
        <x:v>0</x:v>
      </x:c>
      <x:c r="I556" s="11" t="n">
        <x:v>1</x:v>
      </x:c>
      <x:c r="J556" s="11" t="n">
        <x:v>0</x:v>
      </x:c>
      <x:c r="K556" s="11" t="n">
        <x:v>0</x:v>
      </x:c>
      <x:c r="L556" s="11" t="n">
        <x:f>IF(B556="NED",1,IF(OR(B556="ED",B556="UN"),0,""))</x:f>
        <x:v>1</x:v>
      </x:c>
      <x:c r="M556" s="11" t="n">
        <x:f>IF(AND(K556=1,OR(B556="ED",B556="NED")),1,0)</x:f>
        <x:v>0</x:v>
      </x:c>
      <x:c r="N556" s="11" t="n">
        <x:f>IF(K556=1,1,0)</x:f>
        <x:v>0</x:v>
      </x:c>
      <x:c r="O556" s="12" t="str">
        <x:v>Exclude UniProt Membrane keyword</x:v>
      </x:c>
      <x:c r="P556" s="11" t="n">
        <x:v>0</x:v>
      </x:c>
      <x:c r="Q556" s="12" t="str">
        <x:v>AF-O70404-F1-model_v6</x:v>
      </x:c>
      <x:c r="R556" s="12" t="str">
        <x:v>ok</x:v>
      </x:c>
      <x:c r="S556" s="11" t="n">
        <x:v>173</x:v>
      </x:c>
      <x:c r="T556" s="11" t="n">
        <x:v>101</x:v>
      </x:c>
    </x:row>
    <x:row r="557" ht="23" customHeight="1">
      <x:c r="A557" s="2" t="str">
        <x:v>O70433</x:v>
      </x:c>
      <x:c r="B557" s="2" t="str">
        <x:v>ED</x:v>
      </x:c>
      <x:c r="C557" s="2" t="n">
        <x:v>0</x:v>
      </x:c>
      <x:c r="D557" s="2" t="n">
        <x:v>0</x:v>
      </x:c>
      <x:c r="E557" s="10" t="n">
        <x:v>91.87620071684589</x:v>
      </x:c>
      <x:c r="F557" s="11" t="n">
        <x:v>279</x:v>
      </x:c>
      <x:c r="G557" s="11" t="n">
        <x:v>0</x:v>
      </x:c>
      <x:c r="H557" s="11" t="n">
        <x:v>0</x:v>
      </x:c>
      <x:c r="I557" s="11" t="n">
        <x:v>0</x:v>
      </x:c>
      <x:c r="J557" s="11" t="n">
        <x:v>0</x:v>
      </x:c>
      <x:c r="K557" s="11" t="n">
        <x:v>1</x:v>
      </x:c>
      <x:c r="L557" s="11" t="n">
        <x:f>IF(B557="NED",1,IF(OR(B557="ED",B557="UN"),0,""))</x:f>
        <x:v>0</x:v>
      </x:c>
      <x:c r="M557" s="11" t="n">
        <x:f>IF(AND(K557=1,OR(B557="ED",B557="NED")),1,0)</x:f>
        <x:v>1</x:v>
      </x:c>
      <x:c r="N557" s="11" t="n">
        <x:f>IF(K557=1,1,0)</x:f>
        <x:v>1</x:v>
      </x:c>
      <x:c r="O557" s="12"/>
      <x:c r="P557" s="11" t="n">
        <x:v>0</x:v>
      </x:c>
      <x:c r="Q557" s="12" t="str">
        <x:v>AF-O70433-F1-model_v6</x:v>
      </x:c>
      <x:c r="R557" s="12" t="str">
        <x:v>ok</x:v>
      </x:c>
      <x:c r="S557" s="11" t="n">
        <x:v>174</x:v>
      </x:c>
      <x:c r="T557" s="11" t="n">
        <x:v>279</x:v>
      </x:c>
    </x:row>
    <x:row r="558" ht="23" customHeight="1">
      <x:c r="A558" s="2" t="str">
        <x:v>O70435</x:v>
      </x:c>
      <x:c r="B558" s="2" t="str">
        <x:v>ED</x:v>
      </x:c>
      <x:c r="C558" s="2" t="n">
        <x:v>1</x:v>
      </x:c>
      <x:c r="D558" s="2" t="n">
        <x:v>1</x:v>
      </x:c>
      <x:c r="E558" s="10" t="n">
        <x:v>95.393568627451</x:v>
      </x:c>
      <x:c r="F558" s="11" t="n">
        <x:v>255</x:v>
      </x:c>
      <x:c r="G558" s="11" t="n">
        <x:v>0</x:v>
      </x:c>
      <x:c r="H558" s="11" t="n">
        <x:v>0</x:v>
      </x:c>
      <x:c r="I558" s="11" t="n">
        <x:v>0</x:v>
      </x:c>
      <x:c r="J558" s="11" t="n">
        <x:v>0</x:v>
      </x:c>
      <x:c r="K558" s="11" t="n">
        <x:v>1</x:v>
      </x:c>
      <x:c r="L558" s="11" t="n">
        <x:f>IF(B558="NED",1,IF(OR(B558="ED",B558="UN"),0,""))</x:f>
        <x:v>0</x:v>
      </x:c>
      <x:c r="M558" s="11" t="n">
        <x:f>IF(AND(K558=1,OR(B558="ED",B558="NED")),1,0)</x:f>
        <x:v>1</x:v>
      </x:c>
      <x:c r="N558" s="11" t="n">
        <x:f>IF(K558=1,1,0)</x:f>
        <x:v>1</x:v>
      </x:c>
      <x:c r="O558" s="12"/>
      <x:c r="P558" s="11" t="n">
        <x:v>0</x:v>
      </x:c>
      <x:c r="Q558" s="12" t="str">
        <x:v>AF-O70435-F1-model_v6</x:v>
      </x:c>
      <x:c r="R558" s="12" t="str">
        <x:v>ok</x:v>
      </x:c>
      <x:c r="S558" s="11" t="n">
        <x:v>175</x:v>
      </x:c>
      <x:c r="T558" s="11" t="n">
        <x:v>255</x:v>
      </x:c>
    </x:row>
    <x:row r="559" ht="23" customHeight="1">
      <x:c r="A559" s="2" t="str">
        <x:v>O70475</x:v>
      </x:c>
      <x:c r="B559" s="2" t="str">
        <x:v>ED</x:v>
      </x:c>
      <x:c r="C559" s="2" t="n">
        <x:v>1</x:v>
      </x:c>
      <x:c r="D559" s="2" t="n">
        <x:v>1</x:v>
      </x:c>
      <x:c r="E559" s="10" t="n">
        <x:v>93.8723326572008</x:v>
      </x:c>
      <x:c r="F559" s="11" t="n">
        <x:v>493</x:v>
      </x:c>
      <x:c r="G559" s="11" t="n">
        <x:v>0</x:v>
      </x:c>
      <x:c r="H559" s="11" t="n">
        <x:v>0</x:v>
      </x:c>
      <x:c r="I559" s="11" t="n">
        <x:v>0</x:v>
      </x:c>
      <x:c r="J559" s="11" t="n">
        <x:v>0</x:v>
      </x:c>
      <x:c r="K559" s="11" t="n">
        <x:v>1</x:v>
      </x:c>
      <x:c r="L559" s="11" t="n">
        <x:f>IF(B559="NED",1,IF(OR(B559="ED",B559="UN"),0,""))</x:f>
        <x:v>0</x:v>
      </x:c>
      <x:c r="M559" s="11" t="n">
        <x:f>IF(AND(K559=1,OR(B559="ED",B559="NED")),1,0)</x:f>
        <x:v>1</x:v>
      </x:c>
      <x:c r="N559" s="11" t="n">
        <x:f>IF(K559=1,1,0)</x:f>
        <x:v>1</x:v>
      </x:c>
      <x:c r="O559" s="12"/>
      <x:c r="P559" s="11" t="n">
        <x:v>0</x:v>
      </x:c>
      <x:c r="Q559" s="12" t="str">
        <x:v>AF-O70475-F1-model_v6</x:v>
      </x:c>
      <x:c r="R559" s="12" t="str">
        <x:v>ok</x:v>
      </x:c>
      <x:c r="S559" s="11" t="n">
        <x:v>176</x:v>
      </x:c>
      <x:c r="T559" s="11" t="n">
        <x:v>493</x:v>
      </x:c>
    </x:row>
    <x:row r="560" ht="23" customHeight="1">
      <x:c r="A560" s="2" t="str">
        <x:v>O70481</x:v>
      </x:c>
      <x:c r="B560" s="2" t="str">
        <x:v>UN</x:v>
      </x:c>
      <x:c r="C560" s="2" t="n">
        <x:v>1</x:v>
      </x:c>
      <x:c r="D560" s="2" t="n">
        <x:v>1</x:v>
      </x:c>
      <x:c r="E560" s="10" t="n">
        <x:v>84.10179282868526</x:v>
      </x:c>
      <x:c r="F560" s="11" t="n">
        <x:v>1757</x:v>
      </x:c>
      <x:c r="G560" s="11" t="n">
        <x:v>0</x:v>
      </x:c>
      <x:c r="H560" s="11" t="n">
        <x:v>0</x:v>
      </x:c>
      <x:c r="I560" s="11" t="n">
        <x:v>0</x:v>
      </x:c>
      <x:c r="J560" s="11" t="n">
        <x:v>0</x:v>
      </x:c>
      <x:c r="K560" s="11" t="n">
        <x:v>1</x:v>
      </x:c>
      <x:c r="L560" s="11" t="n">
        <x:f>IF(B560="NED",1,IF(OR(B560="ED",B560="UN"),0,""))</x:f>
        <x:v>0</x:v>
      </x:c>
      <x:c r="M560" s="11" t="n">
        <x:f>IF(AND(K560=1,OR(B560="ED",B560="NED")),1,0)</x:f>
        <x:v>0</x:v>
      </x:c>
      <x:c r="N560" s="11" t="n">
        <x:f>IF(K560=1,1,0)</x:f>
        <x:v>1</x:v>
      </x:c>
      <x:c r="O560" s="12"/>
      <x:c r="P560" s="11" t="n">
        <x:v>0</x:v>
      </x:c>
      <x:c r="Q560" s="12" t="str">
        <x:v>AF-O70481-F1-model_v6</x:v>
      </x:c>
      <x:c r="R560" s="12" t="str">
        <x:v>ok</x:v>
      </x:c>
      <x:c r="S560" s="11" t="n">
        <x:v>177</x:v>
      </x:c>
      <x:c r="T560" s="11" t="n">
        <x:v>1757</x:v>
      </x:c>
    </x:row>
    <x:row r="561" ht="23" customHeight="1">
      <x:c r="A561" s="2" t="str">
        <x:v>O70503</x:v>
      </x:c>
      <x:c r="B561" s="2" t="str">
        <x:v>UN</x:v>
      </x:c>
      <x:c r="C561" s="2" t="n">
        <x:v>1</x:v>
      </x:c>
      <x:c r="D561" s="2" t="n">
        <x:v>1</x:v>
      </x:c>
      <x:c r="E561" s="10"/>
      <x:c r="F561" s="11" t="n">
        <x:v>312</x:v>
      </x:c>
      <x:c r="G561" s="11" t="n">
        <x:v>0</x:v>
      </x:c>
      <x:c r="H561" s="11" t="n">
        <x:v>0</x:v>
      </x:c>
      <x:c r="I561" s="11" t="n">
        <x:v>1</x:v>
      </x:c>
      <x:c r="J561" s="11" t="n">
        <x:v>0</x:v>
      </x:c>
      <x:c r="K561" s="11" t="n">
        <x:v>0</x:v>
      </x:c>
      <x:c r="L561" s="11" t="n">
        <x:f>IF(B561="NED",1,IF(OR(B561="ED",B561="UN"),0,""))</x:f>
        <x:v>0</x:v>
      </x:c>
      <x:c r="M561" s="11" t="n">
        <x:f>IF(AND(K561=1,OR(B561="ED",B561="NED")),1,0)</x:f>
        <x:v>0</x:v>
      </x:c>
      <x:c r="N561" s="11" t="n">
        <x:f>IF(K561=1,1,0)</x:f>
        <x:v>0</x:v>
      </x:c>
      <x:c r="O561" s="12" t="str">
        <x:v>Exclude UniProt Membrane keyword</x:v>
      </x:c>
      <x:c r="P561" s="11" t="n">
        <x:v>0</x:v>
      </x:c>
      <x:c r="Q561" s="12" t="str">
        <x:v>AF-O70503-F1-model_v6</x:v>
      </x:c>
      <x:c r="R561" s="12" t="str">
        <x:v>ok</x:v>
      </x:c>
      <x:c r="S561" s="11" t="n">
        <x:v>178</x:v>
      </x:c>
      <x:c r="T561" s="11" t="n">
        <x:v>312</x:v>
      </x:c>
    </x:row>
    <x:row r="562" ht="23" customHeight="1">
      <x:c r="A562" s="2" t="str">
        <x:v>O70551</x:v>
      </x:c>
      <x:c r="B562" s="2" t="str">
        <x:v>UN</x:v>
      </x:c>
      <x:c r="C562" s="2" t="n">
        <x:v>1</x:v>
      </x:c>
      <x:c r="D562" s="2" t="n">
        <x:v>1</x:v>
      </x:c>
      <x:c r="E562" s="10" t="n">
        <x:v>71.15765432098766</x:v>
      </x:c>
      <x:c r="F562" s="11" t="n">
        <x:v>648</x:v>
      </x:c>
      <x:c r="G562" s="11" t="n">
        <x:v>0</x:v>
      </x:c>
      <x:c r="H562" s="11" t="n">
        <x:v>0</x:v>
      </x:c>
      <x:c r="I562" s="11" t="n">
        <x:v>0</x:v>
      </x:c>
      <x:c r="J562" s="11" t="n">
        <x:v>0</x:v>
      </x:c>
      <x:c r="K562" s="11" t="n">
        <x:v>1</x:v>
      </x:c>
      <x:c r="L562" s="11" t="n">
        <x:f>IF(B562="NED",1,IF(OR(B562="ED",B562="UN"),0,""))</x:f>
        <x:v>0</x:v>
      </x:c>
      <x:c r="M562" s="11" t="n">
        <x:f>IF(AND(K562=1,OR(B562="ED",B562="NED")),1,0)</x:f>
        <x:v>0</x:v>
      </x:c>
      <x:c r="N562" s="11" t="n">
        <x:f>IF(K562=1,1,0)</x:f>
        <x:v>1</x:v>
      </x:c>
      <x:c r="O562" s="12"/>
      <x:c r="P562" s="11" t="n">
        <x:v>0</x:v>
      </x:c>
      <x:c r="Q562" s="12" t="str">
        <x:v>AF-O70551-F1-model_v6</x:v>
      </x:c>
      <x:c r="R562" s="12" t="str">
        <x:v>ok</x:v>
      </x:c>
      <x:c r="S562" s="11" t="n">
        <x:v>179</x:v>
      </x:c>
      <x:c r="T562" s="11" t="n">
        <x:v>648</x:v>
      </x:c>
    </x:row>
    <x:row r="563" ht="23" customHeight="1">
      <x:c r="A563" s="2" t="str">
        <x:v>O70572</x:v>
      </x:c>
      <x:c r="B563" s="2" t="str">
        <x:v>UN</x:v>
      </x:c>
      <x:c r="C563" s="2" t="n">
        <x:v>1</x:v>
      </x:c>
      <x:c r="D563" s="2" t="n">
        <x:v>1</x:v>
      </x:c>
      <x:c r="E563" s="10"/>
      <x:c r="F563" s="11" t="n">
        <x:v>419</x:v>
      </x:c>
      <x:c r="G563" s="11" t="n">
        <x:v>0</x:v>
      </x:c>
      <x:c r="H563" s="11" t="n">
        <x:v>0</x:v>
      </x:c>
      <x:c r="I563" s="11" t="n">
        <x:v>1</x:v>
      </x:c>
      <x:c r="J563" s="11" t="n">
        <x:v>0</x:v>
      </x:c>
      <x:c r="K563" s="11" t="n">
        <x:v>0</x:v>
      </x:c>
      <x:c r="L563" s="11" t="n">
        <x:f>IF(B563="NED",1,IF(OR(B563="ED",B563="UN"),0,""))</x:f>
        <x:v>0</x:v>
      </x:c>
      <x:c r="M563" s="11" t="n">
        <x:f>IF(AND(K563=1,OR(B563="ED",B563="NED")),1,0)</x:f>
        <x:v>0</x:v>
      </x:c>
      <x:c r="N563" s="11" t="n">
        <x:f>IF(K563=1,1,0)</x:f>
        <x:v>0</x:v>
      </x:c>
      <x:c r="O563" s="12" t="str">
        <x:v>Exclude UniProt Membrane keyword</x:v>
      </x:c>
      <x:c r="P563" s="11" t="n">
        <x:v>0</x:v>
      </x:c>
      <x:c r="Q563" s="12" t="str">
        <x:v>AF-O70572-F1-model_v6</x:v>
      </x:c>
      <x:c r="R563" s="12" t="str">
        <x:v>ok</x:v>
      </x:c>
      <x:c r="S563" s="11" t="n">
        <x:v>180</x:v>
      </x:c>
      <x:c r="T563" s="11" t="n">
        <x:v>419</x:v>
      </x:c>
    </x:row>
    <x:row r="564" ht="23" customHeight="1">
      <x:c r="A564" s="2" t="str">
        <x:v>O70579</x:v>
      </x:c>
      <x:c r="B564" s="2" t="str">
        <x:v>UN</x:v>
      </x:c>
      <x:c r="C564" s="2" t="n">
        <x:v>0</x:v>
      </x:c>
      <x:c r="D564" s="2" t="n">
        <x:v>0</x:v>
      </x:c>
      <x:c r="E564" s="10"/>
      <x:c r="F564" s="11" t="n">
        <x:v>307</x:v>
      </x:c>
      <x:c r="G564" s="11" t="n">
        <x:v>0</x:v>
      </x:c>
      <x:c r="H564" s="11" t="n">
        <x:v>0</x:v>
      </x:c>
      <x:c r="I564" s="11" t="n">
        <x:v>1</x:v>
      </x:c>
      <x:c r="J564" s="11" t="n">
        <x:v>0</x:v>
      </x:c>
      <x:c r="K564" s="11" t="n">
        <x:v>0</x:v>
      </x:c>
      <x:c r="L564" s="11" t="n">
        <x:f>IF(B564="NED",1,IF(OR(B564="ED",B564="UN"),0,""))</x:f>
        <x:v>0</x:v>
      </x:c>
      <x:c r="M564" s="11" t="n">
        <x:f>IF(AND(K564=1,OR(B564="ED",B564="NED")),1,0)</x:f>
        <x:v>0</x:v>
      </x:c>
      <x:c r="N564" s="11" t="n">
        <x:f>IF(K564=1,1,0)</x:f>
        <x:v>0</x:v>
      </x:c>
      <x:c r="O564" s="12" t="str">
        <x:v>Exclude UniProt Membrane keyword</x:v>
      </x:c>
      <x:c r="P564" s="11" t="n">
        <x:v>0</x:v>
      </x:c>
      <x:c r="Q564" s="12" t="str">
        <x:v>AF-O70579-F1-model_v6</x:v>
      </x:c>
      <x:c r="R564" s="12" t="str">
        <x:v>ok</x:v>
      </x:c>
      <x:c r="S564" s="11" t="n">
        <x:v>181</x:v>
      </x:c>
      <x:c r="T564" s="11" t="n">
        <x:v>307</x:v>
      </x:c>
    </x:row>
    <x:row r="565" ht="23" customHeight="1">
      <x:c r="A565" s="2" t="str">
        <x:v>O70591</x:v>
      </x:c>
      <x:c r="B565" s="2" t="str">
        <x:v>ED</x:v>
      </x:c>
      <x:c r="C565" s="2" t="n">
        <x:v>0</x:v>
      </x:c>
      <x:c r="D565" s="2" t="n">
        <x:v>0</x:v>
      </x:c>
      <x:c r="E565" s="10" t="n">
        <x:v>79.4875974025974</x:v>
      </x:c>
      <x:c r="F565" s="11" t="n">
        <x:v>154</x:v>
      </x:c>
      <x:c r="G565" s="11" t="n">
        <x:v>0</x:v>
      </x:c>
      <x:c r="H565" s="11" t="n">
        <x:v>0</x:v>
      </x:c>
      <x:c r="I565" s="11" t="n">
        <x:v>0</x:v>
      </x:c>
      <x:c r="J565" s="11" t="n">
        <x:v>0</x:v>
      </x:c>
      <x:c r="K565" s="11" t="n">
        <x:v>1</x:v>
      </x:c>
      <x:c r="L565" s="11" t="n">
        <x:f>IF(B565="NED",1,IF(OR(B565="ED",B565="UN"),0,""))</x:f>
        <x:v>0</x:v>
      </x:c>
      <x:c r="M565" s="11" t="n">
        <x:f>IF(AND(K565=1,OR(B565="ED",B565="NED")),1,0)</x:f>
        <x:v>1</x:v>
      </x:c>
      <x:c r="N565" s="11" t="n">
        <x:f>IF(K565=1,1,0)</x:f>
        <x:v>1</x:v>
      </x:c>
      <x:c r="O565" s="12"/>
      <x:c r="P565" s="11" t="n">
        <x:v>0</x:v>
      </x:c>
      <x:c r="Q565" s="12" t="str">
        <x:v>AF-O70591-F1-model_v6</x:v>
      </x:c>
      <x:c r="R565" s="12" t="str">
        <x:v>ok</x:v>
      </x:c>
      <x:c r="S565" s="11" t="n">
        <x:v>182</x:v>
      </x:c>
      <x:c r="T565" s="11" t="n">
        <x:v>154</x:v>
      </x:c>
    </x:row>
    <x:row r="566" ht="23" customHeight="1">
      <x:c r="A566" s="2" t="str">
        <x:v>O88271</x:v>
      </x:c>
      <x:c r="B566" s="2" t="str">
        <x:v>ED</x:v>
      </x:c>
      <x:c r="C566" s="2" t="n">
        <x:v>0</x:v>
      </x:c>
      <x:c r="D566" s="2" t="n">
        <x:v>0</x:v>
      </x:c>
      <x:c r="E566" s="10" t="n">
        <x:v>64.57386440677966</x:v>
      </x:c>
      <x:c r="F566" s="11" t="n">
        <x:v>295</x:v>
      </x:c>
      <x:c r="G566" s="11" t="n">
        <x:v>0</x:v>
      </x:c>
      <x:c r="H566" s="11" t="n">
        <x:v>0</x:v>
      </x:c>
      <x:c r="I566" s="11" t="n">
        <x:v>0</x:v>
      </x:c>
      <x:c r="J566" s="11" t="n">
        <x:v>0</x:v>
      </x:c>
      <x:c r="K566" s="11" t="n">
        <x:v>0</x:v>
      </x:c>
      <x:c r="L566" s="11" t="n">
        <x:f>IF(B566="NED",1,IF(OR(B566="ED",B566="UN"),0,""))</x:f>
        <x:v>0</x:v>
      </x:c>
      <x:c r="M566" s="11" t="n">
        <x:f>IF(AND(K566=1,OR(B566="ED",B566="NED")),1,0)</x:f>
        <x:v>0</x:v>
      </x:c>
      <x:c r="N566" s="11" t="n">
        <x:f>IF(K566=1,1,0)</x:f>
        <x:v>0</x:v>
      </x:c>
      <x:c r="O566" s="12" t="str">
        <x:v>Retain protein mean pLDDT &gt;=70</x:v>
      </x:c>
      <x:c r="P566" s="11" t="n">
        <x:v>0</x:v>
      </x:c>
      <x:c r="Q566" s="12" t="str">
        <x:v>AF-O88271-F1-model_v6</x:v>
      </x:c>
      <x:c r="R566" s="12" t="str">
        <x:v>ok</x:v>
      </x:c>
      <x:c r="S566" s="11" t="n">
        <x:v>183</x:v>
      </x:c>
      <x:c r="T566" s="11" t="n">
        <x:v>295</x:v>
      </x:c>
    </x:row>
    <x:row r="567" ht="23" customHeight="1">
      <x:c r="A567" s="2" t="str">
        <x:v>O88291</x:v>
      </x:c>
      <x:c r="B567" s="2" t="str">
        <x:v>ED</x:v>
      </x:c>
      <x:c r="C567" s="2" t="n">
        <x:v>1</x:v>
      </x:c>
      <x:c r="D567" s="2" t="n">
        <x:v>1</x:v>
      </x:c>
      <x:c r="E567" s="10" t="n">
        <x:v>53.802103448275865</x:v>
      </x:c>
      <x:c r="F567" s="11" t="n">
        <x:v>580</x:v>
      </x:c>
      <x:c r="G567" s="11" t="n">
        <x:v>0</x:v>
      </x:c>
      <x:c r="H567" s="11" t="n">
        <x:v>0</x:v>
      </x:c>
      <x:c r="I567" s="11" t="n">
        <x:v>0</x:v>
      </x:c>
      <x:c r="J567" s="11" t="n">
        <x:v>0</x:v>
      </x:c>
      <x:c r="K567" s="11" t="n">
        <x:v>0</x:v>
      </x:c>
      <x:c r="L567" s="11" t="n">
        <x:f>IF(B567="NED",1,IF(OR(B567="ED",B567="UN"),0,""))</x:f>
        <x:v>0</x:v>
      </x:c>
      <x:c r="M567" s="11" t="n">
        <x:f>IF(AND(K567=1,OR(B567="ED",B567="NED")),1,0)</x:f>
        <x:v>0</x:v>
      </x:c>
      <x:c r="N567" s="11" t="n">
        <x:f>IF(K567=1,1,0)</x:f>
        <x:v>0</x:v>
      </x:c>
      <x:c r="O567" s="12" t="str">
        <x:v>Retain protein mean pLDDT &gt;=70</x:v>
      </x:c>
      <x:c r="P567" s="11" t="n">
        <x:v>0</x:v>
      </x:c>
      <x:c r="Q567" s="12" t="str">
        <x:v>AF-O88291-F1-model_v6</x:v>
      </x:c>
      <x:c r="R567" s="12" t="str">
        <x:v>ok</x:v>
      </x:c>
      <x:c r="S567" s="11" t="n">
        <x:v>184</x:v>
      </x:c>
      <x:c r="T567" s="11" t="n">
        <x:v>580</x:v>
      </x:c>
    </x:row>
    <x:row r="568" ht="23" customHeight="1">
      <x:c r="A568" s="2" t="str">
        <x:v>O88342</x:v>
      </x:c>
      <x:c r="B568" s="2" t="str">
        <x:v>ED</x:v>
      </x:c>
      <x:c r="C568" s="2" t="n">
        <x:v>1</x:v>
      </x:c>
      <x:c r="D568" s="2" t="n">
        <x:v>1</x:v>
      </x:c>
      <x:c r="E568" s="10" t="n">
        <x:v>96.55869636963696</x:v>
      </x:c>
      <x:c r="F568" s="11" t="n">
        <x:v>606</x:v>
      </x:c>
      <x:c r="G568" s="11" t="n">
        <x:v>0</x:v>
      </x:c>
      <x:c r="H568" s="11" t="n">
        <x:v>0</x:v>
      </x:c>
      <x:c r="I568" s="11" t="n">
        <x:v>0</x:v>
      </x:c>
      <x:c r="J568" s="11" t="n">
        <x:v>0</x:v>
      </x:c>
      <x:c r="K568" s="11" t="n">
        <x:v>1</x:v>
      </x:c>
      <x:c r="L568" s="11" t="n">
        <x:f>IF(B568="NED",1,IF(OR(B568="ED",B568="UN"),0,""))</x:f>
        <x:v>0</x:v>
      </x:c>
      <x:c r="M568" s="11" t="n">
        <x:f>IF(AND(K568=1,OR(B568="ED",B568="NED")),1,0)</x:f>
        <x:v>1</x:v>
      </x:c>
      <x:c r="N568" s="11" t="n">
        <x:f>IF(K568=1,1,0)</x:f>
        <x:v>1</x:v>
      </x:c>
      <x:c r="O568" s="12"/>
      <x:c r="P568" s="11" t="n">
        <x:v>0</x:v>
      </x:c>
      <x:c r="Q568" s="12" t="str">
        <x:v>AF-O88342-F1-model_v6</x:v>
      </x:c>
      <x:c r="R568" s="12" t="str">
        <x:v>ok</x:v>
      </x:c>
      <x:c r="S568" s="11" t="n">
        <x:v>185</x:v>
      </x:c>
      <x:c r="T568" s="11" t="n">
        <x:v>606</x:v>
      </x:c>
    </x:row>
    <x:row r="569" ht="23" customHeight="1">
      <x:c r="A569" s="2" t="str">
        <x:v>O88374</x:v>
      </x:c>
      <x:c r="B569" s="2" t="str">
        <x:v>ED</x:v>
      </x:c>
      <x:c r="C569" s="2"/>
      <x:c r="D569" s="2"/>
      <x:c r="E569" s="10"/>
      <x:c r="F569" s="11"/>
      <x:c r="G569" s="11" t="n">
        <x:v>0</x:v>
      </x:c>
      <x:c r="H569" s="11" t="n">
        <x:v>0</x:v>
      </x:c>
      <x:c r="I569" s="11" t="n">
        <x:v>0</x:v>
      </x:c>
      <x:c r="J569" s="11" t="n">
        <x:v>0</x:v>
      </x:c>
      <x:c r="K569" s="11" t="n">
        <x:v>0</x:v>
      </x:c>
      <x:c r="L569" s="11" t="n">
        <x:f>IF(B569="NED",1,IF(OR(B569="ED",B569="UN"),0,""))</x:f>
        <x:v>0</x:v>
      </x:c>
      <x:c r="M569" s="11" t="n">
        <x:f>IF(AND(K569=1,OR(B569="ED",B569="NED")),1,0)</x:f>
        <x:v>0</x:v>
      </x:c>
      <x:c r="N569" s="11" t="n">
        <x:f>IF(K569=1,1,0)</x:f>
        <x:v>0</x:v>
      </x:c>
      <x:c r="O569" s="12" t="str">
        <x:v>Require exact native accession match</x:v>
      </x:c>
      <x:c r="P569" s="11" t="n">
        <x:v>0</x:v>
      </x:c>
      <x:c r="Q569" s="12"/>
      <x:c r="R569" s="12"/>
      <x:c r="S569" s="11" t="n">
        <x:v>3126</x:v>
      </x:c>
      <x:c r="T569" s="11" t="n">
        <x:v>353</x:v>
      </x:c>
    </x:row>
    <x:row r="570" ht="23" customHeight="1">
      <x:c r="A570" s="2" t="str">
        <x:v>O88413</x:v>
      </x:c>
      <x:c r="B570" s="2" t="str">
        <x:v>UN</x:v>
      </x:c>
      <x:c r="C570" s="2" t="n">
        <x:v>1</x:v>
      </x:c>
      <x:c r="D570" s="2" t="n">
        <x:v>1</x:v>
      </x:c>
      <x:c r="E570" s="10"/>
      <x:c r="F570" s="11" t="n">
        <x:v>460</x:v>
      </x:c>
      <x:c r="G570" s="11" t="n">
        <x:v>0</x:v>
      </x:c>
      <x:c r="H570" s="11" t="n">
        <x:v>0</x:v>
      </x:c>
      <x:c r="I570" s="11" t="n">
        <x:v>1</x:v>
      </x:c>
      <x:c r="J570" s="11" t="n">
        <x:v>1</x:v>
      </x:c>
      <x:c r="K570" s="11" t="n">
        <x:v>0</x:v>
      </x:c>
      <x:c r="L570" s="11" t="n">
        <x:f>IF(B570="NED",1,IF(OR(B570="ED",B570="UN"),0,""))</x:f>
        <x:v>0</x:v>
      </x:c>
      <x:c r="M570" s="11" t="n">
        <x:f>IF(AND(K570=1,OR(B570="ED",B570="NED")),1,0)</x:f>
        <x:v>0</x:v>
      </x:c>
      <x:c r="N570" s="11" t="n">
        <x:f>IF(K570=1,1,0)</x:f>
        <x:v>0</x:v>
      </x:c>
      <x:c r="O570" s="12" t="str">
        <x:v>Exclude UniProt Membrane keyword</x:v>
      </x:c>
      <x:c r="P570" s="11" t="n">
        <x:v>0</x:v>
      </x:c>
      <x:c r="Q570" s="12" t="str">
        <x:v>AF-O88413-F1-model_v6</x:v>
      </x:c>
      <x:c r="R570" s="12" t="str">
        <x:v>ok</x:v>
      </x:c>
      <x:c r="S570" s="11" t="n">
        <x:v>186</x:v>
      </x:c>
      <x:c r="T570" s="11" t="n">
        <x:v>460</x:v>
      </x:c>
    </x:row>
    <x:row r="571" ht="23" customHeight="1">
      <x:c r="A571" s="2" t="str">
        <x:v>O88428</x:v>
      </x:c>
      <x:c r="B571" s="2" t="str">
        <x:v>ED</x:v>
      </x:c>
      <x:c r="C571" s="2" t="n">
        <x:v>1</x:v>
      </x:c>
      <x:c r="D571" s="2" t="n">
        <x:v>1</x:v>
      </x:c>
      <x:c r="E571" s="10" t="n">
        <x:v>91.30043478260868</x:v>
      </x:c>
      <x:c r="F571" s="11" t="n">
        <x:v>621</x:v>
      </x:c>
      <x:c r="G571" s="11" t="n">
        <x:v>0</x:v>
      </x:c>
      <x:c r="H571" s="11" t="n">
        <x:v>0</x:v>
      </x:c>
      <x:c r="I571" s="11" t="n">
        <x:v>0</x:v>
      </x:c>
      <x:c r="J571" s="11" t="n">
        <x:v>0</x:v>
      </x:c>
      <x:c r="K571" s="11" t="n">
        <x:v>1</x:v>
      </x:c>
      <x:c r="L571" s="11" t="n">
        <x:f>IF(B571="NED",1,IF(OR(B571="ED",B571="UN"),0,""))</x:f>
        <x:v>0</x:v>
      </x:c>
      <x:c r="M571" s="11" t="n">
        <x:f>IF(AND(K571=1,OR(B571="ED",B571="NED")),1,0)</x:f>
        <x:v>1</x:v>
      </x:c>
      <x:c r="N571" s="11" t="n">
        <x:f>IF(K571=1,1,0)</x:f>
        <x:v>1</x:v>
      </x:c>
      <x:c r="O571" s="12"/>
      <x:c r="P571" s="11" t="n">
        <x:v>0</x:v>
      </x:c>
      <x:c r="Q571" s="12" t="str">
        <x:v>AF-O88428-F1-model_v6</x:v>
      </x:c>
      <x:c r="R571" s="12" t="str">
        <x:v>ok</x:v>
      </x:c>
      <x:c r="S571" s="11" t="n">
        <x:v>187</x:v>
      </x:c>
      <x:c r="T571" s="11" t="n">
        <x:v>621</x:v>
      </x:c>
    </x:row>
    <x:row r="572" ht="23" customHeight="1">
      <x:c r="A572" s="2" t="str">
        <x:v>O88441</x:v>
      </x:c>
      <x:c r="B572" s="2" t="str">
        <x:v>UN</x:v>
      </x:c>
      <x:c r="C572" s="2" t="n">
        <x:v>1</x:v>
      </x:c>
      <x:c r="D572" s="2" t="n">
        <x:v>1</x:v>
      </x:c>
      <x:c r="E572" s="10"/>
      <x:c r="F572" s="11" t="n">
        <x:v>263</x:v>
      </x:c>
      <x:c r="G572" s="11" t="n">
        <x:v>0</x:v>
      </x:c>
      <x:c r="H572" s="11" t="n">
        <x:v>0</x:v>
      </x:c>
      <x:c r="I572" s="11" t="n">
        <x:v>1</x:v>
      </x:c>
      <x:c r="J572" s="11" t="n">
        <x:v>0</x:v>
      </x:c>
      <x:c r="K572" s="11" t="n">
        <x:v>0</x:v>
      </x:c>
      <x:c r="L572" s="11" t="n">
        <x:f>IF(B572="NED",1,IF(OR(B572="ED",B572="UN"),0,""))</x:f>
        <x:v>0</x:v>
      </x:c>
      <x:c r="M572" s="11" t="n">
        <x:f>IF(AND(K572=1,OR(B572="ED",B572="NED")),1,0)</x:f>
        <x:v>0</x:v>
      </x:c>
      <x:c r="N572" s="11" t="n">
        <x:f>IF(K572=1,1,0)</x:f>
        <x:v>0</x:v>
      </x:c>
      <x:c r="O572" s="12" t="str">
        <x:v>Exclude UniProt Membrane keyword</x:v>
      </x:c>
      <x:c r="P572" s="11" t="n">
        <x:v>0</x:v>
      </x:c>
      <x:c r="Q572" s="12" t="str">
        <x:v>AF-O88441-F1-model_v6</x:v>
      </x:c>
      <x:c r="R572" s="12" t="str">
        <x:v>ok</x:v>
      </x:c>
      <x:c r="S572" s="11" t="n">
        <x:v>188</x:v>
      </x:c>
      <x:c r="T572" s="11" t="n">
        <x:v>263</x:v>
      </x:c>
    </x:row>
    <x:row r="573" ht="23" customHeight="1">
      <x:c r="A573" s="2" t="str">
        <x:v>O88477</x:v>
      </x:c>
      <x:c r="B573" s="2" t="str">
        <x:v>ED</x:v>
      </x:c>
      <x:c r="C573" s="2" t="n">
        <x:v>1</x:v>
      </x:c>
      <x:c r="D573" s="2" t="n">
        <x:v>1</x:v>
      </x:c>
      <x:c r="E573" s="10" t="n">
        <x:v>77.49088388214905</x:v>
      </x:c>
      <x:c r="F573" s="11" t="n">
        <x:v>577</x:v>
      </x:c>
      <x:c r="G573" s="11" t="n">
        <x:v>0</x:v>
      </x:c>
      <x:c r="H573" s="11" t="n">
        <x:v>0</x:v>
      </x:c>
      <x:c r="I573" s="11" t="n">
        <x:v>0</x:v>
      </x:c>
      <x:c r="J573" s="11" t="n">
        <x:v>0</x:v>
      </x:c>
      <x:c r="K573" s="11" t="n">
        <x:v>1</x:v>
      </x:c>
      <x:c r="L573" s="11" t="n">
        <x:f>IF(B573="NED",1,IF(OR(B573="ED",B573="UN"),0,""))</x:f>
        <x:v>0</x:v>
      </x:c>
      <x:c r="M573" s="11" t="n">
        <x:f>IF(AND(K573=1,OR(B573="ED",B573="NED")),1,0)</x:f>
        <x:v>1</x:v>
      </x:c>
      <x:c r="N573" s="11" t="n">
        <x:f>IF(K573=1,1,0)</x:f>
        <x:v>1</x:v>
      </x:c>
      <x:c r="O573" s="12"/>
      <x:c r="P573" s="11" t="n">
        <x:v>0</x:v>
      </x:c>
      <x:c r="Q573" s="12" t="str">
        <x:v>AF-O88477-F1-model_v6</x:v>
      </x:c>
      <x:c r="R573" s="12" t="str">
        <x:v>ok</x:v>
      </x:c>
      <x:c r="S573" s="11" t="n">
        <x:v>189</x:v>
      </x:c>
      <x:c r="T573" s="11" t="n">
        <x:v>577</x:v>
      </x:c>
    </x:row>
    <x:row r="574" ht="23" customHeight="1">
      <x:c r="A574" s="2" t="str">
        <x:v>O88487</x:v>
      </x:c>
      <x:c r="B574" s="2" t="str">
        <x:v>UN</x:v>
      </x:c>
      <x:c r="C574" s="2" t="n">
        <x:v>1</x:v>
      </x:c>
      <x:c r="D574" s="2" t="n">
        <x:v>1</x:v>
      </x:c>
      <x:c r="E574" s="10" t="n">
        <x:v>73.43751633986929</x:v>
      </x:c>
      <x:c r="F574" s="11" t="n">
        <x:v>612</x:v>
      </x:c>
      <x:c r="G574" s="11" t="n">
        <x:v>0</x:v>
      </x:c>
      <x:c r="H574" s="11" t="n">
        <x:v>0</x:v>
      </x:c>
      <x:c r="I574" s="11" t="n">
        <x:v>0</x:v>
      </x:c>
      <x:c r="J574" s="11" t="n">
        <x:v>0</x:v>
      </x:c>
      <x:c r="K574" s="11" t="n">
        <x:v>1</x:v>
      </x:c>
      <x:c r="L574" s="11" t="n">
        <x:f>IF(B574="NED",1,IF(OR(B574="ED",B574="UN"),0,""))</x:f>
        <x:v>0</x:v>
      </x:c>
      <x:c r="M574" s="11" t="n">
        <x:f>IF(AND(K574=1,OR(B574="ED",B574="NED")),1,0)</x:f>
        <x:v>0</x:v>
      </x:c>
      <x:c r="N574" s="11" t="n">
        <x:f>IF(K574=1,1,0)</x:f>
        <x:v>1</x:v>
      </x:c>
      <x:c r="O574" s="12"/>
      <x:c r="P574" s="11" t="n">
        <x:v>0</x:v>
      </x:c>
      <x:c r="Q574" s="12" t="str">
        <x:v>AF-O88487-F1-model_v6</x:v>
      </x:c>
      <x:c r="R574" s="12" t="str">
        <x:v>ok</x:v>
      </x:c>
      <x:c r="S574" s="11" t="n">
        <x:v>190</x:v>
      </x:c>
      <x:c r="T574" s="11" t="n">
        <x:v>612</x:v>
      </x:c>
    </x:row>
    <x:row r="575" ht="23" customHeight="1">
      <x:c r="A575" s="2" t="str">
        <x:v>O88532</x:v>
      </x:c>
      <x:c r="B575" s="2" t="str">
        <x:v>NED</x:v>
      </x:c>
      <x:c r="C575" s="2" t="n">
        <x:v>1</x:v>
      </x:c>
      <x:c r="D575" s="2" t="n">
        <x:v>1</x:v>
      </x:c>
      <x:c r="E575" s="10" t="n">
        <x:v>60.92241154562384</x:v>
      </x:c>
      <x:c r="F575" s="11" t="n">
        <x:v>1074</x:v>
      </x:c>
      <x:c r="G575" s="11" t="n">
        <x:v>0</x:v>
      </x:c>
      <x:c r="H575" s="11" t="n">
        <x:v>0</x:v>
      </x:c>
      <x:c r="I575" s="11" t="n">
        <x:v>0</x:v>
      </x:c>
      <x:c r="J575" s="11" t="n">
        <x:v>0</x:v>
      </x:c>
      <x:c r="K575" s="11" t="n">
        <x:v>0</x:v>
      </x:c>
      <x:c r="L575" s="11" t="n">
        <x:f>IF(B575="NED",1,IF(OR(B575="ED",B575="UN"),0,""))</x:f>
        <x:v>1</x:v>
      </x:c>
      <x:c r="M575" s="11" t="n">
        <x:f>IF(AND(K575=1,OR(B575="ED",B575="NED")),1,0)</x:f>
        <x:v>0</x:v>
      </x:c>
      <x:c r="N575" s="11" t="n">
        <x:f>IF(K575=1,1,0)</x:f>
        <x:v>0</x:v>
      </x:c>
      <x:c r="O575" s="12" t="str">
        <x:v>Retain protein mean pLDDT &gt;=70</x:v>
      </x:c>
      <x:c r="P575" s="11" t="n">
        <x:v>0</x:v>
      </x:c>
      <x:c r="Q575" s="12" t="str">
        <x:v>AF-O88532-F1-model_v6</x:v>
      </x:c>
      <x:c r="R575" s="12" t="str">
        <x:v>ok</x:v>
      </x:c>
      <x:c r="S575" s="11" t="n">
        <x:v>191</x:v>
      </x:c>
      <x:c r="T575" s="11" t="n">
        <x:v>1074</x:v>
      </x:c>
    </x:row>
    <x:row r="576" ht="23" customHeight="1">
      <x:c r="A576" s="2" t="str">
        <x:v>O88543</x:v>
      </x:c>
      <x:c r="B576" s="2" t="str">
        <x:v>UN</x:v>
      </x:c>
      <x:c r="C576" s="2" t="n">
        <x:v>0</x:v>
      </x:c>
      <x:c r="D576" s="2" t="n">
        <x:v>0</x:v>
      </x:c>
      <x:c r="E576" s="10" t="n">
        <x:v>84.98231678486997</x:v>
      </x:c>
      <x:c r="F576" s="11" t="n">
        <x:v>423</x:v>
      </x:c>
      <x:c r="G576" s="11" t="n">
        <x:v>0</x:v>
      </x:c>
      <x:c r="H576" s="11" t="n">
        <x:v>0</x:v>
      </x:c>
      <x:c r="I576" s="11" t="n">
        <x:v>0</x:v>
      </x:c>
      <x:c r="J576" s="11" t="n">
        <x:v>0</x:v>
      </x:c>
      <x:c r="K576" s="11" t="n">
        <x:v>1</x:v>
      </x:c>
      <x:c r="L576" s="11" t="n">
        <x:f>IF(B576="NED",1,IF(OR(B576="ED",B576="UN"),0,""))</x:f>
        <x:v>0</x:v>
      </x:c>
      <x:c r="M576" s="11" t="n">
        <x:f>IF(AND(K576=1,OR(B576="ED",B576="NED")),1,0)</x:f>
        <x:v>0</x:v>
      </x:c>
      <x:c r="N576" s="11" t="n">
        <x:f>IF(K576=1,1,0)</x:f>
        <x:v>1</x:v>
      </x:c>
      <x:c r="O576" s="12"/>
      <x:c r="P576" s="11" t="n">
        <x:v>0</x:v>
      </x:c>
      <x:c r="Q576" s="12" t="str">
        <x:v>AF-O88543-F1-model_v6</x:v>
      </x:c>
      <x:c r="R576" s="12" t="str">
        <x:v>ok</x:v>
      </x:c>
      <x:c r="S576" s="11" t="n">
        <x:v>192</x:v>
      </x:c>
      <x:c r="T576" s="11" t="n">
        <x:v>423</x:v>
      </x:c>
    </x:row>
    <x:row r="577" ht="23" customHeight="1">
      <x:c r="A577" s="2" t="str">
        <x:v>O88544</x:v>
      </x:c>
      <x:c r="B577" s="2" t="str">
        <x:v>UN</x:v>
      </x:c>
      <x:c r="C577" s="2" t="n">
        <x:v>0</x:v>
      </x:c>
      <x:c r="D577" s="2" t="n">
        <x:v>0</x:v>
      </x:c>
      <x:c r="E577" s="10" t="n">
        <x:v>94.49662561576352</x:v>
      </x:c>
      <x:c r="F577" s="11" t="n">
        <x:v>406</x:v>
      </x:c>
      <x:c r="G577" s="11" t="n">
        <x:v>0</x:v>
      </x:c>
      <x:c r="H577" s="11" t="n">
        <x:v>0</x:v>
      </x:c>
      <x:c r="I577" s="11" t="n">
        <x:v>0</x:v>
      </x:c>
      <x:c r="J577" s="11" t="n">
        <x:v>0</x:v>
      </x:c>
      <x:c r="K577" s="11" t="n">
        <x:v>1</x:v>
      </x:c>
      <x:c r="L577" s="11" t="n">
        <x:f>IF(B577="NED",1,IF(OR(B577="ED",B577="UN"),0,""))</x:f>
        <x:v>0</x:v>
      </x:c>
      <x:c r="M577" s="11" t="n">
        <x:f>IF(AND(K577=1,OR(B577="ED",B577="NED")),1,0)</x:f>
        <x:v>0</x:v>
      </x:c>
      <x:c r="N577" s="11" t="n">
        <x:f>IF(K577=1,1,0)</x:f>
        <x:v>1</x:v>
      </x:c>
      <x:c r="O577" s="12"/>
      <x:c r="P577" s="11" t="n">
        <x:v>0</x:v>
      </x:c>
      <x:c r="Q577" s="12" t="str">
        <x:v>AF-O88544-F1-model_v6</x:v>
      </x:c>
      <x:c r="R577" s="12" t="str">
        <x:v>ok</x:v>
      </x:c>
      <x:c r="S577" s="11" t="n">
        <x:v>193</x:v>
      </x:c>
      <x:c r="T577" s="11" t="n">
        <x:v>406</x:v>
      </x:c>
    </x:row>
    <x:row r="578" ht="23" customHeight="1">
      <x:c r="A578" s="2" t="str">
        <x:v>O88569</x:v>
      </x:c>
      <x:c r="B578" s="2" t="str">
        <x:v>ED</x:v>
      </x:c>
      <x:c r="C578" s="2" t="n">
        <x:v>1</x:v>
      </x:c>
      <x:c r="D578" s="2" t="n">
        <x:v>1</x:v>
      </x:c>
      <x:c r="E578" s="10"/>
      <x:c r="F578" s="11" t="n">
        <x:v>353</x:v>
      </x:c>
      <x:c r="G578" s="11" t="n">
        <x:v>0</x:v>
      </x:c>
      <x:c r="H578" s="11" t="n">
        <x:v>0</x:v>
      </x:c>
      <x:c r="I578" s="11" t="n">
        <x:v>0</x:v>
      </x:c>
      <x:c r="J578" s="11" t="n">
        <x:v>1</x:v>
      </x:c>
      <x:c r="K578" s="11" t="n">
        <x:v>0</x:v>
      </x:c>
      <x:c r="L578" s="11" t="n">
        <x:f>IF(B578="NED",1,IF(OR(B578="ED",B578="UN"),0,""))</x:f>
        <x:v>0</x:v>
      </x:c>
      <x:c r="M578" s="11" t="n">
        <x:f>IF(AND(K578=1,OR(B578="ED",B578="NED")),1,0)</x:f>
        <x:v>0</x:v>
      </x:c>
      <x:c r="N578" s="11" t="n">
        <x:f>IF(K578=1,1,0)</x:f>
        <x:v>0</x:v>
      </x:c>
      <x:c r="O578" s="12" t="str">
        <x:v>Exclude UniProt Secreted keyword</x:v>
      </x:c>
      <x:c r="P578" s="11" t="n">
        <x:v>0</x:v>
      </x:c>
      <x:c r="Q578" s="12" t="str">
        <x:v>AF-O88569-F1-model_v6</x:v>
      </x:c>
      <x:c r="R578" s="12" t="str">
        <x:v>ok</x:v>
      </x:c>
      <x:c r="S578" s="11" t="n">
        <x:v>194</x:v>
      </x:c>
      <x:c r="T578" s="11" t="n">
        <x:v>353</x:v>
      </x:c>
    </x:row>
    <x:row r="579" ht="23" customHeight="1">
      <x:c r="A579" s="2" t="str">
        <x:v>O88587-2</x:v>
      </x:c>
      <x:c r="B579" s="2" t="str">
        <x:v>ED</x:v>
      </x:c>
      <x:c r="C579" s="2"/>
      <x:c r="D579" s="2"/>
      <x:c r="E579" s="10"/>
      <x:c r="F579" s="11"/>
      <x:c r="G579" s="11" t="n">
        <x:v>0</x:v>
      </x:c>
      <x:c r="H579" s="11" t="n">
        <x:v>0</x:v>
      </x:c>
      <x:c r="I579" s="11"/>
      <x:c r="J579" s="11"/>
      <x:c r="K579" s="11" t="n">
        <x:v>0</x:v>
      </x:c>
      <x:c r="L579" s="11" t="n">
        <x:f>IF(B579="NED",1,IF(OR(B579="ED",B579="UN"),0,""))</x:f>
        <x:v>0</x:v>
      </x:c>
      <x:c r="M579" s="11" t="n">
        <x:f>IF(AND(K579=1,OR(B579="ED",B579="NED")),1,0)</x:f>
        <x:v>0</x:v>
      </x:c>
      <x:c r="N579" s="11" t="n">
        <x:f>IF(K579=1,1,0)</x:f>
        <x:v>0</x:v>
      </x:c>
      <x:c r="O579" s="12" t="str">
        <x:v>Require exact native accession match</x:v>
      </x:c>
      <x:c r="P579" s="11" t="n">
        <x:v>0</x:v>
      </x:c>
      <x:c r="Q579" s="12"/>
      <x:c r="R579" s="12"/>
      <x:c r="S579" s="11" t="n">
        <x:v>195</x:v>
      </x:c>
      <x:c r="T579" s="11"/>
    </x:row>
    <x:row r="580" ht="23" customHeight="1">
      <x:c r="A580" s="2" t="str">
        <x:v>O88668</x:v>
      </x:c>
      <x:c r="B580" s="2" t="str">
        <x:v>UN</x:v>
      </x:c>
      <x:c r="C580" s="2" t="n">
        <x:v>1</x:v>
      </x:c>
      <x:c r="D580" s="2" t="n">
        <x:v>1</x:v>
      </x:c>
      <x:c r="E580" s="10"/>
      <x:c r="F580" s="11" t="n">
        <x:v>220</x:v>
      </x:c>
      <x:c r="G580" s="11" t="n">
        <x:v>0</x:v>
      </x:c>
      <x:c r="H580" s="11" t="n">
        <x:v>0</x:v>
      </x:c>
      <x:c r="I580" s="11" t="n">
        <x:v>0</x:v>
      </x:c>
      <x:c r="J580" s="11" t="n">
        <x:v>1</x:v>
      </x:c>
      <x:c r="K580" s="11" t="n">
        <x:v>0</x:v>
      </x:c>
      <x:c r="L580" s="11" t="n">
        <x:f>IF(B580="NED",1,IF(OR(B580="ED",B580="UN"),0,""))</x:f>
        <x:v>0</x:v>
      </x:c>
      <x:c r="M580" s="11" t="n">
        <x:f>IF(AND(K580=1,OR(B580="ED",B580="NED")),1,0)</x:f>
        <x:v>0</x:v>
      </x:c>
      <x:c r="N580" s="11" t="n">
        <x:f>IF(K580=1,1,0)</x:f>
        <x:v>0</x:v>
      </x:c>
      <x:c r="O580" s="12" t="str">
        <x:v>Exclude UniProt Secreted keyword</x:v>
      </x:c>
      <x:c r="P580" s="11" t="n">
        <x:v>0</x:v>
      </x:c>
      <x:c r="Q580" s="12" t="str">
        <x:v>AF-O88668-F1-model_v6</x:v>
      </x:c>
      <x:c r="R580" s="12" t="str">
        <x:v>ok</x:v>
      </x:c>
      <x:c r="S580" s="11" t="n">
        <x:v>196</x:v>
      </x:c>
      <x:c r="T580" s="11" t="n">
        <x:v>220</x:v>
      </x:c>
    </x:row>
    <x:row r="581" ht="23" customHeight="1">
      <x:c r="A581" s="2" t="str">
        <x:v>O88685</x:v>
      </x:c>
      <x:c r="B581" s="2" t="str">
        <x:v>UN</x:v>
      </x:c>
      <x:c r="C581" s="2" t="n">
        <x:v>1</x:v>
      </x:c>
      <x:c r="D581" s="2" t="n">
        <x:v>1</x:v>
      </x:c>
      <x:c r="E581" s="10" t="n">
        <x:v>82.36276018099547</x:v>
      </x:c>
      <x:c r="F581" s="11" t="n">
        <x:v>442</x:v>
      </x:c>
      <x:c r="G581" s="11" t="n">
        <x:v>0</x:v>
      </x:c>
      <x:c r="H581" s="11" t="n">
        <x:v>0</x:v>
      </x:c>
      <x:c r="I581" s="11" t="n">
        <x:v>0</x:v>
      </x:c>
      <x:c r="J581" s="11" t="n">
        <x:v>0</x:v>
      </x:c>
      <x:c r="K581" s="11" t="n">
        <x:v>1</x:v>
      </x:c>
      <x:c r="L581" s="11" t="n">
        <x:f>IF(B581="NED",1,IF(OR(B581="ED",B581="UN"),0,""))</x:f>
        <x:v>0</x:v>
      </x:c>
      <x:c r="M581" s="11" t="n">
        <x:f>IF(AND(K581=1,OR(B581="ED",B581="NED")),1,0)</x:f>
        <x:v>0</x:v>
      </x:c>
      <x:c r="N581" s="11" t="n">
        <x:f>IF(K581=1,1,0)</x:f>
        <x:v>1</x:v>
      </x:c>
      <x:c r="O581" s="12"/>
      <x:c r="P581" s="11" t="n">
        <x:v>0</x:v>
      </x:c>
      <x:c r="Q581" s="12" t="str">
        <x:v>AF-O88685-F1-model_v6</x:v>
      </x:c>
      <x:c r="R581" s="12" t="str">
        <x:v>ok</x:v>
      </x:c>
      <x:c r="S581" s="11" t="n">
        <x:v>197</x:v>
      </x:c>
      <x:c r="T581" s="11" t="n">
        <x:v>442</x:v>
      </x:c>
    </x:row>
    <x:row r="582" ht="23" customHeight="1">
      <x:c r="A582" s="2" t="str">
        <x:v>O88700</x:v>
      </x:c>
      <x:c r="B582" s="2" t="str">
        <x:v>UN</x:v>
      </x:c>
      <x:c r="C582" s="2" t="n">
        <x:v>1</x:v>
      </x:c>
      <x:c r="D582" s="2" t="n">
        <x:v>1</x:v>
      </x:c>
      <x:c r="E582" s="10" t="n">
        <x:v>60.12656073446328</x:v>
      </x:c>
      <x:c r="F582" s="11" t="n">
        <x:v>1416</x:v>
      </x:c>
      <x:c r="G582" s="11" t="n">
        <x:v>0</x:v>
      </x:c>
      <x:c r="H582" s="11" t="n">
        <x:v>0</x:v>
      </x:c>
      <x:c r="I582" s="11" t="n">
        <x:v>0</x:v>
      </x:c>
      <x:c r="J582" s="11" t="n">
        <x:v>0</x:v>
      </x:c>
      <x:c r="K582" s="11" t="n">
        <x:v>0</x:v>
      </x:c>
      <x:c r="L582" s="11" t="n">
        <x:f>IF(B582="NED",1,IF(OR(B582="ED",B582="UN"),0,""))</x:f>
        <x:v>0</x:v>
      </x:c>
      <x:c r="M582" s="11" t="n">
        <x:f>IF(AND(K582=1,OR(B582="ED",B582="NED")),1,0)</x:f>
        <x:v>0</x:v>
      </x:c>
      <x:c r="N582" s="11" t="n">
        <x:f>IF(K582=1,1,0)</x:f>
        <x:v>0</x:v>
      </x:c>
      <x:c r="O582" s="12" t="str">
        <x:v>Retain protein mean pLDDT &gt;=70</x:v>
      </x:c>
      <x:c r="P582" s="11" t="n">
        <x:v>0</x:v>
      </x:c>
      <x:c r="Q582" s="12" t="str">
        <x:v>AF-O88700-F1-model_v6</x:v>
      </x:c>
      <x:c r="R582" s="12" t="str">
        <x:v>ok</x:v>
      </x:c>
      <x:c r="S582" s="11" t="n">
        <x:v>198</x:v>
      </x:c>
      <x:c r="T582" s="11" t="n">
        <x:v>1416</x:v>
      </x:c>
    </x:row>
    <x:row r="583" ht="23" customHeight="1">
      <x:c r="A583" s="2" t="str">
        <x:v>O88708</x:v>
      </x:c>
      <x:c r="B583" s="2" t="str">
        <x:v>UN</x:v>
      </x:c>
      <x:c r="C583" s="2" t="n">
        <x:v>1</x:v>
      </x:c>
      <x:c r="D583" s="2" t="n">
        <x:v>1</x:v>
      </x:c>
      <x:c r="E583" s="10" t="n">
        <x:v>88.0409699769053</x:v>
      </x:c>
      <x:c r="F583" s="11" t="n">
        <x:v>433</x:v>
      </x:c>
      <x:c r="G583" s="11" t="n">
        <x:v>0</x:v>
      </x:c>
      <x:c r="H583" s="11" t="n">
        <x:v>0</x:v>
      </x:c>
      <x:c r="I583" s="11" t="n">
        <x:v>0</x:v>
      </x:c>
      <x:c r="J583" s="11" t="n">
        <x:v>0</x:v>
      </x:c>
      <x:c r="K583" s="11" t="n">
        <x:v>1</x:v>
      </x:c>
      <x:c r="L583" s="11" t="n">
        <x:f>IF(B583="NED",1,IF(OR(B583="ED",B583="UN"),0,""))</x:f>
        <x:v>0</x:v>
      </x:c>
      <x:c r="M583" s="11" t="n">
        <x:f>IF(AND(K583=1,OR(B583="ED",B583="NED")),1,0)</x:f>
        <x:v>0</x:v>
      </x:c>
      <x:c r="N583" s="11" t="n">
        <x:f>IF(K583=1,1,0)</x:f>
        <x:v>1</x:v>
      </x:c>
      <x:c r="O583" s="12"/>
      <x:c r="P583" s="11" t="n">
        <x:v>0</x:v>
      </x:c>
      <x:c r="Q583" s="12" t="str">
        <x:v>AF-O88708-F1-model_v6</x:v>
      </x:c>
      <x:c r="R583" s="12" t="str">
        <x:v>ok</x:v>
      </x:c>
      <x:c r="S583" s="11" t="n">
        <x:v>199</x:v>
      </x:c>
      <x:c r="T583" s="11" t="n">
        <x:v>433</x:v>
      </x:c>
    </x:row>
    <x:row r="584" ht="23" customHeight="1">
      <x:c r="A584" s="2" t="str">
        <x:v>O88712-2</x:v>
      </x:c>
      <x:c r="B584" s="2" t="str">
        <x:v>ED</x:v>
      </x:c>
      <x:c r="C584" s="2"/>
      <x:c r="D584" s="2"/>
      <x:c r="E584" s="10"/>
      <x:c r="F584" s="11"/>
      <x:c r="G584" s="11" t="n">
        <x:v>0</x:v>
      </x:c>
      <x:c r="H584" s="11" t="n">
        <x:v>0</x:v>
      </x:c>
      <x:c r="I584" s="11"/>
      <x:c r="J584" s="11"/>
      <x:c r="K584" s="11" t="n">
        <x:v>0</x:v>
      </x:c>
      <x:c r="L584" s="11" t="n">
        <x:f>IF(B584="NED",1,IF(OR(B584="ED",B584="UN"),0,""))</x:f>
        <x:v>0</x:v>
      </x:c>
      <x:c r="M584" s="11" t="n">
        <x:f>IF(AND(K584=1,OR(B584="ED",B584="NED")),1,0)</x:f>
        <x:v>0</x:v>
      </x:c>
      <x:c r="N584" s="11" t="n">
        <x:f>IF(K584=1,1,0)</x:f>
        <x:v>0</x:v>
      </x:c>
      <x:c r="O584" s="12" t="str">
        <x:v>Require exact native accession match</x:v>
      </x:c>
      <x:c r="P584" s="11" t="n">
        <x:v>0</x:v>
      </x:c>
      <x:c r="Q584" s="12"/>
      <x:c r="R584" s="12"/>
      <x:c r="S584" s="11" t="n">
        <x:v>200</x:v>
      </x:c>
      <x:c r="T584" s="11"/>
    </x:row>
    <x:row r="585" ht="23" customHeight="1">
      <x:c r="A585" s="2" t="str">
        <x:v>O88736</x:v>
      </x:c>
      <x:c r="B585" s="2" t="str">
        <x:v>UN</x:v>
      </x:c>
      <x:c r="C585" s="2" t="n">
        <x:v>1</x:v>
      </x:c>
      <x:c r="D585" s="2" t="n">
        <x:v>1</x:v>
      </x:c>
      <x:c r="E585" s="10"/>
      <x:c r="F585" s="11" t="n">
        <x:v>334</x:v>
      </x:c>
      <x:c r="G585" s="11" t="n">
        <x:v>0</x:v>
      </x:c>
      <x:c r="H585" s="11" t="n">
        <x:v>0</x:v>
      </x:c>
      <x:c r="I585" s="11" t="n">
        <x:v>1</x:v>
      </x:c>
      <x:c r="J585" s="11" t="n">
        <x:v>0</x:v>
      </x:c>
      <x:c r="K585" s="11" t="n">
        <x:v>0</x:v>
      </x:c>
      <x:c r="L585" s="11" t="n">
        <x:f>IF(B585="NED",1,IF(OR(B585="ED",B585="UN"),0,""))</x:f>
        <x:v>0</x:v>
      </x:c>
      <x:c r="M585" s="11" t="n">
        <x:f>IF(AND(K585=1,OR(B585="ED",B585="NED")),1,0)</x:f>
        <x:v>0</x:v>
      </x:c>
      <x:c r="N585" s="11" t="n">
        <x:f>IF(K585=1,1,0)</x:f>
        <x:v>0</x:v>
      </x:c>
      <x:c r="O585" s="12" t="str">
        <x:v>Exclude UniProt Membrane keyword</x:v>
      </x:c>
      <x:c r="P585" s="11" t="n">
        <x:v>0</x:v>
      </x:c>
      <x:c r="Q585" s="12" t="str">
        <x:v>AF-O88736-F1-model_v6</x:v>
      </x:c>
      <x:c r="R585" s="12" t="str">
        <x:v>ok</x:v>
      </x:c>
      <x:c r="S585" s="11" t="n">
        <x:v>201</x:v>
      </x:c>
      <x:c r="T585" s="11" t="n">
        <x:v>334</x:v>
      </x:c>
    </x:row>
    <x:row r="586" ht="23" customHeight="1">
      <x:c r="A586" s="2" t="str">
        <x:v>O88738</x:v>
      </x:c>
      <x:c r="B586" s="2" t="str">
        <x:v>ED</x:v>
      </x:c>
      <x:c r="C586" s="2"/>
      <x:c r="D586" s="2"/>
      <x:c r="E586" s="10"/>
      <x:c r="F586" s="11"/>
      <x:c r="G586" s="11" t="n">
        <x:v>0</x:v>
      </x:c>
      <x:c r="H586" s="11" t="n">
        <x:v>0</x:v>
      </x:c>
      <x:c r="I586" s="11" t="n">
        <x:v>1</x:v>
      </x:c>
      <x:c r="J586" s="11" t="n">
        <x:v>0</x:v>
      </x:c>
      <x:c r="K586" s="11" t="n">
        <x:v>0</x:v>
      </x:c>
      <x:c r="L586" s="11" t="n">
        <x:f>IF(B586="NED",1,IF(OR(B586="ED",B586="UN"),0,""))</x:f>
        <x:v>0</x:v>
      </x:c>
      <x:c r="M586" s="11" t="n">
        <x:f>IF(AND(K586=1,OR(B586="ED",B586="NED")),1,0)</x:f>
        <x:v>0</x:v>
      </x:c>
      <x:c r="N586" s="11" t="n">
        <x:f>IF(K586=1,1,0)</x:f>
        <x:v>0</x:v>
      </x:c>
      <x:c r="O586" s="12" t="str">
        <x:v>Require exact native accession match</x:v>
      </x:c>
      <x:c r="P586" s="11" t="n">
        <x:v>0</x:v>
      </x:c>
      <x:c r="Q586" s="12"/>
      <x:c r="R586" s="12"/>
      <x:c r="S586" s="11" t="n">
        <x:v>202</x:v>
      </x:c>
      <x:c r="T586" s="11" t="n">
        <x:v>4882</x:v>
      </x:c>
    </x:row>
    <x:row r="587" ht="23" customHeight="1">
      <x:c r="A587" s="2" t="str">
        <x:v>O88746</x:v>
      </x:c>
      <x:c r="B587" s="2" t="str">
        <x:v>UN</x:v>
      </x:c>
      <x:c r="C587" s="2" t="n">
        <x:v>0</x:v>
      </x:c>
      <x:c r="D587" s="2" t="n">
        <x:v>0</x:v>
      </x:c>
      <x:c r="E587" s="10"/>
      <x:c r="F587" s="11" t="n">
        <x:v>492</x:v>
      </x:c>
      <x:c r="G587" s="11" t="n">
        <x:v>0</x:v>
      </x:c>
      <x:c r="H587" s="11" t="n">
        <x:v>0</x:v>
      </x:c>
      <x:c r="I587" s="11" t="n">
        <x:v>1</x:v>
      </x:c>
      <x:c r="J587" s="11" t="n">
        <x:v>0</x:v>
      </x:c>
      <x:c r="K587" s="11" t="n">
        <x:v>0</x:v>
      </x:c>
      <x:c r="L587" s="11" t="n">
        <x:f>IF(B587="NED",1,IF(OR(B587="ED",B587="UN"),0,""))</x:f>
        <x:v>0</x:v>
      </x:c>
      <x:c r="M587" s="11" t="n">
        <x:f>IF(AND(K587=1,OR(B587="ED",B587="NED")),1,0)</x:f>
        <x:v>0</x:v>
      </x:c>
      <x:c r="N587" s="11" t="n">
        <x:f>IF(K587=1,1,0)</x:f>
        <x:v>0</x:v>
      </x:c>
      <x:c r="O587" s="12" t="str">
        <x:v>Exclude UniProt Membrane keyword</x:v>
      </x:c>
      <x:c r="P587" s="11" t="n">
        <x:v>0</x:v>
      </x:c>
      <x:c r="Q587" s="12" t="str">
        <x:v>AF-O88746-F1-model_v6</x:v>
      </x:c>
      <x:c r="R587" s="12" t="str">
        <x:v>ok</x:v>
      </x:c>
      <x:c r="S587" s="11" t="n">
        <x:v>203</x:v>
      </x:c>
      <x:c r="T587" s="11" t="n">
        <x:v>492</x:v>
      </x:c>
    </x:row>
    <x:row r="588" ht="23" customHeight="1">
      <x:c r="A588" s="2" t="str">
        <x:v>O88796</x:v>
      </x:c>
      <x:c r="B588" s="2" t="str">
        <x:v>ED</x:v>
      </x:c>
      <x:c r="C588" s="2" t="n">
        <x:v>1</x:v>
      </x:c>
      <x:c r="D588" s="2" t="n">
        <x:v>1</x:v>
      </x:c>
      <x:c r="E588" s="10" t="n">
        <x:v>86.23753731343284</x:v>
      </x:c>
      <x:c r="F588" s="11" t="n">
        <x:v>268</x:v>
      </x:c>
      <x:c r="G588" s="11" t="n">
        <x:v>0</x:v>
      </x:c>
      <x:c r="H588" s="11" t="n">
        <x:v>0</x:v>
      </x:c>
      <x:c r="I588" s="11" t="n">
        <x:v>0</x:v>
      </x:c>
      <x:c r="J588" s="11" t="n">
        <x:v>0</x:v>
      </x:c>
      <x:c r="K588" s="11" t="n">
        <x:v>1</x:v>
      </x:c>
      <x:c r="L588" s="11" t="n">
        <x:f>IF(B588="NED",1,IF(OR(B588="ED",B588="UN"),0,""))</x:f>
        <x:v>0</x:v>
      </x:c>
      <x:c r="M588" s="11" t="n">
        <x:f>IF(AND(K588=1,OR(B588="ED",B588="NED")),1,0)</x:f>
        <x:v>1</x:v>
      </x:c>
      <x:c r="N588" s="11" t="n">
        <x:f>IF(K588=1,1,0)</x:f>
        <x:v>1</x:v>
      </x:c>
      <x:c r="O588" s="12"/>
      <x:c r="P588" s="11" t="n">
        <x:v>0</x:v>
      </x:c>
      <x:c r="Q588" s="12" t="str">
        <x:v>AF-O88796-F1-model_v6</x:v>
      </x:c>
      <x:c r="R588" s="12" t="str">
        <x:v>ok</x:v>
      </x:c>
      <x:c r="S588" s="11" t="n">
        <x:v>204</x:v>
      </x:c>
      <x:c r="T588" s="11" t="n">
        <x:v>268</x:v>
      </x:c>
    </x:row>
    <x:row r="589" ht="23" customHeight="1">
      <x:c r="A589" s="2" t="str">
        <x:v>O88811</x:v>
      </x:c>
      <x:c r="B589" s="2" t="str">
        <x:v>ED</x:v>
      </x:c>
      <x:c r="C589" s="2" t="n">
        <x:v>1</x:v>
      </x:c>
      <x:c r="D589" s="2" t="n">
        <x:v>1</x:v>
      </x:c>
      <x:c r="E589" s="10"/>
      <x:c r="F589" s="11" t="n">
        <x:v>523</x:v>
      </x:c>
      <x:c r="G589" s="11" t="n">
        <x:v>0</x:v>
      </x:c>
      <x:c r="H589" s="11" t="n">
        <x:v>0</x:v>
      </x:c>
      <x:c r="I589" s="11" t="n">
        <x:v>1</x:v>
      </x:c>
      <x:c r="J589" s="11" t="n">
        <x:v>0</x:v>
      </x:c>
      <x:c r="K589" s="11" t="n">
        <x:v>0</x:v>
      </x:c>
      <x:c r="L589" s="11" t="n">
        <x:f>IF(B589="NED",1,IF(OR(B589="ED",B589="UN"),0,""))</x:f>
        <x:v>0</x:v>
      </x:c>
      <x:c r="M589" s="11" t="n">
        <x:f>IF(AND(K589=1,OR(B589="ED",B589="NED")),1,0)</x:f>
        <x:v>0</x:v>
      </x:c>
      <x:c r="N589" s="11" t="n">
        <x:f>IF(K589=1,1,0)</x:f>
        <x:v>0</x:v>
      </x:c>
      <x:c r="O589" s="12" t="str">
        <x:v>Exclude UniProt Membrane keyword</x:v>
      </x:c>
      <x:c r="P589" s="11" t="n">
        <x:v>0</x:v>
      </x:c>
      <x:c r="Q589" s="12" t="str">
        <x:v>AF-O88811-F1-model_v6</x:v>
      </x:c>
      <x:c r="R589" s="12" t="str">
        <x:v>ok</x:v>
      </x:c>
      <x:c r="S589" s="11" t="n">
        <x:v>205</x:v>
      </x:c>
      <x:c r="T589" s="11" t="n">
        <x:v>523</x:v>
      </x:c>
    </x:row>
    <x:row r="590" ht="23" customHeight="1">
      <x:c r="A590" s="2" t="str">
        <x:v>O88829-2</x:v>
      </x:c>
      <x:c r="B590" s="2" t="str">
        <x:v>UN</x:v>
      </x:c>
      <x:c r="C590" s="2"/>
      <x:c r="D590" s="2"/>
      <x:c r="E590" s="10"/>
      <x:c r="F590" s="11"/>
      <x:c r="G590" s="11" t="n">
        <x:v>0</x:v>
      </x:c>
      <x:c r="H590" s="11" t="n">
        <x:v>0</x:v>
      </x:c>
      <x:c r="I590" s="11"/>
      <x:c r="J590" s="11"/>
      <x:c r="K590" s="11" t="n">
        <x:v>0</x:v>
      </x:c>
      <x:c r="L590" s="11" t="n">
        <x:f>IF(B590="NED",1,IF(OR(B590="ED",B590="UN"),0,""))</x:f>
        <x:v>0</x:v>
      </x:c>
      <x:c r="M590" s="11" t="n">
        <x:f>IF(AND(K590=1,OR(B590="ED",B590="NED")),1,0)</x:f>
        <x:v>0</x:v>
      </x:c>
      <x:c r="N590" s="11" t="n">
        <x:f>IF(K590=1,1,0)</x:f>
        <x:v>0</x:v>
      </x:c>
      <x:c r="O590" s="12" t="str">
        <x:v>Require exact native accession match</x:v>
      </x:c>
      <x:c r="P590" s="11" t="n">
        <x:v>0</x:v>
      </x:c>
      <x:c r="Q590" s="12"/>
      <x:c r="R590" s="12"/>
      <x:c r="S590" s="11" t="n">
        <x:v>206</x:v>
      </x:c>
      <x:c r="T590" s="11"/>
    </x:row>
    <x:row r="591" ht="23" customHeight="1">
      <x:c r="A591" s="2" t="str">
        <x:v>O88856</x:v>
      </x:c>
      <x:c r="B591" s="2" t="str">
        <x:v>NED</x:v>
      </x:c>
      <x:c r="C591" s="2" t="n">
        <x:v>1</x:v>
      </x:c>
      <x:c r="D591" s="2" t="n">
        <x:v>1</x:v>
      </x:c>
      <x:c r="E591" s="10"/>
      <x:c r="F591" s="11" t="n">
        <x:v>376</x:v>
      </x:c>
      <x:c r="G591" s="11" t="n">
        <x:v>0</x:v>
      </x:c>
      <x:c r="H591" s="11" t="n">
        <x:v>0</x:v>
      </x:c>
      <x:c r="I591" s="11" t="n">
        <x:v>1</x:v>
      </x:c>
      <x:c r="J591" s="11" t="n">
        <x:v>0</x:v>
      </x:c>
      <x:c r="K591" s="11" t="n">
        <x:v>0</x:v>
      </x:c>
      <x:c r="L591" s="11" t="n">
        <x:f>IF(B591="NED",1,IF(OR(B591="ED",B591="UN"),0,""))</x:f>
        <x:v>1</x:v>
      </x:c>
      <x:c r="M591" s="11" t="n">
        <x:f>IF(AND(K591=1,OR(B591="ED",B591="NED")),1,0)</x:f>
        <x:v>0</x:v>
      </x:c>
      <x:c r="N591" s="11" t="n">
        <x:f>IF(K591=1,1,0)</x:f>
        <x:v>0</x:v>
      </x:c>
      <x:c r="O591" s="12" t="str">
        <x:v>Exclude UniProt Membrane keyword</x:v>
      </x:c>
      <x:c r="P591" s="11" t="n">
        <x:v>0</x:v>
      </x:c>
      <x:c r="Q591" s="12" t="str">
        <x:v>AF-O88856-F1-model_v6</x:v>
      </x:c>
      <x:c r="R591" s="12" t="str">
        <x:v>ok</x:v>
      </x:c>
      <x:c r="S591" s="11" t="n">
        <x:v>207</x:v>
      </x:c>
      <x:c r="T591" s="11" t="n">
        <x:v>376</x:v>
      </x:c>
    </x:row>
    <x:row r="592" ht="23" customHeight="1">
      <x:c r="A592" s="2" t="str">
        <x:v>O88874</x:v>
      </x:c>
      <x:c r="B592" s="2" t="str">
        <x:v>ED</x:v>
      </x:c>
      <x:c r="C592" s="2" t="n">
        <x:v>1</x:v>
      </x:c>
      <x:c r="D592" s="2"/>
      <x:c r="E592" s="10" t="n">
        <x:v>66.89830324909748</x:v>
      </x:c>
      <x:c r="F592" s="11" t="n">
        <x:v>554</x:v>
      </x:c>
      <x:c r="G592" s="11" t="n">
        <x:v>0</x:v>
      </x:c>
      <x:c r="H592" s="11" t="n">
        <x:v>0</x:v>
      </x:c>
      <x:c r="I592" s="11" t="n">
        <x:v>0</x:v>
      </x:c>
      <x:c r="J592" s="11" t="n">
        <x:v>0</x:v>
      </x:c>
      <x:c r="K592" s="11" t="n">
        <x:v>0</x:v>
      </x:c>
      <x:c r="L592" s="11" t="n">
        <x:f>IF(B592="NED",1,IF(OR(B592="ED",B592="UN"),0,""))</x:f>
        <x:v>0</x:v>
      </x:c>
      <x:c r="M592" s="11" t="n">
        <x:f>IF(AND(K592=1,OR(B592="ED",B592="NED")),1,0)</x:f>
        <x:v>0</x:v>
      </x:c>
      <x:c r="N592" s="11" t="n">
        <x:f>IF(K592=1,1,0)</x:f>
        <x:v>0</x:v>
      </x:c>
      <x:c r="O592" s="12" t="str">
        <x:v>Retain protein mean pLDDT &gt;=70</x:v>
      </x:c>
      <x:c r="P592" s="11" t="n">
        <x:v>0</x:v>
      </x:c>
      <x:c r="Q592" s="12" t="str">
        <x:v>AF-O88874-F1-model_v6</x:v>
      </x:c>
      <x:c r="R592" s="12" t="str">
        <x:v>ok</x:v>
      </x:c>
      <x:c r="S592" s="11" t="n">
        <x:v>208</x:v>
      </x:c>
      <x:c r="T592" s="11" t="n">
        <x:v>554</x:v>
      </x:c>
    </x:row>
    <x:row r="593" ht="23" customHeight="1">
      <x:c r="A593" s="2" t="str">
        <x:v>O88879</x:v>
      </x:c>
      <x:c r="B593" s="2" t="str">
        <x:v>ED</x:v>
      </x:c>
      <x:c r="C593" s="2" t="n">
        <x:v>1</x:v>
      </x:c>
      <x:c r="D593" s="2" t="n">
        <x:v>1</x:v>
      </x:c>
      <x:c r="E593" s="10" t="n">
        <x:v>85.71212970376301</x:v>
      </x:c>
      <x:c r="F593" s="11" t="n">
        <x:v>1249</x:v>
      </x:c>
      <x:c r="G593" s="11" t="n">
        <x:v>0</x:v>
      </x:c>
      <x:c r="H593" s="11" t="n">
        <x:v>0</x:v>
      </x:c>
      <x:c r="I593" s="11" t="n">
        <x:v>0</x:v>
      </x:c>
      <x:c r="J593" s="11" t="n">
        <x:v>0</x:v>
      </x:c>
      <x:c r="K593" s="11" t="n">
        <x:v>1</x:v>
      </x:c>
      <x:c r="L593" s="11" t="n">
        <x:f>IF(B593="NED",1,IF(OR(B593="ED",B593="UN"),0,""))</x:f>
        <x:v>0</x:v>
      </x:c>
      <x:c r="M593" s="11" t="n">
        <x:f>IF(AND(K593=1,OR(B593="ED",B593="NED")),1,0)</x:f>
        <x:v>1</x:v>
      </x:c>
      <x:c r="N593" s="11" t="n">
        <x:f>IF(K593=1,1,0)</x:f>
        <x:v>1</x:v>
      </x:c>
      <x:c r="O593" s="12"/>
      <x:c r="P593" s="11" t="n">
        <x:v>0</x:v>
      </x:c>
      <x:c r="Q593" s="12" t="str">
        <x:v>AF-O88879-F1-model_v6</x:v>
      </x:c>
      <x:c r="R593" s="12" t="str">
        <x:v>ok</x:v>
      </x:c>
      <x:c r="S593" s="11" t="n">
        <x:v>209</x:v>
      </x:c>
      <x:c r="T593" s="11" t="n">
        <x:v>1249</x:v>
      </x:c>
    </x:row>
    <x:row r="594" ht="23" customHeight="1">
      <x:c r="A594" s="2" t="str">
        <x:v>O88895</x:v>
      </x:c>
      <x:c r="B594" s="2" t="str">
        <x:v>UN</x:v>
      </x:c>
      <x:c r="C594" s="2" t="n">
        <x:v>1</x:v>
      </x:c>
      <x:c r="D594" s="2" t="n">
        <x:v>1</x:v>
      </x:c>
      <x:c r="E594" s="10" t="n">
        <x:v>90.86023364485982</x:v>
      </x:c>
      <x:c r="F594" s="11" t="n">
        <x:v>428</x:v>
      </x:c>
      <x:c r="G594" s="11" t="n">
        <x:v>0</x:v>
      </x:c>
      <x:c r="H594" s="11" t="n">
        <x:v>0</x:v>
      </x:c>
      <x:c r="I594" s="11" t="n">
        <x:v>0</x:v>
      </x:c>
      <x:c r="J594" s="11" t="n">
        <x:v>0</x:v>
      </x:c>
      <x:c r="K594" s="11" t="n">
        <x:v>1</x:v>
      </x:c>
      <x:c r="L594" s="11" t="n">
        <x:f>IF(B594="NED",1,IF(OR(B594="ED",B594="UN"),0,""))</x:f>
        <x:v>0</x:v>
      </x:c>
      <x:c r="M594" s="11" t="n">
        <x:f>IF(AND(K594=1,OR(B594="ED",B594="NED")),1,0)</x:f>
        <x:v>0</x:v>
      </x:c>
      <x:c r="N594" s="11" t="n">
        <x:f>IF(K594=1,1,0)</x:f>
        <x:v>1</x:v>
      </x:c>
      <x:c r="O594" s="12"/>
      <x:c r="P594" s="11" t="n">
        <x:v>0</x:v>
      </x:c>
      <x:c r="Q594" s="12" t="str">
        <x:v>AF-O88895-F1-model_v6</x:v>
      </x:c>
      <x:c r="R594" s="12" t="str">
        <x:v>ok</x:v>
      </x:c>
      <x:c r="S594" s="11" t="n">
        <x:v>210</x:v>
      </x:c>
      <x:c r="T594" s="11" t="n">
        <x:v>428</x:v>
      </x:c>
    </x:row>
    <x:row r="595" ht="23" customHeight="1">
      <x:c r="A595" s="2" t="str">
        <x:v>O88907</x:v>
      </x:c>
      <x:c r="B595" s="2" t="str">
        <x:v>ED</x:v>
      </x:c>
      <x:c r="C595" s="2" t="n">
        <x:v>1</x:v>
      </x:c>
      <x:c r="D595" s="2" t="n">
        <x:v>1</x:v>
      </x:c>
      <x:c r="E595" s="10" t="n">
        <x:v>68.35675883256529</x:v>
      </x:c>
      <x:c r="F595" s="11" t="n">
        <x:v>651</x:v>
      </x:c>
      <x:c r="G595" s="11" t="n">
        <x:v>0</x:v>
      </x:c>
      <x:c r="H595" s="11" t="n">
        <x:v>0</x:v>
      </x:c>
      <x:c r="I595" s="11" t="n">
        <x:v>0</x:v>
      </x:c>
      <x:c r="J595" s="11" t="n">
        <x:v>0</x:v>
      </x:c>
      <x:c r="K595" s="11" t="n">
        <x:v>0</x:v>
      </x:c>
      <x:c r="L595" s="11" t="n">
        <x:f>IF(B595="NED",1,IF(OR(B595="ED",B595="UN"),0,""))</x:f>
        <x:v>0</x:v>
      </x:c>
      <x:c r="M595" s="11" t="n">
        <x:f>IF(AND(K595=1,OR(B595="ED",B595="NED")),1,0)</x:f>
        <x:v>0</x:v>
      </x:c>
      <x:c r="N595" s="11" t="n">
        <x:f>IF(K595=1,1,0)</x:f>
        <x:v>0</x:v>
      </x:c>
      <x:c r="O595" s="12" t="str">
        <x:v>Retain protein mean pLDDT &gt;=70</x:v>
      </x:c>
      <x:c r="P595" s="11" t="n">
        <x:v>0</x:v>
      </x:c>
      <x:c r="Q595" s="12" t="str">
        <x:v>AF-O88907-F1-model_v6</x:v>
      </x:c>
      <x:c r="R595" s="12" t="str">
        <x:v>ok</x:v>
      </x:c>
      <x:c r="S595" s="11" t="n">
        <x:v>211</x:v>
      </x:c>
      <x:c r="T595" s="11" t="n">
        <x:v>651</x:v>
      </x:c>
    </x:row>
    <x:row r="596" ht="23" customHeight="1">
      <x:c r="A596" s="2" t="str">
        <x:v>O88952</x:v>
      </x:c>
      <x:c r="B596" s="2" t="str">
        <x:v>ED</x:v>
      </x:c>
      <x:c r="C596" s="2" t="n">
        <x:v>1</x:v>
      </x:c>
      <x:c r="D596" s="2" t="n">
        <x:v>1</x:v>
      </x:c>
      <x:c r="E596" s="10"/>
      <x:c r="F596" s="11" t="n">
        <x:v>197</x:v>
      </x:c>
      <x:c r="G596" s="11" t="n">
        <x:v>0</x:v>
      </x:c>
      <x:c r="H596" s="11" t="n">
        <x:v>0</x:v>
      </x:c>
      <x:c r="I596" s="11" t="n">
        <x:v>1</x:v>
      </x:c>
      <x:c r="J596" s="11" t="n">
        <x:v>0</x:v>
      </x:c>
      <x:c r="K596" s="11" t="n">
        <x:v>0</x:v>
      </x:c>
      <x:c r="L596" s="11" t="n">
        <x:f>IF(B596="NED",1,IF(OR(B596="ED",B596="UN"),0,""))</x:f>
        <x:v>0</x:v>
      </x:c>
      <x:c r="M596" s="11" t="n">
        <x:f>IF(AND(K596=1,OR(B596="ED",B596="NED")),1,0)</x:f>
        <x:v>0</x:v>
      </x:c>
      <x:c r="N596" s="11" t="n">
        <x:f>IF(K596=1,1,0)</x:f>
        <x:v>0</x:v>
      </x:c>
      <x:c r="O596" s="12" t="str">
        <x:v>Exclude UniProt Membrane keyword</x:v>
      </x:c>
      <x:c r="P596" s="11" t="n">
        <x:v>0</x:v>
      </x:c>
      <x:c r="Q596" s="12" t="str">
        <x:v>AF-O88952-F1-model_v6</x:v>
      </x:c>
      <x:c r="R596" s="12" t="str">
        <x:v>ok</x:v>
      </x:c>
      <x:c r="S596" s="11" t="n">
        <x:v>212</x:v>
      </x:c>
      <x:c r="T596" s="11" t="n">
        <x:v>197</x:v>
      </x:c>
    </x:row>
    <x:row r="597" ht="23" customHeight="1">
      <x:c r="A597" s="2" t="str">
        <x:v>O88958</x:v>
      </x:c>
      <x:c r="B597" s="2" t="str">
        <x:v>UN</x:v>
      </x:c>
      <x:c r="C597" s="2" t="n">
        <x:v>1</x:v>
      </x:c>
      <x:c r="D597" s="2" t="n">
        <x:v>1</x:v>
      </x:c>
      <x:c r="E597" s="10" t="n">
        <x:v>95.81961937716262</x:v>
      </x:c>
      <x:c r="F597" s="11" t="n">
        <x:v>289</x:v>
      </x:c>
      <x:c r="G597" s="11" t="n">
        <x:v>0</x:v>
      </x:c>
      <x:c r="H597" s="11" t="n">
        <x:v>0</x:v>
      </x:c>
      <x:c r="I597" s="11" t="n">
        <x:v>0</x:v>
      </x:c>
      <x:c r="J597" s="11" t="n">
        <x:v>0</x:v>
      </x:c>
      <x:c r="K597" s="11" t="n">
        <x:v>1</x:v>
      </x:c>
      <x:c r="L597" s="11" t="n">
        <x:f>IF(B597="NED",1,IF(OR(B597="ED",B597="UN"),0,""))</x:f>
        <x:v>0</x:v>
      </x:c>
      <x:c r="M597" s="11" t="n">
        <x:f>IF(AND(K597=1,OR(B597="ED",B597="NED")),1,0)</x:f>
        <x:v>0</x:v>
      </x:c>
      <x:c r="N597" s="11" t="n">
        <x:f>IF(K597=1,1,0)</x:f>
        <x:v>1</x:v>
      </x:c>
      <x:c r="O597" s="12"/>
      <x:c r="P597" s="11" t="n">
        <x:v>0</x:v>
      </x:c>
      <x:c r="Q597" s="12" t="str">
        <x:v>AF-O88958-F1-model_v6</x:v>
      </x:c>
      <x:c r="R597" s="12" t="str">
        <x:v>ok</x:v>
      </x:c>
      <x:c r="S597" s="11" t="n">
        <x:v>213</x:v>
      </x:c>
      <x:c r="T597" s="11" t="n">
        <x:v>289</x:v>
      </x:c>
    </x:row>
    <x:row r="598" ht="23" customHeight="1">
      <x:c r="A598" s="2" t="str">
        <x:v>O88974</x:v>
      </x:c>
      <x:c r="B598" s="2" t="str">
        <x:v>ED</x:v>
      </x:c>
      <x:c r="C598" s="2" t="n">
        <x:v>1</x:v>
      </x:c>
      <x:c r="D598" s="2" t="n">
        <x:v>1</x:v>
      </x:c>
      <x:c r="E598" s="10" t="n">
        <x:v>64.81280795715378</x:v>
      </x:c>
      <x:c r="F598" s="11" t="n">
        <x:v>1307</x:v>
      </x:c>
      <x:c r="G598" s="11" t="n">
        <x:v>0</x:v>
      </x:c>
      <x:c r="H598" s="11" t="n">
        <x:v>0</x:v>
      </x:c>
      <x:c r="I598" s="11" t="n">
        <x:v>0</x:v>
      </x:c>
      <x:c r="J598" s="11" t="n">
        <x:v>0</x:v>
      </x:c>
      <x:c r="K598" s="11" t="n">
        <x:v>0</x:v>
      </x:c>
      <x:c r="L598" s="11" t="n">
        <x:f>IF(B598="NED",1,IF(OR(B598="ED",B598="UN"),0,""))</x:f>
        <x:v>0</x:v>
      </x:c>
      <x:c r="M598" s="11" t="n">
        <x:f>IF(AND(K598=1,OR(B598="ED",B598="NED")),1,0)</x:f>
        <x:v>0</x:v>
      </x:c>
      <x:c r="N598" s="11" t="n">
        <x:f>IF(K598=1,1,0)</x:f>
        <x:v>0</x:v>
      </x:c>
      <x:c r="O598" s="12" t="str">
        <x:v>Retain protein mean pLDDT &gt;=70</x:v>
      </x:c>
      <x:c r="P598" s="11" t="n">
        <x:v>0</x:v>
      </x:c>
      <x:c r="Q598" s="12" t="str">
        <x:v>AF-O88974-F1-model_v6</x:v>
      </x:c>
      <x:c r="R598" s="12" t="str">
        <x:v>ok</x:v>
      </x:c>
      <x:c r="S598" s="11" t="n">
        <x:v>214</x:v>
      </x:c>
      <x:c r="T598" s="11" t="n">
        <x:v>1307</x:v>
      </x:c>
    </x:row>
    <x:row r="599" ht="23" customHeight="1">
      <x:c r="A599" s="2" t="str">
        <x:v>O88986</x:v>
      </x:c>
      <x:c r="B599" s="2" t="str">
        <x:v>UN</x:v>
      </x:c>
      <x:c r="C599" s="2" t="n">
        <x:v>1</x:v>
      </x:c>
      <x:c r="D599" s="2" t="n">
        <x:v>1</x:v>
      </x:c>
      <x:c r="E599" s="10" t="n">
        <x:v>93.82026442307694</x:v>
      </x:c>
      <x:c r="F599" s="11" t="n">
        <x:v>416</x:v>
      </x:c>
      <x:c r="G599" s="11" t="n">
        <x:v>0</x:v>
      </x:c>
      <x:c r="H599" s="11" t="n">
        <x:v>0</x:v>
      </x:c>
      <x:c r="I599" s="11" t="n">
        <x:v>0</x:v>
      </x:c>
      <x:c r="J599" s="11" t="n">
        <x:v>0</x:v>
      </x:c>
      <x:c r="K599" s="11" t="n">
        <x:v>1</x:v>
      </x:c>
      <x:c r="L599" s="11" t="n">
        <x:f>IF(B599="NED",1,IF(OR(B599="ED",B599="UN"),0,""))</x:f>
        <x:v>0</x:v>
      </x:c>
      <x:c r="M599" s="11" t="n">
        <x:f>IF(AND(K599=1,OR(B599="ED",B599="NED")),1,0)</x:f>
        <x:v>0</x:v>
      </x:c>
      <x:c r="N599" s="11" t="n">
        <x:f>IF(K599=1,1,0)</x:f>
        <x:v>1</x:v>
      </x:c>
      <x:c r="O599" s="12"/>
      <x:c r="P599" s="11" t="n">
        <x:v>0</x:v>
      </x:c>
      <x:c r="Q599" s="12" t="str">
        <x:v>AF-O88986-F1-model_v6</x:v>
      </x:c>
      <x:c r="R599" s="12" t="str">
        <x:v>ok</x:v>
      </x:c>
      <x:c r="S599" s="11" t="n">
        <x:v>215</x:v>
      </x:c>
      <x:c r="T599" s="11" t="n">
        <x:v>416</x:v>
      </x:c>
    </x:row>
    <x:row r="600" ht="23" customHeight="1">
      <x:c r="A600" s="2" t="str">
        <x:v>O89001</x:v>
      </x:c>
      <x:c r="B600" s="2" t="str">
        <x:v>ED</x:v>
      </x:c>
      <x:c r="C600" s="2"/>
      <x:c r="D600" s="2"/>
      <x:c r="E600" s="10"/>
      <x:c r="F600" s="11" t="n">
        <x:v>1377</x:v>
      </x:c>
      <x:c r="G600" s="11" t="n">
        <x:v>0</x:v>
      </x:c>
      <x:c r="H600" s="11" t="n">
        <x:v>1</x:v>
      </x:c>
      <x:c r="I600" s="11" t="n">
        <x:v>1</x:v>
      </x:c>
      <x:c r="J600" s="11" t="n">
        <x:v>0</x:v>
      </x:c>
      <x:c r="K600" s="11" t="n">
        <x:v>0</x:v>
      </x:c>
      <x:c r="L600" s="11" t="n">
        <x:f>IF(B600="NED",1,IF(OR(B600="ED",B600="UN"),0,""))</x:f>
        <x:v>0</x:v>
      </x:c>
      <x:c r="M600" s="11" t="n">
        <x:f>IF(AND(K600=1,OR(B600="ED",B600="NED")),1,0)</x:f>
        <x:v>0</x:v>
      </x:c>
      <x:c r="N600" s="11" t="n">
        <x:f>IF(K600=1,1,0)</x:f>
        <x:v>0</x:v>
      </x:c>
      <x:c r="O600" s="12" t="str">
        <x:v>Require binary native NCLE status</x:v>
      </x:c>
      <x:c r="P600" s="11" t="n">
        <x:v>0</x:v>
      </x:c>
      <x:c r="Q600" s="12" t="str">
        <x:v>AF-O89001-F1-model_v6</x:v>
      </x:c>
      <x:c r="R600" s="12" t="str">
        <x:v>ok</x:v>
      </x:c>
      <x:c r="S600" s="11" t="n">
        <x:v>216</x:v>
      </x:c>
      <x:c r="T600" s="11" t="n">
        <x:v>1377</x:v>
      </x:c>
    </x:row>
    <x:row r="601" ht="23" customHeight="1">
      <x:c r="A601" s="2" t="str">
        <x:v>O89023</x:v>
      </x:c>
      <x:c r="B601" s="2" t="str">
        <x:v>ED</x:v>
      </x:c>
      <x:c r="C601" s="2"/>
      <x:c r="D601" s="2"/>
      <x:c r="E601" s="10"/>
      <x:c r="F601" s="11" t="n">
        <x:v>562</x:v>
      </x:c>
      <x:c r="G601" s="11" t="n">
        <x:v>0</x:v>
      </x:c>
      <x:c r="H601" s="11" t="n">
        <x:v>1</x:v>
      </x:c>
      <x:c r="I601" s="11" t="n">
        <x:v>0</x:v>
      </x:c>
      <x:c r="J601" s="11" t="n">
        <x:v>0</x:v>
      </x:c>
      <x:c r="K601" s="11" t="n">
        <x:v>0</x:v>
      </x:c>
      <x:c r="L601" s="11" t="n">
        <x:f>IF(B601="NED",1,IF(OR(B601="ED",B601="UN"),0,""))</x:f>
        <x:v>0</x:v>
      </x:c>
      <x:c r="M601" s="11" t="n">
        <x:f>IF(AND(K601=1,OR(B601="ED",B601="NED")),1,0)</x:f>
        <x:v>0</x:v>
      </x:c>
      <x:c r="N601" s="11" t="n">
        <x:f>IF(K601=1,1,0)</x:f>
        <x:v>0</x:v>
      </x:c>
      <x:c r="O601" s="12" t="str">
        <x:v>Require binary native NCLE status</x:v>
      </x:c>
      <x:c r="P601" s="11" t="n">
        <x:v>0</x:v>
      </x:c>
      <x:c r="Q601" s="12" t="str">
        <x:v>AF-O89023-F1-model_v6</x:v>
      </x:c>
      <x:c r="R601" s="12" t="str">
        <x:v>ok</x:v>
      </x:c>
      <x:c r="S601" s="11" t="n">
        <x:v>217</x:v>
      </x:c>
      <x:c r="T601" s="11" t="n">
        <x:v>562</x:v>
      </x:c>
    </x:row>
    <x:row r="602" ht="23" customHeight="1">
      <x:c r="A602" s="2" t="str">
        <x:v>O89050</x:v>
      </x:c>
      <x:c r="B602" s="2" t="str">
        <x:v>UN</x:v>
      </x:c>
      <x:c r="C602" s="2" t="n">
        <x:v>1</x:v>
      </x:c>
      <x:c r="D602" s="2" t="n">
        <x:v>1</x:v>
      </x:c>
      <x:c r="E602" s="10" t="n">
        <x:v>89.36229931972788</x:v>
      </x:c>
      <x:c r="F602" s="11" t="n">
        <x:v>735</x:v>
      </x:c>
      <x:c r="G602" s="11" t="n">
        <x:v>0</x:v>
      </x:c>
      <x:c r="H602" s="11" t="n">
        <x:v>0</x:v>
      </x:c>
      <x:c r="I602" s="11" t="n">
        <x:v>0</x:v>
      </x:c>
      <x:c r="J602" s="11" t="n">
        <x:v>0</x:v>
      </x:c>
      <x:c r="K602" s="11" t="n">
        <x:v>1</x:v>
      </x:c>
      <x:c r="L602" s="11" t="n">
        <x:f>IF(B602="NED",1,IF(OR(B602="ED",B602="UN"),0,""))</x:f>
        <x:v>0</x:v>
      </x:c>
      <x:c r="M602" s="11" t="n">
        <x:f>IF(AND(K602=1,OR(B602="ED",B602="NED")),1,0)</x:f>
        <x:v>0</x:v>
      </x:c>
      <x:c r="N602" s="11" t="n">
        <x:f>IF(K602=1,1,0)</x:f>
        <x:v>1</x:v>
      </x:c>
      <x:c r="O602" s="12"/>
      <x:c r="P602" s="11" t="n">
        <x:v>0</x:v>
      </x:c>
      <x:c r="Q602" s="12" t="str">
        <x:v>AF-O89050-F1-model_v6</x:v>
      </x:c>
      <x:c r="R602" s="12" t="str">
        <x:v>ok</x:v>
      </x:c>
      <x:c r="S602" s="11" t="n">
        <x:v>218</x:v>
      </x:c>
      <x:c r="T602" s="11" t="n">
        <x:v>735</x:v>
      </x:c>
    </x:row>
    <x:row r="603" ht="23" customHeight="1">
      <x:c r="A603" s="2" t="str">
        <x:v>O89110</x:v>
      </x:c>
      <x:c r="B603" s="2" t="str">
        <x:v>ED</x:v>
      </x:c>
      <x:c r="C603" s="2" t="n">
        <x:v>1</x:v>
      </x:c>
      <x:c r="D603" s="2" t="n">
        <x:v>1</x:v>
      </x:c>
      <x:c r="E603" s="10" t="n">
        <x:v>82.17266666666666</x:v>
      </x:c>
      <x:c r="F603" s="11" t="n">
        <x:v>480</x:v>
      </x:c>
      <x:c r="G603" s="11" t="n">
        <x:v>0</x:v>
      </x:c>
      <x:c r="H603" s="11" t="n">
        <x:v>0</x:v>
      </x:c>
      <x:c r="I603" s="11" t="n">
        <x:v>0</x:v>
      </x:c>
      <x:c r="J603" s="11" t="n">
        <x:v>0</x:v>
      </x:c>
      <x:c r="K603" s="11" t="n">
        <x:v>1</x:v>
      </x:c>
      <x:c r="L603" s="11" t="n">
        <x:f>IF(B603="NED",1,IF(OR(B603="ED",B603="UN"),0,""))</x:f>
        <x:v>0</x:v>
      </x:c>
      <x:c r="M603" s="11" t="n">
        <x:f>IF(AND(K603=1,OR(B603="ED",B603="NED")),1,0)</x:f>
        <x:v>1</x:v>
      </x:c>
      <x:c r="N603" s="11" t="n">
        <x:f>IF(K603=1,1,0)</x:f>
        <x:v>1</x:v>
      </x:c>
      <x:c r="O603" s="12"/>
      <x:c r="P603" s="11" t="n">
        <x:v>0</x:v>
      </x:c>
      <x:c r="Q603" s="12" t="str">
        <x:v>AF-O89110-F1-model_v6</x:v>
      </x:c>
      <x:c r="R603" s="12" t="str">
        <x:v>ok</x:v>
      </x:c>
      <x:c r="S603" s="11" t="n">
        <x:v>219</x:v>
      </x:c>
      <x:c r="T603" s="11" t="n">
        <x:v>480</x:v>
      </x:c>
    </x:row>
    <x:row r="604" ht="23" customHeight="1">
      <x:c r="A604" s="2" t="str">
        <x:v>O89112</x:v>
      </x:c>
      <x:c r="B604" s="2" t="str">
        <x:v>ED</x:v>
      </x:c>
      <x:c r="C604" s="2" t="n">
        <x:v>0</x:v>
      </x:c>
      <x:c r="D604" s="2" t="n">
        <x:v>0</x:v>
      </x:c>
      <x:c r="E604" s="10"/>
      <x:c r="F604" s="11" t="n">
        <x:v>399</x:v>
      </x:c>
      <x:c r="G604" s="11" t="n">
        <x:v>0</x:v>
      </x:c>
      <x:c r="H604" s="11" t="n">
        <x:v>0</x:v>
      </x:c>
      <x:c r="I604" s="11" t="n">
        <x:v>1</x:v>
      </x:c>
      <x:c r="J604" s="11" t="n">
        <x:v>0</x:v>
      </x:c>
      <x:c r="K604" s="11" t="n">
        <x:v>0</x:v>
      </x:c>
      <x:c r="L604" s="11" t="n">
        <x:f>IF(B604="NED",1,IF(OR(B604="ED",B604="UN"),0,""))</x:f>
        <x:v>0</x:v>
      </x:c>
      <x:c r="M604" s="11" t="n">
        <x:f>IF(AND(K604=1,OR(B604="ED",B604="NED")),1,0)</x:f>
        <x:v>0</x:v>
      </x:c>
      <x:c r="N604" s="11" t="n">
        <x:f>IF(K604=1,1,0)</x:f>
        <x:v>0</x:v>
      </x:c>
      <x:c r="O604" s="12" t="str">
        <x:v>Exclude UniProt Membrane keyword</x:v>
      </x:c>
      <x:c r="P604" s="11" t="n">
        <x:v>0</x:v>
      </x:c>
      <x:c r="Q604" s="12" t="str">
        <x:v>AF-O89112-F1-model_v6</x:v>
      </x:c>
      <x:c r="R604" s="12" t="str">
        <x:v>ok</x:v>
      </x:c>
      <x:c r="S604" s="11" t="n">
        <x:v>220</x:v>
      </x:c>
      <x:c r="T604" s="11" t="n">
        <x:v>399</x:v>
      </x:c>
    </x:row>
    <x:row r="605" ht="23" customHeight="1">
      <x:c r="A605" s="2" t="str">
        <x:v>P00375</x:v>
      </x:c>
      <x:c r="B605" s="2" t="str">
        <x:v>UN</x:v>
      </x:c>
      <x:c r="C605" s="2" t="n">
        <x:v>1</x:v>
      </x:c>
      <x:c r="D605" s="2" t="n">
        <x:v>1</x:v>
      </x:c>
      <x:c r="E605" s="10" t="n">
        <x:v>97.00529411764708</x:v>
      </x:c>
      <x:c r="F605" s="11" t="n">
        <x:v>187</x:v>
      </x:c>
      <x:c r="G605" s="11" t="n">
        <x:v>0</x:v>
      </x:c>
      <x:c r="H605" s="11" t="n">
        <x:v>0</x:v>
      </x:c>
      <x:c r="I605" s="11" t="n">
        <x:v>0</x:v>
      </x:c>
      <x:c r="J605" s="11" t="n">
        <x:v>0</x:v>
      </x:c>
      <x:c r="K605" s="11" t="n">
        <x:v>1</x:v>
      </x:c>
      <x:c r="L605" s="11" t="n">
        <x:f>IF(B605="NED",1,IF(OR(B605="ED",B605="UN"),0,""))</x:f>
        <x:v>0</x:v>
      </x:c>
      <x:c r="M605" s="11" t="n">
        <x:f>IF(AND(K605=1,OR(B605="ED",B605="NED")),1,0)</x:f>
        <x:v>0</x:v>
      </x:c>
      <x:c r="N605" s="11" t="n">
        <x:f>IF(K605=1,1,0)</x:f>
        <x:v>1</x:v>
      </x:c>
      <x:c r="O605" s="12"/>
      <x:c r="P605" s="11" t="n">
        <x:v>0</x:v>
      </x:c>
      <x:c r="Q605" s="12" t="str">
        <x:v>AF-P00375-F1-model_v6</x:v>
      </x:c>
      <x:c r="R605" s="12" t="str">
        <x:v>ok</x:v>
      </x:c>
      <x:c r="S605" s="11" t="n">
        <x:v>221</x:v>
      </x:c>
      <x:c r="T605" s="11" t="n">
        <x:v>187</x:v>
      </x:c>
    </x:row>
    <x:row r="606" ht="23" customHeight="1">
      <x:c r="A606" s="2" t="str">
        <x:v>P00493</x:v>
      </x:c>
      <x:c r="B606" s="2" t="str">
        <x:v>NED</x:v>
      </x:c>
      <x:c r="C606" s="2" t="n">
        <x:v>1</x:v>
      </x:c>
      <x:c r="D606" s="2" t="n">
        <x:v>1</x:v>
      </x:c>
      <x:c r="E606" s="10" t="n">
        <x:v>92.12798165137616</x:v>
      </x:c>
      <x:c r="F606" s="11" t="n">
        <x:v>218</x:v>
      </x:c>
      <x:c r="G606" s="11" t="n">
        <x:v>0</x:v>
      </x:c>
      <x:c r="H606" s="11" t="n">
        <x:v>0</x:v>
      </x:c>
      <x:c r="I606" s="11" t="n">
        <x:v>0</x:v>
      </x:c>
      <x:c r="J606" s="11" t="n">
        <x:v>0</x:v>
      </x:c>
      <x:c r="K606" s="11" t="n">
        <x:v>1</x:v>
      </x:c>
      <x:c r="L606" s="11" t="n">
        <x:f>IF(B606="NED",1,IF(OR(B606="ED",B606="UN"),0,""))</x:f>
        <x:v>1</x:v>
      </x:c>
      <x:c r="M606" s="11" t="n">
        <x:f>IF(AND(K606=1,OR(B606="ED",B606="NED")),1,0)</x:f>
        <x:v>1</x:v>
      </x:c>
      <x:c r="N606" s="11" t="n">
        <x:f>IF(K606=1,1,0)</x:f>
        <x:v>1</x:v>
      </x:c>
      <x:c r="O606" s="12"/>
      <x:c r="P606" s="11" t="n">
        <x:v>0</x:v>
      </x:c>
      <x:c r="Q606" s="12" t="str">
        <x:v>AF-P00493-F1-model_v6</x:v>
      </x:c>
      <x:c r="R606" s="12" t="str">
        <x:v>ok</x:v>
      </x:c>
      <x:c r="S606" s="11" t="n">
        <x:v>222</x:v>
      </x:c>
      <x:c r="T606" s="11" t="n">
        <x:v>218</x:v>
      </x:c>
    </x:row>
    <x:row r="607" ht="23" customHeight="1">
      <x:c r="A607" s="2" t="str">
        <x:v>P01897</x:v>
      </x:c>
      <x:c r="B607" s="2" t="str">
        <x:v>UN</x:v>
      </x:c>
      <x:c r="C607" s="2" t="n">
        <x:v>0</x:v>
      </x:c>
      <x:c r="D607" s="2" t="n">
        <x:v>0</x:v>
      </x:c>
      <x:c r="E607" s="10"/>
      <x:c r="F607" s="11" t="n">
        <x:v>362</x:v>
      </x:c>
      <x:c r="G607" s="11" t="n">
        <x:v>0</x:v>
      </x:c>
      <x:c r="H607" s="11" t="n">
        <x:v>0</x:v>
      </x:c>
      <x:c r="I607" s="11" t="n">
        <x:v>1</x:v>
      </x:c>
      <x:c r="J607" s="11" t="n">
        <x:v>0</x:v>
      </x:c>
      <x:c r="K607" s="11" t="n">
        <x:v>0</x:v>
      </x:c>
      <x:c r="L607" s="11" t="n">
        <x:f>IF(B607="NED",1,IF(OR(B607="ED",B607="UN"),0,""))</x:f>
        <x:v>0</x:v>
      </x:c>
      <x:c r="M607" s="11" t="n">
        <x:f>IF(AND(K607=1,OR(B607="ED",B607="NED")),1,0)</x:f>
        <x:v>0</x:v>
      </x:c>
      <x:c r="N607" s="11" t="n">
        <x:f>IF(K607=1,1,0)</x:f>
        <x:v>0</x:v>
      </x:c>
      <x:c r="O607" s="12" t="str">
        <x:v>Exclude UniProt Membrane keyword</x:v>
      </x:c>
      <x:c r="P607" s="11" t="n">
        <x:v>0</x:v>
      </x:c>
      <x:c r="Q607" s="12" t="str">
        <x:v>AF-P01897-F1-model_v6</x:v>
      </x:c>
      <x:c r="R607" s="12" t="str">
        <x:v>ok</x:v>
      </x:c>
      <x:c r="S607" s="11" t="n">
        <x:v>223</x:v>
      </x:c>
      <x:c r="T607" s="11" t="n">
        <x:v>362</x:v>
      </x:c>
    </x:row>
    <x:row r="608" ht="23" customHeight="1">
      <x:c r="A608" s="2" t="str">
        <x:v>P01899</x:v>
      </x:c>
      <x:c r="B608" s="2" t="str">
        <x:v>NED</x:v>
      </x:c>
      <x:c r="C608" s="2"/>
      <x:c r="D608" s="2"/>
      <x:c r="E608" s="10"/>
      <x:c r="F608" s="11"/>
      <x:c r="G608" s="11" t="n">
        <x:v>0</x:v>
      </x:c>
      <x:c r="H608" s="11" t="n">
        <x:v>0</x:v>
      </x:c>
      <x:c r="I608" s="11" t="n">
        <x:v>1</x:v>
      </x:c>
      <x:c r="J608" s="11" t="n">
        <x:v>0</x:v>
      </x:c>
      <x:c r="K608" s="11" t="n">
        <x:v>0</x:v>
      </x:c>
      <x:c r="L608" s="11" t="n">
        <x:f>IF(B608="NED",1,IF(OR(B608="ED",B608="UN"),0,""))</x:f>
        <x:v>1</x:v>
      </x:c>
      <x:c r="M608" s="11" t="n">
        <x:f>IF(AND(K608=1,OR(B608="ED",B608="NED")),1,0)</x:f>
        <x:v>0</x:v>
      </x:c>
      <x:c r="N608" s="11" t="n">
        <x:f>IF(K608=1,1,0)</x:f>
        <x:v>0</x:v>
      </x:c>
      <x:c r="O608" s="12" t="str">
        <x:v>Require exact native accession match</x:v>
      </x:c>
      <x:c r="P608" s="11" t="n">
        <x:v>0</x:v>
      </x:c>
      <x:c r="Q608" s="12"/>
      <x:c r="R608" s="12"/>
      <x:c r="S608" s="11" t="n">
        <x:v>224</x:v>
      </x:c>
      <x:c r="T608" s="11" t="n">
        <x:v>362</x:v>
      </x:c>
    </x:row>
    <x:row r="609" ht="23" customHeight="1">
      <x:c r="A609" s="2" t="str">
        <x:v>P02469</x:v>
      </x:c>
      <x:c r="B609" s="2" t="str">
        <x:v>ED</x:v>
      </x:c>
      <x:c r="C609" s="2" t="n">
        <x:v>1</x:v>
      </x:c>
      <x:c r="D609" s="2" t="n">
        <x:v>1</x:v>
      </x:c>
      <x:c r="E609" s="10"/>
      <x:c r="F609" s="11" t="n">
        <x:v>1786</x:v>
      </x:c>
      <x:c r="G609" s="11" t="n">
        <x:v>0</x:v>
      </x:c>
      <x:c r="H609" s="11" t="n">
        <x:v>0</x:v>
      </x:c>
      <x:c r="I609" s="11" t="n">
        <x:v>0</x:v>
      </x:c>
      <x:c r="J609" s="11" t="n">
        <x:v>1</x:v>
      </x:c>
      <x:c r="K609" s="11" t="n">
        <x:v>0</x:v>
      </x:c>
      <x:c r="L609" s="11" t="n">
        <x:f>IF(B609="NED",1,IF(OR(B609="ED",B609="UN"),0,""))</x:f>
        <x:v>0</x:v>
      </x:c>
      <x:c r="M609" s="11" t="n">
        <x:f>IF(AND(K609=1,OR(B609="ED",B609="NED")),1,0)</x:f>
        <x:v>0</x:v>
      </x:c>
      <x:c r="N609" s="11" t="n">
        <x:f>IF(K609=1,1,0)</x:f>
        <x:v>0</x:v>
      </x:c>
      <x:c r="O609" s="12" t="str">
        <x:v>Exclude UniProt Secreted keyword</x:v>
      </x:c>
      <x:c r="P609" s="11" t="n">
        <x:v>0</x:v>
      </x:c>
      <x:c r="Q609" s="12" t="str">
        <x:v>AF-P02469-F1-model_v6</x:v>
      </x:c>
      <x:c r="R609" s="12" t="str">
        <x:v>ok</x:v>
      </x:c>
      <x:c r="S609" s="11" t="n">
        <x:v>225</x:v>
      </x:c>
      <x:c r="T609" s="11" t="n">
        <x:v>1786</x:v>
      </x:c>
    </x:row>
    <x:row r="610" ht="23" customHeight="1">
      <x:c r="A610" s="2" t="str">
        <x:v>P03991</x:v>
      </x:c>
      <x:c r="B610" s="2" t="str">
        <x:v>NED</x:v>
      </x:c>
      <x:c r="C610" s="2"/>
      <x:c r="D610" s="2"/>
      <x:c r="E610" s="10"/>
      <x:c r="F610" s="11"/>
      <x:c r="G610" s="11" t="n">
        <x:v>0</x:v>
      </x:c>
      <x:c r="H610" s="11" t="n">
        <x:v>0</x:v>
      </x:c>
      <x:c r="I610" s="11" t="n">
        <x:v>1</x:v>
      </x:c>
      <x:c r="J610" s="11" t="n">
        <x:v>0</x:v>
      </x:c>
      <x:c r="K610" s="11" t="n">
        <x:v>0</x:v>
      </x:c>
      <x:c r="L610" s="11" t="n">
        <x:f>IF(B610="NED",1,IF(OR(B610="ED",B610="UN"),0,""))</x:f>
        <x:v>1</x:v>
      </x:c>
      <x:c r="M610" s="11" t="n">
        <x:f>IF(AND(K610=1,OR(B610="ED",B610="NED")),1,0)</x:f>
        <x:v>0</x:v>
      </x:c>
      <x:c r="N610" s="11" t="n">
        <x:f>IF(K610=1,1,0)</x:f>
        <x:v>0</x:v>
      </x:c>
      <x:c r="O610" s="12" t="str">
        <x:v>Require exact native accession match</x:v>
      </x:c>
      <x:c r="P610" s="11" t="n">
        <x:v>0</x:v>
      </x:c>
      <x:c r="Q610" s="12"/>
      <x:c r="R610" s="12"/>
      <x:c r="S610" s="11" t="n">
        <x:v>226</x:v>
      </x:c>
      <x:c r="T610" s="11" t="n">
        <x:v>368</x:v>
      </x:c>
    </x:row>
    <x:row r="611" ht="23" customHeight="1">
      <x:c r="A611" s="2" t="str">
        <x:v>P04627</x:v>
      </x:c>
      <x:c r="B611" s="2" t="str">
        <x:v>ED</x:v>
      </x:c>
      <x:c r="C611" s="2" t="n">
        <x:v>1</x:v>
      </x:c>
      <x:c r="D611" s="2" t="n">
        <x:v>1</x:v>
      </x:c>
      <x:c r="E611" s="10" t="n">
        <x:v>70.07708609271523</x:v>
      </x:c>
      <x:c r="F611" s="11" t="n">
        <x:v>604</x:v>
      </x:c>
      <x:c r="G611" s="11" t="n">
        <x:v>0</x:v>
      </x:c>
      <x:c r="H611" s="11" t="n">
        <x:v>0</x:v>
      </x:c>
      <x:c r="I611" s="11" t="n">
        <x:v>0</x:v>
      </x:c>
      <x:c r="J611" s="11" t="n">
        <x:v>0</x:v>
      </x:c>
      <x:c r="K611" s="11" t="n">
        <x:v>1</x:v>
      </x:c>
      <x:c r="L611" s="11" t="n">
        <x:f>IF(B611="NED",1,IF(OR(B611="ED",B611="UN"),0,""))</x:f>
        <x:v>0</x:v>
      </x:c>
      <x:c r="M611" s="11" t="n">
        <x:f>IF(AND(K611=1,OR(B611="ED",B611="NED")),1,0)</x:f>
        <x:v>1</x:v>
      </x:c>
      <x:c r="N611" s="11" t="n">
        <x:f>IF(K611=1,1,0)</x:f>
        <x:v>1</x:v>
      </x:c>
      <x:c r="O611" s="12"/>
      <x:c r="P611" s="11" t="n">
        <x:v>0</x:v>
      </x:c>
      <x:c r="Q611" s="12" t="str">
        <x:v>AF-P04627-F1-model_v6</x:v>
      </x:c>
      <x:c r="R611" s="12" t="str">
        <x:v>ok</x:v>
      </x:c>
      <x:c r="S611" s="11" t="n">
        <x:v>227</x:v>
      </x:c>
      <x:c r="T611" s="11" t="n">
        <x:v>604</x:v>
      </x:c>
    </x:row>
    <x:row r="612" ht="23" customHeight="1">
      <x:c r="A612" s="2" t="str">
        <x:v>P05064</x:v>
      </x:c>
      <x:c r="B612" s="2" t="str">
        <x:v>ED</x:v>
      </x:c>
      <x:c r="C612" s="2" t="n">
        <x:v>1</x:v>
      </x:c>
      <x:c r="D612" s="2" t="n">
        <x:v>1</x:v>
      </x:c>
      <x:c r="E612" s="10" t="n">
        <x:v>96.52818681318682</x:v>
      </x:c>
      <x:c r="F612" s="11" t="n">
        <x:v>364</x:v>
      </x:c>
      <x:c r="G612" s="11" t="n">
        <x:v>0</x:v>
      </x:c>
      <x:c r="H612" s="11" t="n">
        <x:v>0</x:v>
      </x:c>
      <x:c r="I612" s="11" t="n">
        <x:v>0</x:v>
      </x:c>
      <x:c r="J612" s="11" t="n">
        <x:v>0</x:v>
      </x:c>
      <x:c r="K612" s="11" t="n">
        <x:v>1</x:v>
      </x:c>
      <x:c r="L612" s="11" t="n">
        <x:f>IF(B612="NED",1,IF(OR(B612="ED",B612="UN"),0,""))</x:f>
        <x:v>0</x:v>
      </x:c>
      <x:c r="M612" s="11" t="n">
        <x:f>IF(AND(K612=1,OR(B612="ED",B612="NED")),1,0)</x:f>
        <x:v>1</x:v>
      </x:c>
      <x:c r="N612" s="11" t="n">
        <x:f>IF(K612=1,1,0)</x:f>
        <x:v>1</x:v>
      </x:c>
      <x:c r="O612" s="12"/>
      <x:c r="P612" s="11" t="n">
        <x:v>0</x:v>
      </x:c>
      <x:c r="Q612" s="12" t="str">
        <x:v>AF-P05064-F1-model_v6</x:v>
      </x:c>
      <x:c r="R612" s="12" t="str">
        <x:v>ok</x:v>
      </x:c>
      <x:c r="S612" s="11" t="n">
        <x:v>228</x:v>
      </x:c>
      <x:c r="T612" s="11" t="n">
        <x:v>364</x:v>
      </x:c>
    </x:row>
    <x:row r="613" ht="23" customHeight="1">
      <x:c r="A613" s="2" t="str">
        <x:v>P05132-2</x:v>
      </x:c>
      <x:c r="B613" s="2" t="str">
        <x:v>UN</x:v>
      </x:c>
      <x:c r="C613" s="2"/>
      <x:c r="D613" s="2"/>
      <x:c r="E613" s="10"/>
      <x:c r="F613" s="11"/>
      <x:c r="G613" s="11" t="n">
        <x:v>0</x:v>
      </x:c>
      <x:c r="H613" s="11" t="n">
        <x:v>0</x:v>
      </x:c>
      <x:c r="I613" s="11"/>
      <x:c r="J613" s="11"/>
      <x:c r="K613" s="11" t="n">
        <x:v>0</x:v>
      </x:c>
      <x:c r="L613" s="11" t="n">
        <x:f>IF(B613="NED",1,IF(OR(B613="ED",B613="UN"),0,""))</x:f>
        <x:v>0</x:v>
      </x:c>
      <x:c r="M613" s="11" t="n">
        <x:f>IF(AND(K613=1,OR(B613="ED",B613="NED")),1,0)</x:f>
        <x:v>0</x:v>
      </x:c>
      <x:c r="N613" s="11" t="n">
        <x:f>IF(K613=1,1,0)</x:f>
        <x:v>0</x:v>
      </x:c>
      <x:c r="O613" s="12" t="str">
        <x:v>Require exact native accession match</x:v>
      </x:c>
      <x:c r="P613" s="11" t="n">
        <x:v>0</x:v>
      </x:c>
      <x:c r="Q613" s="12"/>
      <x:c r="R613" s="12"/>
      <x:c r="S613" s="11" t="n">
        <x:v>229</x:v>
      </x:c>
      <x:c r="T613" s="11"/>
    </x:row>
    <x:row r="614" ht="23" customHeight="1">
      <x:c r="A614" s="2" t="str">
        <x:v>P05201</x:v>
      </x:c>
      <x:c r="B614" s="2" t="str">
        <x:v>ED</x:v>
      </x:c>
      <x:c r="C614" s="2" t="n">
        <x:v>1</x:v>
      </x:c>
      <x:c r="D614" s="2" t="n">
        <x:v>1</x:v>
      </x:c>
      <x:c r="E614" s="10" t="n">
        <x:v>96.63305084745762</x:v>
      </x:c>
      <x:c r="F614" s="11" t="n">
        <x:v>413</x:v>
      </x:c>
      <x:c r="G614" s="11" t="n">
        <x:v>0</x:v>
      </x:c>
      <x:c r="H614" s="11" t="n">
        <x:v>0</x:v>
      </x:c>
      <x:c r="I614" s="11" t="n">
        <x:v>0</x:v>
      </x:c>
      <x:c r="J614" s="11" t="n">
        <x:v>0</x:v>
      </x:c>
      <x:c r="K614" s="11" t="n">
        <x:v>1</x:v>
      </x:c>
      <x:c r="L614" s="11" t="n">
        <x:f>IF(B614="NED",1,IF(OR(B614="ED",B614="UN"),0,""))</x:f>
        <x:v>0</x:v>
      </x:c>
      <x:c r="M614" s="11" t="n">
        <x:f>IF(AND(K614=1,OR(B614="ED",B614="NED")),1,0)</x:f>
        <x:v>1</x:v>
      </x:c>
      <x:c r="N614" s="11" t="n">
        <x:f>IF(K614=1,1,0)</x:f>
        <x:v>1</x:v>
      </x:c>
      <x:c r="O614" s="12"/>
      <x:c r="P614" s="11" t="n">
        <x:v>0</x:v>
      </x:c>
      <x:c r="Q614" s="12" t="str">
        <x:v>AF-P05201-F1-model_v6</x:v>
      </x:c>
      <x:c r="R614" s="12" t="str">
        <x:v>ok</x:v>
      </x:c>
      <x:c r="S614" s="11" t="n">
        <x:v>230</x:v>
      </x:c>
      <x:c r="T614" s="11" t="n">
        <x:v>413</x:v>
      </x:c>
    </x:row>
    <x:row r="615" ht="23" customHeight="1">
      <x:c r="A615" s="2" t="str">
        <x:v>P05202</x:v>
      </x:c>
      <x:c r="B615" s="2" t="str">
        <x:v>ED</x:v>
      </x:c>
      <x:c r="C615" s="2" t="n">
        <x:v>1</x:v>
      </x:c>
      <x:c r="D615" s="2" t="n">
        <x:v>1</x:v>
      </x:c>
      <x:c r="E615" s="10"/>
      <x:c r="F615" s="11" t="n">
        <x:v>430</x:v>
      </x:c>
      <x:c r="G615" s="11" t="n">
        <x:v>0</x:v>
      </x:c>
      <x:c r="H615" s="11" t="n">
        <x:v>0</x:v>
      </x:c>
      <x:c r="I615" s="11" t="n">
        <x:v>1</x:v>
      </x:c>
      <x:c r="J615" s="11" t="n">
        <x:v>0</x:v>
      </x:c>
      <x:c r="K615" s="11" t="n">
        <x:v>0</x:v>
      </x:c>
      <x:c r="L615" s="11" t="n">
        <x:f>IF(B615="NED",1,IF(OR(B615="ED",B615="UN"),0,""))</x:f>
        <x:v>0</x:v>
      </x:c>
      <x:c r="M615" s="11" t="n">
        <x:f>IF(AND(K615=1,OR(B615="ED",B615="NED")),1,0)</x:f>
        <x:v>0</x:v>
      </x:c>
      <x:c r="N615" s="11" t="n">
        <x:f>IF(K615=1,1,0)</x:f>
        <x:v>0</x:v>
      </x:c>
      <x:c r="O615" s="12" t="str">
        <x:v>Exclude UniProt Membrane keyword</x:v>
      </x:c>
      <x:c r="P615" s="11" t="n">
        <x:v>0</x:v>
      </x:c>
      <x:c r="Q615" s="12" t="str">
        <x:v>AF-P05202-F1-model_v6</x:v>
      </x:c>
      <x:c r="R615" s="12" t="str">
        <x:v>ok</x:v>
      </x:c>
      <x:c r="S615" s="11" t="n">
        <x:v>231</x:v>
      </x:c>
      <x:c r="T615" s="11" t="n">
        <x:v>430</x:v>
      </x:c>
    </x:row>
    <x:row r="616" ht="23" customHeight="1">
      <x:c r="A616" s="2" t="str">
        <x:v>P05213</x:v>
      </x:c>
      <x:c r="B616" s="2" t="str">
        <x:v>ED</x:v>
      </x:c>
      <x:c r="C616" s="2" t="n">
        <x:v>1</x:v>
      </x:c>
      <x:c r="D616" s="2" t="n">
        <x:v>1</x:v>
      </x:c>
      <x:c r="E616" s="10" t="n">
        <x:v>91.41558758314856</x:v>
      </x:c>
      <x:c r="F616" s="11" t="n">
        <x:v>451</x:v>
      </x:c>
      <x:c r="G616" s="11" t="n">
        <x:v>0</x:v>
      </x:c>
      <x:c r="H616" s="11" t="n">
        <x:v>0</x:v>
      </x:c>
      <x:c r="I616" s="11" t="n">
        <x:v>0</x:v>
      </x:c>
      <x:c r="J616" s="11" t="n">
        <x:v>0</x:v>
      </x:c>
      <x:c r="K616" s="11" t="n">
        <x:v>1</x:v>
      </x:c>
      <x:c r="L616" s="11" t="n">
        <x:f>IF(B616="NED",1,IF(OR(B616="ED",B616="UN"),0,""))</x:f>
        <x:v>0</x:v>
      </x:c>
      <x:c r="M616" s="11" t="n">
        <x:f>IF(AND(K616=1,OR(B616="ED",B616="NED")),1,0)</x:f>
        <x:v>1</x:v>
      </x:c>
      <x:c r="N616" s="11" t="n">
        <x:f>IF(K616=1,1,0)</x:f>
        <x:v>1</x:v>
      </x:c>
      <x:c r="O616" s="12"/>
      <x:c r="P616" s="11" t="n">
        <x:v>0</x:v>
      </x:c>
      <x:c r="Q616" s="12" t="str">
        <x:v>AF-P05213-F1-model_v6</x:v>
      </x:c>
      <x:c r="R616" s="12" t="str">
        <x:v>ok</x:v>
      </x:c>
      <x:c r="S616" s="11" t="n">
        <x:v>232</x:v>
      </x:c>
      <x:c r="T616" s="11" t="n">
        <x:v>451</x:v>
      </x:c>
    </x:row>
    <x:row r="617" ht="23" customHeight="1">
      <x:c r="A617" s="2" t="str">
        <x:v>P05627</x:v>
      </x:c>
      <x:c r="B617" s="2" t="str">
        <x:v>UN</x:v>
      </x:c>
      <x:c r="C617" s="2" t="n">
        <x:v>0</x:v>
      </x:c>
      <x:c r="D617" s="2" t="n">
        <x:v>0</x:v>
      </x:c>
      <x:c r="E617" s="10" t="n">
        <x:v>61.05880239520958</x:v>
      </x:c>
      <x:c r="F617" s="11" t="n">
        <x:v>334</x:v>
      </x:c>
      <x:c r="G617" s="11" t="n">
        <x:v>0</x:v>
      </x:c>
      <x:c r="H617" s="11" t="n">
        <x:v>0</x:v>
      </x:c>
      <x:c r="I617" s="11" t="n">
        <x:v>0</x:v>
      </x:c>
      <x:c r="J617" s="11" t="n">
        <x:v>0</x:v>
      </x:c>
      <x:c r="K617" s="11" t="n">
        <x:v>0</x:v>
      </x:c>
      <x:c r="L617" s="11" t="n">
        <x:f>IF(B617="NED",1,IF(OR(B617="ED",B617="UN"),0,""))</x:f>
        <x:v>0</x:v>
      </x:c>
      <x:c r="M617" s="11" t="n">
        <x:f>IF(AND(K617=1,OR(B617="ED",B617="NED")),1,0)</x:f>
        <x:v>0</x:v>
      </x:c>
      <x:c r="N617" s="11" t="n">
        <x:f>IF(K617=1,1,0)</x:f>
        <x:v>0</x:v>
      </x:c>
      <x:c r="O617" s="12" t="str">
        <x:v>Retain protein mean pLDDT &gt;=70</x:v>
      </x:c>
      <x:c r="P617" s="11" t="n">
        <x:v>0</x:v>
      </x:c>
      <x:c r="Q617" s="12" t="str">
        <x:v>AF-P05627-F1-model_v6</x:v>
      </x:c>
      <x:c r="R617" s="12" t="str">
        <x:v>ok</x:v>
      </x:c>
      <x:c r="S617" s="11" t="n">
        <x:v>233</x:v>
      </x:c>
      <x:c r="T617" s="11" t="n">
        <x:v>334</x:v>
      </x:c>
    </x:row>
    <x:row r="618" ht="23" customHeight="1">
      <x:c r="A618" s="2" t="str">
        <x:v>P06151</x:v>
      </x:c>
      <x:c r="B618" s="2" t="str">
        <x:v>ED</x:v>
      </x:c>
      <x:c r="C618" s="2" t="n">
        <x:v>1</x:v>
      </x:c>
      <x:c r="D618" s="2" t="n">
        <x:v>1</x:v>
      </x:c>
      <x:c r="E618" s="10" t="n">
        <x:v>96.47463855421688</x:v>
      </x:c>
      <x:c r="F618" s="11" t="n">
        <x:v>332</x:v>
      </x:c>
      <x:c r="G618" s="11" t="n">
        <x:v>0</x:v>
      </x:c>
      <x:c r="H618" s="11" t="n">
        <x:v>0</x:v>
      </x:c>
      <x:c r="I618" s="11" t="n">
        <x:v>0</x:v>
      </x:c>
      <x:c r="J618" s="11" t="n">
        <x:v>0</x:v>
      </x:c>
      <x:c r="K618" s="11" t="n">
        <x:v>1</x:v>
      </x:c>
      <x:c r="L618" s="11" t="n">
        <x:f>IF(B618="NED",1,IF(OR(B618="ED",B618="UN"),0,""))</x:f>
        <x:v>0</x:v>
      </x:c>
      <x:c r="M618" s="11" t="n">
        <x:f>IF(AND(K618=1,OR(B618="ED",B618="NED")),1,0)</x:f>
        <x:v>1</x:v>
      </x:c>
      <x:c r="N618" s="11" t="n">
        <x:f>IF(K618=1,1,0)</x:f>
        <x:v>1</x:v>
      </x:c>
      <x:c r="O618" s="12"/>
      <x:c r="P618" s="11" t="n">
        <x:v>0</x:v>
      </x:c>
      <x:c r="Q618" s="12" t="str">
        <x:v>AF-P06151-F1-model_v6</x:v>
      </x:c>
      <x:c r="R618" s="12" t="str">
        <x:v>ok</x:v>
      </x:c>
      <x:c r="S618" s="11" t="n">
        <x:v>234</x:v>
      </x:c>
      <x:c r="T618" s="11" t="n">
        <x:v>332</x:v>
      </x:c>
    </x:row>
    <x:row r="619" ht="23" customHeight="1">
      <x:c r="A619" s="2" t="str">
        <x:v>P06537-3</x:v>
      </x:c>
      <x:c r="B619" s="2" t="str">
        <x:v>ED</x:v>
      </x:c>
      <x:c r="C619" s="2"/>
      <x:c r="D619" s="2"/>
      <x:c r="E619" s="10"/>
      <x:c r="F619" s="11"/>
      <x:c r="G619" s="11" t="n">
        <x:v>0</x:v>
      </x:c>
      <x:c r="H619" s="11" t="n">
        <x:v>0</x:v>
      </x:c>
      <x:c r="I619" s="11"/>
      <x:c r="J619" s="11"/>
      <x:c r="K619" s="11" t="n">
        <x:v>0</x:v>
      </x:c>
      <x:c r="L619" s="11" t="n">
        <x:f>IF(B619="NED",1,IF(OR(B619="ED",B619="UN"),0,""))</x:f>
        <x:v>0</x:v>
      </x:c>
      <x:c r="M619" s="11" t="n">
        <x:f>IF(AND(K619=1,OR(B619="ED",B619="NED")),1,0)</x:f>
        <x:v>0</x:v>
      </x:c>
      <x:c r="N619" s="11" t="n">
        <x:f>IF(K619=1,1,0)</x:f>
        <x:v>0</x:v>
      </x:c>
      <x:c r="O619" s="12" t="str">
        <x:v>Require exact native accession match</x:v>
      </x:c>
      <x:c r="P619" s="11" t="n">
        <x:v>0</x:v>
      </x:c>
      <x:c r="Q619" s="12"/>
      <x:c r="R619" s="12"/>
      <x:c r="S619" s="11" t="n">
        <x:v>235</x:v>
      </x:c>
      <x:c r="T619" s="11"/>
    </x:row>
    <x:row r="620" ht="23" customHeight="1">
      <x:c r="A620" s="2" t="str">
        <x:v>P06745</x:v>
      </x:c>
      <x:c r="B620" s="2" t="str">
        <x:v>NED</x:v>
      </x:c>
      <x:c r="C620" s="2" t="n">
        <x:v>1</x:v>
      </x:c>
      <x:c r="D620" s="2" t="n">
        <x:v>1</x:v>
      </x:c>
      <x:c r="E620" s="10"/>
      <x:c r="F620" s="11" t="n">
        <x:v>558</x:v>
      </x:c>
      <x:c r="G620" s="11" t="n">
        <x:v>0</x:v>
      </x:c>
      <x:c r="H620" s="11" t="n">
        <x:v>0</x:v>
      </x:c>
      <x:c r="I620" s="11" t="n">
        <x:v>0</x:v>
      </x:c>
      <x:c r="J620" s="11" t="n">
        <x:v>1</x:v>
      </x:c>
      <x:c r="K620" s="11" t="n">
        <x:v>0</x:v>
      </x:c>
      <x:c r="L620" s="11" t="n">
        <x:f>IF(B620="NED",1,IF(OR(B620="ED",B620="UN"),0,""))</x:f>
        <x:v>1</x:v>
      </x:c>
      <x:c r="M620" s="11" t="n">
        <x:f>IF(AND(K620=1,OR(B620="ED",B620="NED")),1,0)</x:f>
        <x:v>0</x:v>
      </x:c>
      <x:c r="N620" s="11" t="n">
        <x:f>IF(K620=1,1,0)</x:f>
        <x:v>0</x:v>
      </x:c>
      <x:c r="O620" s="12" t="str">
        <x:v>Exclude UniProt Secreted keyword</x:v>
      </x:c>
      <x:c r="P620" s="11" t="n">
        <x:v>0</x:v>
      </x:c>
      <x:c r="Q620" s="12" t="str">
        <x:v>AF-P06745-F1-model_v6</x:v>
      </x:c>
      <x:c r="R620" s="12" t="str">
        <x:v>ok</x:v>
      </x:c>
      <x:c r="S620" s="11" t="n">
        <x:v>236</x:v>
      </x:c>
      <x:c r="T620" s="11" t="n">
        <x:v>558</x:v>
      </x:c>
    </x:row>
    <x:row r="621" ht="23" customHeight="1">
      <x:c r="A621" s="2" t="str">
        <x:v>P06795</x:v>
      </x:c>
      <x:c r="B621" s="2" t="str">
        <x:v>NED</x:v>
      </x:c>
      <x:c r="C621" s="2" t="n">
        <x:v>1</x:v>
      </x:c>
      <x:c r="D621" s="2" t="n">
        <x:v>1</x:v>
      </x:c>
      <x:c r="E621" s="10"/>
      <x:c r="F621" s="11" t="n">
        <x:v>1276</x:v>
      </x:c>
      <x:c r="G621" s="11" t="n">
        <x:v>0</x:v>
      </x:c>
      <x:c r="H621" s="11" t="n">
        <x:v>0</x:v>
      </x:c>
      <x:c r="I621" s="11" t="n">
        <x:v>1</x:v>
      </x:c>
      <x:c r="J621" s="11" t="n">
        <x:v>0</x:v>
      </x:c>
      <x:c r="K621" s="11" t="n">
        <x:v>0</x:v>
      </x:c>
      <x:c r="L621" s="11" t="n">
        <x:f>IF(B621="NED",1,IF(OR(B621="ED",B621="UN"),0,""))</x:f>
        <x:v>1</x:v>
      </x:c>
      <x:c r="M621" s="11" t="n">
        <x:f>IF(AND(K621=1,OR(B621="ED",B621="NED")),1,0)</x:f>
        <x:v>0</x:v>
      </x:c>
      <x:c r="N621" s="11" t="n">
        <x:f>IF(K621=1,1,0)</x:f>
        <x:v>0</x:v>
      </x:c>
      <x:c r="O621" s="12" t="str">
        <x:v>Exclude UniProt Membrane keyword</x:v>
      </x:c>
      <x:c r="P621" s="11" t="n">
        <x:v>0</x:v>
      </x:c>
      <x:c r="Q621" s="12" t="str">
        <x:v>AF-P06795-F1-model_v6</x:v>
      </x:c>
      <x:c r="R621" s="12" t="str">
        <x:v>ok</x:v>
      </x:c>
      <x:c r="S621" s="11" t="n">
        <x:v>237</x:v>
      </x:c>
      <x:c r="T621" s="11" t="n">
        <x:v>1276</x:v>
      </x:c>
    </x:row>
    <x:row r="622" ht="23" customHeight="1">
      <x:c r="A622" s="2" t="str">
        <x:v>P06801</x:v>
      </x:c>
      <x:c r="B622" s="2" t="str">
        <x:v>ED</x:v>
      </x:c>
      <x:c r="C622" s="2" t="n">
        <x:v>1</x:v>
      </x:c>
      <x:c r="D622" s="2" t="n">
        <x:v>1</x:v>
      </x:c>
      <x:c r="E622" s="10" t="n">
        <x:v>96.09134615384616</x:v>
      </x:c>
      <x:c r="F622" s="11" t="n">
        <x:v>572</x:v>
      </x:c>
      <x:c r="G622" s="11" t="n">
        <x:v>0</x:v>
      </x:c>
      <x:c r="H622" s="11" t="n">
        <x:v>0</x:v>
      </x:c>
      <x:c r="I622" s="11" t="n">
        <x:v>0</x:v>
      </x:c>
      <x:c r="J622" s="11" t="n">
        <x:v>0</x:v>
      </x:c>
      <x:c r="K622" s="11" t="n">
        <x:v>1</x:v>
      </x:c>
      <x:c r="L622" s="11" t="n">
        <x:f>IF(B622="NED",1,IF(OR(B622="ED",B622="UN"),0,""))</x:f>
        <x:v>0</x:v>
      </x:c>
      <x:c r="M622" s="11" t="n">
        <x:f>IF(AND(K622=1,OR(B622="ED",B622="NED")),1,0)</x:f>
        <x:v>1</x:v>
      </x:c>
      <x:c r="N622" s="11" t="n">
        <x:f>IF(K622=1,1,0)</x:f>
        <x:v>1</x:v>
      </x:c>
      <x:c r="O622" s="12"/>
      <x:c r="P622" s="11" t="n">
        <x:v>0</x:v>
      </x:c>
      <x:c r="Q622" s="12" t="str">
        <x:v>AF-P06801-F1-model_v6</x:v>
      </x:c>
      <x:c r="R622" s="12" t="str">
        <x:v>ok</x:v>
      </x:c>
      <x:c r="S622" s="11" t="n">
        <x:v>238</x:v>
      </x:c>
      <x:c r="T622" s="11" t="n">
        <x:v>572</x:v>
      </x:c>
    </x:row>
    <x:row r="623" ht="23" customHeight="1">
      <x:c r="A623" s="2" t="str">
        <x:v>P07091</x:v>
      </x:c>
      <x:c r="B623" s="2" t="str">
        <x:v>UN</x:v>
      </x:c>
      <x:c r="C623" s="2" t="n">
        <x:v>0</x:v>
      </x:c>
      <x:c r="D623" s="2" t="n">
        <x:v>0</x:v>
      </x:c>
      <x:c r="E623" s="10"/>
      <x:c r="F623" s="11" t="n">
        <x:v>101</x:v>
      </x:c>
      <x:c r="G623" s="11" t="n">
        <x:v>0</x:v>
      </x:c>
      <x:c r="H623" s="11" t="n">
        <x:v>0</x:v>
      </x:c>
      <x:c r="I623" s="11" t="n">
        <x:v>0</x:v>
      </x:c>
      <x:c r="J623" s="11" t="n">
        <x:v>1</x:v>
      </x:c>
      <x:c r="K623" s="11" t="n">
        <x:v>0</x:v>
      </x:c>
      <x:c r="L623" s="11" t="n">
        <x:f>IF(B623="NED",1,IF(OR(B623="ED",B623="UN"),0,""))</x:f>
        <x:v>0</x:v>
      </x:c>
      <x:c r="M623" s="11" t="n">
        <x:f>IF(AND(K623=1,OR(B623="ED",B623="NED")),1,0)</x:f>
        <x:v>0</x:v>
      </x:c>
      <x:c r="N623" s="11" t="n">
        <x:f>IF(K623=1,1,0)</x:f>
        <x:v>0</x:v>
      </x:c>
      <x:c r="O623" s="12" t="str">
        <x:v>Exclude UniProt Secreted keyword</x:v>
      </x:c>
      <x:c r="P623" s="11" t="n">
        <x:v>0</x:v>
      </x:c>
      <x:c r="Q623" s="12" t="str">
        <x:v>AF-P07091-F1-model_v6</x:v>
      </x:c>
      <x:c r="R623" s="12" t="str">
        <x:v>ok</x:v>
      </x:c>
      <x:c r="S623" s="11" t="n">
        <x:v>239</x:v>
      </x:c>
      <x:c r="T623" s="11" t="n">
        <x:v>101</x:v>
      </x:c>
    </x:row>
    <x:row r="624" ht="23" customHeight="1">
      <x:c r="A624" s="2" t="str">
        <x:v>P07356</x:v>
      </x:c>
      <x:c r="B624" s="2" t="str">
        <x:v>UN</x:v>
      </x:c>
      <x:c r="C624" s="2" t="n">
        <x:v>1</x:v>
      </x:c>
      <x:c r="D624" s="2" t="n">
        <x:v>1</x:v>
      </x:c>
      <x:c r="E624" s="10"/>
      <x:c r="F624" s="11" t="n">
        <x:v>339</x:v>
      </x:c>
      <x:c r="G624" s="11" t="n">
        <x:v>0</x:v>
      </x:c>
      <x:c r="H624" s="11" t="n">
        <x:v>0</x:v>
      </x:c>
      <x:c r="I624" s="11" t="n">
        <x:v>0</x:v>
      </x:c>
      <x:c r="J624" s="11" t="n">
        <x:v>1</x:v>
      </x:c>
      <x:c r="K624" s="11" t="n">
        <x:v>0</x:v>
      </x:c>
      <x:c r="L624" s="11" t="n">
        <x:f>IF(B624="NED",1,IF(OR(B624="ED",B624="UN"),0,""))</x:f>
        <x:v>0</x:v>
      </x:c>
      <x:c r="M624" s="11" t="n">
        <x:f>IF(AND(K624=1,OR(B624="ED",B624="NED")),1,0)</x:f>
        <x:v>0</x:v>
      </x:c>
      <x:c r="N624" s="11" t="n">
        <x:f>IF(K624=1,1,0)</x:f>
        <x:v>0</x:v>
      </x:c>
      <x:c r="O624" s="12" t="str">
        <x:v>Exclude UniProt Secreted keyword</x:v>
      </x:c>
      <x:c r="P624" s="11" t="n">
        <x:v>0</x:v>
      </x:c>
      <x:c r="Q624" s="12" t="str">
        <x:v>AF-P07356-F1-model_v6</x:v>
      </x:c>
      <x:c r="R624" s="12" t="str">
        <x:v>ok</x:v>
      </x:c>
      <x:c r="S624" s="11" t="n">
        <x:v>240</x:v>
      </x:c>
      <x:c r="T624" s="11" t="n">
        <x:v>339</x:v>
      </x:c>
    </x:row>
    <x:row r="625" ht="23" customHeight="1">
      <x:c r="A625" s="2" t="str">
        <x:v>P07607</x:v>
      </x:c>
      <x:c r="B625" s="2" t="str">
        <x:v>NED</x:v>
      </x:c>
      <x:c r="C625" s="2" t="n">
        <x:v>1</x:v>
      </x:c>
      <x:c r="D625" s="2" t="n">
        <x:v>1</x:v>
      </x:c>
      <x:c r="E625" s="10"/>
      <x:c r="F625" s="11" t="n">
        <x:v>307</x:v>
      </x:c>
      <x:c r="G625" s="11" t="n">
        <x:v>0</x:v>
      </x:c>
      <x:c r="H625" s="11" t="n">
        <x:v>0</x:v>
      </x:c>
      <x:c r="I625" s="11" t="n">
        <x:v>1</x:v>
      </x:c>
      <x:c r="J625" s="11" t="n">
        <x:v>0</x:v>
      </x:c>
      <x:c r="K625" s="11" t="n">
        <x:v>0</x:v>
      </x:c>
      <x:c r="L625" s="11" t="n">
        <x:f>IF(B625="NED",1,IF(OR(B625="ED",B625="UN"),0,""))</x:f>
        <x:v>1</x:v>
      </x:c>
      <x:c r="M625" s="11" t="n">
        <x:f>IF(AND(K625=1,OR(B625="ED",B625="NED")),1,0)</x:f>
        <x:v>0</x:v>
      </x:c>
      <x:c r="N625" s="11" t="n">
        <x:f>IF(K625=1,1,0)</x:f>
        <x:v>0</x:v>
      </x:c>
      <x:c r="O625" s="12" t="str">
        <x:v>Exclude UniProt Membrane keyword</x:v>
      </x:c>
      <x:c r="P625" s="11" t="n">
        <x:v>0</x:v>
      </x:c>
      <x:c r="Q625" s="12" t="str">
        <x:v>AF-P07607-F1-model_v6</x:v>
      </x:c>
      <x:c r="R625" s="12" t="str">
        <x:v>ok</x:v>
      </x:c>
      <x:c r="S625" s="11" t="n">
        <x:v>241</x:v>
      </x:c>
      <x:c r="T625" s="11" t="n">
        <x:v>307</x:v>
      </x:c>
    </x:row>
    <x:row r="626" ht="23" customHeight="1">
      <x:c r="A626" s="2" t="str">
        <x:v>P07901</x:v>
      </x:c>
      <x:c r="B626" s="2" t="str">
        <x:v>ED</x:v>
      </x:c>
      <x:c r="C626" s="2" t="n">
        <x:v>1</x:v>
      </x:c>
      <x:c r="D626" s="2" t="n">
        <x:v>1</x:v>
      </x:c>
      <x:c r="E626" s="10"/>
      <x:c r="F626" s="11" t="n">
        <x:v>733</x:v>
      </x:c>
      <x:c r="G626" s="11" t="n">
        <x:v>0</x:v>
      </x:c>
      <x:c r="H626" s="11" t="n">
        <x:v>0</x:v>
      </x:c>
      <x:c r="I626" s="11" t="n">
        <x:v>1</x:v>
      </x:c>
      <x:c r="J626" s="11" t="n">
        <x:v>0</x:v>
      </x:c>
      <x:c r="K626" s="11" t="n">
        <x:v>0</x:v>
      </x:c>
      <x:c r="L626" s="11" t="n">
        <x:f>IF(B626="NED",1,IF(OR(B626="ED",B626="UN"),0,""))</x:f>
        <x:v>0</x:v>
      </x:c>
      <x:c r="M626" s="11" t="n">
        <x:f>IF(AND(K626=1,OR(B626="ED",B626="NED")),1,0)</x:f>
        <x:v>0</x:v>
      </x:c>
      <x:c r="N626" s="11" t="n">
        <x:f>IF(K626=1,1,0)</x:f>
        <x:v>0</x:v>
      </x:c>
      <x:c r="O626" s="12" t="str">
        <x:v>Exclude UniProt Membrane keyword</x:v>
      </x:c>
      <x:c r="P626" s="11" t="n">
        <x:v>0</x:v>
      </x:c>
      <x:c r="Q626" s="12" t="str">
        <x:v>AF-P07901-F1-model_v6</x:v>
      </x:c>
      <x:c r="R626" s="12" t="str">
        <x:v>ok</x:v>
      </x:c>
      <x:c r="S626" s="11" t="n">
        <x:v>242</x:v>
      </x:c>
      <x:c r="T626" s="11" t="n">
        <x:v>733</x:v>
      </x:c>
    </x:row>
    <x:row r="627" ht="23" customHeight="1">
      <x:c r="A627" s="2" t="str">
        <x:v>P08003</x:v>
      </x:c>
      <x:c r="B627" s="2" t="str">
        <x:v>ED</x:v>
      </x:c>
      <x:c r="C627" s="2" t="n">
        <x:v>1</x:v>
      </x:c>
      <x:c r="D627" s="2" t="n">
        <x:v>1</x:v>
      </x:c>
      <x:c r="E627" s="10" t="n">
        <x:v>89.39816614420063</x:v>
      </x:c>
      <x:c r="F627" s="11" t="n">
        <x:v>638</x:v>
      </x:c>
      <x:c r="G627" s="11" t="n">
        <x:v>0</x:v>
      </x:c>
      <x:c r="H627" s="11" t="n">
        <x:v>0</x:v>
      </x:c>
      <x:c r="I627" s="11" t="n">
        <x:v>0</x:v>
      </x:c>
      <x:c r="J627" s="11" t="n">
        <x:v>0</x:v>
      </x:c>
      <x:c r="K627" s="11" t="n">
        <x:v>1</x:v>
      </x:c>
      <x:c r="L627" s="11" t="n">
        <x:f>IF(B627="NED",1,IF(OR(B627="ED",B627="UN"),0,""))</x:f>
        <x:v>0</x:v>
      </x:c>
      <x:c r="M627" s="11" t="n">
        <x:f>IF(AND(K627=1,OR(B627="ED",B627="NED")),1,0)</x:f>
        <x:v>1</x:v>
      </x:c>
      <x:c r="N627" s="11" t="n">
        <x:f>IF(K627=1,1,0)</x:f>
        <x:v>1</x:v>
      </x:c>
      <x:c r="O627" s="12"/>
      <x:c r="P627" s="11" t="n">
        <x:v>0</x:v>
      </x:c>
      <x:c r="Q627" s="12" t="str">
        <x:v>AF-P08003-F1-model_v6</x:v>
      </x:c>
      <x:c r="R627" s="12" t="str">
        <x:v>ok</x:v>
      </x:c>
      <x:c r="S627" s="11" t="n">
        <x:v>243</x:v>
      </x:c>
      <x:c r="T627" s="11" t="n">
        <x:v>638</x:v>
      </x:c>
    </x:row>
    <x:row r="628" ht="23" customHeight="1">
      <x:c r="A628" s="2" t="str">
        <x:v>P08030</x:v>
      </x:c>
      <x:c r="B628" s="2" t="str">
        <x:v>ED</x:v>
      </x:c>
      <x:c r="C628" s="2" t="n">
        <x:v>1</x:v>
      </x:c>
      <x:c r="D628" s="2" t="n">
        <x:v>1</x:v>
      </x:c>
      <x:c r="E628" s="10" t="n">
        <x:v>95.78005555555556</x:v>
      </x:c>
      <x:c r="F628" s="11" t="n">
        <x:v>180</x:v>
      </x:c>
      <x:c r="G628" s="11" t="n">
        <x:v>0</x:v>
      </x:c>
      <x:c r="H628" s="11" t="n">
        <x:v>0</x:v>
      </x:c>
      <x:c r="I628" s="11" t="n">
        <x:v>0</x:v>
      </x:c>
      <x:c r="J628" s="11" t="n">
        <x:v>0</x:v>
      </x:c>
      <x:c r="K628" s="11" t="n">
        <x:v>1</x:v>
      </x:c>
      <x:c r="L628" s="11" t="n">
        <x:f>IF(B628="NED",1,IF(OR(B628="ED",B628="UN"),0,""))</x:f>
        <x:v>0</x:v>
      </x:c>
      <x:c r="M628" s="11" t="n">
        <x:f>IF(AND(K628=1,OR(B628="ED",B628="NED")),1,0)</x:f>
        <x:v>1</x:v>
      </x:c>
      <x:c r="N628" s="11" t="n">
        <x:f>IF(K628=1,1,0)</x:f>
        <x:v>1</x:v>
      </x:c>
      <x:c r="O628" s="12"/>
      <x:c r="P628" s="11" t="n">
        <x:v>0</x:v>
      </x:c>
      <x:c r="Q628" s="12" t="str">
        <x:v>AF-P08030-F1-model_v6</x:v>
      </x:c>
      <x:c r="R628" s="12" t="str">
        <x:v>ok</x:v>
      </x:c>
      <x:c r="S628" s="11" t="n">
        <x:v>244</x:v>
      </x:c>
      <x:c r="T628" s="11" t="n">
        <x:v>180</x:v>
      </x:c>
    </x:row>
    <x:row r="629" ht="23" customHeight="1">
      <x:c r="A629" s="2" t="str">
        <x:v>P08113</x:v>
      </x:c>
      <x:c r="B629" s="2" t="str">
        <x:v>ED</x:v>
      </x:c>
      <x:c r="C629" s="2" t="n">
        <x:v>1</x:v>
      </x:c>
      <x:c r="D629" s="2" t="n">
        <x:v>1</x:v>
      </x:c>
      <x:c r="E629" s="10" t="n">
        <x:v>82.3417331670823</x:v>
      </x:c>
      <x:c r="F629" s="11" t="n">
        <x:v>802</x:v>
      </x:c>
      <x:c r="G629" s="11" t="n">
        <x:v>0</x:v>
      </x:c>
      <x:c r="H629" s="11" t="n">
        <x:v>0</x:v>
      </x:c>
      <x:c r="I629" s="11" t="n">
        <x:v>0</x:v>
      </x:c>
      <x:c r="J629" s="11" t="n">
        <x:v>0</x:v>
      </x:c>
      <x:c r="K629" s="11" t="n">
        <x:v>1</x:v>
      </x:c>
      <x:c r="L629" s="11" t="n">
        <x:f>IF(B629="NED",1,IF(OR(B629="ED",B629="UN"),0,""))</x:f>
        <x:v>0</x:v>
      </x:c>
      <x:c r="M629" s="11" t="n">
        <x:f>IF(AND(K629=1,OR(B629="ED",B629="NED")),1,0)</x:f>
        <x:v>1</x:v>
      </x:c>
      <x:c r="N629" s="11" t="n">
        <x:f>IF(K629=1,1,0)</x:f>
        <x:v>1</x:v>
      </x:c>
      <x:c r="O629" s="12"/>
      <x:c r="P629" s="11" t="n">
        <x:v>0</x:v>
      </x:c>
      <x:c r="Q629" s="12" t="str">
        <x:v>AF-P08113-F1-model_v6</x:v>
      </x:c>
      <x:c r="R629" s="12" t="str">
        <x:v>ok</x:v>
      </x:c>
      <x:c r="S629" s="11" t="n">
        <x:v>245</x:v>
      </x:c>
      <x:c r="T629" s="11" t="n">
        <x:v>802</x:v>
      </x:c>
    </x:row>
    <x:row r="630" ht="23" customHeight="1">
      <x:c r="A630" s="2" t="str">
        <x:v>P08207</x:v>
      </x:c>
      <x:c r="B630" s="2" t="str">
        <x:v>NED</x:v>
      </x:c>
      <x:c r="C630" s="2" t="n">
        <x:v>0</x:v>
      </x:c>
      <x:c r="D630" s="2" t="n">
        <x:v>0</x:v>
      </x:c>
      <x:c r="E630" s="10" t="n">
        <x:v>92.21525773195876</x:v>
      </x:c>
      <x:c r="F630" s="11" t="n">
        <x:v>97</x:v>
      </x:c>
      <x:c r="G630" s="11" t="n">
        <x:v>0</x:v>
      </x:c>
      <x:c r="H630" s="11" t="n">
        <x:v>0</x:v>
      </x:c>
      <x:c r="I630" s="11" t="n">
        <x:v>0</x:v>
      </x:c>
      <x:c r="J630" s="11" t="n">
        <x:v>0</x:v>
      </x:c>
      <x:c r="K630" s="11" t="n">
        <x:v>1</x:v>
      </x:c>
      <x:c r="L630" s="11" t="n">
        <x:f>IF(B630="NED",1,IF(OR(B630="ED",B630="UN"),0,""))</x:f>
        <x:v>1</x:v>
      </x:c>
      <x:c r="M630" s="11" t="n">
        <x:f>IF(AND(K630=1,OR(B630="ED",B630="NED")),1,0)</x:f>
        <x:v>1</x:v>
      </x:c>
      <x:c r="N630" s="11" t="n">
        <x:f>IF(K630=1,1,0)</x:f>
        <x:v>1</x:v>
      </x:c>
      <x:c r="O630" s="12"/>
      <x:c r="P630" s="11" t="n">
        <x:v>0</x:v>
      </x:c>
      <x:c r="Q630" s="12" t="str">
        <x:v>AF-P08207-F1-model_v6</x:v>
      </x:c>
      <x:c r="R630" s="12" t="str">
        <x:v>ok</x:v>
      </x:c>
      <x:c r="S630" s="11" t="n">
        <x:v>246</x:v>
      </x:c>
      <x:c r="T630" s="11" t="n">
        <x:v>97</x:v>
      </x:c>
    </x:row>
    <x:row r="631" ht="23" customHeight="1">
      <x:c r="A631" s="2" t="str">
        <x:v>P08249</x:v>
      </x:c>
      <x:c r="B631" s="2" t="str">
        <x:v>ED</x:v>
      </x:c>
      <x:c r="C631" s="2" t="n">
        <x:v>1</x:v>
      </x:c>
      <x:c r="D631" s="2" t="n">
        <x:v>1</x:v>
      </x:c>
      <x:c r="E631" s="10" t="n">
        <x:v>93.4325147928994</x:v>
      </x:c>
      <x:c r="F631" s="11" t="n">
        <x:v>338</x:v>
      </x:c>
      <x:c r="G631" s="11" t="n">
        <x:v>0</x:v>
      </x:c>
      <x:c r="H631" s="11" t="n">
        <x:v>0</x:v>
      </x:c>
      <x:c r="I631" s="11" t="n">
        <x:v>0</x:v>
      </x:c>
      <x:c r="J631" s="11" t="n">
        <x:v>0</x:v>
      </x:c>
      <x:c r="K631" s="11" t="n">
        <x:v>1</x:v>
      </x:c>
      <x:c r="L631" s="11" t="n">
        <x:f>IF(B631="NED",1,IF(OR(B631="ED",B631="UN"),0,""))</x:f>
        <x:v>0</x:v>
      </x:c>
      <x:c r="M631" s="11" t="n">
        <x:f>IF(AND(K631=1,OR(B631="ED",B631="NED")),1,0)</x:f>
        <x:v>1</x:v>
      </x:c>
      <x:c r="N631" s="11" t="n">
        <x:f>IF(K631=1,1,0)</x:f>
        <x:v>1</x:v>
      </x:c>
      <x:c r="O631" s="12"/>
      <x:c r="P631" s="11" t="n">
        <x:v>0</x:v>
      </x:c>
      <x:c r="Q631" s="12" t="str">
        <x:v>AF-P08249-F1-model_v6</x:v>
      </x:c>
      <x:c r="R631" s="12" t="str">
        <x:v>ok</x:v>
      </x:c>
      <x:c r="S631" s="11" t="n">
        <x:v>247</x:v>
      </x:c>
      <x:c r="T631" s="11" t="n">
        <x:v>338</x:v>
      </x:c>
    </x:row>
    <x:row r="632" ht="23" customHeight="1">
      <x:c r="A632" s="2" t="str">
        <x:v>P08752</x:v>
      </x:c>
      <x:c r="B632" s="2" t="str">
        <x:v>ED</x:v>
      </x:c>
      <x:c r="C632" s="2" t="n">
        <x:v>1</x:v>
      </x:c>
      <x:c r="D632" s="2" t="n">
        <x:v>1</x:v>
      </x:c>
      <x:c r="E632" s="10"/>
      <x:c r="F632" s="11" t="n">
        <x:v>355</x:v>
      </x:c>
      <x:c r="G632" s="11" t="n">
        <x:v>0</x:v>
      </x:c>
      <x:c r="H632" s="11" t="n">
        <x:v>0</x:v>
      </x:c>
      <x:c r="I632" s="11" t="n">
        <x:v>1</x:v>
      </x:c>
      <x:c r="J632" s="11" t="n">
        <x:v>0</x:v>
      </x:c>
      <x:c r="K632" s="11" t="n">
        <x:v>0</x:v>
      </x:c>
      <x:c r="L632" s="11" t="n">
        <x:f>IF(B632="NED",1,IF(OR(B632="ED",B632="UN"),0,""))</x:f>
        <x:v>0</x:v>
      </x:c>
      <x:c r="M632" s="11" t="n">
        <x:f>IF(AND(K632=1,OR(B632="ED",B632="NED")),1,0)</x:f>
        <x:v>0</x:v>
      </x:c>
      <x:c r="N632" s="11" t="n">
        <x:f>IF(K632=1,1,0)</x:f>
        <x:v>0</x:v>
      </x:c>
      <x:c r="O632" s="12" t="str">
        <x:v>Exclude UniProt Membrane keyword</x:v>
      </x:c>
      <x:c r="P632" s="11" t="n">
        <x:v>0</x:v>
      </x:c>
      <x:c r="Q632" s="12" t="str">
        <x:v>AF-P08752-F1-model_v6</x:v>
      </x:c>
      <x:c r="R632" s="12" t="str">
        <x:v>ok</x:v>
      </x:c>
      <x:c r="S632" s="11" t="n">
        <x:v>248</x:v>
      </x:c>
      <x:c r="T632" s="11" t="n">
        <x:v>355</x:v>
      </x:c>
    </x:row>
    <x:row r="633" ht="23" customHeight="1">
      <x:c r="A633" s="2" t="str">
        <x:v>P08775</x:v>
      </x:c>
      <x:c r="B633" s="2" t="str">
        <x:v>UN</x:v>
      </x:c>
      <x:c r="C633" s="2" t="n">
        <x:v>1</x:v>
      </x:c>
      <x:c r="D633" s="2" t="n">
        <x:v>1</x:v>
      </x:c>
      <x:c r="E633" s="10" t="n">
        <x:v>75.66713197969543</x:v>
      </x:c>
      <x:c r="F633" s="11" t="n">
        <x:v>1970</x:v>
      </x:c>
      <x:c r="G633" s="11" t="n">
        <x:v>0</x:v>
      </x:c>
      <x:c r="H633" s="11" t="n">
        <x:v>0</x:v>
      </x:c>
      <x:c r="I633" s="11" t="n">
        <x:v>0</x:v>
      </x:c>
      <x:c r="J633" s="11" t="n">
        <x:v>0</x:v>
      </x:c>
      <x:c r="K633" s="11" t="n">
        <x:v>1</x:v>
      </x:c>
      <x:c r="L633" s="11" t="n">
        <x:f>IF(B633="NED",1,IF(OR(B633="ED",B633="UN"),0,""))</x:f>
        <x:v>0</x:v>
      </x:c>
      <x:c r="M633" s="11" t="n">
        <x:f>IF(AND(K633=1,OR(B633="ED",B633="NED")),1,0)</x:f>
        <x:v>0</x:v>
      </x:c>
      <x:c r="N633" s="11" t="n">
        <x:f>IF(K633=1,1,0)</x:f>
        <x:v>1</x:v>
      </x:c>
      <x:c r="O633" s="12"/>
      <x:c r="P633" s="11" t="n">
        <x:v>0</x:v>
      </x:c>
      <x:c r="Q633" s="12" t="str">
        <x:v>AF-P08775-F1-model_v6</x:v>
      </x:c>
      <x:c r="R633" s="12" t="str">
        <x:v>ok</x:v>
      </x:c>
      <x:c r="S633" s="11" t="n">
        <x:v>249</x:v>
      </x:c>
      <x:c r="T633" s="11" t="n">
        <x:v>1970</x:v>
      </x:c>
    </x:row>
    <x:row r="634" ht="23" customHeight="1">
      <x:c r="A634" s="2" t="str">
        <x:v>P09055</x:v>
      </x:c>
      <x:c r="B634" s="2" t="str">
        <x:v>UN</x:v>
      </x:c>
      <x:c r="C634" s="2"/>
      <x:c r="D634" s="2"/>
      <x:c r="E634" s="10"/>
      <x:c r="F634" s="11" t="n">
        <x:v>798</x:v>
      </x:c>
      <x:c r="G634" s="11" t="n">
        <x:v>0</x:v>
      </x:c>
      <x:c r="H634" s="11" t="n">
        <x:v>1</x:v>
      </x:c>
      <x:c r="I634" s="11" t="n">
        <x:v>1</x:v>
      </x:c>
      <x:c r="J634" s="11" t="n">
        <x:v>0</x:v>
      </x:c>
      <x:c r="K634" s="11" t="n">
        <x:v>0</x:v>
      </x:c>
      <x:c r="L634" s="11" t="n">
        <x:f>IF(B634="NED",1,IF(OR(B634="ED",B634="UN"),0,""))</x:f>
        <x:v>0</x:v>
      </x:c>
      <x:c r="M634" s="11" t="n">
        <x:f>IF(AND(K634=1,OR(B634="ED",B634="NED")),1,0)</x:f>
        <x:v>0</x:v>
      </x:c>
      <x:c r="N634" s="11" t="n">
        <x:f>IF(K634=1,1,0)</x:f>
        <x:v>0</x:v>
      </x:c>
      <x:c r="O634" s="12" t="str">
        <x:v>Require binary native NCLE status</x:v>
      </x:c>
      <x:c r="P634" s="11" t="n">
        <x:v>0</x:v>
      </x:c>
      <x:c r="Q634" s="12" t="str">
        <x:v>AF-P09055-F1-model_v6</x:v>
      </x:c>
      <x:c r="R634" s="12" t="str">
        <x:v>ok</x:v>
      </x:c>
      <x:c r="S634" s="11" t="n">
        <x:v>250</x:v>
      </x:c>
      <x:c r="T634" s="11" t="n">
        <x:v>798</x:v>
      </x:c>
    </x:row>
    <x:row r="635" ht="23" customHeight="1">
      <x:c r="A635" s="2" t="str">
        <x:v>P09103</x:v>
      </x:c>
      <x:c r="B635" s="2" t="str">
        <x:v>UN</x:v>
      </x:c>
      <x:c r="C635" s="2" t="n">
        <x:v>1</x:v>
      </x:c>
      <x:c r="D635" s="2" t="n">
        <x:v>1</x:v>
      </x:c>
      <x:c r="E635" s="10"/>
      <x:c r="F635" s="11" t="n">
        <x:v>509</x:v>
      </x:c>
      <x:c r="G635" s="11" t="n">
        <x:v>0</x:v>
      </x:c>
      <x:c r="H635" s="11" t="n">
        <x:v>0</x:v>
      </x:c>
      <x:c r="I635" s="11" t="n">
        <x:v>1</x:v>
      </x:c>
      <x:c r="J635" s="11" t="n">
        <x:v>0</x:v>
      </x:c>
      <x:c r="K635" s="11" t="n">
        <x:v>0</x:v>
      </x:c>
      <x:c r="L635" s="11" t="n">
        <x:f>IF(B635="NED",1,IF(OR(B635="ED",B635="UN"),0,""))</x:f>
        <x:v>0</x:v>
      </x:c>
      <x:c r="M635" s="11" t="n">
        <x:f>IF(AND(K635=1,OR(B635="ED",B635="NED")),1,0)</x:f>
        <x:v>0</x:v>
      </x:c>
      <x:c r="N635" s="11" t="n">
        <x:f>IF(K635=1,1,0)</x:f>
        <x:v>0</x:v>
      </x:c>
      <x:c r="O635" s="12" t="str">
        <x:v>Exclude UniProt Membrane keyword</x:v>
      </x:c>
      <x:c r="P635" s="11" t="n">
        <x:v>0</x:v>
      </x:c>
      <x:c r="Q635" s="12" t="str">
        <x:v>AF-P09103-F1-model_v6</x:v>
      </x:c>
      <x:c r="R635" s="12" t="str">
        <x:v>ok</x:v>
      </x:c>
      <x:c r="S635" s="11" t="n">
        <x:v>251</x:v>
      </x:c>
      <x:c r="T635" s="11" t="n">
        <x:v>509</x:v>
      </x:c>
    </x:row>
    <x:row r="636" ht="23" customHeight="1">
      <x:c r="A636" s="2" t="str">
        <x:v>P09405</x:v>
      </x:c>
      <x:c r="B636" s="2" t="str">
        <x:v>UN</x:v>
      </x:c>
      <x:c r="C636" s="2" t="n">
        <x:v>1</x:v>
      </x:c>
      <x:c r="D636" s="2" t="n">
        <x:v>1</x:v>
      </x:c>
      <x:c r="E636" s="10" t="n">
        <x:v>61.93691654879774</x:v>
      </x:c>
      <x:c r="F636" s="11" t="n">
        <x:v>707</x:v>
      </x:c>
      <x:c r="G636" s="11" t="n">
        <x:v>0</x:v>
      </x:c>
      <x:c r="H636" s="11" t="n">
        <x:v>0</x:v>
      </x:c>
      <x:c r="I636" s="11" t="n">
        <x:v>0</x:v>
      </x:c>
      <x:c r="J636" s="11" t="n">
        <x:v>0</x:v>
      </x:c>
      <x:c r="K636" s="11" t="n">
        <x:v>0</x:v>
      </x:c>
      <x:c r="L636" s="11" t="n">
        <x:f>IF(B636="NED",1,IF(OR(B636="ED",B636="UN"),0,""))</x:f>
        <x:v>0</x:v>
      </x:c>
      <x:c r="M636" s="11" t="n">
        <x:f>IF(AND(K636=1,OR(B636="ED",B636="NED")),1,0)</x:f>
        <x:v>0</x:v>
      </x:c>
      <x:c r="N636" s="11" t="n">
        <x:f>IF(K636=1,1,0)</x:f>
        <x:v>0</x:v>
      </x:c>
      <x:c r="O636" s="12" t="str">
        <x:v>Retain protein mean pLDDT &gt;=70</x:v>
      </x:c>
      <x:c r="P636" s="11" t="n">
        <x:v>0</x:v>
      </x:c>
      <x:c r="Q636" s="12" t="str">
        <x:v>AF-P09405-F1-model_v6</x:v>
      </x:c>
      <x:c r="R636" s="12" t="str">
        <x:v>ok</x:v>
      </x:c>
      <x:c r="S636" s="11" t="n">
        <x:v>252</x:v>
      </x:c>
      <x:c r="T636" s="11" t="n">
        <x:v>707</x:v>
      </x:c>
    </x:row>
    <x:row r="637" ht="23" customHeight="1">
      <x:c r="A637" s="2" t="str">
        <x:v>P09411</x:v>
      </x:c>
      <x:c r="B637" s="2" t="str">
        <x:v>ED</x:v>
      </x:c>
      <x:c r="C637" s="2" t="n">
        <x:v>1</x:v>
      </x:c>
      <x:c r="D637" s="2" t="n">
        <x:v>1</x:v>
      </x:c>
      <x:c r="E637" s="10" t="n">
        <x:v>96.25292565947242</x:v>
      </x:c>
      <x:c r="F637" s="11" t="n">
        <x:v>417</x:v>
      </x:c>
      <x:c r="G637" s="11" t="n">
        <x:v>0</x:v>
      </x:c>
      <x:c r="H637" s="11" t="n">
        <x:v>0</x:v>
      </x:c>
      <x:c r="I637" s="11" t="n">
        <x:v>0</x:v>
      </x:c>
      <x:c r="J637" s="11" t="n">
        <x:v>0</x:v>
      </x:c>
      <x:c r="K637" s="11" t="n">
        <x:v>1</x:v>
      </x:c>
      <x:c r="L637" s="11" t="n">
        <x:f>IF(B637="NED",1,IF(OR(B637="ED",B637="UN"),0,""))</x:f>
        <x:v>0</x:v>
      </x:c>
      <x:c r="M637" s="11" t="n">
        <x:f>IF(AND(K637=1,OR(B637="ED",B637="NED")),1,0)</x:f>
        <x:v>1</x:v>
      </x:c>
      <x:c r="N637" s="11" t="n">
        <x:f>IF(K637=1,1,0)</x:f>
        <x:v>1</x:v>
      </x:c>
      <x:c r="O637" s="12"/>
      <x:c r="P637" s="11" t="n">
        <x:v>0</x:v>
      </x:c>
      <x:c r="Q637" s="12" t="str">
        <x:v>AF-P09411-F1-model_v6</x:v>
      </x:c>
      <x:c r="R637" s="12" t="str">
        <x:v>ok</x:v>
      </x:c>
      <x:c r="S637" s="11" t="n">
        <x:v>253</x:v>
      </x:c>
      <x:c r="T637" s="11" t="n">
        <x:v>417</x:v>
      </x:c>
    </x:row>
    <x:row r="638" ht="23" customHeight="1">
      <x:c r="A638" s="2" t="str">
        <x:v>P09450</x:v>
      </x:c>
      <x:c r="B638" s="2" t="str">
        <x:v>UN</x:v>
      </x:c>
      <x:c r="C638" s="2" t="n">
        <x:v>0</x:v>
      </x:c>
      <x:c r="D638" s="2" t="n">
        <x:v>0</x:v>
      </x:c>
      <x:c r="E638" s="10" t="n">
        <x:v>59.73622093023256</x:v>
      </x:c>
      <x:c r="F638" s="11" t="n">
        <x:v>344</x:v>
      </x:c>
      <x:c r="G638" s="11" t="n">
        <x:v>0</x:v>
      </x:c>
      <x:c r="H638" s="11" t="n">
        <x:v>0</x:v>
      </x:c>
      <x:c r="I638" s="11" t="n">
        <x:v>0</x:v>
      </x:c>
      <x:c r="J638" s="11" t="n">
        <x:v>0</x:v>
      </x:c>
      <x:c r="K638" s="11" t="n">
        <x:v>0</x:v>
      </x:c>
      <x:c r="L638" s="11" t="n">
        <x:f>IF(B638="NED",1,IF(OR(B638="ED",B638="UN"),0,""))</x:f>
        <x:v>0</x:v>
      </x:c>
      <x:c r="M638" s="11" t="n">
        <x:f>IF(AND(K638=1,OR(B638="ED",B638="NED")),1,0)</x:f>
        <x:v>0</x:v>
      </x:c>
      <x:c r="N638" s="11" t="n">
        <x:f>IF(K638=1,1,0)</x:f>
        <x:v>0</x:v>
      </x:c>
      <x:c r="O638" s="12" t="str">
        <x:v>Retain protein mean pLDDT &gt;=70</x:v>
      </x:c>
      <x:c r="P638" s="11" t="n">
        <x:v>0</x:v>
      </x:c>
      <x:c r="Q638" s="12" t="str">
        <x:v>AF-P09450-F1-model_v6</x:v>
      </x:c>
      <x:c r="R638" s="12" t="str">
        <x:v>ok</x:v>
      </x:c>
      <x:c r="S638" s="11" t="n">
        <x:v>254</x:v>
      </x:c>
      <x:c r="T638" s="11" t="n">
        <x:v>344</x:v>
      </x:c>
    </x:row>
    <x:row r="639" ht="23" customHeight="1">
      <x:c r="A639" s="2" t="str">
        <x:v>P09528</x:v>
      </x:c>
      <x:c r="B639" s="2" t="str">
        <x:v>NED</x:v>
      </x:c>
      <x:c r="C639" s="2" t="n">
        <x:v>1</x:v>
      </x:c>
      <x:c r="D639" s="2" t="n">
        <x:v>1</x:v>
      </x:c>
      <x:c r="E639" s="10" t="n">
        <x:v>95.91192307692307</x:v>
      </x:c>
      <x:c r="F639" s="11" t="n">
        <x:v>182</x:v>
      </x:c>
      <x:c r="G639" s="11" t="n">
        <x:v>0</x:v>
      </x:c>
      <x:c r="H639" s="11" t="n">
        <x:v>0</x:v>
      </x:c>
      <x:c r="I639" s="11" t="n">
        <x:v>0</x:v>
      </x:c>
      <x:c r="J639" s="11" t="n">
        <x:v>0</x:v>
      </x:c>
      <x:c r="K639" s="11" t="n">
        <x:v>1</x:v>
      </x:c>
      <x:c r="L639" s="11" t="n">
        <x:f>IF(B639="NED",1,IF(OR(B639="ED",B639="UN"),0,""))</x:f>
        <x:v>1</x:v>
      </x:c>
      <x:c r="M639" s="11" t="n">
        <x:f>IF(AND(K639=1,OR(B639="ED",B639="NED")),1,0)</x:f>
        <x:v>1</x:v>
      </x:c>
      <x:c r="N639" s="11" t="n">
        <x:f>IF(K639=1,1,0)</x:f>
        <x:v>1</x:v>
      </x:c>
      <x:c r="O639" s="12"/>
      <x:c r="P639" s="11" t="n">
        <x:v>0</x:v>
      </x:c>
      <x:c r="Q639" s="12" t="str">
        <x:v>AF-P09528-F1-model_v6</x:v>
      </x:c>
      <x:c r="R639" s="12" t="str">
        <x:v>ok</x:v>
      </x:c>
      <x:c r="S639" s="11" t="n">
        <x:v>255</x:v>
      </x:c>
      <x:c r="T639" s="11" t="n">
        <x:v>182</x:v>
      </x:c>
    </x:row>
    <x:row r="640" ht="23" customHeight="1">
      <x:c r="A640" s="2" t="str">
        <x:v>P09671</x:v>
      </x:c>
      <x:c r="B640" s="2" t="str">
        <x:v>ED</x:v>
      </x:c>
      <x:c r="C640" s="2" t="n">
        <x:v>1</x:v>
      </x:c>
      <x:c r="D640" s="2" t="n">
        <x:v>1</x:v>
      </x:c>
      <x:c r="E640" s="10" t="n">
        <x:v>93.13810810810811</x:v>
      </x:c>
      <x:c r="F640" s="11" t="n">
        <x:v>222</x:v>
      </x:c>
      <x:c r="G640" s="11" t="n">
        <x:v>0</x:v>
      </x:c>
      <x:c r="H640" s="11" t="n">
        <x:v>0</x:v>
      </x:c>
      <x:c r="I640" s="11" t="n">
        <x:v>0</x:v>
      </x:c>
      <x:c r="J640" s="11" t="n">
        <x:v>0</x:v>
      </x:c>
      <x:c r="K640" s="11" t="n">
        <x:v>1</x:v>
      </x:c>
      <x:c r="L640" s="11" t="n">
        <x:f>IF(B640="NED",1,IF(OR(B640="ED",B640="UN"),0,""))</x:f>
        <x:v>0</x:v>
      </x:c>
      <x:c r="M640" s="11" t="n">
        <x:f>IF(AND(K640=1,OR(B640="ED",B640="NED")),1,0)</x:f>
        <x:v>1</x:v>
      </x:c>
      <x:c r="N640" s="11" t="n">
        <x:f>IF(K640=1,1,0)</x:f>
        <x:v>1</x:v>
      </x:c>
      <x:c r="O640" s="12"/>
      <x:c r="P640" s="11" t="n">
        <x:v>0</x:v>
      </x:c>
      <x:c r="Q640" s="12" t="str">
        <x:v>AF-P09671-F1-model_v6</x:v>
      </x:c>
      <x:c r="R640" s="12" t="str">
        <x:v>ok</x:v>
      </x:c>
      <x:c r="S640" s="11" t="n">
        <x:v>256</x:v>
      </x:c>
      <x:c r="T640" s="11" t="n">
        <x:v>222</x:v>
      </x:c>
    </x:row>
    <x:row r="641" ht="23" customHeight="1">
      <x:c r="A641" s="2" t="str">
        <x:v>P0C7N9</x:v>
      </x:c>
      <x:c r="B641" s="2" t="str">
        <x:v>ED</x:v>
      </x:c>
      <x:c r="C641" s="2" t="n">
        <x:v>0</x:v>
      </x:c>
      <x:c r="D641" s="2" t="n">
        <x:v>0</x:v>
      </x:c>
      <x:c r="E641" s="10" t="n">
        <x:v>89.67325203252032</x:v>
      </x:c>
      <x:c r="F641" s="11" t="n">
        <x:v>123</x:v>
      </x:c>
      <x:c r="G641" s="11" t="n">
        <x:v>0</x:v>
      </x:c>
      <x:c r="H641" s="11" t="n">
        <x:v>0</x:v>
      </x:c>
      <x:c r="I641" s="11" t="n">
        <x:v>0</x:v>
      </x:c>
      <x:c r="J641" s="11" t="n">
        <x:v>0</x:v>
      </x:c>
      <x:c r="K641" s="11" t="n">
        <x:v>1</x:v>
      </x:c>
      <x:c r="L641" s="11" t="n">
        <x:f>IF(B641="NED",1,IF(OR(B641="ED",B641="UN"),0,""))</x:f>
        <x:v>0</x:v>
      </x:c>
      <x:c r="M641" s="11" t="n">
        <x:f>IF(AND(K641=1,OR(B641="ED",B641="NED")),1,0)</x:f>
        <x:v>1</x:v>
      </x:c>
      <x:c r="N641" s="11" t="n">
        <x:f>IF(K641=1,1,0)</x:f>
        <x:v>1</x:v>
      </x:c>
      <x:c r="O641" s="12"/>
      <x:c r="P641" s="11" t="n">
        <x:v>0</x:v>
      </x:c>
      <x:c r="Q641" s="12" t="str">
        <x:v>AF-P0C7N9-F1-model_v6</x:v>
      </x:c>
      <x:c r="R641" s="12" t="str">
        <x:v>ok</x:v>
      </x:c>
      <x:c r="S641" s="11" t="n">
        <x:v>257</x:v>
      </x:c>
      <x:c r="T641" s="11" t="n">
        <x:v>123</x:v>
      </x:c>
    </x:row>
    <x:row r="642" ht="23" customHeight="1">
      <x:c r="A642" s="2" t="str">
        <x:v>P0CL69</x:v>
      </x:c>
      <x:c r="B642" s="2" t="str">
        <x:v>UN</x:v>
      </x:c>
      <x:c r="C642" s="2" t="n">
        <x:v>0</x:v>
      </x:c>
      <x:c r="D642" s="2" t="n">
        <x:v>0</x:v>
      </x:c>
      <x:c r="E642" s="10" t="n">
        <x:v>50.6506734006734</x:v>
      </x:c>
      <x:c r="F642" s="11" t="n">
        <x:v>594</x:v>
      </x:c>
      <x:c r="G642" s="11" t="n">
        <x:v>0</x:v>
      </x:c>
      <x:c r="H642" s="11" t="n">
        <x:v>0</x:v>
      </x:c>
      <x:c r="I642" s="11" t="n">
        <x:v>0</x:v>
      </x:c>
      <x:c r="J642" s="11" t="n">
        <x:v>0</x:v>
      </x:c>
      <x:c r="K642" s="11" t="n">
        <x:v>0</x:v>
      </x:c>
      <x:c r="L642" s="11" t="n">
        <x:f>IF(B642="NED",1,IF(OR(B642="ED",B642="UN"),0,""))</x:f>
        <x:v>0</x:v>
      </x:c>
      <x:c r="M642" s="11" t="n">
        <x:f>IF(AND(K642=1,OR(B642="ED",B642="NED")),1,0)</x:f>
        <x:v>0</x:v>
      </x:c>
      <x:c r="N642" s="11" t="n">
        <x:f>IF(K642=1,1,0)</x:f>
        <x:v>0</x:v>
      </x:c>
      <x:c r="O642" s="12" t="str">
        <x:v>Retain protein mean pLDDT &gt;=70</x:v>
      </x:c>
      <x:c r="P642" s="11" t="n">
        <x:v>0</x:v>
      </x:c>
      <x:c r="Q642" s="12" t="str">
        <x:v>AF-P0CL69-F1-model_v6</x:v>
      </x:c>
      <x:c r="R642" s="12" t="str">
        <x:v>ok</x:v>
      </x:c>
      <x:c r="S642" s="11" t="n">
        <x:v>258</x:v>
      </x:c>
      <x:c r="T642" s="11" t="n">
        <x:v>594</x:v>
      </x:c>
    </x:row>
    <x:row r="643" ht="23" customHeight="1">
      <x:c r="A643" s="2" t="str">
        <x:v>P10107</x:v>
      </x:c>
      <x:c r="B643" s="2" t="str">
        <x:v>ED</x:v>
      </x:c>
      <x:c r="C643" s="2" t="n">
        <x:v>1</x:v>
      </x:c>
      <x:c r="D643" s="2" t="n">
        <x:v>1</x:v>
      </x:c>
      <x:c r="E643" s="10"/>
      <x:c r="F643" s="11" t="n">
        <x:v>346</x:v>
      </x:c>
      <x:c r="G643" s="11" t="n">
        <x:v>0</x:v>
      </x:c>
      <x:c r="H643" s="11" t="n">
        <x:v>0</x:v>
      </x:c>
      <x:c r="I643" s="11" t="n">
        <x:v>1</x:v>
      </x:c>
      <x:c r="J643" s="11" t="n">
        <x:v>1</x:v>
      </x:c>
      <x:c r="K643" s="11" t="n">
        <x:v>0</x:v>
      </x:c>
      <x:c r="L643" s="11" t="n">
        <x:f>IF(B643="NED",1,IF(OR(B643="ED",B643="UN"),0,""))</x:f>
        <x:v>0</x:v>
      </x:c>
      <x:c r="M643" s="11" t="n">
        <x:f>IF(AND(K643=1,OR(B643="ED",B643="NED")),1,0)</x:f>
        <x:v>0</x:v>
      </x:c>
      <x:c r="N643" s="11" t="n">
        <x:f>IF(K643=1,1,0)</x:f>
        <x:v>0</x:v>
      </x:c>
      <x:c r="O643" s="12" t="str">
        <x:v>Exclude UniProt Membrane keyword</x:v>
      </x:c>
      <x:c r="P643" s="11" t="n">
        <x:v>0</x:v>
      </x:c>
      <x:c r="Q643" s="12" t="str">
        <x:v>AF-P10107-F1-model_v6</x:v>
      </x:c>
      <x:c r="R643" s="12" t="str">
        <x:v>ok</x:v>
      </x:c>
      <x:c r="S643" s="11" t="n">
        <x:v>259</x:v>
      </x:c>
      <x:c r="T643" s="11" t="n">
        <x:v>346</x:v>
      </x:c>
    </x:row>
    <x:row r="644" ht="23" customHeight="1">
      <x:c r="A644" s="2" t="str">
        <x:v>P10126</x:v>
      </x:c>
      <x:c r="B644" s="2" t="str">
        <x:v>ED</x:v>
      </x:c>
      <x:c r="C644" s="2" t="n">
        <x:v>1</x:v>
      </x:c>
      <x:c r="D644" s="2" t="n">
        <x:v>1</x:v>
      </x:c>
      <x:c r="E644" s="10"/>
      <x:c r="F644" s="11" t="n">
        <x:v>462</x:v>
      </x:c>
      <x:c r="G644" s="11" t="n">
        <x:v>0</x:v>
      </x:c>
      <x:c r="H644" s="11" t="n">
        <x:v>0</x:v>
      </x:c>
      <x:c r="I644" s="11" t="n">
        <x:v>1</x:v>
      </x:c>
      <x:c r="J644" s="11" t="n">
        <x:v>0</x:v>
      </x:c>
      <x:c r="K644" s="11" t="n">
        <x:v>0</x:v>
      </x:c>
      <x:c r="L644" s="11" t="n">
        <x:f>IF(B644="NED",1,IF(OR(B644="ED",B644="UN"),0,""))</x:f>
        <x:v>0</x:v>
      </x:c>
      <x:c r="M644" s="11" t="n">
        <x:f>IF(AND(K644=1,OR(B644="ED",B644="NED")),1,0)</x:f>
        <x:v>0</x:v>
      </x:c>
      <x:c r="N644" s="11" t="n">
        <x:f>IF(K644=1,1,0)</x:f>
        <x:v>0</x:v>
      </x:c>
      <x:c r="O644" s="12" t="str">
        <x:v>Exclude UniProt Membrane keyword</x:v>
      </x:c>
      <x:c r="P644" s="11" t="n">
        <x:v>0</x:v>
      </x:c>
      <x:c r="Q644" s="12" t="str">
        <x:v>AF-P10126-F1-model_v6</x:v>
      </x:c>
      <x:c r="R644" s="12" t="str">
        <x:v>ok</x:v>
      </x:c>
      <x:c r="S644" s="11" t="n">
        <x:v>260</x:v>
      </x:c>
      <x:c r="T644" s="11" t="n">
        <x:v>462</x:v>
      </x:c>
    </x:row>
    <x:row r="645" ht="23" customHeight="1">
      <x:c r="A645" s="2" t="str">
        <x:v>P10518</x:v>
      </x:c>
      <x:c r="B645" s="2" t="str">
        <x:v>UN</x:v>
      </x:c>
      <x:c r="C645" s="2" t="n">
        <x:v>1</x:v>
      </x:c>
      <x:c r="D645" s="2" t="n">
        <x:v>1</x:v>
      </x:c>
      <x:c r="E645" s="10" t="n">
        <x:v>97.1918787878788</x:v>
      </x:c>
      <x:c r="F645" s="11" t="n">
        <x:v>330</x:v>
      </x:c>
      <x:c r="G645" s="11" t="n">
        <x:v>0</x:v>
      </x:c>
      <x:c r="H645" s="11" t="n">
        <x:v>0</x:v>
      </x:c>
      <x:c r="I645" s="11" t="n">
        <x:v>0</x:v>
      </x:c>
      <x:c r="J645" s="11" t="n">
        <x:v>0</x:v>
      </x:c>
      <x:c r="K645" s="11" t="n">
        <x:v>1</x:v>
      </x:c>
      <x:c r="L645" s="11" t="n">
        <x:f>IF(B645="NED",1,IF(OR(B645="ED",B645="UN"),0,""))</x:f>
        <x:v>0</x:v>
      </x:c>
      <x:c r="M645" s="11" t="n">
        <x:f>IF(AND(K645=1,OR(B645="ED",B645="NED")),1,0)</x:f>
        <x:v>0</x:v>
      </x:c>
      <x:c r="N645" s="11" t="n">
        <x:f>IF(K645=1,1,0)</x:f>
        <x:v>1</x:v>
      </x:c>
      <x:c r="O645" s="12"/>
      <x:c r="P645" s="11" t="n">
        <x:v>0</x:v>
      </x:c>
      <x:c r="Q645" s="12" t="str">
        <x:v>AF-P10518-F1-model_v6</x:v>
      </x:c>
      <x:c r="R645" s="12" t="str">
        <x:v>ok</x:v>
      </x:c>
      <x:c r="S645" s="11" t="n">
        <x:v>261</x:v>
      </x:c>
      <x:c r="T645" s="11" t="n">
        <x:v>330</x:v>
      </x:c>
    </x:row>
    <x:row r="646" ht="23" customHeight="1">
      <x:c r="A646" s="2" t="str">
        <x:v>P10630</x:v>
      </x:c>
      <x:c r="B646" s="2" t="str">
        <x:v>UN</x:v>
      </x:c>
      <x:c r="C646" s="2" t="n">
        <x:v>1</x:v>
      </x:c>
      <x:c r="D646" s="2" t="n">
        <x:v>1</x:v>
      </x:c>
      <x:c r="E646" s="10" t="n">
        <x:v>86.05685503685504</x:v>
      </x:c>
      <x:c r="F646" s="11" t="n">
        <x:v>407</x:v>
      </x:c>
      <x:c r="G646" s="11" t="n">
        <x:v>0</x:v>
      </x:c>
      <x:c r="H646" s="11" t="n">
        <x:v>0</x:v>
      </x:c>
      <x:c r="I646" s="11" t="n">
        <x:v>0</x:v>
      </x:c>
      <x:c r="J646" s="11" t="n">
        <x:v>0</x:v>
      </x:c>
      <x:c r="K646" s="11" t="n">
        <x:v>1</x:v>
      </x:c>
      <x:c r="L646" s="11" t="n">
        <x:f>IF(B646="NED",1,IF(OR(B646="ED",B646="UN"),0,""))</x:f>
        <x:v>0</x:v>
      </x:c>
      <x:c r="M646" s="11" t="n">
        <x:f>IF(AND(K646=1,OR(B646="ED",B646="NED")),1,0)</x:f>
        <x:v>0</x:v>
      </x:c>
      <x:c r="N646" s="11" t="n">
        <x:f>IF(K646=1,1,0)</x:f>
        <x:v>1</x:v>
      </x:c>
      <x:c r="O646" s="12"/>
      <x:c r="P646" s="11" t="n">
        <x:v>0</x:v>
      </x:c>
      <x:c r="Q646" s="12" t="str">
        <x:v>AF-P10630-F1-model_v6</x:v>
      </x:c>
      <x:c r="R646" s="12" t="str">
        <x:v>ok</x:v>
      </x:c>
      <x:c r="S646" s="11" t="n">
        <x:v>262</x:v>
      </x:c>
      <x:c r="T646" s="11" t="n">
        <x:v>407</x:v>
      </x:c>
    </x:row>
    <x:row r="647" ht="23" customHeight="1">
      <x:c r="A647" s="2" t="str">
        <x:v>P10639</x:v>
      </x:c>
      <x:c r="B647" s="2" t="str">
        <x:v>ED</x:v>
      </x:c>
      <x:c r="C647" s="2" t="n">
        <x:v>1</x:v>
      </x:c>
      <x:c r="D647" s="2" t="n">
        <x:v>1</x:v>
      </x:c>
      <x:c r="E647" s="10"/>
      <x:c r="F647" s="11" t="n">
        <x:v>105</x:v>
      </x:c>
      <x:c r="G647" s="11" t="n">
        <x:v>0</x:v>
      </x:c>
      <x:c r="H647" s="11" t="n">
        <x:v>0</x:v>
      </x:c>
      <x:c r="I647" s="11" t="n">
        <x:v>0</x:v>
      </x:c>
      <x:c r="J647" s="11" t="n">
        <x:v>1</x:v>
      </x:c>
      <x:c r="K647" s="11" t="n">
        <x:v>0</x:v>
      </x:c>
      <x:c r="L647" s="11" t="n">
        <x:f>IF(B647="NED",1,IF(OR(B647="ED",B647="UN"),0,""))</x:f>
        <x:v>0</x:v>
      </x:c>
      <x:c r="M647" s="11" t="n">
        <x:f>IF(AND(K647=1,OR(B647="ED",B647="NED")),1,0)</x:f>
        <x:v>0</x:v>
      </x:c>
      <x:c r="N647" s="11" t="n">
        <x:f>IF(K647=1,1,0)</x:f>
        <x:v>0</x:v>
      </x:c>
      <x:c r="O647" s="12" t="str">
        <x:v>Exclude UniProt Secreted keyword</x:v>
      </x:c>
      <x:c r="P647" s="11" t="n">
        <x:v>0</x:v>
      </x:c>
      <x:c r="Q647" s="12" t="str">
        <x:v>AF-P10639-F1-model_v6</x:v>
      </x:c>
      <x:c r="R647" s="12" t="str">
        <x:v>ok</x:v>
      </x:c>
      <x:c r="S647" s="11" t="n">
        <x:v>263</x:v>
      </x:c>
      <x:c r="T647" s="11" t="n">
        <x:v>105</x:v>
      </x:c>
    </x:row>
    <x:row r="648" ht="23" customHeight="1">
      <x:c r="A648" s="2" t="str">
        <x:v>P10649</x:v>
      </x:c>
      <x:c r="B648" s="2" t="str">
        <x:v>ED</x:v>
      </x:c>
      <x:c r="C648" s="2" t="n">
        <x:v>0</x:v>
      </x:c>
      <x:c r="D648" s="2" t="n">
        <x:v>0</x:v>
      </x:c>
      <x:c r="E648" s="10" t="n">
        <x:v>98.31674311926604</x:v>
      </x:c>
      <x:c r="F648" s="11" t="n">
        <x:v>218</x:v>
      </x:c>
      <x:c r="G648" s="11" t="n">
        <x:v>0</x:v>
      </x:c>
      <x:c r="H648" s="11" t="n">
        <x:v>0</x:v>
      </x:c>
      <x:c r="I648" s="11" t="n">
        <x:v>0</x:v>
      </x:c>
      <x:c r="J648" s="11" t="n">
        <x:v>0</x:v>
      </x:c>
      <x:c r="K648" s="11" t="n">
        <x:v>1</x:v>
      </x:c>
      <x:c r="L648" s="11" t="n">
        <x:f>IF(B648="NED",1,IF(OR(B648="ED",B648="UN"),0,""))</x:f>
        <x:v>0</x:v>
      </x:c>
      <x:c r="M648" s="11" t="n">
        <x:f>IF(AND(K648=1,OR(B648="ED",B648="NED")),1,0)</x:f>
        <x:v>1</x:v>
      </x:c>
      <x:c r="N648" s="11" t="n">
        <x:f>IF(K648=1,1,0)</x:f>
        <x:v>1</x:v>
      </x:c>
      <x:c r="O648" s="12"/>
      <x:c r="P648" s="11" t="n">
        <x:v>0</x:v>
      </x:c>
      <x:c r="Q648" s="12" t="str">
        <x:v>AF-P10649-F1-model_v6</x:v>
      </x:c>
      <x:c r="R648" s="12" t="str">
        <x:v>ok</x:v>
      </x:c>
      <x:c r="S648" s="11" t="n">
        <x:v>264</x:v>
      </x:c>
      <x:c r="T648" s="11" t="n">
        <x:v>218</x:v>
      </x:c>
    </x:row>
    <x:row r="649" ht="23" customHeight="1">
      <x:c r="A649" s="2" t="str">
        <x:v>P10711</x:v>
      </x:c>
      <x:c r="B649" s="2" t="str">
        <x:v>ED</x:v>
      </x:c>
      <x:c r="C649" s="2" t="n">
        <x:v>0</x:v>
      </x:c>
      <x:c r="D649" s="2" t="n">
        <x:v>0</x:v>
      </x:c>
      <x:c r="E649" s="10" t="n">
        <x:v>79.57916943521596</x:v>
      </x:c>
      <x:c r="F649" s="11" t="n">
        <x:v>301</x:v>
      </x:c>
      <x:c r="G649" s="11" t="n">
        <x:v>0</x:v>
      </x:c>
      <x:c r="H649" s="11" t="n">
        <x:v>0</x:v>
      </x:c>
      <x:c r="I649" s="11" t="n">
        <x:v>0</x:v>
      </x:c>
      <x:c r="J649" s="11" t="n">
        <x:v>0</x:v>
      </x:c>
      <x:c r="K649" s="11" t="n">
        <x:v>1</x:v>
      </x:c>
      <x:c r="L649" s="11" t="n">
        <x:f>IF(B649="NED",1,IF(OR(B649="ED",B649="UN"),0,""))</x:f>
        <x:v>0</x:v>
      </x:c>
      <x:c r="M649" s="11" t="n">
        <x:f>IF(AND(K649=1,OR(B649="ED",B649="NED")),1,0)</x:f>
        <x:v>1</x:v>
      </x:c>
      <x:c r="N649" s="11" t="n">
        <x:f>IF(K649=1,1,0)</x:f>
        <x:v>1</x:v>
      </x:c>
      <x:c r="O649" s="12"/>
      <x:c r="P649" s="11" t="n">
        <x:v>0</x:v>
      </x:c>
      <x:c r="Q649" s="12" t="str">
        <x:v>AF-P10711-F1-model_v6</x:v>
      </x:c>
      <x:c r="R649" s="12" t="str">
        <x:v>ok</x:v>
      </x:c>
      <x:c r="S649" s="11" t="n">
        <x:v>265</x:v>
      </x:c>
      <x:c r="T649" s="11" t="n">
        <x:v>301</x:v>
      </x:c>
    </x:row>
    <x:row r="650" ht="23" customHeight="1">
      <x:c r="A650" s="2" t="str">
        <x:v>P10852</x:v>
      </x:c>
      <x:c r="B650" s="2" t="str">
        <x:v>NED</x:v>
      </x:c>
      <x:c r="C650" s="2" t="n">
        <x:v>1</x:v>
      </x:c>
      <x:c r="D650" s="2" t="n">
        <x:v>1</x:v>
      </x:c>
      <x:c r="E650" s="10"/>
      <x:c r="F650" s="11" t="n">
        <x:v>526</x:v>
      </x:c>
      <x:c r="G650" s="11" t="n">
        <x:v>0</x:v>
      </x:c>
      <x:c r="H650" s="11" t="n">
        <x:v>0</x:v>
      </x:c>
      <x:c r="I650" s="11" t="n">
        <x:v>1</x:v>
      </x:c>
      <x:c r="J650" s="11" t="n">
        <x:v>0</x:v>
      </x:c>
      <x:c r="K650" s="11" t="n">
        <x:v>0</x:v>
      </x:c>
      <x:c r="L650" s="11" t="n">
        <x:f>IF(B650="NED",1,IF(OR(B650="ED",B650="UN"),0,""))</x:f>
        <x:v>1</x:v>
      </x:c>
      <x:c r="M650" s="11" t="n">
        <x:f>IF(AND(K650=1,OR(B650="ED",B650="NED")),1,0)</x:f>
        <x:v>0</x:v>
      </x:c>
      <x:c r="N650" s="11" t="n">
        <x:f>IF(K650=1,1,0)</x:f>
        <x:v>0</x:v>
      </x:c>
      <x:c r="O650" s="12" t="str">
        <x:v>Exclude UniProt Membrane keyword</x:v>
      </x:c>
      <x:c r="P650" s="11" t="n">
        <x:v>0</x:v>
      </x:c>
      <x:c r="Q650" s="12" t="str">
        <x:v>AF-P10852-F1-model_v6</x:v>
      </x:c>
      <x:c r="R650" s="12" t="str">
        <x:v>ok</x:v>
      </x:c>
      <x:c r="S650" s="11" t="n">
        <x:v>266</x:v>
      </x:c>
      <x:c r="T650" s="11" t="n">
        <x:v>526</x:v>
      </x:c>
    </x:row>
    <x:row r="651" ht="23" customHeight="1">
      <x:c r="A651" s="2" t="str">
        <x:v>P11157</x:v>
      </x:c>
      <x:c r="B651" s="2" t="str">
        <x:v>NED</x:v>
      </x:c>
      <x:c r="C651" s="2" t="n">
        <x:v>1</x:v>
      </x:c>
      <x:c r="D651" s="2" t="n">
        <x:v>1</x:v>
      </x:c>
      <x:c r="E651" s="10" t="n">
        <x:v>79.42902564102565</x:v>
      </x:c>
      <x:c r="F651" s="11" t="n">
        <x:v>390</x:v>
      </x:c>
      <x:c r="G651" s="11" t="n">
        <x:v>0</x:v>
      </x:c>
      <x:c r="H651" s="11" t="n">
        <x:v>0</x:v>
      </x:c>
      <x:c r="I651" s="11" t="n">
        <x:v>0</x:v>
      </x:c>
      <x:c r="J651" s="11" t="n">
        <x:v>0</x:v>
      </x:c>
      <x:c r="K651" s="11" t="n">
        <x:v>1</x:v>
      </x:c>
      <x:c r="L651" s="11" t="n">
        <x:f>IF(B651="NED",1,IF(OR(B651="ED",B651="UN"),0,""))</x:f>
        <x:v>1</x:v>
      </x:c>
      <x:c r="M651" s="11" t="n">
        <x:f>IF(AND(K651=1,OR(B651="ED",B651="NED")),1,0)</x:f>
        <x:v>1</x:v>
      </x:c>
      <x:c r="N651" s="11" t="n">
        <x:f>IF(K651=1,1,0)</x:f>
        <x:v>1</x:v>
      </x:c>
      <x:c r="O651" s="12"/>
      <x:c r="P651" s="11" t="n">
        <x:v>0</x:v>
      </x:c>
      <x:c r="Q651" s="12" t="str">
        <x:v>AF-P11157-F1-model_v6</x:v>
      </x:c>
      <x:c r="R651" s="12" t="str">
        <x:v>ok</x:v>
      </x:c>
      <x:c r="S651" s="11" t="n">
        <x:v>267</x:v>
      </x:c>
      <x:c r="T651" s="11" t="n">
        <x:v>390</x:v>
      </x:c>
    </x:row>
    <x:row r="652" ht="23" customHeight="1">
      <x:c r="A652" s="2" t="str">
        <x:v>P11276</x:v>
      </x:c>
      <x:c r="B652" s="2" t="str">
        <x:v>NED</x:v>
      </x:c>
      <x:c r="C652" s="2" t="n">
        <x:v>1</x:v>
      </x:c>
      <x:c r="D652" s="2" t="n">
        <x:v>1</x:v>
      </x:c>
      <x:c r="E652" s="10"/>
      <x:c r="F652" s="11" t="n">
        <x:v>2477</x:v>
      </x:c>
      <x:c r="G652" s="11" t="n">
        <x:v>0</x:v>
      </x:c>
      <x:c r="H652" s="11" t="n">
        <x:v>0</x:v>
      </x:c>
      <x:c r="I652" s="11" t="n">
        <x:v>0</x:v>
      </x:c>
      <x:c r="J652" s="11" t="n">
        <x:v>1</x:v>
      </x:c>
      <x:c r="K652" s="11" t="n">
        <x:v>0</x:v>
      </x:c>
      <x:c r="L652" s="11" t="n">
        <x:f>IF(B652="NED",1,IF(OR(B652="ED",B652="UN"),0,""))</x:f>
        <x:v>1</x:v>
      </x:c>
      <x:c r="M652" s="11" t="n">
        <x:f>IF(AND(K652=1,OR(B652="ED",B652="NED")),1,0)</x:f>
        <x:v>0</x:v>
      </x:c>
      <x:c r="N652" s="11" t="n">
        <x:f>IF(K652=1,1,0)</x:f>
        <x:v>0</x:v>
      </x:c>
      <x:c r="O652" s="12" t="str">
        <x:v>Exclude UniProt Secreted keyword</x:v>
      </x:c>
      <x:c r="P652" s="11" t="n">
        <x:v>0</x:v>
      </x:c>
      <x:c r="Q652" s="12" t="str">
        <x:v>AF-P11276-F1-model_v6</x:v>
      </x:c>
      <x:c r="R652" s="12" t="str">
        <x:v>ok</x:v>
      </x:c>
      <x:c r="S652" s="11" t="n">
        <x:v>268</x:v>
      </x:c>
      <x:c r="T652" s="11" t="n">
        <x:v>2477</x:v>
      </x:c>
    </x:row>
    <x:row r="653" ht="23" customHeight="1">
      <x:c r="A653" s="2" t="str">
        <x:v>P11440</x:v>
      </x:c>
      <x:c r="B653" s="2" t="str">
        <x:v>ED</x:v>
      </x:c>
      <x:c r="C653" s="2" t="n">
        <x:v>1</x:v>
      </x:c>
      <x:c r="D653" s="2" t="n">
        <x:v>1</x:v>
      </x:c>
      <x:c r="E653" s="10" t="n">
        <x:v>88.54353535353536</x:v>
      </x:c>
      <x:c r="F653" s="11" t="n">
        <x:v>297</x:v>
      </x:c>
      <x:c r="G653" s="11" t="n">
        <x:v>0</x:v>
      </x:c>
      <x:c r="H653" s="11" t="n">
        <x:v>0</x:v>
      </x:c>
      <x:c r="I653" s="11" t="n">
        <x:v>0</x:v>
      </x:c>
      <x:c r="J653" s="11" t="n">
        <x:v>0</x:v>
      </x:c>
      <x:c r="K653" s="11" t="n">
        <x:v>1</x:v>
      </x:c>
      <x:c r="L653" s="11" t="n">
        <x:f>IF(B653="NED",1,IF(OR(B653="ED",B653="UN"),0,""))</x:f>
        <x:v>0</x:v>
      </x:c>
      <x:c r="M653" s="11" t="n">
        <x:f>IF(AND(K653=1,OR(B653="ED",B653="NED")),1,0)</x:f>
        <x:v>1</x:v>
      </x:c>
      <x:c r="N653" s="11" t="n">
        <x:f>IF(K653=1,1,0)</x:f>
        <x:v>1</x:v>
      </x:c>
      <x:c r="O653" s="12"/>
      <x:c r="P653" s="11" t="n">
        <x:v>0</x:v>
      </x:c>
      <x:c r="Q653" s="12" t="str">
        <x:v>AF-P11440-F1-model_v6</x:v>
      </x:c>
      <x:c r="R653" s="12" t="str">
        <x:v>ok</x:v>
      </x:c>
      <x:c r="S653" s="11" t="n">
        <x:v>269</x:v>
      </x:c>
      <x:c r="T653" s="11" t="n">
        <x:v>297</x:v>
      </x:c>
    </x:row>
    <x:row r="654" ht="23" customHeight="1">
      <x:c r="A654" s="2" t="str">
        <x:v>P11499</x:v>
      </x:c>
      <x:c r="B654" s="2" t="str">
        <x:v>ED</x:v>
      </x:c>
      <x:c r="C654" s="2" t="n">
        <x:v>1</x:v>
      </x:c>
      <x:c r="D654" s="2" t="n">
        <x:v>1</x:v>
      </x:c>
      <x:c r="E654" s="10"/>
      <x:c r="F654" s="11" t="n">
        <x:v>724</x:v>
      </x:c>
      <x:c r="G654" s="11" t="n">
        <x:v>0</x:v>
      </x:c>
      <x:c r="H654" s="11" t="n">
        <x:v>0</x:v>
      </x:c>
      <x:c r="I654" s="11" t="n">
        <x:v>1</x:v>
      </x:c>
      <x:c r="J654" s="11" t="n">
        <x:v>1</x:v>
      </x:c>
      <x:c r="K654" s="11" t="n">
        <x:v>0</x:v>
      </x:c>
      <x:c r="L654" s="11" t="n">
        <x:f>IF(B654="NED",1,IF(OR(B654="ED",B654="UN"),0,""))</x:f>
        <x:v>0</x:v>
      </x:c>
      <x:c r="M654" s="11" t="n">
        <x:f>IF(AND(K654=1,OR(B654="ED",B654="NED")),1,0)</x:f>
        <x:v>0</x:v>
      </x:c>
      <x:c r="N654" s="11" t="n">
        <x:f>IF(K654=1,1,0)</x:f>
        <x:v>0</x:v>
      </x:c>
      <x:c r="O654" s="12" t="str">
        <x:v>Exclude UniProt Membrane keyword</x:v>
      </x:c>
      <x:c r="P654" s="11" t="n">
        <x:v>0</x:v>
      </x:c>
      <x:c r="Q654" s="12" t="str">
        <x:v>AF-P11499-F1-model_v6</x:v>
      </x:c>
      <x:c r="R654" s="12" t="str">
        <x:v>ok</x:v>
      </x:c>
      <x:c r="S654" s="11" t="n">
        <x:v>270</x:v>
      </x:c>
      <x:c r="T654" s="11" t="n">
        <x:v>724</x:v>
      </x:c>
    </x:row>
    <x:row r="655" ht="23" customHeight="1">
      <x:c r="A655" s="2" t="str">
        <x:v>P11688</x:v>
      </x:c>
      <x:c r="B655" s="2" t="str">
        <x:v>NED</x:v>
      </x:c>
      <x:c r="C655" s="2"/>
      <x:c r="D655" s="2"/>
      <x:c r="E655" s="10"/>
      <x:c r="F655" s="11" t="n">
        <x:v>1053</x:v>
      </x:c>
      <x:c r="G655" s="11" t="n">
        <x:v>1</x:v>
      </x:c>
      <x:c r="H655" s="11" t="n">
        <x:v>1</x:v>
      </x:c>
      <x:c r="I655" s="11" t="n">
        <x:v>1</x:v>
      </x:c>
      <x:c r="J655" s="11" t="n">
        <x:v>0</x:v>
      </x:c>
      <x:c r="K655" s="11" t="n">
        <x:v>0</x:v>
      </x:c>
      <x:c r="L655" s="11" t="n">
        <x:f>IF(B655="NED",1,IF(OR(B655="ED",B655="UN"),0,""))</x:f>
        <x:v>1</x:v>
      </x:c>
      <x:c r="M655" s="11" t="n">
        <x:f>IF(AND(K655=1,OR(B655="ED",B655="NED")),1,0)</x:f>
        <x:v>0</x:v>
      </x:c>
      <x:c r="N655" s="11" t="n">
        <x:f>IF(K655=1,1,0)</x:f>
        <x:v>0</x:v>
      </x:c>
      <x:c r="O655" s="12" t="str">
        <x:v>Require binary native NCLE status</x:v>
      </x:c>
      <x:c r="P655" s="11" t="n">
        <x:v>0</x:v>
      </x:c>
      <x:c r="Q655" s="12" t="str">
        <x:v>AF-P11688-F1-model_v6</x:v>
      </x:c>
      <x:c r="R655" s="12" t="str">
        <x:v>ok</x:v>
      </x:c>
      <x:c r="S655" s="11" t="n">
        <x:v>271</x:v>
      </x:c>
      <x:c r="T655" s="11" t="n">
        <x:v>1053</x:v>
      </x:c>
    </x:row>
    <x:row r="656" ht="23" customHeight="1">
      <x:c r="A656" s="2" t="str">
        <x:v>P11983</x:v>
      </x:c>
      <x:c r="B656" s="2" t="str">
        <x:v>UN</x:v>
      </x:c>
      <x:c r="C656" s="2" t="n">
        <x:v>1</x:v>
      </x:c>
      <x:c r="D656" s="2" t="n">
        <x:v>1</x:v>
      </x:c>
      <x:c r="E656" s="10" t="n">
        <x:v>87.92289568345323</x:v>
      </x:c>
      <x:c r="F656" s="11" t="n">
        <x:v>556</x:v>
      </x:c>
      <x:c r="G656" s="11" t="n">
        <x:v>0</x:v>
      </x:c>
      <x:c r="H656" s="11" t="n">
        <x:v>0</x:v>
      </x:c>
      <x:c r="I656" s="11" t="n">
        <x:v>0</x:v>
      </x:c>
      <x:c r="J656" s="11" t="n">
        <x:v>0</x:v>
      </x:c>
      <x:c r="K656" s="11" t="n">
        <x:v>1</x:v>
      </x:c>
      <x:c r="L656" s="11" t="n">
        <x:f>IF(B656="NED",1,IF(OR(B656="ED",B656="UN"),0,""))</x:f>
        <x:v>0</x:v>
      </x:c>
      <x:c r="M656" s="11" t="n">
        <x:f>IF(AND(K656=1,OR(B656="ED",B656="NED")),1,0)</x:f>
        <x:v>0</x:v>
      </x:c>
      <x:c r="N656" s="11" t="n">
        <x:f>IF(K656=1,1,0)</x:f>
        <x:v>1</x:v>
      </x:c>
      <x:c r="O656" s="12"/>
      <x:c r="P656" s="11" t="n">
        <x:v>0</x:v>
      </x:c>
      <x:c r="Q656" s="12" t="str">
        <x:v>AF-P11983-F1-model_v6</x:v>
      </x:c>
      <x:c r="R656" s="12" t="str">
        <x:v>ok</x:v>
      </x:c>
      <x:c r="S656" s="11" t="n">
        <x:v>272</x:v>
      </x:c>
      <x:c r="T656" s="11" t="n">
        <x:v>556</x:v>
      </x:c>
    </x:row>
    <x:row r="657" ht="23" customHeight="1">
      <x:c r="A657" s="2" t="str">
        <x:v>P12382</x:v>
      </x:c>
      <x:c r="B657" s="2" t="str">
        <x:v>UN</x:v>
      </x:c>
      <x:c r="C657" s="2" t="n">
        <x:v>1</x:v>
      </x:c>
      <x:c r="D657" s="2" t="n">
        <x:v>1</x:v>
      </x:c>
      <x:c r="E657" s="10" t="n">
        <x:v>92.59603846153848</x:v>
      </x:c>
      <x:c r="F657" s="11" t="n">
        <x:v>780</x:v>
      </x:c>
      <x:c r="G657" s="11" t="n">
        <x:v>0</x:v>
      </x:c>
      <x:c r="H657" s="11" t="n">
        <x:v>0</x:v>
      </x:c>
      <x:c r="I657" s="11" t="n">
        <x:v>0</x:v>
      </x:c>
      <x:c r="J657" s="11" t="n">
        <x:v>0</x:v>
      </x:c>
      <x:c r="K657" s="11" t="n">
        <x:v>1</x:v>
      </x:c>
      <x:c r="L657" s="11" t="n">
        <x:f>IF(B657="NED",1,IF(OR(B657="ED",B657="UN"),0,""))</x:f>
        <x:v>0</x:v>
      </x:c>
      <x:c r="M657" s="11" t="n">
        <x:f>IF(AND(K657=1,OR(B657="ED",B657="NED")),1,0)</x:f>
        <x:v>0</x:v>
      </x:c>
      <x:c r="N657" s="11" t="n">
        <x:f>IF(K657=1,1,0)</x:f>
        <x:v>1</x:v>
      </x:c>
      <x:c r="O657" s="12"/>
      <x:c r="P657" s="11" t="n">
        <x:v>0</x:v>
      </x:c>
      <x:c r="Q657" s="12" t="str">
        <x:v>AF-P12382-F1-model_v6</x:v>
      </x:c>
      <x:c r="R657" s="12" t="str">
        <x:v>ok</x:v>
      </x:c>
      <x:c r="S657" s="11" t="n">
        <x:v>273</x:v>
      </x:c>
      <x:c r="T657" s="11" t="n">
        <x:v>780</x:v>
      </x:c>
    </x:row>
    <x:row r="658" ht="23" customHeight="1">
      <x:c r="A658" s="2" t="str">
        <x:v>P12787</x:v>
      </x:c>
      <x:c r="B658" s="2" t="str">
        <x:v>NED</x:v>
      </x:c>
      <x:c r="C658" s="2" t="n">
        <x:v>0</x:v>
      </x:c>
      <x:c r="D658" s="2" t="n">
        <x:v>0</x:v>
      </x:c>
      <x:c r="E658" s="10"/>
      <x:c r="F658" s="11" t="n">
        <x:v>146</x:v>
      </x:c>
      <x:c r="G658" s="11" t="n">
        <x:v>0</x:v>
      </x:c>
      <x:c r="H658" s="11" t="n">
        <x:v>0</x:v>
      </x:c>
      <x:c r="I658" s="11" t="n">
        <x:v>1</x:v>
      </x:c>
      <x:c r="J658" s="11" t="n">
        <x:v>0</x:v>
      </x:c>
      <x:c r="K658" s="11" t="n">
        <x:v>0</x:v>
      </x:c>
      <x:c r="L658" s="11" t="n">
        <x:f>IF(B658="NED",1,IF(OR(B658="ED",B658="UN"),0,""))</x:f>
        <x:v>1</x:v>
      </x:c>
      <x:c r="M658" s="11" t="n">
        <x:f>IF(AND(K658=1,OR(B658="ED",B658="NED")),1,0)</x:f>
        <x:v>0</x:v>
      </x:c>
      <x:c r="N658" s="11" t="n">
        <x:f>IF(K658=1,1,0)</x:f>
        <x:v>0</x:v>
      </x:c>
      <x:c r="O658" s="12" t="str">
        <x:v>Exclude UniProt Membrane keyword</x:v>
      </x:c>
      <x:c r="P658" s="11" t="n">
        <x:v>0</x:v>
      </x:c>
      <x:c r="Q658" s="12" t="str">
        <x:v>AF-P12787-F1-model_v6</x:v>
      </x:c>
      <x:c r="R658" s="12" t="str">
        <x:v>ok</x:v>
      </x:c>
      <x:c r="S658" s="11" t="n">
        <x:v>274</x:v>
      </x:c>
      <x:c r="T658" s="11" t="n">
        <x:v>146</x:v>
      </x:c>
    </x:row>
    <x:row r="659" ht="23" customHeight="1">
      <x:c r="A659" s="2" t="str">
        <x:v>P12815</x:v>
      </x:c>
      <x:c r="B659" s="2" t="str">
        <x:v>ED</x:v>
      </x:c>
      <x:c r="C659" s="2" t="n">
        <x:v>1</x:v>
      </x:c>
      <x:c r="D659" s="2" t="n">
        <x:v>1</x:v>
      </x:c>
      <x:c r="E659" s="10"/>
      <x:c r="F659" s="11" t="n">
        <x:v>191</x:v>
      </x:c>
      <x:c r="G659" s="11" t="n">
        <x:v>0</x:v>
      </x:c>
      <x:c r="H659" s="11" t="n">
        <x:v>0</x:v>
      </x:c>
      <x:c r="I659" s="11" t="n">
        <x:v>1</x:v>
      </x:c>
      <x:c r="J659" s="11" t="n">
        <x:v>0</x:v>
      </x:c>
      <x:c r="K659" s="11" t="n">
        <x:v>0</x:v>
      </x:c>
      <x:c r="L659" s="11" t="n">
        <x:f>IF(B659="NED",1,IF(OR(B659="ED",B659="UN"),0,""))</x:f>
        <x:v>0</x:v>
      </x:c>
      <x:c r="M659" s="11" t="n">
        <x:f>IF(AND(K659=1,OR(B659="ED",B659="NED")),1,0)</x:f>
        <x:v>0</x:v>
      </x:c>
      <x:c r="N659" s="11" t="n">
        <x:f>IF(K659=1,1,0)</x:f>
        <x:v>0</x:v>
      </x:c>
      <x:c r="O659" s="12" t="str">
        <x:v>Exclude UniProt Membrane keyword</x:v>
      </x:c>
      <x:c r="P659" s="11" t="n">
        <x:v>0</x:v>
      </x:c>
      <x:c r="Q659" s="12" t="str">
        <x:v>AF-P12815-F1-model_v6</x:v>
      </x:c>
      <x:c r="R659" s="12" t="str">
        <x:v>ok</x:v>
      </x:c>
      <x:c r="S659" s="11" t="n">
        <x:v>275</x:v>
      </x:c>
      <x:c r="T659" s="11" t="n">
        <x:v>191</x:v>
      </x:c>
    </x:row>
    <x:row r="660" ht="23" customHeight="1">
      <x:c r="A660" s="2" t="str">
        <x:v>P13020-2</x:v>
      </x:c>
      <x:c r="B660" s="2" t="str">
        <x:v>ED</x:v>
      </x:c>
      <x:c r="C660" s="2"/>
      <x:c r="D660" s="2"/>
      <x:c r="E660" s="10"/>
      <x:c r="F660" s="11"/>
      <x:c r="G660" s="11" t="n">
        <x:v>0</x:v>
      </x:c>
      <x:c r="H660" s="11" t="n">
        <x:v>0</x:v>
      </x:c>
      <x:c r="I660" s="11"/>
      <x:c r="J660" s="11"/>
      <x:c r="K660" s="11" t="n">
        <x:v>0</x:v>
      </x:c>
      <x:c r="L660" s="11" t="n">
        <x:f>IF(B660="NED",1,IF(OR(B660="ED",B660="UN"),0,""))</x:f>
        <x:v>0</x:v>
      </x:c>
      <x:c r="M660" s="11" t="n">
        <x:f>IF(AND(K660=1,OR(B660="ED",B660="NED")),1,0)</x:f>
        <x:v>0</x:v>
      </x:c>
      <x:c r="N660" s="11" t="n">
        <x:f>IF(K660=1,1,0)</x:f>
        <x:v>0</x:v>
      </x:c>
      <x:c r="O660" s="12" t="str">
        <x:v>Require exact native accession match</x:v>
      </x:c>
      <x:c r="P660" s="11" t="n">
        <x:v>0</x:v>
      </x:c>
      <x:c r="Q660" s="12"/>
      <x:c r="R660" s="12"/>
      <x:c r="S660" s="11" t="n">
        <x:v>276</x:v>
      </x:c>
      <x:c r="T660" s="11"/>
    </x:row>
    <x:row r="661" ht="23" customHeight="1">
      <x:c r="A661" s="2" t="str">
        <x:v>P13439</x:v>
      </x:c>
      <x:c r="B661" s="2" t="str">
        <x:v>UN</x:v>
      </x:c>
      <x:c r="C661" s="2" t="n">
        <x:v>1</x:v>
      </x:c>
      <x:c r="D661" s="2" t="n">
        <x:v>1</x:v>
      </x:c>
      <x:c r="E661" s="10" t="n">
        <x:v>91.91068607068608</x:v>
      </x:c>
      <x:c r="F661" s="11" t="n">
        <x:v>481</x:v>
      </x:c>
      <x:c r="G661" s="11" t="n">
        <x:v>0</x:v>
      </x:c>
      <x:c r="H661" s="11" t="n">
        <x:v>0</x:v>
      </x:c>
      <x:c r="I661" s="11" t="n">
        <x:v>0</x:v>
      </x:c>
      <x:c r="J661" s="11" t="n">
        <x:v>0</x:v>
      </x:c>
      <x:c r="K661" s="11" t="n">
        <x:v>1</x:v>
      </x:c>
      <x:c r="L661" s="11" t="n">
        <x:f>IF(B661="NED",1,IF(OR(B661="ED",B661="UN"),0,""))</x:f>
        <x:v>0</x:v>
      </x:c>
      <x:c r="M661" s="11" t="n">
        <x:f>IF(AND(K661=1,OR(B661="ED",B661="NED")),1,0)</x:f>
        <x:v>0</x:v>
      </x:c>
      <x:c r="N661" s="11" t="n">
        <x:f>IF(K661=1,1,0)</x:f>
        <x:v>1</x:v>
      </x:c>
      <x:c r="O661" s="12"/>
      <x:c r="P661" s="11" t="n">
        <x:v>0</x:v>
      </x:c>
      <x:c r="Q661" s="12" t="str">
        <x:v>AF-P13439-F1-model_v6</x:v>
      </x:c>
      <x:c r="R661" s="12" t="str">
        <x:v>ok</x:v>
      </x:c>
      <x:c r="S661" s="11" t="n">
        <x:v>277</x:v>
      </x:c>
      <x:c r="T661" s="11" t="n">
        <x:v>481</x:v>
      </x:c>
    </x:row>
    <x:row r="662" ht="23" customHeight="1">
      <x:c r="A662" s="2" t="str">
        <x:v>P13595-2</x:v>
      </x:c>
      <x:c r="B662" s="2" t="str">
        <x:v>UN</x:v>
      </x:c>
      <x:c r="C662" s="2"/>
      <x:c r="D662" s="2"/>
      <x:c r="E662" s="10"/>
      <x:c r="F662" s="11"/>
      <x:c r="G662" s="11" t="n">
        <x:v>0</x:v>
      </x:c>
      <x:c r="H662" s="11" t="n">
        <x:v>0</x:v>
      </x:c>
      <x:c r="I662" s="11"/>
      <x:c r="J662" s="11"/>
      <x:c r="K662" s="11" t="n">
        <x:v>0</x:v>
      </x:c>
      <x:c r="L662" s="11" t="n">
        <x:f>IF(B662="NED",1,IF(OR(B662="ED",B662="UN"),0,""))</x:f>
        <x:v>0</x:v>
      </x:c>
      <x:c r="M662" s="11" t="n">
        <x:f>IF(AND(K662=1,OR(B662="ED",B662="NED")),1,0)</x:f>
        <x:v>0</x:v>
      </x:c>
      <x:c r="N662" s="11" t="n">
        <x:f>IF(K662=1,1,0)</x:f>
        <x:v>0</x:v>
      </x:c>
      <x:c r="O662" s="12" t="str">
        <x:v>Require exact native accession match</x:v>
      </x:c>
      <x:c r="P662" s="11" t="n">
        <x:v>0</x:v>
      </x:c>
      <x:c r="Q662" s="12"/>
      <x:c r="R662" s="12"/>
      <x:c r="S662" s="11" t="n">
        <x:v>278</x:v>
      </x:c>
      <x:c r="T662" s="11"/>
    </x:row>
    <x:row r="663" ht="23" customHeight="1">
      <x:c r="A663" s="2" t="str">
        <x:v>P14131</x:v>
      </x:c>
      <x:c r="B663" s="2" t="str">
        <x:v>NED</x:v>
      </x:c>
      <x:c r="C663" s="2" t="n">
        <x:v>0</x:v>
      </x:c>
      <x:c r="D663" s="2" t="n">
        <x:v>0</x:v>
      </x:c>
      <x:c r="E663" s="10" t="n">
        <x:v>93.87205479452057</x:v>
      </x:c>
      <x:c r="F663" s="11" t="n">
        <x:v>146</x:v>
      </x:c>
      <x:c r="G663" s="11" t="n">
        <x:v>0</x:v>
      </x:c>
      <x:c r="H663" s="11" t="n">
        <x:v>0</x:v>
      </x:c>
      <x:c r="I663" s="11" t="n">
        <x:v>0</x:v>
      </x:c>
      <x:c r="J663" s="11" t="n">
        <x:v>0</x:v>
      </x:c>
      <x:c r="K663" s="11" t="n">
        <x:v>1</x:v>
      </x:c>
      <x:c r="L663" s="11" t="n">
        <x:f>IF(B663="NED",1,IF(OR(B663="ED",B663="UN"),0,""))</x:f>
        <x:v>1</x:v>
      </x:c>
      <x:c r="M663" s="11" t="n">
        <x:f>IF(AND(K663=1,OR(B663="ED",B663="NED")),1,0)</x:f>
        <x:v>1</x:v>
      </x:c>
      <x:c r="N663" s="11" t="n">
        <x:f>IF(K663=1,1,0)</x:f>
        <x:v>1</x:v>
      </x:c>
      <x:c r="O663" s="12"/>
      <x:c r="P663" s="11" t="n">
        <x:v>0</x:v>
      </x:c>
      <x:c r="Q663" s="12" t="str">
        <x:v>AF-P14131-F1-model_v6</x:v>
      </x:c>
      <x:c r="R663" s="12" t="str">
        <x:v>ok</x:v>
      </x:c>
      <x:c r="S663" s="11" t="n">
        <x:v>279</x:v>
      </x:c>
      <x:c r="T663" s="11" t="n">
        <x:v>146</x:v>
      </x:c>
    </x:row>
    <x:row r="664" ht="23" customHeight="1">
      <x:c r="A664" s="2" t="str">
        <x:v>P14152</x:v>
      </x:c>
      <x:c r="B664" s="2" t="str">
        <x:v>ED</x:v>
      </x:c>
      <x:c r="C664" s="2" t="n">
        <x:v>1</x:v>
      </x:c>
      <x:c r="D664" s="2" t="n">
        <x:v>1</x:v>
      </x:c>
      <x:c r="E664" s="10" t="n">
        <x:v>96.8395508982036</x:v>
      </x:c>
      <x:c r="F664" s="11" t="n">
        <x:v>334</x:v>
      </x:c>
      <x:c r="G664" s="11" t="n">
        <x:v>0</x:v>
      </x:c>
      <x:c r="H664" s="11" t="n">
        <x:v>0</x:v>
      </x:c>
      <x:c r="I664" s="11" t="n">
        <x:v>0</x:v>
      </x:c>
      <x:c r="J664" s="11" t="n">
        <x:v>0</x:v>
      </x:c>
      <x:c r="K664" s="11" t="n">
        <x:v>1</x:v>
      </x:c>
      <x:c r="L664" s="11" t="n">
        <x:f>IF(B664="NED",1,IF(OR(B664="ED",B664="UN"),0,""))</x:f>
        <x:v>0</x:v>
      </x:c>
      <x:c r="M664" s="11" t="n">
        <x:f>IF(AND(K664=1,OR(B664="ED",B664="NED")),1,0)</x:f>
        <x:v>1</x:v>
      </x:c>
      <x:c r="N664" s="11" t="n">
        <x:f>IF(K664=1,1,0)</x:f>
        <x:v>1</x:v>
      </x:c>
      <x:c r="O664" s="12"/>
      <x:c r="P664" s="11" t="n">
        <x:v>0</x:v>
      </x:c>
      <x:c r="Q664" s="12" t="str">
        <x:v>AF-P14152-F1-model_v6</x:v>
      </x:c>
      <x:c r="R664" s="12" t="str">
        <x:v>ok</x:v>
      </x:c>
      <x:c r="S664" s="11" t="n">
        <x:v>280</x:v>
      </x:c>
      <x:c r="T664" s="11" t="n">
        <x:v>334</x:v>
      </x:c>
    </x:row>
    <x:row r="665" ht="23" customHeight="1">
      <x:c r="A665" s="2" t="str">
        <x:v>P14206</x:v>
      </x:c>
      <x:c r="B665" s="2" t="str">
        <x:v>UN</x:v>
      </x:c>
      <x:c r="C665" s="2" t="n">
        <x:v>1</x:v>
      </x:c>
      <x:c r="D665" s="2" t="n">
        <x:v>1</x:v>
      </x:c>
      <x:c r="E665" s="10"/>
      <x:c r="F665" s="11" t="n">
        <x:v>295</x:v>
      </x:c>
      <x:c r="G665" s="11" t="n">
        <x:v>0</x:v>
      </x:c>
      <x:c r="H665" s="11" t="n">
        <x:v>0</x:v>
      </x:c>
      <x:c r="I665" s="11" t="n">
        <x:v>1</x:v>
      </x:c>
      <x:c r="J665" s="11" t="n">
        <x:v>0</x:v>
      </x:c>
      <x:c r="K665" s="11" t="n">
        <x:v>0</x:v>
      </x:c>
      <x:c r="L665" s="11" t="n">
        <x:f>IF(B665="NED",1,IF(OR(B665="ED",B665="UN"),0,""))</x:f>
        <x:v>0</x:v>
      </x:c>
      <x:c r="M665" s="11" t="n">
        <x:f>IF(AND(K665=1,OR(B665="ED",B665="NED")),1,0)</x:f>
        <x:v>0</x:v>
      </x:c>
      <x:c r="N665" s="11" t="n">
        <x:f>IF(K665=1,1,0)</x:f>
        <x:v>0</x:v>
      </x:c>
      <x:c r="O665" s="12" t="str">
        <x:v>Exclude UniProt Membrane keyword</x:v>
      </x:c>
      <x:c r="P665" s="11" t="n">
        <x:v>0</x:v>
      </x:c>
      <x:c r="Q665" s="12" t="str">
        <x:v>AF-P14206-F1-model_v6</x:v>
      </x:c>
      <x:c r="R665" s="12" t="str">
        <x:v>ok</x:v>
      </x:c>
      <x:c r="S665" s="11" t="n">
        <x:v>281</x:v>
      </x:c>
      <x:c r="T665" s="11" t="n">
        <x:v>295</x:v>
      </x:c>
    </x:row>
    <x:row r="666" ht="23" customHeight="1">
      <x:c r="A666" s="2" t="str">
        <x:v>P14211</x:v>
      </x:c>
      <x:c r="B666" s="2" t="str">
        <x:v>ED</x:v>
      </x:c>
      <x:c r="C666" s="2" t="n">
        <x:v>1</x:v>
      </x:c>
      <x:c r="D666" s="2" t="n">
        <x:v>1</x:v>
      </x:c>
      <x:c r="E666" s="10"/>
      <x:c r="F666" s="11" t="n">
        <x:v>416</x:v>
      </x:c>
      <x:c r="G666" s="11" t="n">
        <x:v>0</x:v>
      </x:c>
      <x:c r="H666" s="11" t="n">
        <x:v>0</x:v>
      </x:c>
      <x:c r="I666" s="11" t="n">
        <x:v>0</x:v>
      </x:c>
      <x:c r="J666" s="11" t="n">
        <x:v>1</x:v>
      </x:c>
      <x:c r="K666" s="11" t="n">
        <x:v>0</x:v>
      </x:c>
      <x:c r="L666" s="11" t="n">
        <x:f>IF(B666="NED",1,IF(OR(B666="ED",B666="UN"),0,""))</x:f>
        <x:v>0</x:v>
      </x:c>
      <x:c r="M666" s="11" t="n">
        <x:f>IF(AND(K666=1,OR(B666="ED",B666="NED")),1,0)</x:f>
        <x:v>0</x:v>
      </x:c>
      <x:c r="N666" s="11" t="n">
        <x:f>IF(K666=1,1,0)</x:f>
        <x:v>0</x:v>
      </x:c>
      <x:c r="O666" s="12" t="str">
        <x:v>Exclude UniProt Secreted keyword</x:v>
      </x:c>
      <x:c r="P666" s="11" t="n">
        <x:v>0</x:v>
      </x:c>
      <x:c r="Q666" s="12" t="str">
        <x:v>AF-P14211-F1-model_v6</x:v>
      </x:c>
      <x:c r="R666" s="12" t="str">
        <x:v>ok</x:v>
      </x:c>
      <x:c r="S666" s="11" t="n">
        <x:v>282</x:v>
      </x:c>
      <x:c r="T666" s="11" t="n">
        <x:v>416</x:v>
      </x:c>
    </x:row>
    <x:row r="667" ht="23" customHeight="1">
      <x:c r="A667" s="2" t="str">
        <x:v>P14576</x:v>
      </x:c>
      <x:c r="B667" s="2" t="str">
        <x:v>UN</x:v>
      </x:c>
      <x:c r="C667" s="2" t="n">
        <x:v>1</x:v>
      </x:c>
      <x:c r="D667" s="2" t="n">
        <x:v>1</x:v>
      </x:c>
      <x:c r="E667" s="10" t="n">
        <x:v>80.39230158730159</x:v>
      </x:c>
      <x:c r="F667" s="11" t="n">
        <x:v>504</x:v>
      </x:c>
      <x:c r="G667" s="11" t="n">
        <x:v>0</x:v>
      </x:c>
      <x:c r="H667" s="11" t="n">
        <x:v>0</x:v>
      </x:c>
      <x:c r="I667" s="11" t="n">
        <x:v>0</x:v>
      </x:c>
      <x:c r="J667" s="11" t="n">
        <x:v>0</x:v>
      </x:c>
      <x:c r="K667" s="11" t="n">
        <x:v>1</x:v>
      </x:c>
      <x:c r="L667" s="11" t="n">
        <x:f>IF(B667="NED",1,IF(OR(B667="ED",B667="UN"),0,""))</x:f>
        <x:v>0</x:v>
      </x:c>
      <x:c r="M667" s="11" t="n">
        <x:f>IF(AND(K667=1,OR(B667="ED",B667="NED")),1,0)</x:f>
        <x:v>0</x:v>
      </x:c>
      <x:c r="N667" s="11" t="n">
        <x:f>IF(K667=1,1,0)</x:f>
        <x:v>1</x:v>
      </x:c>
      <x:c r="O667" s="12"/>
      <x:c r="P667" s="11" t="n">
        <x:v>0</x:v>
      </x:c>
      <x:c r="Q667" s="12" t="str">
        <x:v>AF-P14576-F1-model_v6</x:v>
      </x:c>
      <x:c r="R667" s="12" t="str">
        <x:v>ok</x:v>
      </x:c>
      <x:c r="S667" s="11" t="n">
        <x:v>283</x:v>
      </x:c>
      <x:c r="T667" s="11" t="n">
        <x:v>504</x:v>
      </x:c>
    </x:row>
    <x:row r="668" ht="23" customHeight="1">
      <x:c r="A668" s="2" t="str">
        <x:v>P14685</x:v>
      </x:c>
      <x:c r="B668" s="2" t="str">
        <x:v>UN</x:v>
      </x:c>
      <x:c r="C668" s="2" t="n">
        <x:v>1</x:v>
      </x:c>
      <x:c r="D668" s="2"/>
      <x:c r="E668" s="10" t="n">
        <x:v>75.20205660377358</x:v>
      </x:c>
      <x:c r="F668" s="11" t="n">
        <x:v>530</x:v>
      </x:c>
      <x:c r="G668" s="11" t="n">
        <x:v>0</x:v>
      </x:c>
      <x:c r="H668" s="11" t="n">
        <x:v>0</x:v>
      </x:c>
      <x:c r="I668" s="11" t="n">
        <x:v>0</x:v>
      </x:c>
      <x:c r="J668" s="11" t="n">
        <x:v>0</x:v>
      </x:c>
      <x:c r="K668" s="11" t="n">
        <x:v>1</x:v>
      </x:c>
      <x:c r="L668" s="11" t="n">
        <x:f>IF(B668="NED",1,IF(OR(B668="ED",B668="UN"),0,""))</x:f>
        <x:v>0</x:v>
      </x:c>
      <x:c r="M668" s="11" t="n">
        <x:f>IF(AND(K668=1,OR(B668="ED",B668="NED")),1,0)</x:f>
        <x:v>0</x:v>
      </x:c>
      <x:c r="N668" s="11" t="n">
        <x:f>IF(K668=1,1,0)</x:f>
        <x:v>1</x:v>
      </x:c>
      <x:c r="O668" s="12"/>
      <x:c r="P668" s="11" t="n">
        <x:v>0</x:v>
      </x:c>
      <x:c r="Q668" s="12" t="str">
        <x:v>AF-P14685-F1-model_v6</x:v>
      </x:c>
      <x:c r="R668" s="12" t="str">
        <x:v>ok</x:v>
      </x:c>
      <x:c r="S668" s="11" t="n">
        <x:v>284</x:v>
      </x:c>
      <x:c r="T668" s="11" t="n">
        <x:v>530</x:v>
      </x:c>
    </x:row>
    <x:row r="669" ht="23" customHeight="1">
      <x:c r="A669" s="2" t="str">
        <x:v>P14733</x:v>
      </x:c>
      <x:c r="B669" s="2" t="str">
        <x:v>ED</x:v>
      </x:c>
      <x:c r="C669" s="2" t="n">
        <x:v>0</x:v>
      </x:c>
      <x:c r="D669" s="2" t="n">
        <x:v>0</x:v>
      </x:c>
      <x:c r="E669" s="10" t="n">
        <x:v>82.11651360544218</x:v>
      </x:c>
      <x:c r="F669" s="11" t="n">
        <x:v>588</x:v>
      </x:c>
      <x:c r="G669" s="11" t="n">
        <x:v>0</x:v>
      </x:c>
      <x:c r="H669" s="11" t="n">
        <x:v>0</x:v>
      </x:c>
      <x:c r="I669" s="11" t="n">
        <x:v>0</x:v>
      </x:c>
      <x:c r="J669" s="11" t="n">
        <x:v>0</x:v>
      </x:c>
      <x:c r="K669" s="11" t="n">
        <x:v>1</x:v>
      </x:c>
      <x:c r="L669" s="11" t="n">
        <x:f>IF(B669="NED",1,IF(OR(B669="ED",B669="UN"),0,""))</x:f>
        <x:v>0</x:v>
      </x:c>
      <x:c r="M669" s="11" t="n">
        <x:f>IF(AND(K669=1,OR(B669="ED",B669="NED")),1,0)</x:f>
        <x:v>1</x:v>
      </x:c>
      <x:c r="N669" s="11" t="n">
        <x:f>IF(K669=1,1,0)</x:f>
        <x:v>1</x:v>
      </x:c>
      <x:c r="O669" s="12"/>
      <x:c r="P669" s="11" t="n">
        <x:v>0</x:v>
      </x:c>
      <x:c r="Q669" s="12" t="str">
        <x:v>AF-P14733-F1-model_v6</x:v>
      </x:c>
      <x:c r="R669" s="12" t="str">
        <x:v>ok</x:v>
      </x:c>
      <x:c r="S669" s="11" t="n">
        <x:v>285</x:v>
      </x:c>
      <x:c r="T669" s="11" t="n">
        <x:v>588</x:v>
      </x:c>
    </x:row>
    <x:row r="670" ht="23" customHeight="1">
      <x:c r="A670" s="2" t="str">
        <x:v>P14824</x:v>
      </x:c>
      <x:c r="B670" s="2" t="str">
        <x:v>UN</x:v>
      </x:c>
      <x:c r="C670" s="2" t="n">
        <x:v>0</x:v>
      </x:c>
      <x:c r="D670" s="2" t="n">
        <x:v>0</x:v>
      </x:c>
      <x:c r="E670" s="10" t="n">
        <x:v>94.5995690936107</x:v>
      </x:c>
      <x:c r="F670" s="11" t="n">
        <x:v>673</x:v>
      </x:c>
      <x:c r="G670" s="11" t="n">
        <x:v>0</x:v>
      </x:c>
      <x:c r="H670" s="11" t="n">
        <x:v>0</x:v>
      </x:c>
      <x:c r="I670" s="11" t="n">
        <x:v>0</x:v>
      </x:c>
      <x:c r="J670" s="11" t="n">
        <x:v>0</x:v>
      </x:c>
      <x:c r="K670" s="11" t="n">
        <x:v>1</x:v>
      </x:c>
      <x:c r="L670" s="11" t="n">
        <x:f>IF(B670="NED",1,IF(OR(B670="ED",B670="UN"),0,""))</x:f>
        <x:v>0</x:v>
      </x:c>
      <x:c r="M670" s="11" t="n">
        <x:f>IF(AND(K670=1,OR(B670="ED",B670="NED")),1,0)</x:f>
        <x:v>0</x:v>
      </x:c>
      <x:c r="N670" s="11" t="n">
        <x:f>IF(K670=1,1,0)</x:f>
        <x:v>1</x:v>
      </x:c>
      <x:c r="O670" s="12"/>
      <x:c r="P670" s="11" t="n">
        <x:v>0</x:v>
      </x:c>
      <x:c r="Q670" s="12" t="str">
        <x:v>AF-P14824-F1-model_v6</x:v>
      </x:c>
      <x:c r="R670" s="12" t="str">
        <x:v>ok</x:v>
      </x:c>
      <x:c r="S670" s="11" t="n">
        <x:v>286</x:v>
      </x:c>
      <x:c r="T670" s="11" t="n">
        <x:v>673</x:v>
      </x:c>
    </x:row>
    <x:row r="671" ht="23" customHeight="1">
      <x:c r="A671" s="2" t="str">
        <x:v>P14869</x:v>
      </x:c>
      <x:c r="B671" s="2" t="str">
        <x:v>UN</x:v>
      </x:c>
      <x:c r="C671" s="2" t="n">
        <x:v>1</x:v>
      </x:c>
      <x:c r="D671" s="2" t="n">
        <x:v>1</x:v>
      </x:c>
      <x:c r="E671" s="10" t="n">
        <x:v>80.18082018927444</x:v>
      </x:c>
      <x:c r="F671" s="11" t="n">
        <x:v>317</x:v>
      </x:c>
      <x:c r="G671" s="11" t="n">
        <x:v>0</x:v>
      </x:c>
      <x:c r="H671" s="11" t="n">
        <x:v>0</x:v>
      </x:c>
      <x:c r="I671" s="11" t="n">
        <x:v>0</x:v>
      </x:c>
      <x:c r="J671" s="11" t="n">
        <x:v>0</x:v>
      </x:c>
      <x:c r="K671" s="11" t="n">
        <x:v>1</x:v>
      </x:c>
      <x:c r="L671" s="11" t="n">
        <x:f>IF(B671="NED",1,IF(OR(B671="ED",B671="UN"),0,""))</x:f>
        <x:v>0</x:v>
      </x:c>
      <x:c r="M671" s="11" t="n">
        <x:f>IF(AND(K671=1,OR(B671="ED",B671="NED")),1,0)</x:f>
        <x:v>0</x:v>
      </x:c>
      <x:c r="N671" s="11" t="n">
        <x:f>IF(K671=1,1,0)</x:f>
        <x:v>1</x:v>
      </x:c>
      <x:c r="O671" s="12"/>
      <x:c r="P671" s="11" t="n">
        <x:v>0</x:v>
      </x:c>
      <x:c r="Q671" s="12" t="str">
        <x:v>AF-P14869-F1-model_v6</x:v>
      </x:c>
      <x:c r="R671" s="12" t="str">
        <x:v>ok</x:v>
      </x:c>
      <x:c r="S671" s="11" t="n">
        <x:v>287</x:v>
      </x:c>
      <x:c r="T671" s="11" t="n">
        <x:v>317</x:v>
      </x:c>
    </x:row>
    <x:row r="672" ht="23" customHeight="1">
      <x:c r="A672" s="2" t="str">
        <x:v>P14873</x:v>
      </x:c>
      <x:c r="B672" s="2" t="str">
        <x:v>ED</x:v>
      </x:c>
      <x:c r="C672" s="2" t="n">
        <x:v>1</x:v>
      </x:c>
      <x:c r="D672" s="2" t="n">
        <x:v>1</x:v>
      </x:c>
      <x:c r="E672" s="10"/>
      <x:c r="F672" s="11" t="n">
        <x:v>2464</x:v>
      </x:c>
      <x:c r="G672" s="11" t="n">
        <x:v>1</x:v>
      </x:c>
      <x:c r="H672" s="11" t="n">
        <x:v>0</x:v>
      </x:c>
      <x:c r="I672" s="11" t="n">
        <x:v>0</x:v>
      </x:c>
      <x:c r="J672" s="11" t="n">
        <x:v>0</x:v>
      </x:c>
      <x:c r="K672" s="11" t="n">
        <x:v>0</x:v>
      </x:c>
      <x:c r="L672" s="11" t="n">
        <x:f>IF(B672="NED",1,IF(OR(B672="ED",B672="UN"),0,""))</x:f>
        <x:v>0</x:v>
      </x:c>
      <x:c r="M672" s="11" t="n">
        <x:f>IF(AND(K672=1,OR(B672="ED",B672="NED")),1,0)</x:f>
        <x:v>0</x:v>
      </x:c>
      <x:c r="N672" s="11" t="n">
        <x:f>IF(K672=1,1,0)</x:f>
        <x:v>0</x:v>
      </x:c>
      <x:c r="O672" s="12" t="str">
        <x:v>Exclude supplied knotted proteins</x:v>
      </x:c>
      <x:c r="P672" s="11" t="n">
        <x:v>0</x:v>
      </x:c>
      <x:c r="Q672" s="12" t="str">
        <x:v>AF-P14873-F1-model_v6</x:v>
      </x:c>
      <x:c r="R672" s="12" t="str">
        <x:v>ok</x:v>
      </x:c>
      <x:c r="S672" s="11" t="n">
        <x:v>288</x:v>
      </x:c>
      <x:c r="T672" s="11" t="n">
        <x:v>2464</x:v>
      </x:c>
    </x:row>
    <x:row r="673" ht="23" customHeight="1">
      <x:c r="A673" s="2" t="str">
        <x:v>P15092-2</x:v>
      </x:c>
      <x:c r="B673" s="2" t="str">
        <x:v>ED</x:v>
      </x:c>
      <x:c r="C673" s="2"/>
      <x:c r="D673" s="2"/>
      <x:c r="E673" s="10"/>
      <x:c r="F673" s="11"/>
      <x:c r="G673" s="11" t="n">
        <x:v>0</x:v>
      </x:c>
      <x:c r="H673" s="11" t="n">
        <x:v>0</x:v>
      </x:c>
      <x:c r="I673" s="11"/>
      <x:c r="J673" s="11"/>
      <x:c r="K673" s="11" t="n">
        <x:v>0</x:v>
      </x:c>
      <x:c r="L673" s="11" t="n">
        <x:f>IF(B673="NED",1,IF(OR(B673="ED",B673="UN"),0,""))</x:f>
        <x:v>0</x:v>
      </x:c>
      <x:c r="M673" s="11" t="n">
        <x:f>IF(AND(K673=1,OR(B673="ED",B673="NED")),1,0)</x:f>
        <x:v>0</x:v>
      </x:c>
      <x:c r="N673" s="11" t="n">
        <x:f>IF(K673=1,1,0)</x:f>
        <x:v>0</x:v>
      </x:c>
      <x:c r="O673" s="12" t="str">
        <x:v>Require exact native accession match</x:v>
      </x:c>
      <x:c r="P673" s="11" t="n">
        <x:v>0</x:v>
      </x:c>
      <x:c r="Q673" s="12"/>
      <x:c r="R673" s="12"/>
      <x:c r="S673" s="11" t="n">
        <x:v>289</x:v>
      </x:c>
      <x:c r="T673" s="11"/>
    </x:row>
    <x:row r="674" ht="23" customHeight="1">
      <x:c r="A674" s="2" t="str">
        <x:v>P15116</x:v>
      </x:c>
      <x:c r="B674" s="2" t="str">
        <x:v>ED</x:v>
      </x:c>
      <x:c r="C674" s="2" t="n">
        <x:v>0</x:v>
      </x:c>
      <x:c r="D674" s="2" t="n">
        <x:v>0</x:v>
      </x:c>
      <x:c r="E674" s="10"/>
      <x:c r="F674" s="11" t="n">
        <x:v>906</x:v>
      </x:c>
      <x:c r="G674" s="11" t="n">
        <x:v>0</x:v>
      </x:c>
      <x:c r="H674" s="11" t="n">
        <x:v>0</x:v>
      </x:c>
      <x:c r="I674" s="11" t="n">
        <x:v>1</x:v>
      </x:c>
      <x:c r="J674" s="11" t="n">
        <x:v>0</x:v>
      </x:c>
      <x:c r="K674" s="11" t="n">
        <x:v>0</x:v>
      </x:c>
      <x:c r="L674" s="11" t="n">
        <x:f>IF(B674="NED",1,IF(OR(B674="ED",B674="UN"),0,""))</x:f>
        <x:v>0</x:v>
      </x:c>
      <x:c r="M674" s="11" t="n">
        <x:f>IF(AND(K674=1,OR(B674="ED",B674="NED")),1,0)</x:f>
        <x:v>0</x:v>
      </x:c>
      <x:c r="N674" s="11" t="n">
        <x:f>IF(K674=1,1,0)</x:f>
        <x:v>0</x:v>
      </x:c>
      <x:c r="O674" s="12" t="str">
        <x:v>Exclude UniProt Membrane keyword</x:v>
      </x:c>
      <x:c r="P674" s="11" t="n">
        <x:v>0</x:v>
      </x:c>
      <x:c r="Q674" s="12" t="str">
        <x:v>AF-P15116-F1-model_v6</x:v>
      </x:c>
      <x:c r="R674" s="12" t="str">
        <x:v>ok</x:v>
      </x:c>
      <x:c r="S674" s="11" t="n">
        <x:v>290</x:v>
      </x:c>
      <x:c r="T674" s="11" t="n">
        <x:v>906</x:v>
      </x:c>
    </x:row>
    <x:row r="675" ht="23" customHeight="1">
      <x:c r="A675" s="2" t="str">
        <x:v>P15532</x:v>
      </x:c>
      <x:c r="B675" s="2" t="str">
        <x:v>ED</x:v>
      </x:c>
      <x:c r="C675" s="2" t="n">
        <x:v>1</x:v>
      </x:c>
      <x:c r="D675" s="2" t="n">
        <x:v>1</x:v>
      </x:c>
      <x:c r="E675" s="10"/>
      <x:c r="F675" s="11" t="n">
        <x:v>152</x:v>
      </x:c>
      <x:c r="G675" s="11" t="n">
        <x:v>0</x:v>
      </x:c>
      <x:c r="H675" s="11" t="n">
        <x:v>0</x:v>
      </x:c>
      <x:c r="I675" s="11" t="n">
        <x:v>1</x:v>
      </x:c>
      <x:c r="J675" s="11" t="n">
        <x:v>0</x:v>
      </x:c>
      <x:c r="K675" s="11" t="n">
        <x:v>0</x:v>
      </x:c>
      <x:c r="L675" s="11" t="n">
        <x:f>IF(B675="NED",1,IF(OR(B675="ED",B675="UN"),0,""))</x:f>
        <x:v>0</x:v>
      </x:c>
      <x:c r="M675" s="11" t="n">
        <x:f>IF(AND(K675=1,OR(B675="ED",B675="NED")),1,0)</x:f>
        <x:v>0</x:v>
      </x:c>
      <x:c r="N675" s="11" t="n">
        <x:f>IF(K675=1,1,0)</x:f>
        <x:v>0</x:v>
      </x:c>
      <x:c r="O675" s="12" t="str">
        <x:v>Exclude UniProt Membrane keyword</x:v>
      </x:c>
      <x:c r="P675" s="11" t="n">
        <x:v>0</x:v>
      </x:c>
      <x:c r="Q675" s="12" t="str">
        <x:v>AF-P15532-F1-model_v6</x:v>
      </x:c>
      <x:c r="R675" s="12" t="str">
        <x:v>ok</x:v>
      </x:c>
      <x:c r="S675" s="11" t="n">
        <x:v>291</x:v>
      </x:c>
      <x:c r="T675" s="11" t="n">
        <x:v>152</x:v>
      </x:c>
    </x:row>
    <x:row r="676" ht="23" customHeight="1">
      <x:c r="A676" s="2" t="str">
        <x:v>P15535-2</x:v>
      </x:c>
      <x:c r="B676" s="2" t="str">
        <x:v>UN</x:v>
      </x:c>
      <x:c r="C676" s="2"/>
      <x:c r="D676" s="2"/>
      <x:c r="E676" s="10"/>
      <x:c r="F676" s="11"/>
      <x:c r="G676" s="11" t="n">
        <x:v>0</x:v>
      </x:c>
      <x:c r="H676" s="11" t="n">
        <x:v>0</x:v>
      </x:c>
      <x:c r="I676" s="11"/>
      <x:c r="J676" s="11"/>
      <x:c r="K676" s="11" t="n">
        <x:v>0</x:v>
      </x:c>
      <x:c r="L676" s="11" t="n">
        <x:f>IF(B676="NED",1,IF(OR(B676="ED",B676="UN"),0,""))</x:f>
        <x:v>0</x:v>
      </x:c>
      <x:c r="M676" s="11" t="n">
        <x:f>IF(AND(K676=1,OR(B676="ED",B676="NED")),1,0)</x:f>
        <x:v>0</x:v>
      </x:c>
      <x:c r="N676" s="11" t="n">
        <x:f>IF(K676=1,1,0)</x:f>
        <x:v>0</x:v>
      </x:c>
      <x:c r="O676" s="12" t="str">
        <x:v>Require exact native accession match</x:v>
      </x:c>
      <x:c r="P676" s="11" t="n">
        <x:v>0</x:v>
      </x:c>
      <x:c r="Q676" s="12"/>
      <x:c r="R676" s="12"/>
      <x:c r="S676" s="11" t="n">
        <x:v>292</x:v>
      </x:c>
      <x:c r="T676" s="11"/>
    </x:row>
    <x:row r="677" ht="23" customHeight="1">
      <x:c r="A677" s="2" t="str">
        <x:v>P15626</x:v>
      </x:c>
      <x:c r="B677" s="2" t="str">
        <x:v>ED</x:v>
      </x:c>
      <x:c r="C677" s="2" t="n">
        <x:v>0</x:v>
      </x:c>
      <x:c r="D677" s="2" t="n">
        <x:v>0</x:v>
      </x:c>
      <x:c r="E677" s="10" t="n">
        <x:v>98.12412844036696</x:v>
      </x:c>
      <x:c r="F677" s="11" t="n">
        <x:v>218</x:v>
      </x:c>
      <x:c r="G677" s="11" t="n">
        <x:v>0</x:v>
      </x:c>
      <x:c r="H677" s="11" t="n">
        <x:v>0</x:v>
      </x:c>
      <x:c r="I677" s="11" t="n">
        <x:v>0</x:v>
      </x:c>
      <x:c r="J677" s="11" t="n">
        <x:v>0</x:v>
      </x:c>
      <x:c r="K677" s="11" t="n">
        <x:v>1</x:v>
      </x:c>
      <x:c r="L677" s="11" t="n">
        <x:f>IF(B677="NED",1,IF(OR(B677="ED",B677="UN"),0,""))</x:f>
        <x:v>0</x:v>
      </x:c>
      <x:c r="M677" s="11" t="n">
        <x:f>IF(AND(K677=1,OR(B677="ED",B677="NED")),1,0)</x:f>
        <x:v>1</x:v>
      </x:c>
      <x:c r="N677" s="11" t="n">
        <x:f>IF(K677=1,1,0)</x:f>
        <x:v>1</x:v>
      </x:c>
      <x:c r="O677" s="12"/>
      <x:c r="P677" s="11" t="n">
        <x:v>0</x:v>
      </x:c>
      <x:c r="Q677" s="12" t="str">
        <x:v>AF-P15626-F1-model_v6</x:v>
      </x:c>
      <x:c r="R677" s="12" t="str">
        <x:v>ok</x:v>
      </x:c>
      <x:c r="S677" s="11" t="n">
        <x:v>293</x:v>
      </x:c>
      <x:c r="T677" s="11" t="n">
        <x:v>218</x:v>
      </x:c>
    </x:row>
    <x:row r="678" ht="23" customHeight="1">
      <x:c r="A678" s="2" t="str">
        <x:v>P15975</x:v>
      </x:c>
      <x:c r="B678" s="2" t="str">
        <x:v>ED</x:v>
      </x:c>
      <x:c r="C678" s="2" t="n">
        <x:v>1</x:v>
      </x:c>
      <x:c r="D678" s="2" t="n">
        <x:v>1</x:v>
      </x:c>
      <x:c r="E678" s="10" t="n">
        <x:v>55.18268475210477</x:v>
      </x:c>
      <x:c r="F678" s="11" t="n">
        <x:v>1069</x:v>
      </x:c>
      <x:c r="G678" s="11" t="n">
        <x:v>0</x:v>
      </x:c>
      <x:c r="H678" s="11" t="n">
        <x:v>0</x:v>
      </x:c>
      <x:c r="I678" s="11" t="n">
        <x:v>0</x:v>
      </x:c>
      <x:c r="J678" s="11" t="n">
        <x:v>0</x:v>
      </x:c>
      <x:c r="K678" s="11" t="n">
        <x:v>0</x:v>
      </x:c>
      <x:c r="L678" s="11" t="n">
        <x:f>IF(B678="NED",1,IF(OR(B678="ED",B678="UN"),0,""))</x:f>
        <x:v>0</x:v>
      </x:c>
      <x:c r="M678" s="11" t="n">
        <x:f>IF(AND(K678=1,OR(B678="ED",B678="NED")),1,0)</x:f>
        <x:v>0</x:v>
      </x:c>
      <x:c r="N678" s="11" t="n">
        <x:f>IF(K678=1,1,0)</x:f>
        <x:v>0</x:v>
      </x:c>
      <x:c r="O678" s="12" t="str">
        <x:v>Retain protein mean pLDDT &gt;=70</x:v>
      </x:c>
      <x:c r="P678" s="11" t="n">
        <x:v>0</x:v>
      </x:c>
      <x:c r="Q678" s="12" t="str">
        <x:v>AF-P15975-F1-model_v6</x:v>
      </x:c>
      <x:c r="R678" s="12" t="str">
        <x:v>ok</x:v>
      </x:c>
      <x:c r="S678" s="11" t="n">
        <x:v>294</x:v>
      </x:c>
      <x:c r="T678" s="11" t="n">
        <x:v>1069</x:v>
      </x:c>
    </x:row>
    <x:row r="679" ht="23" customHeight="1">
      <x:c r="A679" s="2" t="str">
        <x:v>P16045</x:v>
      </x:c>
      <x:c r="B679" s="2" t="str">
        <x:v>ED</x:v>
      </x:c>
      <x:c r="C679" s="2" t="n">
        <x:v>0</x:v>
      </x:c>
      <x:c r="D679" s="2" t="n">
        <x:v>0</x:v>
      </x:c>
      <x:c r="E679" s="10"/>
      <x:c r="F679" s="11" t="n">
        <x:v>135</x:v>
      </x:c>
      <x:c r="G679" s="11" t="n">
        <x:v>0</x:v>
      </x:c>
      <x:c r="H679" s="11" t="n">
        <x:v>0</x:v>
      </x:c>
      <x:c r="I679" s="11" t="n">
        <x:v>0</x:v>
      </x:c>
      <x:c r="J679" s="11" t="n">
        <x:v>1</x:v>
      </x:c>
      <x:c r="K679" s="11" t="n">
        <x:v>0</x:v>
      </x:c>
      <x:c r="L679" s="11" t="n">
        <x:f>IF(B679="NED",1,IF(OR(B679="ED",B679="UN"),0,""))</x:f>
        <x:v>0</x:v>
      </x:c>
      <x:c r="M679" s="11" t="n">
        <x:f>IF(AND(K679=1,OR(B679="ED",B679="NED")),1,0)</x:f>
        <x:v>0</x:v>
      </x:c>
      <x:c r="N679" s="11" t="n">
        <x:f>IF(K679=1,1,0)</x:f>
        <x:v>0</x:v>
      </x:c>
      <x:c r="O679" s="12" t="str">
        <x:v>Exclude UniProt Secreted keyword</x:v>
      </x:c>
      <x:c r="P679" s="11" t="n">
        <x:v>0</x:v>
      </x:c>
      <x:c r="Q679" s="12" t="str">
        <x:v>AF-P16045-F1-model_v6</x:v>
      </x:c>
      <x:c r="R679" s="12" t="str">
        <x:v>ok</x:v>
      </x:c>
      <x:c r="S679" s="11" t="n">
        <x:v>295</x:v>
      </x:c>
      <x:c r="T679" s="11" t="n">
        <x:v>135</x:v>
      </x:c>
    </x:row>
    <x:row r="680" ht="23" customHeight="1">
      <x:c r="A680" s="2" t="str">
        <x:v>P16056</x:v>
      </x:c>
      <x:c r="B680" s="2" t="str">
        <x:v>UN</x:v>
      </x:c>
      <x:c r="C680" s="2"/>
      <x:c r="D680" s="2"/>
      <x:c r="E680" s="10"/>
      <x:c r="F680" s="11" t="n">
        <x:v>1379</x:v>
      </x:c>
      <x:c r="G680" s="11" t="n">
        <x:v>0</x:v>
      </x:c>
      <x:c r="H680" s="11" t="n">
        <x:v>1</x:v>
      </x:c>
      <x:c r="I680" s="11" t="n">
        <x:v>1</x:v>
      </x:c>
      <x:c r="J680" s="11" t="n">
        <x:v>0</x:v>
      </x:c>
      <x:c r="K680" s="11" t="n">
        <x:v>0</x:v>
      </x:c>
      <x:c r="L680" s="11" t="n">
        <x:f>IF(B680="NED",1,IF(OR(B680="ED",B680="UN"),0,""))</x:f>
        <x:v>0</x:v>
      </x:c>
      <x:c r="M680" s="11" t="n">
        <x:f>IF(AND(K680=1,OR(B680="ED",B680="NED")),1,0)</x:f>
        <x:v>0</x:v>
      </x:c>
      <x:c r="N680" s="11" t="n">
        <x:f>IF(K680=1,1,0)</x:f>
        <x:v>0</x:v>
      </x:c>
      <x:c r="O680" s="12" t="str">
        <x:v>Require binary native NCLE status</x:v>
      </x:c>
      <x:c r="P680" s="11" t="n">
        <x:v>0</x:v>
      </x:c>
      <x:c r="Q680" s="12" t="str">
        <x:v>AF-P16056-F1-model_v6</x:v>
      </x:c>
      <x:c r="R680" s="12" t="str">
        <x:v>ok</x:v>
      </x:c>
      <x:c r="S680" s="11" t="n">
        <x:v>296</x:v>
      </x:c>
      <x:c r="T680" s="11" t="n">
        <x:v>1379</x:v>
      </x:c>
    </x:row>
    <x:row r="681" ht="23" customHeight="1">
      <x:c r="A681" s="2" t="str">
        <x:v>P16125</x:v>
      </x:c>
      <x:c r="B681" s="2" t="str">
        <x:v>ED</x:v>
      </x:c>
      <x:c r="C681" s="2" t="n">
        <x:v>1</x:v>
      </x:c>
      <x:c r="D681" s="2" t="n">
        <x:v>1</x:v>
      </x:c>
      <x:c r="E681" s="10"/>
      <x:c r="F681" s="11" t="n">
        <x:v>334</x:v>
      </x:c>
      <x:c r="G681" s="11" t="n">
        <x:v>0</x:v>
      </x:c>
      <x:c r="H681" s="11" t="n">
        <x:v>0</x:v>
      </x:c>
      <x:c r="I681" s="11" t="n">
        <x:v>1</x:v>
      </x:c>
      <x:c r="J681" s="11" t="n">
        <x:v>0</x:v>
      </x:c>
      <x:c r="K681" s="11" t="n">
        <x:v>0</x:v>
      </x:c>
      <x:c r="L681" s="11" t="n">
        <x:f>IF(B681="NED",1,IF(OR(B681="ED",B681="UN"),0,""))</x:f>
        <x:v>0</x:v>
      </x:c>
      <x:c r="M681" s="11" t="n">
        <x:f>IF(AND(K681=1,OR(B681="ED",B681="NED")),1,0)</x:f>
        <x:v>0</x:v>
      </x:c>
      <x:c r="N681" s="11" t="n">
        <x:f>IF(K681=1,1,0)</x:f>
        <x:v>0</x:v>
      </x:c>
      <x:c r="O681" s="12" t="str">
        <x:v>Exclude UniProt Membrane keyword</x:v>
      </x:c>
      <x:c r="P681" s="11" t="n">
        <x:v>0</x:v>
      </x:c>
      <x:c r="Q681" s="12" t="str">
        <x:v>AF-P16125-F1-model_v6</x:v>
      </x:c>
      <x:c r="R681" s="12" t="str">
        <x:v>ok</x:v>
      </x:c>
      <x:c r="S681" s="11" t="n">
        <x:v>297</x:v>
      </x:c>
      <x:c r="T681" s="11" t="n">
        <x:v>334</x:v>
      </x:c>
    </x:row>
    <x:row r="682" ht="23" customHeight="1">
      <x:c r="A682" s="2" t="str">
        <x:v>P16254</x:v>
      </x:c>
      <x:c r="B682" s="2" t="str">
        <x:v>UN</x:v>
      </x:c>
      <x:c r="C682" s="2" t="n">
        <x:v>1</x:v>
      </x:c>
      <x:c r="D682" s="2" t="n">
        <x:v>1</x:v>
      </x:c>
      <x:c r="E682" s="10" t="n">
        <x:v>87.09118181818182</x:v>
      </x:c>
      <x:c r="F682" s="11" t="n">
        <x:v>110</x:v>
      </x:c>
      <x:c r="G682" s="11" t="n">
        <x:v>0</x:v>
      </x:c>
      <x:c r="H682" s="11" t="n">
        <x:v>0</x:v>
      </x:c>
      <x:c r="I682" s="11" t="n">
        <x:v>0</x:v>
      </x:c>
      <x:c r="J682" s="11" t="n">
        <x:v>0</x:v>
      </x:c>
      <x:c r="K682" s="11" t="n">
        <x:v>1</x:v>
      </x:c>
      <x:c r="L682" s="11" t="n">
        <x:f>IF(B682="NED",1,IF(OR(B682="ED",B682="UN"),0,""))</x:f>
        <x:v>0</x:v>
      </x:c>
      <x:c r="M682" s="11" t="n">
        <x:f>IF(AND(K682=1,OR(B682="ED",B682="NED")),1,0)</x:f>
        <x:v>0</x:v>
      </x:c>
      <x:c r="N682" s="11" t="n">
        <x:f>IF(K682=1,1,0)</x:f>
        <x:v>1</x:v>
      </x:c>
      <x:c r="O682" s="12"/>
      <x:c r="P682" s="11" t="n">
        <x:v>0</x:v>
      </x:c>
      <x:c r="Q682" s="12" t="str">
        <x:v>AF-P16254-F1-model_v6</x:v>
      </x:c>
      <x:c r="R682" s="12" t="str">
        <x:v>ok</x:v>
      </x:c>
      <x:c r="S682" s="11" t="n">
        <x:v>298</x:v>
      </x:c>
      <x:c r="T682" s="11" t="n">
        <x:v>110</x:v>
      </x:c>
    </x:row>
    <x:row r="683" ht="23" customHeight="1">
      <x:c r="A683" s="2" t="str">
        <x:v>P16460</x:v>
      </x:c>
      <x:c r="B683" s="2" t="str">
        <x:v>ED</x:v>
      </x:c>
      <x:c r="C683" s="2" t="n">
        <x:v>1</x:v>
      </x:c>
      <x:c r="D683" s="2" t="n">
        <x:v>1</x:v>
      </x:c>
      <x:c r="E683" s="10" t="n">
        <x:v>96.20087378640775</x:v>
      </x:c>
      <x:c r="F683" s="11" t="n">
        <x:v>412</x:v>
      </x:c>
      <x:c r="G683" s="11" t="n">
        <x:v>0</x:v>
      </x:c>
      <x:c r="H683" s="11" t="n">
        <x:v>0</x:v>
      </x:c>
      <x:c r="I683" s="11" t="n">
        <x:v>0</x:v>
      </x:c>
      <x:c r="J683" s="11" t="n">
        <x:v>0</x:v>
      </x:c>
      <x:c r="K683" s="11" t="n">
        <x:v>1</x:v>
      </x:c>
      <x:c r="L683" s="11" t="n">
        <x:f>IF(B683="NED",1,IF(OR(B683="ED",B683="UN"),0,""))</x:f>
        <x:v>0</x:v>
      </x:c>
      <x:c r="M683" s="11" t="n">
        <x:f>IF(AND(K683=1,OR(B683="ED",B683="NED")),1,0)</x:f>
        <x:v>1</x:v>
      </x:c>
      <x:c r="N683" s="11" t="n">
        <x:f>IF(K683=1,1,0)</x:f>
        <x:v>1</x:v>
      </x:c>
      <x:c r="O683" s="12"/>
      <x:c r="P683" s="11" t="n">
        <x:v>0</x:v>
      </x:c>
      <x:c r="Q683" s="12" t="str">
        <x:v>AF-P16460-F1-model_v6</x:v>
      </x:c>
      <x:c r="R683" s="12" t="str">
        <x:v>ok</x:v>
      </x:c>
      <x:c r="S683" s="11" t="n">
        <x:v>299</x:v>
      </x:c>
      <x:c r="T683" s="11" t="n">
        <x:v>412</x:v>
      </x:c>
    </x:row>
    <x:row r="684" ht="23" customHeight="1">
      <x:c r="A684" s="2" t="str">
        <x:v>P16546-2</x:v>
      </x:c>
      <x:c r="B684" s="2" t="str">
        <x:v>UN</x:v>
      </x:c>
      <x:c r="C684" s="2"/>
      <x:c r="D684" s="2"/>
      <x:c r="E684" s="10"/>
      <x:c r="F684" s="11"/>
      <x:c r="G684" s="11" t="n">
        <x:v>0</x:v>
      </x:c>
      <x:c r="H684" s="11" t="n">
        <x:v>0</x:v>
      </x:c>
      <x:c r="I684" s="11"/>
      <x:c r="J684" s="11"/>
      <x:c r="K684" s="11" t="n">
        <x:v>0</x:v>
      </x:c>
      <x:c r="L684" s="11" t="n">
        <x:f>IF(B684="NED",1,IF(OR(B684="ED",B684="UN"),0,""))</x:f>
        <x:v>0</x:v>
      </x:c>
      <x:c r="M684" s="11" t="n">
        <x:f>IF(AND(K684=1,OR(B684="ED",B684="NED")),1,0)</x:f>
        <x:v>0</x:v>
      </x:c>
      <x:c r="N684" s="11" t="n">
        <x:f>IF(K684=1,1,0)</x:f>
        <x:v>0</x:v>
      </x:c>
      <x:c r="O684" s="12" t="str">
        <x:v>Require exact native accession match</x:v>
      </x:c>
      <x:c r="P684" s="11" t="n">
        <x:v>0</x:v>
      </x:c>
      <x:c r="Q684" s="12"/>
      <x:c r="R684" s="12"/>
      <x:c r="S684" s="11" t="n">
        <x:v>300</x:v>
      </x:c>
      <x:c r="T684" s="11"/>
    </x:row>
    <x:row r="685" ht="23" customHeight="1">
      <x:c r="A685" s="2" t="str">
        <x:v>P16675</x:v>
      </x:c>
      <x:c r="B685" s="2" t="str">
        <x:v>NED</x:v>
      </x:c>
      <x:c r="C685" s="2" t="n">
        <x:v>1</x:v>
      </x:c>
      <x:c r="D685" s="2" t="n">
        <x:v>1</x:v>
      </x:c>
      <x:c r="E685" s="10"/>
      <x:c r="F685" s="11" t="n">
        <x:v>474</x:v>
      </x:c>
      <x:c r="G685" s="11" t="n">
        <x:v>0</x:v>
      </x:c>
      <x:c r="H685" s="11" t="n">
        <x:v>1</x:v>
      </x:c>
      <x:c r="I685" s="11" t="n">
        <x:v>0</x:v>
      </x:c>
      <x:c r="J685" s="11" t="n">
        <x:v>0</x:v>
      </x:c>
      <x:c r="K685" s="11" t="n">
        <x:v>0</x:v>
      </x:c>
      <x:c r="L685" s="11" t="n">
        <x:f>IF(B685="NED",1,IF(OR(B685="ED",B685="UN"),0,""))</x:f>
        <x:v>1</x:v>
      </x:c>
      <x:c r="M685" s="11" t="n">
        <x:f>IF(AND(K685=1,OR(B685="ED",B685="NED")),1,0)</x:f>
        <x:v>0</x:v>
      </x:c>
      <x:c r="N685" s="11" t="n">
        <x:f>IF(K685=1,1,0)</x:f>
        <x:v>0</x:v>
      </x:c>
      <x:c r="O685" s="12" t="str">
        <x:v>Exclude supplied or detected covalent lassos</x:v>
      </x:c>
      <x:c r="P685" s="11" t="n">
        <x:v>0</x:v>
      </x:c>
      <x:c r="Q685" s="12" t="str">
        <x:v>AF-P16675-F1-model_v6</x:v>
      </x:c>
      <x:c r="R685" s="12" t="str">
        <x:v>ok</x:v>
      </x:c>
      <x:c r="S685" s="11" t="n">
        <x:v>301</x:v>
      </x:c>
      <x:c r="T685" s="11" t="n">
        <x:v>474</x:v>
      </x:c>
    </x:row>
    <x:row r="686" ht="23" customHeight="1">
      <x:c r="A686" s="2" t="str">
        <x:v>P16858</x:v>
      </x:c>
      <x:c r="B686" s="2" t="str">
        <x:v>ED</x:v>
      </x:c>
      <x:c r="C686" s="2" t="n">
        <x:v>1</x:v>
      </x:c>
      <x:c r="D686" s="2" t="n">
        <x:v>1</x:v>
      </x:c>
      <x:c r="E686" s="10" t="n">
        <x:v>98.24618618618618</x:v>
      </x:c>
      <x:c r="F686" s="11" t="n">
        <x:v>333</x:v>
      </x:c>
      <x:c r="G686" s="11" t="n">
        <x:v>0</x:v>
      </x:c>
      <x:c r="H686" s="11" t="n">
        <x:v>0</x:v>
      </x:c>
      <x:c r="I686" s="11" t="n">
        <x:v>0</x:v>
      </x:c>
      <x:c r="J686" s="11" t="n">
        <x:v>0</x:v>
      </x:c>
      <x:c r="K686" s="11" t="n">
        <x:v>1</x:v>
      </x:c>
      <x:c r="L686" s="11" t="n">
        <x:f>IF(B686="NED",1,IF(OR(B686="ED",B686="UN"),0,""))</x:f>
        <x:v>0</x:v>
      </x:c>
      <x:c r="M686" s="11" t="n">
        <x:f>IF(AND(K686=1,OR(B686="ED",B686="NED")),1,0)</x:f>
        <x:v>1</x:v>
      </x:c>
      <x:c r="N686" s="11" t="n">
        <x:f>IF(K686=1,1,0)</x:f>
        <x:v>1</x:v>
      </x:c>
      <x:c r="O686" s="12"/>
      <x:c r="P686" s="11" t="n">
        <x:v>0</x:v>
      </x:c>
      <x:c r="Q686" s="12" t="str">
        <x:v>AF-P16858-F1-model_v6</x:v>
      </x:c>
      <x:c r="R686" s="12" t="str">
        <x:v>ok</x:v>
      </x:c>
      <x:c r="S686" s="11" t="n">
        <x:v>302</x:v>
      </x:c>
      <x:c r="T686" s="11" t="n">
        <x:v>333</x:v>
      </x:c>
    </x:row>
    <x:row r="687" ht="23" customHeight="1">
      <x:c r="A687" s="2" t="str">
        <x:v>P17012</x:v>
      </x:c>
      <x:c r="B687" s="2" t="str">
        <x:v>UN</x:v>
      </x:c>
      <x:c r="C687" s="2" t="n">
        <x:v>1</x:v>
      </x:c>
      <x:c r="D687" s="2"/>
      <x:c r="E687" s="10" t="n">
        <x:v>53.73738423028786</x:v>
      </x:c>
      <x:c r="F687" s="11" t="n">
        <x:v>799</x:v>
      </x:c>
      <x:c r="G687" s="11" t="n">
        <x:v>0</x:v>
      </x:c>
      <x:c r="H687" s="11" t="n">
        <x:v>0</x:v>
      </x:c>
      <x:c r="I687" s="11" t="n">
        <x:v>0</x:v>
      </x:c>
      <x:c r="J687" s="11" t="n">
        <x:v>0</x:v>
      </x:c>
      <x:c r="K687" s="11" t="n">
        <x:v>0</x:v>
      </x:c>
      <x:c r="L687" s="11" t="n">
        <x:f>IF(B687="NED",1,IF(OR(B687="ED",B687="UN"),0,""))</x:f>
        <x:v>0</x:v>
      </x:c>
      <x:c r="M687" s="11" t="n">
        <x:f>IF(AND(K687=1,OR(B687="ED",B687="NED")),1,0)</x:f>
        <x:v>0</x:v>
      </x:c>
      <x:c r="N687" s="11" t="n">
        <x:f>IF(K687=1,1,0)</x:f>
        <x:v>0</x:v>
      </x:c>
      <x:c r="O687" s="12" t="str">
        <x:v>Retain protein mean pLDDT &gt;=70</x:v>
      </x:c>
      <x:c r="P687" s="11" t="n">
        <x:v>0</x:v>
      </x:c>
      <x:c r="Q687" s="12" t="str">
        <x:v>AF-P17012-F1-model_v6</x:v>
      </x:c>
      <x:c r="R687" s="12" t="str">
        <x:v>ok</x:v>
      </x:c>
      <x:c r="S687" s="11" t="n">
        <x:v>303</x:v>
      </x:c>
      <x:c r="T687" s="11" t="n">
        <x:v>799</x:v>
      </x:c>
    </x:row>
    <x:row r="688" ht="23" customHeight="1">
      <x:c r="A688" s="2" t="str">
        <x:v>P17047-3</x:v>
      </x:c>
      <x:c r="B688" s="2" t="str">
        <x:v>UN</x:v>
      </x:c>
      <x:c r="C688" s="2"/>
      <x:c r="D688" s="2"/>
      <x:c r="E688" s="10"/>
      <x:c r="F688" s="11"/>
      <x:c r="G688" s="11" t="n">
        <x:v>0</x:v>
      </x:c>
      <x:c r="H688" s="11" t="n">
        <x:v>0</x:v>
      </x:c>
      <x:c r="I688" s="11"/>
      <x:c r="J688" s="11"/>
      <x:c r="K688" s="11" t="n">
        <x:v>0</x:v>
      </x:c>
      <x:c r="L688" s="11" t="n">
        <x:f>IF(B688="NED",1,IF(OR(B688="ED",B688="UN"),0,""))</x:f>
        <x:v>0</x:v>
      </x:c>
      <x:c r="M688" s="11" t="n">
        <x:f>IF(AND(K688=1,OR(B688="ED",B688="NED")),1,0)</x:f>
        <x:v>0</x:v>
      </x:c>
      <x:c r="N688" s="11" t="n">
        <x:f>IF(K688=1,1,0)</x:f>
        <x:v>0</x:v>
      </x:c>
      <x:c r="O688" s="12" t="str">
        <x:v>Require exact native accession match</x:v>
      </x:c>
      <x:c r="P688" s="11" t="n">
        <x:v>0</x:v>
      </x:c>
      <x:c r="Q688" s="12"/>
      <x:c r="R688" s="12"/>
      <x:c r="S688" s="11" t="n">
        <x:v>304</x:v>
      </x:c>
      <x:c r="T688" s="11"/>
    </x:row>
    <x:row r="689" ht="23" customHeight="1">
      <x:c r="A689" s="2" t="str">
        <x:v>P17095</x:v>
      </x:c>
      <x:c r="B689" s="2" t="str">
        <x:v>ED</x:v>
      </x:c>
      <x:c r="C689" s="2" t="n">
        <x:v>0</x:v>
      </x:c>
      <x:c r="D689" s="2" t="n">
        <x:v>0</x:v>
      </x:c>
      <x:c r="E689" s="10" t="n">
        <x:v>65.27196261682244</x:v>
      </x:c>
      <x:c r="F689" s="11" t="n">
        <x:v>107</x:v>
      </x:c>
      <x:c r="G689" s="11" t="n">
        <x:v>0</x:v>
      </x:c>
      <x:c r="H689" s="11" t="n">
        <x:v>0</x:v>
      </x:c>
      <x:c r="I689" s="11" t="n">
        <x:v>0</x:v>
      </x:c>
      <x:c r="J689" s="11" t="n">
        <x:v>0</x:v>
      </x:c>
      <x:c r="K689" s="11" t="n">
        <x:v>0</x:v>
      </x:c>
      <x:c r="L689" s="11" t="n">
        <x:f>IF(B689="NED",1,IF(OR(B689="ED",B689="UN"),0,""))</x:f>
        <x:v>0</x:v>
      </x:c>
      <x:c r="M689" s="11" t="n">
        <x:f>IF(AND(K689=1,OR(B689="ED",B689="NED")),1,0)</x:f>
        <x:v>0</x:v>
      </x:c>
      <x:c r="N689" s="11" t="n">
        <x:f>IF(K689=1,1,0)</x:f>
        <x:v>0</x:v>
      </x:c>
      <x:c r="O689" s="12" t="str">
        <x:v>Retain protein mean pLDDT &gt;=70</x:v>
      </x:c>
      <x:c r="P689" s="11" t="n">
        <x:v>0</x:v>
      </x:c>
      <x:c r="Q689" s="12" t="str">
        <x:v>AF-P17095-F1-model_v6</x:v>
      </x:c>
      <x:c r="R689" s="12" t="str">
        <x:v>ok</x:v>
      </x:c>
      <x:c r="S689" s="11" t="n">
        <x:v>305</x:v>
      </x:c>
      <x:c r="T689" s="11" t="n">
        <x:v>107</x:v>
      </x:c>
    </x:row>
    <x:row r="690" ht="23" customHeight="1">
      <x:c r="A690" s="2" t="str">
        <x:v>P17095-1</x:v>
      </x:c>
      <x:c r="B690" s="2" t="str">
        <x:v>ED</x:v>
      </x:c>
      <x:c r="C690" s="2"/>
      <x:c r="D690" s="2"/>
      <x:c r="E690" s="10"/>
      <x:c r="F690" s="11"/>
      <x:c r="G690" s="11" t="n">
        <x:v>0</x:v>
      </x:c>
      <x:c r="H690" s="11" t="n">
        <x:v>0</x:v>
      </x:c>
      <x:c r="I690" s="11"/>
      <x:c r="J690" s="11"/>
      <x:c r="K690" s="11" t="n">
        <x:v>0</x:v>
      </x:c>
      <x:c r="L690" s="11" t="n">
        <x:f>IF(B690="NED",1,IF(OR(B690="ED",B690="UN"),0,""))</x:f>
        <x:v>0</x:v>
      </x:c>
      <x:c r="M690" s="11" t="n">
        <x:f>IF(AND(K690=1,OR(B690="ED",B690="NED")),1,0)</x:f>
        <x:v>0</x:v>
      </x:c>
      <x:c r="N690" s="11" t="n">
        <x:f>IF(K690=1,1,0)</x:f>
        <x:v>0</x:v>
      </x:c>
      <x:c r="O690" s="12" t="str">
        <x:v>Require exact native accession match</x:v>
      </x:c>
      <x:c r="P690" s="11" t="n">
        <x:v>0</x:v>
      </x:c>
      <x:c r="Q690" s="12"/>
      <x:c r="R690" s="12"/>
      <x:c r="S690" s="11" t="n">
        <x:v>306</x:v>
      </x:c>
      <x:c r="T690" s="11"/>
    </x:row>
    <x:row r="691" ht="23" customHeight="1">
      <x:c r="A691" s="2" t="str">
        <x:v>P17182</x:v>
      </x:c>
      <x:c r="B691" s="2" t="str">
        <x:v>NED</x:v>
      </x:c>
      <x:c r="C691" s="2" t="n">
        <x:v>1</x:v>
      </x:c>
      <x:c r="D691" s="2" t="n">
        <x:v>1</x:v>
      </x:c>
      <x:c r="E691" s="10"/>
      <x:c r="F691" s="11" t="n">
        <x:v>434</x:v>
      </x:c>
      <x:c r="G691" s="11" t="n">
        <x:v>0</x:v>
      </x:c>
      <x:c r="H691" s="11" t="n">
        <x:v>0</x:v>
      </x:c>
      <x:c r="I691" s="11" t="n">
        <x:v>1</x:v>
      </x:c>
      <x:c r="J691" s="11" t="n">
        <x:v>0</x:v>
      </x:c>
      <x:c r="K691" s="11" t="n">
        <x:v>0</x:v>
      </x:c>
      <x:c r="L691" s="11" t="n">
        <x:f>IF(B691="NED",1,IF(OR(B691="ED",B691="UN"),0,""))</x:f>
        <x:v>1</x:v>
      </x:c>
      <x:c r="M691" s="11" t="n">
        <x:f>IF(AND(K691=1,OR(B691="ED",B691="NED")),1,0)</x:f>
        <x:v>0</x:v>
      </x:c>
      <x:c r="N691" s="11" t="n">
        <x:f>IF(K691=1,1,0)</x:f>
        <x:v>0</x:v>
      </x:c>
      <x:c r="O691" s="12" t="str">
        <x:v>Exclude UniProt Membrane keyword</x:v>
      </x:c>
      <x:c r="P691" s="11" t="n">
        <x:v>0</x:v>
      </x:c>
      <x:c r="Q691" s="12" t="str">
        <x:v>AF-P17182-F1-model_v6</x:v>
      </x:c>
      <x:c r="R691" s="12" t="str">
        <x:v>ok</x:v>
      </x:c>
      <x:c r="S691" s="11" t="n">
        <x:v>307</x:v>
      </x:c>
      <x:c r="T691" s="11" t="n">
        <x:v>434</x:v>
      </x:c>
    </x:row>
    <x:row r="692" ht="23" customHeight="1">
      <x:c r="A692" s="2" t="str">
        <x:v>P17426-2</x:v>
      </x:c>
      <x:c r="B692" s="2" t="str">
        <x:v>ED</x:v>
      </x:c>
      <x:c r="C692" s="2"/>
      <x:c r="D692" s="2"/>
      <x:c r="E692" s="10"/>
      <x:c r="F692" s="11"/>
      <x:c r="G692" s="11" t="n">
        <x:v>0</x:v>
      </x:c>
      <x:c r="H692" s="11" t="n">
        <x:v>0</x:v>
      </x:c>
      <x:c r="I692" s="11"/>
      <x:c r="J692" s="11"/>
      <x:c r="K692" s="11" t="n">
        <x:v>0</x:v>
      </x:c>
      <x:c r="L692" s="11" t="n">
        <x:f>IF(B692="NED",1,IF(OR(B692="ED",B692="UN"),0,""))</x:f>
        <x:v>0</x:v>
      </x:c>
      <x:c r="M692" s="11" t="n">
        <x:f>IF(AND(K692=1,OR(B692="ED",B692="NED")),1,0)</x:f>
        <x:v>0</x:v>
      </x:c>
      <x:c r="N692" s="11" t="n">
        <x:f>IF(K692=1,1,0)</x:f>
        <x:v>0</x:v>
      </x:c>
      <x:c r="O692" s="12" t="str">
        <x:v>Require exact native accession match</x:v>
      </x:c>
      <x:c r="P692" s="11" t="n">
        <x:v>0</x:v>
      </x:c>
      <x:c r="Q692" s="12"/>
      <x:c r="R692" s="12"/>
      <x:c r="S692" s="11" t="n">
        <x:v>308</x:v>
      </x:c>
      <x:c r="T692" s="11"/>
    </x:row>
    <x:row r="693" ht="23" customHeight="1">
      <x:c r="A693" s="2" t="str">
        <x:v>P17427</x:v>
      </x:c>
      <x:c r="B693" s="2" t="str">
        <x:v>UN</x:v>
      </x:c>
      <x:c r="C693" s="2" t="n">
        <x:v>1</x:v>
      </x:c>
      <x:c r="D693" s="2" t="n">
        <x:v>1</x:v>
      </x:c>
      <x:c r="E693" s="10"/>
      <x:c r="F693" s="11" t="n">
        <x:v>938</x:v>
      </x:c>
      <x:c r="G693" s="11" t="n">
        <x:v>0</x:v>
      </x:c>
      <x:c r="H693" s="11" t="n">
        <x:v>0</x:v>
      </x:c>
      <x:c r="I693" s="11" t="n">
        <x:v>1</x:v>
      </x:c>
      <x:c r="J693" s="11" t="n">
        <x:v>0</x:v>
      </x:c>
      <x:c r="K693" s="11" t="n">
        <x:v>0</x:v>
      </x:c>
      <x:c r="L693" s="11" t="n">
        <x:f>IF(B693="NED",1,IF(OR(B693="ED",B693="UN"),0,""))</x:f>
        <x:v>0</x:v>
      </x:c>
      <x:c r="M693" s="11" t="n">
        <x:f>IF(AND(K693=1,OR(B693="ED",B693="NED")),1,0)</x:f>
        <x:v>0</x:v>
      </x:c>
      <x:c r="N693" s="11" t="n">
        <x:f>IF(K693=1,1,0)</x:f>
        <x:v>0</x:v>
      </x:c>
      <x:c r="O693" s="12" t="str">
        <x:v>Exclude UniProt Membrane keyword</x:v>
      </x:c>
      <x:c r="P693" s="11" t="n">
        <x:v>0</x:v>
      </x:c>
      <x:c r="Q693" s="12" t="str">
        <x:v>AF-P17427-F1-model_v6</x:v>
      </x:c>
      <x:c r="R693" s="12" t="str">
        <x:v>ok</x:v>
      </x:c>
      <x:c r="S693" s="11" t="n">
        <x:v>309</x:v>
      </x:c>
      <x:c r="T693" s="11" t="n">
        <x:v>938</x:v>
      </x:c>
    </x:row>
    <x:row r="694" ht="23" customHeight="1">
      <x:c r="A694" s="2" t="str">
        <x:v>P17742</x:v>
      </x:c>
      <x:c r="B694" s="2" t="str">
        <x:v>ED</x:v>
      </x:c>
      <x:c r="C694" s="2" t="n">
        <x:v>1</x:v>
      </x:c>
      <x:c r="D694" s="2" t="n">
        <x:v>1</x:v>
      </x:c>
      <x:c r="E694" s="10"/>
      <x:c r="F694" s="11" t="n">
        <x:v>164</x:v>
      </x:c>
      <x:c r="G694" s="11" t="n">
        <x:v>0</x:v>
      </x:c>
      <x:c r="H694" s="11" t="n">
        <x:v>0</x:v>
      </x:c>
      <x:c r="I694" s="11" t="n">
        <x:v>0</x:v>
      </x:c>
      <x:c r="J694" s="11" t="n">
        <x:v>1</x:v>
      </x:c>
      <x:c r="K694" s="11" t="n">
        <x:v>0</x:v>
      </x:c>
      <x:c r="L694" s="11" t="n">
        <x:f>IF(B694="NED",1,IF(OR(B694="ED",B694="UN"),0,""))</x:f>
        <x:v>0</x:v>
      </x:c>
      <x:c r="M694" s="11" t="n">
        <x:f>IF(AND(K694=1,OR(B694="ED",B694="NED")),1,0)</x:f>
        <x:v>0</x:v>
      </x:c>
      <x:c r="N694" s="11" t="n">
        <x:f>IF(K694=1,1,0)</x:f>
        <x:v>0</x:v>
      </x:c>
      <x:c r="O694" s="12" t="str">
        <x:v>Exclude UniProt Secreted keyword</x:v>
      </x:c>
      <x:c r="P694" s="11" t="n">
        <x:v>0</x:v>
      </x:c>
      <x:c r="Q694" s="12" t="str">
        <x:v>AF-P17742-F1-model_v6</x:v>
      </x:c>
      <x:c r="R694" s="12" t="str">
        <x:v>ok</x:v>
      </x:c>
      <x:c r="S694" s="11" t="n">
        <x:v>310</x:v>
      </x:c>
      <x:c r="T694" s="11" t="n">
        <x:v>164</x:v>
      </x:c>
    </x:row>
    <x:row r="695" ht="23" customHeight="1">
      <x:c r="A695" s="2" t="str">
        <x:v>P17751</x:v>
      </x:c>
      <x:c r="B695" s="2" t="str">
        <x:v>ED</x:v>
      </x:c>
      <x:c r="C695" s="2" t="n">
        <x:v>1</x:v>
      </x:c>
      <x:c r="D695" s="2" t="n">
        <x:v>1</x:v>
      </x:c>
      <x:c r="E695" s="10" t="n">
        <x:v>96.62799196787148</x:v>
      </x:c>
      <x:c r="F695" s="11" t="n">
        <x:v>249</x:v>
      </x:c>
      <x:c r="G695" s="11" t="n">
        <x:v>0</x:v>
      </x:c>
      <x:c r="H695" s="11" t="n">
        <x:v>0</x:v>
      </x:c>
      <x:c r="I695" s="11" t="n">
        <x:v>0</x:v>
      </x:c>
      <x:c r="J695" s="11" t="n">
        <x:v>0</x:v>
      </x:c>
      <x:c r="K695" s="11" t="n">
        <x:v>1</x:v>
      </x:c>
      <x:c r="L695" s="11" t="n">
        <x:f>IF(B695="NED",1,IF(OR(B695="ED",B695="UN"),0,""))</x:f>
        <x:v>0</x:v>
      </x:c>
      <x:c r="M695" s="11" t="n">
        <x:f>IF(AND(K695=1,OR(B695="ED",B695="NED")),1,0)</x:f>
        <x:v>1</x:v>
      </x:c>
      <x:c r="N695" s="11" t="n">
        <x:f>IF(K695=1,1,0)</x:f>
        <x:v>1</x:v>
      </x:c>
      <x:c r="O695" s="12"/>
      <x:c r="P695" s="11" t="n">
        <x:v>0</x:v>
      </x:c>
      <x:c r="Q695" s="12" t="str">
        <x:v>AF-P17751-F1-model_v6</x:v>
      </x:c>
      <x:c r="R695" s="12" t="str">
        <x:v>ok</x:v>
      </x:c>
      <x:c r="S695" s="11" t="n">
        <x:v>311</x:v>
      </x:c>
      <x:c r="T695" s="11" t="n">
        <x:v>249</x:v>
      </x:c>
    </x:row>
    <x:row r="696" ht="23" customHeight="1">
      <x:c r="A696" s="2" t="str">
        <x:v>P17809</x:v>
      </x:c>
      <x:c r="B696" s="2" t="str">
        <x:v>UN</x:v>
      </x:c>
      <x:c r="C696" s="2" t="n">
        <x:v>1</x:v>
      </x:c>
      <x:c r="D696" s="2" t="n">
        <x:v>1</x:v>
      </x:c>
      <x:c r="E696" s="10"/>
      <x:c r="F696" s="11" t="n">
        <x:v>492</x:v>
      </x:c>
      <x:c r="G696" s="11" t="n">
        <x:v>0</x:v>
      </x:c>
      <x:c r="H696" s="11" t="n">
        <x:v>0</x:v>
      </x:c>
      <x:c r="I696" s="11" t="n">
        <x:v>1</x:v>
      </x:c>
      <x:c r="J696" s="11" t="n">
        <x:v>0</x:v>
      </x:c>
      <x:c r="K696" s="11" t="n">
        <x:v>0</x:v>
      </x:c>
      <x:c r="L696" s="11" t="n">
        <x:f>IF(B696="NED",1,IF(OR(B696="ED",B696="UN"),0,""))</x:f>
        <x:v>0</x:v>
      </x:c>
      <x:c r="M696" s="11" t="n">
        <x:f>IF(AND(K696=1,OR(B696="ED",B696="NED")),1,0)</x:f>
        <x:v>0</x:v>
      </x:c>
      <x:c r="N696" s="11" t="n">
        <x:f>IF(K696=1,1,0)</x:f>
        <x:v>0</x:v>
      </x:c>
      <x:c r="O696" s="12" t="str">
        <x:v>Exclude UniProt Membrane keyword</x:v>
      </x:c>
      <x:c r="P696" s="11" t="n">
        <x:v>0</x:v>
      </x:c>
      <x:c r="Q696" s="12" t="str">
        <x:v>AF-P17809-F1-model_v6</x:v>
      </x:c>
      <x:c r="R696" s="12" t="str">
        <x:v>ok</x:v>
      </x:c>
      <x:c r="S696" s="11" t="n">
        <x:v>312</x:v>
      </x:c>
      <x:c r="T696" s="11" t="n">
        <x:v>492</x:v>
      </x:c>
    </x:row>
    <x:row r="697" ht="23" customHeight="1">
      <x:c r="A697" s="2" t="str">
        <x:v>P17918</x:v>
      </x:c>
      <x:c r="B697" s="2" t="str">
        <x:v>NED</x:v>
      </x:c>
      <x:c r="C697" s="2" t="n">
        <x:v>1</x:v>
      </x:c>
      <x:c r="D697" s="2" t="n">
        <x:v>1</x:v>
      </x:c>
      <x:c r="E697" s="10" t="n">
        <x:v>94.23467432950191</x:v>
      </x:c>
      <x:c r="F697" s="11" t="n">
        <x:v>261</x:v>
      </x:c>
      <x:c r="G697" s="11" t="n">
        <x:v>0</x:v>
      </x:c>
      <x:c r="H697" s="11" t="n">
        <x:v>0</x:v>
      </x:c>
      <x:c r="I697" s="11" t="n">
        <x:v>0</x:v>
      </x:c>
      <x:c r="J697" s="11" t="n">
        <x:v>0</x:v>
      </x:c>
      <x:c r="K697" s="11" t="n">
        <x:v>1</x:v>
      </x:c>
      <x:c r="L697" s="11" t="n">
        <x:f>IF(B697="NED",1,IF(OR(B697="ED",B697="UN"),0,""))</x:f>
        <x:v>1</x:v>
      </x:c>
      <x:c r="M697" s="11" t="n">
        <x:f>IF(AND(K697=1,OR(B697="ED",B697="NED")),1,0)</x:f>
        <x:v>1</x:v>
      </x:c>
      <x:c r="N697" s="11" t="n">
        <x:f>IF(K697=1,1,0)</x:f>
        <x:v>1</x:v>
      </x:c>
      <x:c r="O697" s="12"/>
      <x:c r="P697" s="11" t="n">
        <x:v>0</x:v>
      </x:c>
      <x:c r="Q697" s="12" t="str">
        <x:v>AF-P17918-F1-model_v6</x:v>
      </x:c>
      <x:c r="R697" s="12" t="str">
        <x:v>ok</x:v>
      </x:c>
      <x:c r="S697" s="11" t="n">
        <x:v>313</x:v>
      </x:c>
      <x:c r="T697" s="11" t="n">
        <x:v>261</x:v>
      </x:c>
    </x:row>
    <x:row r="698" ht="23" customHeight="1">
      <x:c r="A698" s="2" t="str">
        <x:v>P18654</x:v>
      </x:c>
      <x:c r="B698" s="2" t="str">
        <x:v>ED</x:v>
      </x:c>
      <x:c r="C698" s="2" t="n">
        <x:v>1</x:v>
      </x:c>
      <x:c r="D698" s="2" t="n">
        <x:v>1</x:v>
      </x:c>
      <x:c r="E698" s="10" t="n">
        <x:v>77.08694594594594</x:v>
      </x:c>
      <x:c r="F698" s="11" t="n">
        <x:v>740</x:v>
      </x:c>
      <x:c r="G698" s="11" t="n">
        <x:v>0</x:v>
      </x:c>
      <x:c r="H698" s="11" t="n">
        <x:v>0</x:v>
      </x:c>
      <x:c r="I698" s="11" t="n">
        <x:v>0</x:v>
      </x:c>
      <x:c r="J698" s="11" t="n">
        <x:v>0</x:v>
      </x:c>
      <x:c r="K698" s="11" t="n">
        <x:v>1</x:v>
      </x:c>
      <x:c r="L698" s="11" t="n">
        <x:f>IF(B698="NED",1,IF(OR(B698="ED",B698="UN"),0,""))</x:f>
        <x:v>0</x:v>
      </x:c>
      <x:c r="M698" s="11" t="n">
        <x:f>IF(AND(K698=1,OR(B698="ED",B698="NED")),1,0)</x:f>
        <x:v>1</x:v>
      </x:c>
      <x:c r="N698" s="11" t="n">
        <x:f>IF(K698=1,1,0)</x:f>
        <x:v>1</x:v>
      </x:c>
      <x:c r="O698" s="12"/>
      <x:c r="P698" s="11" t="n">
        <x:v>0</x:v>
      </x:c>
      <x:c r="Q698" s="12" t="str">
        <x:v>AF-P18654-F1-model_v6</x:v>
      </x:c>
      <x:c r="R698" s="12" t="str">
        <x:v>ok</x:v>
      </x:c>
      <x:c r="S698" s="11" t="n">
        <x:v>314</x:v>
      </x:c>
      <x:c r="T698" s="11" t="n">
        <x:v>740</x:v>
      </x:c>
    </x:row>
    <x:row r="699" ht="23" customHeight="1">
      <x:c r="A699" s="2" t="str">
        <x:v>P18760</x:v>
      </x:c>
      <x:c r="B699" s="2" t="str">
        <x:v>ED</x:v>
      </x:c>
      <x:c r="C699" s="2" t="n">
        <x:v>1</x:v>
      </x:c>
      <x:c r="D699" s="2" t="n">
        <x:v>1</x:v>
      </x:c>
      <x:c r="E699" s="10"/>
      <x:c r="F699" s="11" t="n">
        <x:v>166</x:v>
      </x:c>
      <x:c r="G699" s="11" t="n">
        <x:v>0</x:v>
      </x:c>
      <x:c r="H699" s="11" t="n">
        <x:v>0</x:v>
      </x:c>
      <x:c r="I699" s="11" t="n">
        <x:v>1</x:v>
      </x:c>
      <x:c r="J699" s="11" t="n">
        <x:v>0</x:v>
      </x:c>
      <x:c r="K699" s="11" t="n">
        <x:v>0</x:v>
      </x:c>
      <x:c r="L699" s="11" t="n">
        <x:f>IF(B699="NED",1,IF(OR(B699="ED",B699="UN"),0,""))</x:f>
        <x:v>0</x:v>
      </x:c>
      <x:c r="M699" s="11" t="n">
        <x:f>IF(AND(K699=1,OR(B699="ED",B699="NED")),1,0)</x:f>
        <x:v>0</x:v>
      </x:c>
      <x:c r="N699" s="11" t="n">
        <x:f>IF(K699=1,1,0)</x:f>
        <x:v>0</x:v>
      </x:c>
      <x:c r="O699" s="12" t="str">
        <x:v>Exclude UniProt Membrane keyword</x:v>
      </x:c>
      <x:c r="P699" s="11" t="n">
        <x:v>0</x:v>
      </x:c>
      <x:c r="Q699" s="12" t="str">
        <x:v>AF-P18760-F1-model_v6</x:v>
      </x:c>
      <x:c r="R699" s="12" t="str">
        <x:v>ok</x:v>
      </x:c>
      <x:c r="S699" s="11" t="n">
        <x:v>315</x:v>
      </x:c>
      <x:c r="T699" s="11" t="n">
        <x:v>166</x:v>
      </x:c>
    </x:row>
    <x:row r="700" ht="23" customHeight="1">
      <x:c r="A700" s="2" t="str">
        <x:v>P19096</x:v>
      </x:c>
      <x:c r="B700" s="2" t="str">
        <x:v>NED</x:v>
      </x:c>
      <x:c r="C700" s="2" t="n">
        <x:v>1</x:v>
      </x:c>
      <x:c r="D700" s="2" t="n">
        <x:v>1</x:v>
      </x:c>
      <x:c r="E700" s="10" t="n">
        <x:v>85.59498003194888</x:v>
      </x:c>
      <x:c r="F700" s="11" t="n">
        <x:v>2504</x:v>
      </x:c>
      <x:c r="G700" s="11" t="n">
        <x:v>0</x:v>
      </x:c>
      <x:c r="H700" s="11" t="n">
        <x:v>0</x:v>
      </x:c>
      <x:c r="I700" s="11" t="n">
        <x:v>0</x:v>
      </x:c>
      <x:c r="J700" s="11" t="n">
        <x:v>0</x:v>
      </x:c>
      <x:c r="K700" s="11" t="n">
        <x:v>1</x:v>
      </x:c>
      <x:c r="L700" s="11" t="n">
        <x:f>IF(B700="NED",1,IF(OR(B700="ED",B700="UN"),0,""))</x:f>
        <x:v>1</x:v>
      </x:c>
      <x:c r="M700" s="11" t="n">
        <x:f>IF(AND(K700=1,OR(B700="ED",B700="NED")),1,0)</x:f>
        <x:v>1</x:v>
      </x:c>
      <x:c r="N700" s="11" t="n">
        <x:f>IF(K700=1,1,0)</x:f>
        <x:v>1</x:v>
      </x:c>
      <x:c r="O700" s="12"/>
      <x:c r="P700" s="11" t="n">
        <x:v>0</x:v>
      </x:c>
      <x:c r="Q700" s="12" t="str">
        <x:v>AF-P19096-F1-model_v6</x:v>
      </x:c>
      <x:c r="R700" s="12" t="str">
        <x:v>ok</x:v>
      </x:c>
      <x:c r="S700" s="11" t="n">
        <x:v>316</x:v>
      </x:c>
      <x:c r="T700" s="11" t="n">
        <x:v>2504</x:v>
      </x:c>
    </x:row>
    <x:row r="701" ht="23" customHeight="1">
      <x:c r="A701" s="2" t="str">
        <x:v>P19157</x:v>
      </x:c>
      <x:c r="B701" s="2" t="str">
        <x:v>ED</x:v>
      </x:c>
      <x:c r="C701" s="2" t="n">
        <x:v>0</x:v>
      </x:c>
      <x:c r="D701" s="2" t="n">
        <x:v>0</x:v>
      </x:c>
      <x:c r="E701" s="10" t="n">
        <x:v>97.85785714285716</x:v>
      </x:c>
      <x:c r="F701" s="11" t="n">
        <x:v>210</x:v>
      </x:c>
      <x:c r="G701" s="11" t="n">
        <x:v>0</x:v>
      </x:c>
      <x:c r="H701" s="11" t="n">
        <x:v>0</x:v>
      </x:c>
      <x:c r="I701" s="11" t="n">
        <x:v>0</x:v>
      </x:c>
      <x:c r="J701" s="11" t="n">
        <x:v>0</x:v>
      </x:c>
      <x:c r="K701" s="11" t="n">
        <x:v>1</x:v>
      </x:c>
      <x:c r="L701" s="11" t="n">
        <x:f>IF(B701="NED",1,IF(OR(B701="ED",B701="UN"),0,""))</x:f>
        <x:v>0</x:v>
      </x:c>
      <x:c r="M701" s="11" t="n">
        <x:f>IF(AND(K701=1,OR(B701="ED",B701="NED")),1,0)</x:f>
        <x:v>1</x:v>
      </x:c>
      <x:c r="N701" s="11" t="n">
        <x:f>IF(K701=1,1,0)</x:f>
        <x:v>1</x:v>
      </x:c>
      <x:c r="O701" s="12"/>
      <x:c r="P701" s="11" t="n">
        <x:v>0</x:v>
      </x:c>
      <x:c r="Q701" s="12" t="str">
        <x:v>AF-P19157-F1-model_v6</x:v>
      </x:c>
      <x:c r="R701" s="12" t="str">
        <x:v>ok</x:v>
      </x:c>
      <x:c r="S701" s="11" t="n">
        <x:v>317</x:v>
      </x:c>
      <x:c r="T701" s="11" t="n">
        <x:v>210</x:v>
      </x:c>
    </x:row>
    <x:row r="702" ht="23" customHeight="1">
      <x:c r="A702" s="2" t="str">
        <x:v>P19324</x:v>
      </x:c>
      <x:c r="B702" s="2" t="str">
        <x:v>UN</x:v>
      </x:c>
      <x:c r="C702" s="2" t="n">
        <x:v>1</x:v>
      </x:c>
      <x:c r="D702" s="2" t="n">
        <x:v>1</x:v>
      </x:c>
      <x:c r="E702" s="10" t="n">
        <x:v>91.12249400479617</x:v>
      </x:c>
      <x:c r="F702" s="11" t="n">
        <x:v>417</x:v>
      </x:c>
      <x:c r="G702" s="11" t="n">
        <x:v>0</x:v>
      </x:c>
      <x:c r="H702" s="11" t="n">
        <x:v>0</x:v>
      </x:c>
      <x:c r="I702" s="11" t="n">
        <x:v>0</x:v>
      </x:c>
      <x:c r="J702" s="11" t="n">
        <x:v>0</x:v>
      </x:c>
      <x:c r="K702" s="11" t="n">
        <x:v>1</x:v>
      </x:c>
      <x:c r="L702" s="11" t="n">
        <x:f>IF(B702="NED",1,IF(OR(B702="ED",B702="UN"),0,""))</x:f>
        <x:v>0</x:v>
      </x:c>
      <x:c r="M702" s="11" t="n">
        <x:f>IF(AND(K702=1,OR(B702="ED",B702="NED")),1,0)</x:f>
        <x:v>0</x:v>
      </x:c>
      <x:c r="N702" s="11" t="n">
        <x:f>IF(K702=1,1,0)</x:f>
        <x:v>1</x:v>
      </x:c>
      <x:c r="O702" s="12"/>
      <x:c r="P702" s="11" t="n">
        <x:v>0</x:v>
      </x:c>
      <x:c r="Q702" s="12" t="str">
        <x:v>AF-P19324-F1-model_v6</x:v>
      </x:c>
      <x:c r="R702" s="12" t="str">
        <x:v>ok</x:v>
      </x:c>
      <x:c r="S702" s="11" t="n">
        <x:v>318</x:v>
      </x:c>
      <x:c r="T702" s="11" t="n">
        <x:v>417</x:v>
      </x:c>
    </x:row>
    <x:row r="703" ht="23" customHeight="1">
      <x:c r="A703" s="2" t="str">
        <x:v>P20029</x:v>
      </x:c>
      <x:c r="B703" s="2" t="str">
        <x:v>UN</x:v>
      </x:c>
      <x:c r="C703" s="2" t="n">
        <x:v>1</x:v>
      </x:c>
      <x:c r="D703" s="2" t="n">
        <x:v>1</x:v>
      </x:c>
      <x:c r="E703" s="10" t="n">
        <x:v>89.60479389312977</x:v>
      </x:c>
      <x:c r="F703" s="11" t="n">
        <x:v>655</x:v>
      </x:c>
      <x:c r="G703" s="11" t="n">
        <x:v>0</x:v>
      </x:c>
      <x:c r="H703" s="11" t="n">
        <x:v>0</x:v>
      </x:c>
      <x:c r="I703" s="11" t="n">
        <x:v>0</x:v>
      </x:c>
      <x:c r="J703" s="11" t="n">
        <x:v>0</x:v>
      </x:c>
      <x:c r="K703" s="11" t="n">
        <x:v>1</x:v>
      </x:c>
      <x:c r="L703" s="11" t="n">
        <x:f>IF(B703="NED",1,IF(OR(B703="ED",B703="UN"),0,""))</x:f>
        <x:v>0</x:v>
      </x:c>
      <x:c r="M703" s="11" t="n">
        <x:f>IF(AND(K703=1,OR(B703="ED",B703="NED")),1,0)</x:f>
        <x:v>0</x:v>
      </x:c>
      <x:c r="N703" s="11" t="n">
        <x:f>IF(K703=1,1,0)</x:f>
        <x:v>1</x:v>
      </x:c>
      <x:c r="O703" s="12"/>
      <x:c r="P703" s="11" t="n">
        <x:v>0</x:v>
      </x:c>
      <x:c r="Q703" s="12" t="str">
        <x:v>AF-P20029-F1-model_v6</x:v>
      </x:c>
      <x:c r="R703" s="12" t="str">
        <x:v>ok</x:v>
      </x:c>
      <x:c r="S703" s="11" t="n">
        <x:v>319</x:v>
      </x:c>
      <x:c r="T703" s="11" t="n">
        <x:v>655</x:v>
      </x:c>
    </x:row>
    <x:row r="704" ht="23" customHeight="1">
      <x:c r="A704" s="2" t="str">
        <x:v>P20108</x:v>
      </x:c>
      <x:c r="B704" s="2" t="str">
        <x:v>ED</x:v>
      </x:c>
      <x:c r="C704" s="2" t="n">
        <x:v>1</x:v>
      </x:c>
      <x:c r="D704" s="2" t="n">
        <x:v>1</x:v>
      </x:c>
      <x:c r="E704" s="10" t="n">
        <x:v>84.43747081712063</x:v>
      </x:c>
      <x:c r="F704" s="11" t="n">
        <x:v>257</x:v>
      </x:c>
      <x:c r="G704" s="11" t="n">
        <x:v>0</x:v>
      </x:c>
      <x:c r="H704" s="11" t="n">
        <x:v>0</x:v>
      </x:c>
      <x:c r="I704" s="11" t="n">
        <x:v>0</x:v>
      </x:c>
      <x:c r="J704" s="11" t="n">
        <x:v>0</x:v>
      </x:c>
      <x:c r="K704" s="11" t="n">
        <x:v>1</x:v>
      </x:c>
      <x:c r="L704" s="11" t="n">
        <x:f>IF(B704="NED",1,IF(OR(B704="ED",B704="UN"),0,""))</x:f>
        <x:v>0</x:v>
      </x:c>
      <x:c r="M704" s="11" t="n">
        <x:f>IF(AND(K704=1,OR(B704="ED",B704="NED")),1,0)</x:f>
        <x:v>1</x:v>
      </x:c>
      <x:c r="N704" s="11" t="n">
        <x:f>IF(K704=1,1,0)</x:f>
        <x:v>1</x:v>
      </x:c>
      <x:c r="O704" s="12"/>
      <x:c r="P704" s="11" t="n">
        <x:v>0</x:v>
      </x:c>
      <x:c r="Q704" s="12" t="str">
        <x:v>AF-P20108-F1-model_v6</x:v>
      </x:c>
      <x:c r="R704" s="12" t="str">
        <x:v>ok</x:v>
      </x:c>
      <x:c r="S704" s="11" t="n">
        <x:v>320</x:v>
      </x:c>
      <x:c r="T704" s="11" t="n">
        <x:v>257</x:v>
      </x:c>
    </x:row>
    <x:row r="705" ht="23" customHeight="1">
      <x:c r="A705" s="2" t="str">
        <x:v>P20152</x:v>
      </x:c>
      <x:c r="B705" s="2" t="str">
        <x:v>UN</x:v>
      </x:c>
      <x:c r="C705" s="2" t="n">
        <x:v>0</x:v>
      </x:c>
      <x:c r="D705" s="2" t="n">
        <x:v>0</x:v>
      </x:c>
      <x:c r="E705" s="10"/>
      <x:c r="F705" s="11" t="n">
        <x:v>466</x:v>
      </x:c>
      <x:c r="G705" s="11" t="n">
        <x:v>0</x:v>
      </x:c>
      <x:c r="H705" s="11" t="n">
        <x:v>0</x:v>
      </x:c>
      <x:c r="I705" s="11" t="n">
        <x:v>1</x:v>
      </x:c>
      <x:c r="J705" s="11" t="n">
        <x:v>0</x:v>
      </x:c>
      <x:c r="K705" s="11" t="n">
        <x:v>0</x:v>
      </x:c>
      <x:c r="L705" s="11" t="n">
        <x:f>IF(B705="NED",1,IF(OR(B705="ED",B705="UN"),0,""))</x:f>
        <x:v>0</x:v>
      </x:c>
      <x:c r="M705" s="11" t="n">
        <x:f>IF(AND(K705=1,OR(B705="ED",B705="NED")),1,0)</x:f>
        <x:v>0</x:v>
      </x:c>
      <x:c r="N705" s="11" t="n">
        <x:f>IF(K705=1,1,0)</x:f>
        <x:v>0</x:v>
      </x:c>
      <x:c r="O705" s="12" t="str">
        <x:v>Exclude UniProt Membrane keyword</x:v>
      </x:c>
      <x:c r="P705" s="11" t="n">
        <x:v>0</x:v>
      </x:c>
      <x:c r="Q705" s="12" t="str">
        <x:v>AF-P20152-F1-model_v6</x:v>
      </x:c>
      <x:c r="R705" s="12" t="str">
        <x:v>ok</x:v>
      </x:c>
      <x:c r="S705" s="11" t="n">
        <x:v>321</x:v>
      </x:c>
      <x:c r="T705" s="11" t="n">
        <x:v>466</x:v>
      </x:c>
    </x:row>
    <x:row r="706" ht="23" customHeight="1">
      <x:c r="A706" s="2" t="str">
        <x:v>P20352</x:v>
      </x:c>
      <x:c r="B706" s="2" t="str">
        <x:v>UN</x:v>
      </x:c>
      <x:c r="C706" s="2" t="n">
        <x:v>1</x:v>
      </x:c>
      <x:c r="D706" s="2" t="n">
        <x:v>1</x:v>
      </x:c>
      <x:c r="E706" s="10"/>
      <x:c r="F706" s="11" t="n">
        <x:v>294</x:v>
      </x:c>
      <x:c r="G706" s="11" t="n">
        <x:v>0</x:v>
      </x:c>
      <x:c r="H706" s="11" t="n">
        <x:v>0</x:v>
      </x:c>
      <x:c r="I706" s="11" t="n">
        <x:v>1</x:v>
      </x:c>
      <x:c r="J706" s="11" t="n">
        <x:v>0</x:v>
      </x:c>
      <x:c r="K706" s="11" t="n">
        <x:v>0</x:v>
      </x:c>
      <x:c r="L706" s="11" t="n">
        <x:f>IF(B706="NED",1,IF(OR(B706="ED",B706="UN"),0,""))</x:f>
        <x:v>0</x:v>
      </x:c>
      <x:c r="M706" s="11" t="n">
        <x:f>IF(AND(K706=1,OR(B706="ED",B706="NED")),1,0)</x:f>
        <x:v>0</x:v>
      </x:c>
      <x:c r="N706" s="11" t="n">
        <x:f>IF(K706=1,1,0)</x:f>
        <x:v>0</x:v>
      </x:c>
      <x:c r="O706" s="12" t="str">
        <x:v>Exclude UniProt Membrane keyword</x:v>
      </x:c>
      <x:c r="P706" s="11" t="n">
        <x:v>0</x:v>
      </x:c>
      <x:c r="Q706" s="12" t="str">
        <x:v>AF-P20352-F1-model_v6</x:v>
      </x:c>
      <x:c r="R706" s="12" t="str">
        <x:v>ok</x:v>
      </x:c>
      <x:c r="S706" s="11" t="n">
        <x:v>322</x:v>
      </x:c>
      <x:c r="T706" s="11" t="n">
        <x:v>294</x:v>
      </x:c>
    </x:row>
    <x:row r="707" ht="23" customHeight="1">
      <x:c r="A707" s="2" t="str">
        <x:v>P20664</x:v>
      </x:c>
      <x:c r="B707" s="2" t="str">
        <x:v>NED</x:v>
      </x:c>
      <x:c r="C707" s="2" t="n">
        <x:v>1</x:v>
      </x:c>
      <x:c r="D707" s="2" t="n">
        <x:v>1</x:v>
      </x:c>
      <x:c r="E707" s="10" t="n">
        <x:v>92.38752997601918</x:v>
      </x:c>
      <x:c r="F707" s="11" t="n">
        <x:v>417</x:v>
      </x:c>
      <x:c r="G707" s="11" t="n">
        <x:v>0</x:v>
      </x:c>
      <x:c r="H707" s="11" t="n">
        <x:v>0</x:v>
      </x:c>
      <x:c r="I707" s="11" t="n">
        <x:v>0</x:v>
      </x:c>
      <x:c r="J707" s="11" t="n">
        <x:v>0</x:v>
      </x:c>
      <x:c r="K707" s="11" t="n">
        <x:v>1</x:v>
      </x:c>
      <x:c r="L707" s="11" t="n">
        <x:f>IF(B707="NED",1,IF(OR(B707="ED",B707="UN"),0,""))</x:f>
        <x:v>1</x:v>
      </x:c>
      <x:c r="M707" s="11" t="n">
        <x:f>IF(AND(K707=1,OR(B707="ED",B707="NED")),1,0)</x:f>
        <x:v>1</x:v>
      </x:c>
      <x:c r="N707" s="11" t="n">
        <x:f>IF(K707=1,1,0)</x:f>
        <x:v>1</x:v>
      </x:c>
      <x:c r="O707" s="12"/>
      <x:c r="P707" s="11" t="n">
        <x:v>0</x:v>
      </x:c>
      <x:c r="Q707" s="12" t="str">
        <x:v>AF-P20664-F1-model_v6</x:v>
      </x:c>
      <x:c r="R707" s="12" t="str">
        <x:v>ok</x:v>
      </x:c>
      <x:c r="S707" s="11" t="n">
        <x:v>323</x:v>
      </x:c>
      <x:c r="T707" s="11" t="n">
        <x:v>417</x:v>
      </x:c>
    </x:row>
    <x:row r="708" ht="23" customHeight="1">
      <x:c r="A708" s="2" t="str">
        <x:v>P21107-2</x:v>
      </x:c>
      <x:c r="B708" s="2" t="str">
        <x:v>UN</x:v>
      </x:c>
      <x:c r="C708" s="2"/>
      <x:c r="D708" s="2"/>
      <x:c r="E708" s="10"/>
      <x:c r="F708" s="11"/>
      <x:c r="G708" s="11" t="n">
        <x:v>0</x:v>
      </x:c>
      <x:c r="H708" s="11" t="n">
        <x:v>0</x:v>
      </x:c>
      <x:c r="I708" s="11"/>
      <x:c r="J708" s="11"/>
      <x:c r="K708" s="11" t="n">
        <x:v>0</x:v>
      </x:c>
      <x:c r="L708" s="11" t="n">
        <x:f>IF(B708="NED",1,IF(OR(B708="ED",B708="UN"),0,""))</x:f>
        <x:v>0</x:v>
      </x:c>
      <x:c r="M708" s="11" t="n">
        <x:f>IF(AND(K708=1,OR(B708="ED",B708="NED")),1,0)</x:f>
        <x:v>0</x:v>
      </x:c>
      <x:c r="N708" s="11" t="n">
        <x:f>IF(K708=1,1,0)</x:f>
        <x:v>0</x:v>
      </x:c>
      <x:c r="O708" s="12" t="str">
        <x:v>Require exact native accession match</x:v>
      </x:c>
      <x:c r="P708" s="11" t="n">
        <x:v>0</x:v>
      </x:c>
      <x:c r="Q708" s="12"/>
      <x:c r="R708" s="12"/>
      <x:c r="S708" s="11" t="n">
        <x:v>324</x:v>
      </x:c>
      <x:c r="T708" s="11"/>
    </x:row>
    <x:row r="709" ht="23" customHeight="1">
      <x:c r="A709" s="2" t="str">
        <x:v>P21126</x:v>
      </x:c>
      <x:c r="B709" s="2" t="str">
        <x:v>UN</x:v>
      </x:c>
      <x:c r="C709" s="2" t="n">
        <x:v>0</x:v>
      </x:c>
      <x:c r="D709" s="2" t="n">
        <x:v>0</x:v>
      </x:c>
      <x:c r="E709" s="10" t="n">
        <x:v>79.38433121019108</x:v>
      </x:c>
      <x:c r="F709" s="11" t="n">
        <x:v>157</x:v>
      </x:c>
      <x:c r="G709" s="11" t="n">
        <x:v>0</x:v>
      </x:c>
      <x:c r="H709" s="11" t="n">
        <x:v>0</x:v>
      </x:c>
      <x:c r="I709" s="11" t="n">
        <x:v>0</x:v>
      </x:c>
      <x:c r="J709" s="11" t="n">
        <x:v>0</x:v>
      </x:c>
      <x:c r="K709" s="11" t="n">
        <x:v>1</x:v>
      </x:c>
      <x:c r="L709" s="11" t="n">
        <x:f>IF(B709="NED",1,IF(OR(B709="ED",B709="UN"),0,""))</x:f>
        <x:v>0</x:v>
      </x:c>
      <x:c r="M709" s="11" t="n">
        <x:f>IF(AND(K709=1,OR(B709="ED",B709="NED")),1,0)</x:f>
        <x:v>0</x:v>
      </x:c>
      <x:c r="N709" s="11" t="n">
        <x:f>IF(K709=1,1,0)</x:f>
        <x:v>1</x:v>
      </x:c>
      <x:c r="O709" s="12"/>
      <x:c r="P709" s="11" t="n">
        <x:v>0</x:v>
      </x:c>
      <x:c r="Q709" s="12" t="str">
        <x:v>AF-P21126-F1-model_v6</x:v>
      </x:c>
      <x:c r="R709" s="12" t="str">
        <x:v>ok</x:v>
      </x:c>
      <x:c r="S709" s="11" t="n">
        <x:v>325</x:v>
      </x:c>
      <x:c r="T709" s="11" t="n">
        <x:v>157</x:v>
      </x:c>
    </x:row>
    <x:row r="710" ht="23" customHeight="1">
      <x:c r="A710" s="2" t="str">
        <x:v>P21278</x:v>
      </x:c>
      <x:c r="B710" s="2" t="str">
        <x:v>UN</x:v>
      </x:c>
      <x:c r="C710" s="2" t="n">
        <x:v>1</x:v>
      </x:c>
      <x:c r="D710" s="2" t="n">
        <x:v>1</x:v>
      </x:c>
      <x:c r="E710" s="10"/>
      <x:c r="F710" s="11" t="n">
        <x:v>359</x:v>
      </x:c>
      <x:c r="G710" s="11" t="n">
        <x:v>0</x:v>
      </x:c>
      <x:c r="H710" s="11" t="n">
        <x:v>0</x:v>
      </x:c>
      <x:c r="I710" s="11" t="n">
        <x:v>1</x:v>
      </x:c>
      <x:c r="J710" s="11" t="n">
        <x:v>0</x:v>
      </x:c>
      <x:c r="K710" s="11" t="n">
        <x:v>0</x:v>
      </x:c>
      <x:c r="L710" s="11" t="n">
        <x:f>IF(B710="NED",1,IF(OR(B710="ED",B710="UN"),0,""))</x:f>
        <x:v>0</x:v>
      </x:c>
      <x:c r="M710" s="11" t="n">
        <x:f>IF(AND(K710=1,OR(B710="ED",B710="NED")),1,0)</x:f>
        <x:v>0</x:v>
      </x:c>
      <x:c r="N710" s="11" t="n">
        <x:f>IF(K710=1,1,0)</x:f>
        <x:v>0</x:v>
      </x:c>
      <x:c r="O710" s="12" t="str">
        <x:v>Exclude UniProt Membrane keyword</x:v>
      </x:c>
      <x:c r="P710" s="11" t="n">
        <x:v>0</x:v>
      </x:c>
      <x:c r="Q710" s="12" t="str">
        <x:v>AF-P21278-F1-model_v6</x:v>
      </x:c>
      <x:c r="R710" s="12" t="str">
        <x:v>ok</x:v>
      </x:c>
      <x:c r="S710" s="11" t="n">
        <x:v>326</x:v>
      </x:c>
      <x:c r="T710" s="11" t="n">
        <x:v>359</x:v>
      </x:c>
    </x:row>
    <x:row r="711" ht="23" customHeight="1">
      <x:c r="A711" s="2" t="str">
        <x:v>P21279</x:v>
      </x:c>
      <x:c r="B711" s="2" t="str">
        <x:v>UN</x:v>
      </x:c>
      <x:c r="C711" s="2" t="n">
        <x:v>1</x:v>
      </x:c>
      <x:c r="D711" s="2" t="n">
        <x:v>1</x:v>
      </x:c>
      <x:c r="E711" s="10"/>
      <x:c r="F711" s="11" t="n">
        <x:v>359</x:v>
      </x:c>
      <x:c r="G711" s="11" t="n">
        <x:v>0</x:v>
      </x:c>
      <x:c r="H711" s="11" t="n">
        <x:v>0</x:v>
      </x:c>
      <x:c r="I711" s="11" t="n">
        <x:v>1</x:v>
      </x:c>
      <x:c r="J711" s="11" t="n">
        <x:v>0</x:v>
      </x:c>
      <x:c r="K711" s="11" t="n">
        <x:v>0</x:v>
      </x:c>
      <x:c r="L711" s="11" t="n">
        <x:f>IF(B711="NED",1,IF(OR(B711="ED",B711="UN"),0,""))</x:f>
        <x:v>0</x:v>
      </x:c>
      <x:c r="M711" s="11" t="n">
        <x:f>IF(AND(K711=1,OR(B711="ED",B711="NED")),1,0)</x:f>
        <x:v>0</x:v>
      </x:c>
      <x:c r="N711" s="11" t="n">
        <x:f>IF(K711=1,1,0)</x:f>
        <x:v>0</x:v>
      </x:c>
      <x:c r="O711" s="12" t="str">
        <x:v>Exclude UniProt Membrane keyword</x:v>
      </x:c>
      <x:c r="P711" s="11" t="n">
        <x:v>0</x:v>
      </x:c>
      <x:c r="Q711" s="12" t="str">
        <x:v>AF-P21279-F1-model_v6</x:v>
      </x:c>
      <x:c r="R711" s="12" t="str">
        <x:v>ok</x:v>
      </x:c>
      <x:c r="S711" s="11" t="n">
        <x:v>327</x:v>
      </x:c>
      <x:c r="T711" s="11" t="n">
        <x:v>359</x:v>
      </x:c>
    </x:row>
    <x:row r="712" ht="23" customHeight="1">
      <x:c r="A712" s="2" t="str">
        <x:v>P21619</x:v>
      </x:c>
      <x:c r="B712" s="2" t="str">
        <x:v>ED</x:v>
      </x:c>
      <x:c r="C712" s="2" t="n">
        <x:v>0</x:v>
      </x:c>
      <x:c r="D712" s="2" t="n">
        <x:v>0</x:v>
      </x:c>
      <x:c r="E712" s="10" t="n">
        <x:v>80.51791946308725</x:v>
      </x:c>
      <x:c r="F712" s="11" t="n">
        <x:v>596</x:v>
      </x:c>
      <x:c r="G712" s="11" t="n">
        <x:v>0</x:v>
      </x:c>
      <x:c r="H712" s="11" t="n">
        <x:v>0</x:v>
      </x:c>
      <x:c r="I712" s="11" t="n">
        <x:v>0</x:v>
      </x:c>
      <x:c r="J712" s="11" t="n">
        <x:v>0</x:v>
      </x:c>
      <x:c r="K712" s="11" t="n">
        <x:v>1</x:v>
      </x:c>
      <x:c r="L712" s="11" t="n">
        <x:f>IF(B712="NED",1,IF(OR(B712="ED",B712="UN"),0,""))</x:f>
        <x:v>0</x:v>
      </x:c>
      <x:c r="M712" s="11" t="n">
        <x:f>IF(AND(K712=1,OR(B712="ED",B712="NED")),1,0)</x:f>
        <x:v>1</x:v>
      </x:c>
      <x:c r="N712" s="11" t="n">
        <x:f>IF(K712=1,1,0)</x:f>
        <x:v>1</x:v>
      </x:c>
      <x:c r="O712" s="12"/>
      <x:c r="P712" s="11" t="n">
        <x:v>0</x:v>
      </x:c>
      <x:c r="Q712" s="12" t="str">
        <x:v>AF-P21619-F1-model_v6</x:v>
      </x:c>
      <x:c r="R712" s="12" t="str">
        <x:v>ok</x:v>
      </x:c>
      <x:c r="S712" s="11" t="n">
        <x:v>328</x:v>
      </x:c>
      <x:c r="T712" s="11" t="n">
        <x:v>596</x:v>
      </x:c>
    </x:row>
    <x:row r="713" ht="23" customHeight="1">
      <x:c r="A713" s="2" t="str">
        <x:v>P21995</x:v>
      </x:c>
      <x:c r="B713" s="2" t="str">
        <x:v>UN</x:v>
      </x:c>
      <x:c r="C713" s="2" t="n">
        <x:v>1</x:v>
      </x:c>
      <x:c r="D713" s="2" t="n">
        <x:v>1</x:v>
      </x:c>
      <x:c r="E713" s="10"/>
      <x:c r="F713" s="11" t="n">
        <x:v>330</x:v>
      </x:c>
      <x:c r="G713" s="11" t="n">
        <x:v>0</x:v>
      </x:c>
      <x:c r="H713" s="11" t="n">
        <x:v>0</x:v>
      </x:c>
      <x:c r="I713" s="11" t="n">
        <x:v>1</x:v>
      </x:c>
      <x:c r="J713" s="11" t="n">
        <x:v>0</x:v>
      </x:c>
      <x:c r="K713" s="11" t="n">
        <x:v>0</x:v>
      </x:c>
      <x:c r="L713" s="11" t="n">
        <x:f>IF(B713="NED",1,IF(OR(B713="ED",B713="UN"),0,""))</x:f>
        <x:v>0</x:v>
      </x:c>
      <x:c r="M713" s="11" t="n">
        <x:f>IF(AND(K713=1,OR(B713="ED",B713="NED")),1,0)</x:f>
        <x:v>0</x:v>
      </x:c>
      <x:c r="N713" s="11" t="n">
        <x:f>IF(K713=1,1,0)</x:f>
        <x:v>0</x:v>
      </x:c>
      <x:c r="O713" s="12" t="str">
        <x:v>Exclude UniProt Membrane keyword</x:v>
      </x:c>
      <x:c r="P713" s="11" t="n">
        <x:v>0</x:v>
      </x:c>
      <x:c r="Q713" s="12" t="str">
        <x:v>AF-P21995-F1-model_v6</x:v>
      </x:c>
      <x:c r="R713" s="12" t="str">
        <x:v>ok</x:v>
      </x:c>
      <x:c r="S713" s="11" t="n">
        <x:v>329</x:v>
      </x:c>
      <x:c r="T713" s="11" t="n">
        <x:v>330</x:v>
      </x:c>
    </x:row>
    <x:row r="714" ht="23" customHeight="1">
      <x:c r="A714" s="2" t="str">
        <x:v>P22437</x:v>
      </x:c>
      <x:c r="B714" s="2" t="str">
        <x:v>NED</x:v>
      </x:c>
      <x:c r="C714" s="2" t="n">
        <x:v>1</x:v>
      </x:c>
      <x:c r="D714" s="2" t="n">
        <x:v>1</x:v>
      </x:c>
      <x:c r="E714" s="10"/>
      <x:c r="F714" s="11" t="n">
        <x:v>602</x:v>
      </x:c>
      <x:c r="G714" s="11" t="n">
        <x:v>0</x:v>
      </x:c>
      <x:c r="H714" s="11" t="n">
        <x:v>0</x:v>
      </x:c>
      <x:c r="I714" s="11" t="n">
        <x:v>1</x:v>
      </x:c>
      <x:c r="J714" s="11" t="n">
        <x:v>0</x:v>
      </x:c>
      <x:c r="K714" s="11" t="n">
        <x:v>0</x:v>
      </x:c>
      <x:c r="L714" s="11" t="n">
        <x:f>IF(B714="NED",1,IF(OR(B714="ED",B714="UN"),0,""))</x:f>
        <x:v>1</x:v>
      </x:c>
      <x:c r="M714" s="11" t="n">
        <x:f>IF(AND(K714=1,OR(B714="ED",B714="NED")),1,0)</x:f>
        <x:v>0</x:v>
      </x:c>
      <x:c r="N714" s="11" t="n">
        <x:f>IF(K714=1,1,0)</x:f>
        <x:v>0</x:v>
      </x:c>
      <x:c r="O714" s="12" t="str">
        <x:v>Exclude UniProt Membrane keyword</x:v>
      </x:c>
      <x:c r="P714" s="11" t="n">
        <x:v>0</x:v>
      </x:c>
      <x:c r="Q714" s="12" t="str">
        <x:v>AF-P22437-F1-model_v6</x:v>
      </x:c>
      <x:c r="R714" s="12" t="str">
        <x:v>ok</x:v>
      </x:c>
      <x:c r="S714" s="11" t="n">
        <x:v>330</x:v>
      </x:c>
      <x:c r="T714" s="11" t="n">
        <x:v>602</x:v>
      </x:c>
    </x:row>
    <x:row r="715" ht="23" customHeight="1">
      <x:c r="A715" s="2" t="str">
        <x:v>P22682</x:v>
      </x:c>
      <x:c r="B715" s="2" t="str">
        <x:v>UN</x:v>
      </x:c>
      <x:c r="C715" s="2" t="n">
        <x:v>1</x:v>
      </x:c>
      <x:c r="D715" s="2" t="n">
        <x:v>1</x:v>
      </x:c>
      <x:c r="E715" s="10"/>
      <x:c r="F715" s="11" t="n">
        <x:v>913</x:v>
      </x:c>
      <x:c r="G715" s="11" t="n">
        <x:v>0</x:v>
      </x:c>
      <x:c r="H715" s="11" t="n">
        <x:v>0</x:v>
      </x:c>
      <x:c r="I715" s="11" t="n">
        <x:v>1</x:v>
      </x:c>
      <x:c r="J715" s="11" t="n">
        <x:v>0</x:v>
      </x:c>
      <x:c r="K715" s="11" t="n">
        <x:v>0</x:v>
      </x:c>
      <x:c r="L715" s="11" t="n">
        <x:f>IF(B715="NED",1,IF(OR(B715="ED",B715="UN"),0,""))</x:f>
        <x:v>0</x:v>
      </x:c>
      <x:c r="M715" s="11" t="n">
        <x:f>IF(AND(K715=1,OR(B715="ED",B715="NED")),1,0)</x:f>
        <x:v>0</x:v>
      </x:c>
      <x:c r="N715" s="11" t="n">
        <x:f>IF(K715=1,1,0)</x:f>
        <x:v>0</x:v>
      </x:c>
      <x:c r="O715" s="12" t="str">
        <x:v>Exclude UniProt Membrane keyword</x:v>
      </x:c>
      <x:c r="P715" s="11" t="n">
        <x:v>0</x:v>
      </x:c>
      <x:c r="Q715" s="12" t="str">
        <x:v>AF-P22682-F1-model_v6</x:v>
      </x:c>
      <x:c r="R715" s="12" t="str">
        <x:v>ok</x:v>
      </x:c>
      <x:c r="S715" s="11" t="n">
        <x:v>331</x:v>
      </x:c>
      <x:c r="T715" s="11" t="n">
        <x:v>913</x:v>
      </x:c>
    </x:row>
    <x:row r="716" ht="23" customHeight="1">
      <x:c r="A716" s="2" t="str">
        <x:v>P22892</x:v>
      </x:c>
      <x:c r="B716" s="2" t="str">
        <x:v>ED</x:v>
      </x:c>
      <x:c r="C716" s="2" t="n">
        <x:v>0</x:v>
      </x:c>
      <x:c r="D716" s="2" t="n">
        <x:v>0</x:v>
      </x:c>
      <x:c r="E716" s="10"/>
      <x:c r="F716" s="11" t="n">
        <x:v>822</x:v>
      </x:c>
      <x:c r="G716" s="11" t="n">
        <x:v>0</x:v>
      </x:c>
      <x:c r="H716" s="11" t="n">
        <x:v>0</x:v>
      </x:c>
      <x:c r="I716" s="11" t="n">
        <x:v>1</x:v>
      </x:c>
      <x:c r="J716" s="11" t="n">
        <x:v>0</x:v>
      </x:c>
      <x:c r="K716" s="11" t="n">
        <x:v>0</x:v>
      </x:c>
      <x:c r="L716" s="11" t="n">
        <x:f>IF(B716="NED",1,IF(OR(B716="ED",B716="UN"),0,""))</x:f>
        <x:v>0</x:v>
      </x:c>
      <x:c r="M716" s="11" t="n">
        <x:f>IF(AND(K716=1,OR(B716="ED",B716="NED")),1,0)</x:f>
        <x:v>0</x:v>
      </x:c>
      <x:c r="N716" s="11" t="n">
        <x:f>IF(K716=1,1,0)</x:f>
        <x:v>0</x:v>
      </x:c>
      <x:c r="O716" s="12" t="str">
        <x:v>Exclude UniProt Membrane keyword</x:v>
      </x:c>
      <x:c r="P716" s="11" t="n">
        <x:v>0</x:v>
      </x:c>
      <x:c r="Q716" s="12" t="str">
        <x:v>AF-P22892-F1-model_v6</x:v>
      </x:c>
      <x:c r="R716" s="12" t="str">
        <x:v>ok</x:v>
      </x:c>
      <x:c r="S716" s="11" t="n">
        <x:v>332</x:v>
      </x:c>
      <x:c r="T716" s="11" t="n">
        <x:v>822</x:v>
      </x:c>
    </x:row>
    <x:row r="717" ht="23" customHeight="1">
      <x:c r="A717" s="2" t="str">
        <x:v>P22907-2</x:v>
      </x:c>
      <x:c r="B717" s="2" t="str">
        <x:v>ED</x:v>
      </x:c>
      <x:c r="C717" s="2"/>
      <x:c r="D717" s="2"/>
      <x:c r="E717" s="10"/>
      <x:c r="F717" s="11"/>
      <x:c r="G717" s="11" t="n">
        <x:v>0</x:v>
      </x:c>
      <x:c r="H717" s="11" t="n">
        <x:v>0</x:v>
      </x:c>
      <x:c r="I717" s="11"/>
      <x:c r="J717" s="11"/>
      <x:c r="K717" s="11" t="n">
        <x:v>0</x:v>
      </x:c>
      <x:c r="L717" s="11" t="n">
        <x:f>IF(B717="NED",1,IF(OR(B717="ED",B717="UN"),0,""))</x:f>
        <x:v>0</x:v>
      </x:c>
      <x:c r="M717" s="11" t="n">
        <x:f>IF(AND(K717=1,OR(B717="ED",B717="NED")),1,0)</x:f>
        <x:v>0</x:v>
      </x:c>
      <x:c r="N717" s="11" t="n">
        <x:f>IF(K717=1,1,0)</x:f>
        <x:v>0</x:v>
      </x:c>
      <x:c r="O717" s="12" t="str">
        <x:v>Require exact native accession match</x:v>
      </x:c>
      <x:c r="P717" s="11" t="n">
        <x:v>0</x:v>
      </x:c>
      <x:c r="Q717" s="12"/>
      <x:c r="R717" s="12"/>
      <x:c r="S717" s="11" t="n">
        <x:v>333</x:v>
      </x:c>
      <x:c r="T717" s="11"/>
    </x:row>
    <x:row r="718" ht="23" customHeight="1">
      <x:c r="A718" s="2" t="str">
        <x:v>P23116</x:v>
      </x:c>
      <x:c r="B718" s="2" t="str">
        <x:v>ED</x:v>
      </x:c>
      <x:c r="C718" s="2" t="n">
        <x:v>1</x:v>
      </x:c>
      <x:c r="D718" s="2"/>
      <x:c r="E718" s="10" t="n">
        <x:v>65.5984375</x:v>
      </x:c>
      <x:c r="F718" s="11" t="n">
        <x:v>1344</x:v>
      </x:c>
      <x:c r="G718" s="11" t="n">
        <x:v>0</x:v>
      </x:c>
      <x:c r="H718" s="11" t="n">
        <x:v>0</x:v>
      </x:c>
      <x:c r="I718" s="11" t="n">
        <x:v>0</x:v>
      </x:c>
      <x:c r="J718" s="11" t="n">
        <x:v>0</x:v>
      </x:c>
      <x:c r="K718" s="11" t="n">
        <x:v>0</x:v>
      </x:c>
      <x:c r="L718" s="11" t="n">
        <x:f>IF(B718="NED",1,IF(OR(B718="ED",B718="UN"),0,""))</x:f>
        <x:v>0</x:v>
      </x:c>
      <x:c r="M718" s="11" t="n">
        <x:f>IF(AND(K718=1,OR(B718="ED",B718="NED")),1,0)</x:f>
        <x:v>0</x:v>
      </x:c>
      <x:c r="N718" s="11" t="n">
        <x:f>IF(K718=1,1,0)</x:f>
        <x:v>0</x:v>
      </x:c>
      <x:c r="O718" s="12" t="str">
        <x:v>Retain protein mean pLDDT &gt;=70</x:v>
      </x:c>
      <x:c r="P718" s="11" t="n">
        <x:v>0</x:v>
      </x:c>
      <x:c r="Q718" s="12" t="str">
        <x:v>AF-P23116-F1-model_v6</x:v>
      </x:c>
      <x:c r="R718" s="12" t="str">
        <x:v>ok</x:v>
      </x:c>
      <x:c r="S718" s="11" t="n">
        <x:v>334</x:v>
      </x:c>
      <x:c r="T718" s="11" t="n">
        <x:v>1344</x:v>
      </x:c>
    </x:row>
    <x:row r="719" ht="23" customHeight="1">
      <x:c r="A719" s="2" t="str">
        <x:v>P23242</x:v>
      </x:c>
      <x:c r="B719" s="2" t="str">
        <x:v>UN</x:v>
      </x:c>
      <x:c r="C719" s="2" t="n">
        <x:v>0</x:v>
      </x:c>
      <x:c r="D719" s="2" t="n">
        <x:v>0</x:v>
      </x:c>
      <x:c r="E719" s="10"/>
      <x:c r="F719" s="11" t="n">
        <x:v>382</x:v>
      </x:c>
      <x:c r="G719" s="11" t="n">
        <x:v>0</x:v>
      </x:c>
      <x:c r="H719" s="11" t="n">
        <x:v>0</x:v>
      </x:c>
      <x:c r="I719" s="11" t="n">
        <x:v>1</x:v>
      </x:c>
      <x:c r="J719" s="11" t="n">
        <x:v>0</x:v>
      </x:c>
      <x:c r="K719" s="11" t="n">
        <x:v>0</x:v>
      </x:c>
      <x:c r="L719" s="11" t="n">
        <x:f>IF(B719="NED",1,IF(OR(B719="ED",B719="UN"),0,""))</x:f>
        <x:v>0</x:v>
      </x:c>
      <x:c r="M719" s="11" t="n">
        <x:f>IF(AND(K719=1,OR(B719="ED",B719="NED")),1,0)</x:f>
        <x:v>0</x:v>
      </x:c>
      <x:c r="N719" s="11" t="n">
        <x:f>IF(K719=1,1,0)</x:f>
        <x:v>0</x:v>
      </x:c>
      <x:c r="O719" s="12" t="str">
        <x:v>Exclude UniProt Membrane keyword</x:v>
      </x:c>
      <x:c r="P719" s="11" t="n">
        <x:v>0</x:v>
      </x:c>
      <x:c r="Q719" s="12" t="str">
        <x:v>AF-P23242-F1-model_v6</x:v>
      </x:c>
      <x:c r="R719" s="12" t="str">
        <x:v>ok</x:v>
      </x:c>
      <x:c r="S719" s="11" t="n">
        <x:v>335</x:v>
      </x:c>
      <x:c r="T719" s="11" t="n">
        <x:v>382</x:v>
      </x:c>
    </x:row>
    <x:row r="720" ht="23" customHeight="1">
      <x:c r="A720" s="2" t="str">
        <x:v>P23249</x:v>
      </x:c>
      <x:c r="B720" s="2" t="str">
        <x:v>ED</x:v>
      </x:c>
      <x:c r="C720" s="2" t="n">
        <x:v>1</x:v>
      </x:c>
      <x:c r="D720" s="2" t="n">
        <x:v>1</x:v>
      </x:c>
      <x:c r="E720" s="10" t="n">
        <x:v>81.77816733067729</x:v>
      </x:c>
      <x:c r="F720" s="11" t="n">
        <x:v>1004</x:v>
      </x:c>
      <x:c r="G720" s="11" t="n">
        <x:v>0</x:v>
      </x:c>
      <x:c r="H720" s="11" t="n">
        <x:v>0</x:v>
      </x:c>
      <x:c r="I720" s="11" t="n">
        <x:v>0</x:v>
      </x:c>
      <x:c r="J720" s="11" t="n">
        <x:v>0</x:v>
      </x:c>
      <x:c r="K720" s="11" t="n">
        <x:v>1</x:v>
      </x:c>
      <x:c r="L720" s="11" t="n">
        <x:f>IF(B720="NED",1,IF(OR(B720="ED",B720="UN"),0,""))</x:f>
        <x:v>0</x:v>
      </x:c>
      <x:c r="M720" s="11" t="n">
        <x:f>IF(AND(K720=1,OR(B720="ED",B720="NED")),1,0)</x:f>
        <x:v>1</x:v>
      </x:c>
      <x:c r="N720" s="11" t="n">
        <x:f>IF(K720=1,1,0)</x:f>
        <x:v>1</x:v>
      </x:c>
      <x:c r="O720" s="12"/>
      <x:c r="P720" s="11" t="n">
        <x:v>0</x:v>
      </x:c>
      <x:c r="Q720" s="12" t="str">
        <x:v>AF-P23249-F1-model_v6</x:v>
      </x:c>
      <x:c r="R720" s="12" t="str">
        <x:v>ok</x:v>
      </x:c>
      <x:c r="S720" s="11" t="n">
        <x:v>336</x:v>
      </x:c>
      <x:c r="T720" s="11" t="n">
        <x:v>1004</x:v>
      </x:c>
    </x:row>
    <x:row r="721" ht="23" customHeight="1">
      <x:c r="A721" s="2" t="str">
        <x:v>P23475</x:v>
      </x:c>
      <x:c r="B721" s="2" t="str">
        <x:v>UN</x:v>
      </x:c>
      <x:c r="C721" s="2" t="n">
        <x:v>1</x:v>
      </x:c>
      <x:c r="D721" s="2" t="n">
        <x:v>1</x:v>
      </x:c>
      <x:c r="E721" s="10" t="n">
        <x:v>84.2338157894737</x:v>
      </x:c>
      <x:c r="F721" s="11" t="n">
        <x:v>608</x:v>
      </x:c>
      <x:c r="G721" s="11" t="n">
        <x:v>0</x:v>
      </x:c>
      <x:c r="H721" s="11" t="n">
        <x:v>0</x:v>
      </x:c>
      <x:c r="I721" s="11" t="n">
        <x:v>0</x:v>
      </x:c>
      <x:c r="J721" s="11" t="n">
        <x:v>0</x:v>
      </x:c>
      <x:c r="K721" s="11" t="n">
        <x:v>1</x:v>
      </x:c>
      <x:c r="L721" s="11" t="n">
        <x:f>IF(B721="NED",1,IF(OR(B721="ED",B721="UN"),0,""))</x:f>
        <x:v>0</x:v>
      </x:c>
      <x:c r="M721" s="11" t="n">
        <x:f>IF(AND(K721=1,OR(B721="ED",B721="NED")),1,0)</x:f>
        <x:v>0</x:v>
      </x:c>
      <x:c r="N721" s="11" t="n">
        <x:f>IF(K721=1,1,0)</x:f>
        <x:v>1</x:v>
      </x:c>
      <x:c r="O721" s="12"/>
      <x:c r="P721" s="11" t="n">
        <x:v>0</x:v>
      </x:c>
      <x:c r="Q721" s="12" t="str">
        <x:v>AF-P23475-F1-model_v6</x:v>
      </x:c>
      <x:c r="R721" s="12" t="str">
        <x:v>ok</x:v>
      </x:c>
      <x:c r="S721" s="11" t="n">
        <x:v>337</x:v>
      </x:c>
      <x:c r="T721" s="11" t="n">
        <x:v>608</x:v>
      </x:c>
    </x:row>
    <x:row r="722" ht="23" customHeight="1">
      <x:c r="A722" s="2" t="str">
        <x:v>P23591</x:v>
      </x:c>
      <x:c r="B722" s="2" t="str">
        <x:v>ED</x:v>
      </x:c>
      <x:c r="C722" s="2" t="n">
        <x:v>1</x:v>
      </x:c>
      <x:c r="D722" s="2" t="n">
        <x:v>1</x:v>
      </x:c>
      <x:c r="E722" s="10" t="n">
        <x:v>95.58140186915888</x:v>
      </x:c>
      <x:c r="F722" s="11" t="n">
        <x:v>321</x:v>
      </x:c>
      <x:c r="G722" s="11" t="n">
        <x:v>0</x:v>
      </x:c>
      <x:c r="H722" s="11" t="n">
        <x:v>0</x:v>
      </x:c>
      <x:c r="I722" s="11" t="n">
        <x:v>0</x:v>
      </x:c>
      <x:c r="J722" s="11" t="n">
        <x:v>0</x:v>
      </x:c>
      <x:c r="K722" s="11" t="n">
        <x:v>1</x:v>
      </x:c>
      <x:c r="L722" s="11" t="n">
        <x:f>IF(B722="NED",1,IF(OR(B722="ED",B722="UN"),0,""))</x:f>
        <x:v>0</x:v>
      </x:c>
      <x:c r="M722" s="11" t="n">
        <x:f>IF(AND(K722=1,OR(B722="ED",B722="NED")),1,0)</x:f>
        <x:v>1</x:v>
      </x:c>
      <x:c r="N722" s="11" t="n">
        <x:f>IF(K722=1,1,0)</x:f>
        <x:v>1</x:v>
      </x:c>
      <x:c r="O722" s="12"/>
      <x:c r="P722" s="11" t="n">
        <x:v>0</x:v>
      </x:c>
      <x:c r="Q722" s="12" t="str">
        <x:v>AF-P23591-F1-model_v6</x:v>
      </x:c>
      <x:c r="R722" s="12" t="str">
        <x:v>ok</x:v>
      </x:c>
      <x:c r="S722" s="11" t="n">
        <x:v>338</x:v>
      </x:c>
      <x:c r="T722" s="11" t="n">
        <x:v>321</x:v>
      </x:c>
    </x:row>
    <x:row r="723" ht="23" customHeight="1">
      <x:c r="A723" s="2" t="str">
        <x:v>P23780</x:v>
      </x:c>
      <x:c r="B723" s="2" t="str">
        <x:v>ED</x:v>
      </x:c>
      <x:c r="C723" s="2" t="n">
        <x:v>1</x:v>
      </x:c>
      <x:c r="D723" s="2" t="n">
        <x:v>1</x:v>
      </x:c>
      <x:c r="E723" s="10" t="n">
        <x:v>92.863771251932</x:v>
      </x:c>
      <x:c r="F723" s="11" t="n">
        <x:v>647</x:v>
      </x:c>
      <x:c r="G723" s="11" t="n">
        <x:v>0</x:v>
      </x:c>
      <x:c r="H723" s="11" t="n">
        <x:v>0</x:v>
      </x:c>
      <x:c r="I723" s="11" t="n">
        <x:v>0</x:v>
      </x:c>
      <x:c r="J723" s="11" t="n">
        <x:v>0</x:v>
      </x:c>
      <x:c r="K723" s="11" t="n">
        <x:v>1</x:v>
      </x:c>
      <x:c r="L723" s="11" t="n">
        <x:f>IF(B723="NED",1,IF(OR(B723="ED",B723="UN"),0,""))</x:f>
        <x:v>0</x:v>
      </x:c>
      <x:c r="M723" s="11" t="n">
        <x:f>IF(AND(K723=1,OR(B723="ED",B723="NED")),1,0)</x:f>
        <x:v>1</x:v>
      </x:c>
      <x:c r="N723" s="11" t="n">
        <x:f>IF(K723=1,1,0)</x:f>
        <x:v>1</x:v>
      </x:c>
      <x:c r="O723" s="12"/>
      <x:c r="P723" s="11" t="n">
        <x:v>0</x:v>
      </x:c>
      <x:c r="Q723" s="12" t="str">
        <x:v>AF-P23780-F1-model_v6</x:v>
      </x:c>
      <x:c r="R723" s="12" t="str">
        <x:v>ok</x:v>
      </x:c>
      <x:c r="S723" s="11" t="n">
        <x:v>339</x:v>
      </x:c>
      <x:c r="T723" s="11" t="n">
        <x:v>647</x:v>
      </x:c>
    </x:row>
    <x:row r="724" ht="23" customHeight="1">
      <x:c r="A724" s="2" t="str">
        <x:v>P23949</x:v>
      </x:c>
      <x:c r="B724" s="2" t="str">
        <x:v>ED</x:v>
      </x:c>
      <x:c r="C724" s="2" t="n">
        <x:v>0</x:v>
      </x:c>
      <x:c r="D724" s="2" t="n">
        <x:v>0</x:v>
      </x:c>
      <x:c r="E724" s="10" t="n">
        <x:v>52.91264462809917</x:v>
      </x:c>
      <x:c r="F724" s="11" t="n">
        <x:v>484</x:v>
      </x:c>
      <x:c r="G724" s="11" t="n">
        <x:v>0</x:v>
      </x:c>
      <x:c r="H724" s="11" t="n">
        <x:v>0</x:v>
      </x:c>
      <x:c r="I724" s="11" t="n">
        <x:v>0</x:v>
      </x:c>
      <x:c r="J724" s="11" t="n">
        <x:v>0</x:v>
      </x:c>
      <x:c r="K724" s="11" t="n">
        <x:v>0</x:v>
      </x:c>
      <x:c r="L724" s="11" t="n">
        <x:f>IF(B724="NED",1,IF(OR(B724="ED",B724="UN"),0,""))</x:f>
        <x:v>0</x:v>
      </x:c>
      <x:c r="M724" s="11" t="n">
        <x:f>IF(AND(K724=1,OR(B724="ED",B724="NED")),1,0)</x:f>
        <x:v>0</x:v>
      </x:c>
      <x:c r="N724" s="11" t="n">
        <x:f>IF(K724=1,1,0)</x:f>
        <x:v>0</x:v>
      </x:c>
      <x:c r="O724" s="12" t="str">
        <x:v>Retain protein mean pLDDT &gt;=70</x:v>
      </x:c>
      <x:c r="P724" s="11" t="n">
        <x:v>0</x:v>
      </x:c>
      <x:c r="Q724" s="12" t="str">
        <x:v>AF-P23949-F1-model_v6</x:v>
      </x:c>
      <x:c r="R724" s="12" t="str">
        <x:v>ok</x:v>
      </x:c>
      <x:c r="S724" s="11" t="n">
        <x:v>340</x:v>
      </x:c>
      <x:c r="T724" s="11" t="n">
        <x:v>484</x:v>
      </x:c>
    </x:row>
    <x:row r="725" ht="23" customHeight="1">
      <x:c r="A725" s="2" t="str">
        <x:v>P24270</x:v>
      </x:c>
      <x:c r="B725" s="2" t="str">
        <x:v>NED</x:v>
      </x:c>
      <x:c r="C725" s="2" t="n">
        <x:v>1</x:v>
      </x:c>
      <x:c r="D725" s="2" t="n">
        <x:v>1</x:v>
      </x:c>
      <x:c r="E725" s="10" t="n">
        <x:v>95.61373814041748</x:v>
      </x:c>
      <x:c r="F725" s="11" t="n">
        <x:v>527</x:v>
      </x:c>
      <x:c r="G725" s="11" t="n">
        <x:v>0</x:v>
      </x:c>
      <x:c r="H725" s="11" t="n">
        <x:v>0</x:v>
      </x:c>
      <x:c r="I725" s="11" t="n">
        <x:v>0</x:v>
      </x:c>
      <x:c r="J725" s="11" t="n">
        <x:v>0</x:v>
      </x:c>
      <x:c r="K725" s="11" t="n">
        <x:v>1</x:v>
      </x:c>
      <x:c r="L725" s="11" t="n">
        <x:f>IF(B725="NED",1,IF(OR(B725="ED",B725="UN"),0,""))</x:f>
        <x:v>1</x:v>
      </x:c>
      <x:c r="M725" s="11" t="n">
        <x:f>IF(AND(K725=1,OR(B725="ED",B725="NED")),1,0)</x:f>
        <x:v>1</x:v>
      </x:c>
      <x:c r="N725" s="11" t="n">
        <x:f>IF(K725=1,1,0)</x:f>
        <x:v>1</x:v>
      </x:c>
      <x:c r="O725" s="12"/>
      <x:c r="P725" s="11" t="n">
        <x:v>0</x:v>
      </x:c>
      <x:c r="Q725" s="12" t="str">
        <x:v>AF-P24270-F1-model_v6</x:v>
      </x:c>
      <x:c r="R725" s="12" t="str">
        <x:v>ok</x:v>
      </x:c>
      <x:c r="S725" s="11" t="n">
        <x:v>341</x:v>
      </x:c>
      <x:c r="T725" s="11" t="n">
        <x:v>527</x:v>
      </x:c>
    </x:row>
    <x:row r="726" ht="23" customHeight="1">
      <x:c r="A726" s="2" t="str">
        <x:v>P24288</x:v>
      </x:c>
      <x:c r="B726" s="2" t="str">
        <x:v>UN</x:v>
      </x:c>
      <x:c r="C726" s="2" t="n">
        <x:v>1</x:v>
      </x:c>
      <x:c r="D726" s="2" t="n">
        <x:v>1</x:v>
      </x:c>
      <x:c r="E726" s="10" t="n">
        <x:v>93.61544041450776</x:v>
      </x:c>
      <x:c r="F726" s="11" t="n">
        <x:v>386</x:v>
      </x:c>
      <x:c r="G726" s="11" t="n">
        <x:v>0</x:v>
      </x:c>
      <x:c r="H726" s="11" t="n">
        <x:v>0</x:v>
      </x:c>
      <x:c r="I726" s="11" t="n">
        <x:v>0</x:v>
      </x:c>
      <x:c r="J726" s="11" t="n">
        <x:v>0</x:v>
      </x:c>
      <x:c r="K726" s="11" t="n">
        <x:v>1</x:v>
      </x:c>
      <x:c r="L726" s="11" t="n">
        <x:f>IF(B726="NED",1,IF(OR(B726="ED",B726="UN"),0,""))</x:f>
        <x:v>0</x:v>
      </x:c>
      <x:c r="M726" s="11" t="n">
        <x:f>IF(AND(K726=1,OR(B726="ED",B726="NED")),1,0)</x:f>
        <x:v>0</x:v>
      </x:c>
      <x:c r="N726" s="11" t="n">
        <x:f>IF(K726=1,1,0)</x:f>
        <x:v>1</x:v>
      </x:c>
      <x:c r="O726" s="12"/>
      <x:c r="P726" s="11" t="n">
        <x:v>0</x:v>
      </x:c>
      <x:c r="Q726" s="12" t="str">
        <x:v>AF-P24288-F1-model_v6</x:v>
      </x:c>
      <x:c r="R726" s="12" t="str">
        <x:v>ok</x:v>
      </x:c>
      <x:c r="S726" s="11" t="n">
        <x:v>342</x:v>
      </x:c>
      <x:c r="T726" s="11" t="n">
        <x:v>386</x:v>
      </x:c>
    </x:row>
    <x:row r="727" ht="23" customHeight="1">
      <x:c r="A727" s="2" t="str">
        <x:v>P24369</x:v>
      </x:c>
      <x:c r="B727" s="2" t="str">
        <x:v>UN</x:v>
      </x:c>
      <x:c r="C727" s="2" t="n">
        <x:v>1</x:v>
      </x:c>
      <x:c r="D727" s="2" t="n">
        <x:v>1</x:v>
      </x:c>
      <x:c r="E727" s="10" t="n">
        <x:v>90.89569444444444</x:v>
      </x:c>
      <x:c r="F727" s="11" t="n">
        <x:v>216</x:v>
      </x:c>
      <x:c r="G727" s="11" t="n">
        <x:v>0</x:v>
      </x:c>
      <x:c r="H727" s="11" t="n">
        <x:v>0</x:v>
      </x:c>
      <x:c r="I727" s="11" t="n">
        <x:v>0</x:v>
      </x:c>
      <x:c r="J727" s="11" t="n">
        <x:v>0</x:v>
      </x:c>
      <x:c r="K727" s="11" t="n">
        <x:v>1</x:v>
      </x:c>
      <x:c r="L727" s="11" t="n">
        <x:f>IF(B727="NED",1,IF(OR(B727="ED",B727="UN"),0,""))</x:f>
        <x:v>0</x:v>
      </x:c>
      <x:c r="M727" s="11" t="n">
        <x:f>IF(AND(K727=1,OR(B727="ED",B727="NED")),1,0)</x:f>
        <x:v>0</x:v>
      </x:c>
      <x:c r="N727" s="11" t="n">
        <x:f>IF(K727=1,1,0)</x:f>
        <x:v>1</x:v>
      </x:c>
      <x:c r="O727" s="12"/>
      <x:c r="P727" s="11" t="n">
        <x:v>0</x:v>
      </x:c>
      <x:c r="Q727" s="12" t="str">
        <x:v>AF-P24369-F1-model_v6</x:v>
      </x:c>
      <x:c r="R727" s="12" t="str">
        <x:v>ok</x:v>
      </x:c>
      <x:c r="S727" s="11" t="n">
        <x:v>343</x:v>
      </x:c>
      <x:c r="T727" s="11" t="n">
        <x:v>216</x:v>
      </x:c>
    </x:row>
    <x:row r="728" ht="23" customHeight="1">
      <x:c r="A728" s="2" t="str">
        <x:v>P24472</x:v>
      </x:c>
      <x:c r="B728" s="2" t="str">
        <x:v>ED</x:v>
      </x:c>
      <x:c r="C728" s="2" t="n">
        <x:v>1</x:v>
      </x:c>
      <x:c r="D728" s="2" t="n">
        <x:v>1</x:v>
      </x:c>
      <x:c r="E728" s="10" t="n">
        <x:v>97.6433783783784</x:v>
      </x:c>
      <x:c r="F728" s="11" t="n">
        <x:v>222</x:v>
      </x:c>
      <x:c r="G728" s="11" t="n">
        <x:v>0</x:v>
      </x:c>
      <x:c r="H728" s="11" t="n">
        <x:v>0</x:v>
      </x:c>
      <x:c r="I728" s="11" t="n">
        <x:v>0</x:v>
      </x:c>
      <x:c r="J728" s="11" t="n">
        <x:v>0</x:v>
      </x:c>
      <x:c r="K728" s="11" t="n">
        <x:v>1</x:v>
      </x:c>
      <x:c r="L728" s="11" t="n">
        <x:f>IF(B728="NED",1,IF(OR(B728="ED",B728="UN"),0,""))</x:f>
        <x:v>0</x:v>
      </x:c>
      <x:c r="M728" s="11" t="n">
        <x:f>IF(AND(K728=1,OR(B728="ED",B728="NED")),1,0)</x:f>
        <x:v>1</x:v>
      </x:c>
      <x:c r="N728" s="11" t="n">
        <x:f>IF(K728=1,1,0)</x:f>
        <x:v>1</x:v>
      </x:c>
      <x:c r="O728" s="12"/>
      <x:c r="P728" s="11" t="n">
        <x:v>0</x:v>
      </x:c>
      <x:c r="Q728" s="12" t="str">
        <x:v>AF-P24472-F1-model_v6</x:v>
      </x:c>
      <x:c r="R728" s="12" t="str">
        <x:v>ok</x:v>
      </x:c>
      <x:c r="S728" s="11" t="n">
        <x:v>344</x:v>
      </x:c>
      <x:c r="T728" s="11" t="n">
        <x:v>222</x:v>
      </x:c>
    </x:row>
    <x:row r="729" ht="23" customHeight="1">
      <x:c r="A729" s="2" t="str">
        <x:v>P24527</x:v>
      </x:c>
      <x:c r="B729" s="2" t="str">
        <x:v>UN</x:v>
      </x:c>
      <x:c r="C729" s="2" t="n">
        <x:v>1</x:v>
      </x:c>
      <x:c r="D729" s="2" t="n">
        <x:v>1</x:v>
      </x:c>
      <x:c r="E729" s="10" t="n">
        <x:v>97.800441898527</x:v>
      </x:c>
      <x:c r="F729" s="11" t="n">
        <x:v>611</x:v>
      </x:c>
      <x:c r="G729" s="11" t="n">
        <x:v>0</x:v>
      </x:c>
      <x:c r="H729" s="11" t="n">
        <x:v>0</x:v>
      </x:c>
      <x:c r="I729" s="11" t="n">
        <x:v>0</x:v>
      </x:c>
      <x:c r="J729" s="11" t="n">
        <x:v>0</x:v>
      </x:c>
      <x:c r="K729" s="11" t="n">
        <x:v>1</x:v>
      </x:c>
      <x:c r="L729" s="11" t="n">
        <x:f>IF(B729="NED",1,IF(OR(B729="ED",B729="UN"),0,""))</x:f>
        <x:v>0</x:v>
      </x:c>
      <x:c r="M729" s="11" t="n">
        <x:f>IF(AND(K729=1,OR(B729="ED",B729="NED")),1,0)</x:f>
        <x:v>0</x:v>
      </x:c>
      <x:c r="N729" s="11" t="n">
        <x:f>IF(K729=1,1,0)</x:f>
        <x:v>1</x:v>
      </x:c>
      <x:c r="O729" s="12"/>
      <x:c r="P729" s="11" t="n">
        <x:v>0</x:v>
      </x:c>
      <x:c r="Q729" s="12" t="str">
        <x:v>AF-P24527-F1-model_v6</x:v>
      </x:c>
      <x:c r="R729" s="12" t="str">
        <x:v>ok</x:v>
      </x:c>
      <x:c r="S729" s="11" t="n">
        <x:v>345</x:v>
      </x:c>
      <x:c r="T729" s="11" t="n">
        <x:v>611</x:v>
      </x:c>
    </x:row>
    <x:row r="730" ht="23" customHeight="1">
      <x:c r="A730" s="2" t="str">
        <x:v>P24547</x:v>
      </x:c>
      <x:c r="B730" s="2" t="str">
        <x:v>ED</x:v>
      </x:c>
      <x:c r="C730" s="2" t="n">
        <x:v>1</x:v>
      </x:c>
      <x:c r="D730" s="2" t="n">
        <x:v>1</x:v>
      </x:c>
      <x:c r="E730" s="10" t="n">
        <x:v>93.01365758754864</x:v>
      </x:c>
      <x:c r="F730" s="11" t="n">
        <x:v>514</x:v>
      </x:c>
      <x:c r="G730" s="11" t="n">
        <x:v>0</x:v>
      </x:c>
      <x:c r="H730" s="11" t="n">
        <x:v>0</x:v>
      </x:c>
      <x:c r="I730" s="11" t="n">
        <x:v>0</x:v>
      </x:c>
      <x:c r="J730" s="11" t="n">
        <x:v>0</x:v>
      </x:c>
      <x:c r="K730" s="11" t="n">
        <x:v>1</x:v>
      </x:c>
      <x:c r="L730" s="11" t="n">
        <x:f>IF(B730="NED",1,IF(OR(B730="ED",B730="UN"),0,""))</x:f>
        <x:v>0</x:v>
      </x:c>
      <x:c r="M730" s="11" t="n">
        <x:f>IF(AND(K730=1,OR(B730="ED",B730="NED")),1,0)</x:f>
        <x:v>1</x:v>
      </x:c>
      <x:c r="N730" s="11" t="n">
        <x:f>IF(K730=1,1,0)</x:f>
        <x:v>1</x:v>
      </x:c>
      <x:c r="O730" s="12"/>
      <x:c r="P730" s="11" t="n">
        <x:v>0</x:v>
      </x:c>
      <x:c r="Q730" s="12" t="str">
        <x:v>AF-P24547-F1-model_v6</x:v>
      </x:c>
      <x:c r="R730" s="12" t="str">
        <x:v>ok</x:v>
      </x:c>
      <x:c r="S730" s="11" t="n">
        <x:v>346</x:v>
      </x:c>
      <x:c r="T730" s="11" t="n">
        <x:v>514</x:v>
      </x:c>
    </x:row>
    <x:row r="731" ht="23" customHeight="1">
      <x:c r="A731" s="2" t="str">
        <x:v>P24668</x:v>
      </x:c>
      <x:c r="B731" s="2" t="str">
        <x:v>ED</x:v>
      </x:c>
      <x:c r="C731" s="2"/>
      <x:c r="D731" s="2"/>
      <x:c r="E731" s="10"/>
      <x:c r="F731" s="11" t="n">
        <x:v>278</x:v>
      </x:c>
      <x:c r="G731" s="11" t="n">
        <x:v>0</x:v>
      </x:c>
      <x:c r="H731" s="11" t="n">
        <x:v>1</x:v>
      </x:c>
      <x:c r="I731" s="11" t="n">
        <x:v>1</x:v>
      </x:c>
      <x:c r="J731" s="11" t="n">
        <x:v>0</x:v>
      </x:c>
      <x:c r="K731" s="11" t="n">
        <x:v>0</x:v>
      </x:c>
      <x:c r="L731" s="11" t="n">
        <x:f>IF(B731="NED",1,IF(OR(B731="ED",B731="UN"),0,""))</x:f>
        <x:v>0</x:v>
      </x:c>
      <x:c r="M731" s="11" t="n">
        <x:f>IF(AND(K731=1,OR(B731="ED",B731="NED")),1,0)</x:f>
        <x:v>0</x:v>
      </x:c>
      <x:c r="N731" s="11" t="n">
        <x:f>IF(K731=1,1,0)</x:f>
        <x:v>0</x:v>
      </x:c>
      <x:c r="O731" s="12" t="str">
        <x:v>Require binary native NCLE status</x:v>
      </x:c>
      <x:c r="P731" s="11" t="n">
        <x:v>0</x:v>
      </x:c>
      <x:c r="Q731" s="12" t="str">
        <x:v>AF-P24668-F1-model_v6</x:v>
      </x:c>
      <x:c r="R731" s="12" t="str">
        <x:v>ok</x:v>
      </x:c>
      <x:c r="S731" s="11" t="n">
        <x:v>347</x:v>
      </x:c>
      <x:c r="T731" s="11" t="n">
        <x:v>278</x:v>
      </x:c>
    </x:row>
    <x:row r="732" ht="23" customHeight="1">
      <x:c r="A732" s="2" t="str">
        <x:v>P24788</x:v>
      </x:c>
      <x:c r="B732" s="2" t="str">
        <x:v>UN</x:v>
      </x:c>
      <x:c r="C732" s="2" t="n">
        <x:v>1</x:v>
      </x:c>
      <x:c r="D732" s="2" t="n">
        <x:v>1</x:v>
      </x:c>
      <x:c r="E732" s="10" t="n">
        <x:v>64.94991071428572</x:v>
      </x:c>
      <x:c r="F732" s="11" t="n">
        <x:v>784</x:v>
      </x:c>
      <x:c r="G732" s="11" t="n">
        <x:v>0</x:v>
      </x:c>
      <x:c r="H732" s="11" t="n">
        <x:v>0</x:v>
      </x:c>
      <x:c r="I732" s="11" t="n">
        <x:v>0</x:v>
      </x:c>
      <x:c r="J732" s="11" t="n">
        <x:v>0</x:v>
      </x:c>
      <x:c r="K732" s="11" t="n">
        <x:v>0</x:v>
      </x:c>
      <x:c r="L732" s="11" t="n">
        <x:f>IF(B732="NED",1,IF(OR(B732="ED",B732="UN"),0,""))</x:f>
        <x:v>0</x:v>
      </x:c>
      <x:c r="M732" s="11" t="n">
        <x:f>IF(AND(K732=1,OR(B732="ED",B732="NED")),1,0)</x:f>
        <x:v>0</x:v>
      </x:c>
      <x:c r="N732" s="11" t="n">
        <x:f>IF(K732=1,1,0)</x:f>
        <x:v>0</x:v>
      </x:c>
      <x:c r="O732" s="12" t="str">
        <x:v>Retain protein mean pLDDT &gt;=70</x:v>
      </x:c>
      <x:c r="P732" s="11" t="n">
        <x:v>0</x:v>
      </x:c>
      <x:c r="Q732" s="12" t="str">
        <x:v>AF-P24788-F1-model_v6</x:v>
      </x:c>
      <x:c r="R732" s="12" t="str">
        <x:v>ok</x:v>
      </x:c>
      <x:c r="S732" s="11" t="n">
        <x:v>348</x:v>
      </x:c>
      <x:c r="T732" s="11" t="n">
        <x:v>784</x:v>
      </x:c>
    </x:row>
    <x:row r="733" ht="23" customHeight="1">
      <x:c r="A733" s="2" t="str">
        <x:v>P24860</x:v>
      </x:c>
      <x:c r="B733" s="2" t="str">
        <x:v>NED</x:v>
      </x:c>
      <x:c r="C733" s="2" t="n">
        <x:v>0</x:v>
      </x:c>
      <x:c r="D733" s="2" t="n">
        <x:v>0</x:v>
      </x:c>
      <x:c r="E733" s="10" t="n">
        <x:v>76.61118604651162</x:v>
      </x:c>
      <x:c r="F733" s="11" t="n">
        <x:v>430</x:v>
      </x:c>
      <x:c r="G733" s="11" t="n">
        <x:v>0</x:v>
      </x:c>
      <x:c r="H733" s="11" t="n">
        <x:v>0</x:v>
      </x:c>
      <x:c r="I733" s="11" t="n">
        <x:v>0</x:v>
      </x:c>
      <x:c r="J733" s="11" t="n">
        <x:v>0</x:v>
      </x:c>
      <x:c r="K733" s="11" t="n">
        <x:v>1</x:v>
      </x:c>
      <x:c r="L733" s="11" t="n">
        <x:f>IF(B733="NED",1,IF(OR(B733="ED",B733="UN"),0,""))</x:f>
        <x:v>1</x:v>
      </x:c>
      <x:c r="M733" s="11" t="n">
        <x:f>IF(AND(K733=1,OR(B733="ED",B733="NED")),1,0)</x:f>
        <x:v>1</x:v>
      </x:c>
      <x:c r="N733" s="11" t="n">
        <x:f>IF(K733=1,1,0)</x:f>
        <x:v>1</x:v>
      </x:c>
      <x:c r="O733" s="12"/>
      <x:c r="P733" s="11" t="n">
        <x:v>0</x:v>
      </x:c>
      <x:c r="Q733" s="12" t="str">
        <x:v>AF-P24860-F1-model_v6</x:v>
      </x:c>
      <x:c r="R733" s="12" t="str">
        <x:v>ok</x:v>
      </x:c>
      <x:c r="S733" s="11" t="n">
        <x:v>349</x:v>
      </x:c>
      <x:c r="T733" s="11" t="n">
        <x:v>430</x:v>
      </x:c>
    </x:row>
    <x:row r="734" ht="23" customHeight="1">
      <x:c r="A734" s="2" t="str">
        <x:v>P25206</x:v>
      </x:c>
      <x:c r="B734" s="2" t="str">
        <x:v>NED</x:v>
      </x:c>
      <x:c r="C734" s="2" t="n">
        <x:v>1</x:v>
      </x:c>
      <x:c r="D734" s="2" t="n">
        <x:v>1</x:v>
      </x:c>
      <x:c r="E734" s="10" t="n">
        <x:v>74.62685960591133</x:v>
      </x:c>
      <x:c r="F734" s="11" t="n">
        <x:v>812</x:v>
      </x:c>
      <x:c r="G734" s="11" t="n">
        <x:v>0</x:v>
      </x:c>
      <x:c r="H734" s="11" t="n">
        <x:v>0</x:v>
      </x:c>
      <x:c r="I734" s="11" t="n">
        <x:v>0</x:v>
      </x:c>
      <x:c r="J734" s="11" t="n">
        <x:v>0</x:v>
      </x:c>
      <x:c r="K734" s="11" t="n">
        <x:v>1</x:v>
      </x:c>
      <x:c r="L734" s="11" t="n">
        <x:f>IF(B734="NED",1,IF(OR(B734="ED",B734="UN"),0,""))</x:f>
        <x:v>1</x:v>
      </x:c>
      <x:c r="M734" s="11" t="n">
        <x:f>IF(AND(K734=1,OR(B734="ED",B734="NED")),1,0)</x:f>
        <x:v>1</x:v>
      </x:c>
      <x:c r="N734" s="11" t="n">
        <x:f>IF(K734=1,1,0)</x:f>
        <x:v>1</x:v>
      </x:c>
      <x:c r="O734" s="12"/>
      <x:c r="P734" s="11" t="n">
        <x:v>0</x:v>
      </x:c>
      <x:c r="Q734" s="12" t="str">
        <x:v>AF-P25206-F1-model_v6</x:v>
      </x:c>
      <x:c r="R734" s="12" t="str">
        <x:v>ok</x:v>
      </x:c>
      <x:c r="S734" s="11" t="n">
        <x:v>350</x:v>
      </x:c>
      <x:c r="T734" s="11" t="n">
        <x:v>812</x:v>
      </x:c>
    </x:row>
    <x:row r="735" ht="23" customHeight="1">
      <x:c r="A735" s="2" t="str">
        <x:v>P26039</x:v>
      </x:c>
      <x:c r="B735" s="2" t="str">
        <x:v>UN</x:v>
      </x:c>
      <x:c r="C735" s="2" t="n">
        <x:v>1</x:v>
      </x:c>
      <x:c r="D735" s="2" t="n">
        <x:v>1</x:v>
      </x:c>
      <x:c r="E735" s="10"/>
      <x:c r="F735" s="11" t="n">
        <x:v>2541</x:v>
      </x:c>
      <x:c r="G735" s="11" t="n">
        <x:v>0</x:v>
      </x:c>
      <x:c r="H735" s="11" t="n">
        <x:v>0</x:v>
      </x:c>
      <x:c r="I735" s="11" t="n">
        <x:v>1</x:v>
      </x:c>
      <x:c r="J735" s="11" t="n">
        <x:v>0</x:v>
      </x:c>
      <x:c r="K735" s="11" t="n">
        <x:v>0</x:v>
      </x:c>
      <x:c r="L735" s="11" t="n">
        <x:f>IF(B735="NED",1,IF(OR(B735="ED",B735="UN"),0,""))</x:f>
        <x:v>0</x:v>
      </x:c>
      <x:c r="M735" s="11" t="n">
        <x:f>IF(AND(K735=1,OR(B735="ED",B735="NED")),1,0)</x:f>
        <x:v>0</x:v>
      </x:c>
      <x:c r="N735" s="11" t="n">
        <x:f>IF(K735=1,1,0)</x:f>
        <x:v>0</x:v>
      </x:c>
      <x:c r="O735" s="12" t="str">
        <x:v>Exclude UniProt Membrane keyword</x:v>
      </x:c>
      <x:c r="P735" s="11" t="n">
        <x:v>0</x:v>
      </x:c>
      <x:c r="Q735" s="12" t="str">
        <x:v>AF-P26039-F1-model_v6</x:v>
      </x:c>
      <x:c r="R735" s="12" t="str">
        <x:v>ok</x:v>
      </x:c>
      <x:c r="S735" s="11" t="n">
        <x:v>351</x:v>
      </x:c>
      <x:c r="T735" s="11" t="n">
        <x:v>2541</x:v>
      </x:c>
    </x:row>
    <x:row r="736" ht="23" customHeight="1">
      <x:c r="A736" s="2" t="str">
        <x:v>P26040</x:v>
      </x:c>
      <x:c r="B736" s="2" t="str">
        <x:v>ED</x:v>
      </x:c>
      <x:c r="C736" s="2" t="n">
        <x:v>1</x:v>
      </x:c>
      <x:c r="D736" s="2" t="n">
        <x:v>1</x:v>
      </x:c>
      <x:c r="E736" s="10"/>
      <x:c r="F736" s="11" t="n">
        <x:v>586</x:v>
      </x:c>
      <x:c r="G736" s="11" t="n">
        <x:v>0</x:v>
      </x:c>
      <x:c r="H736" s="11" t="n">
        <x:v>0</x:v>
      </x:c>
      <x:c r="I736" s="11" t="n">
        <x:v>1</x:v>
      </x:c>
      <x:c r="J736" s="11" t="n">
        <x:v>0</x:v>
      </x:c>
      <x:c r="K736" s="11" t="n">
        <x:v>0</x:v>
      </x:c>
      <x:c r="L736" s="11" t="n">
        <x:f>IF(B736="NED",1,IF(OR(B736="ED",B736="UN"),0,""))</x:f>
        <x:v>0</x:v>
      </x:c>
      <x:c r="M736" s="11" t="n">
        <x:f>IF(AND(K736=1,OR(B736="ED",B736="NED")),1,0)</x:f>
        <x:v>0</x:v>
      </x:c>
      <x:c r="N736" s="11" t="n">
        <x:f>IF(K736=1,1,0)</x:f>
        <x:v>0</x:v>
      </x:c>
      <x:c r="O736" s="12" t="str">
        <x:v>Exclude UniProt Membrane keyword</x:v>
      </x:c>
      <x:c r="P736" s="11" t="n">
        <x:v>0</x:v>
      </x:c>
      <x:c r="Q736" s="12" t="str">
        <x:v>AF-P26040-F1-model_v6</x:v>
      </x:c>
      <x:c r="R736" s="12" t="str">
        <x:v>ok</x:v>
      </x:c>
      <x:c r="S736" s="11" t="n">
        <x:v>352</x:v>
      </x:c>
      <x:c r="T736" s="11" t="n">
        <x:v>586</x:v>
      </x:c>
    </x:row>
    <x:row r="737" ht="23" customHeight="1">
      <x:c r="A737" s="2" t="str">
        <x:v>P26041</x:v>
      </x:c>
      <x:c r="B737" s="2" t="str">
        <x:v>ED</x:v>
      </x:c>
      <x:c r="C737" s="2" t="n">
        <x:v>1</x:v>
      </x:c>
      <x:c r="D737" s="2" t="n">
        <x:v>1</x:v>
      </x:c>
      <x:c r="E737" s="10"/>
      <x:c r="F737" s="11" t="n">
        <x:v>577</x:v>
      </x:c>
      <x:c r="G737" s="11" t="n">
        <x:v>0</x:v>
      </x:c>
      <x:c r="H737" s="11" t="n">
        <x:v>0</x:v>
      </x:c>
      <x:c r="I737" s="11" t="n">
        <x:v>1</x:v>
      </x:c>
      <x:c r="J737" s="11" t="n">
        <x:v>0</x:v>
      </x:c>
      <x:c r="K737" s="11" t="n">
        <x:v>0</x:v>
      </x:c>
      <x:c r="L737" s="11" t="n">
        <x:f>IF(B737="NED",1,IF(OR(B737="ED",B737="UN"),0,""))</x:f>
        <x:v>0</x:v>
      </x:c>
      <x:c r="M737" s="11" t="n">
        <x:f>IF(AND(K737=1,OR(B737="ED",B737="NED")),1,0)</x:f>
        <x:v>0</x:v>
      </x:c>
      <x:c r="N737" s="11" t="n">
        <x:f>IF(K737=1,1,0)</x:f>
        <x:v>0</x:v>
      </x:c>
      <x:c r="O737" s="12" t="str">
        <x:v>Exclude UniProt Membrane keyword</x:v>
      </x:c>
      <x:c r="P737" s="11" t="n">
        <x:v>0</x:v>
      </x:c>
      <x:c r="Q737" s="12" t="str">
        <x:v>AF-P26041-F1-model_v6</x:v>
      </x:c>
      <x:c r="R737" s="12" t="str">
        <x:v>ok</x:v>
      </x:c>
      <x:c r="S737" s="11" t="n">
        <x:v>353</x:v>
      </x:c>
      <x:c r="T737" s="11" t="n">
        <x:v>577</x:v>
      </x:c>
    </x:row>
    <x:row r="738" ht="23" customHeight="1">
      <x:c r="A738" s="2" t="str">
        <x:v>P26043</x:v>
      </x:c>
      <x:c r="B738" s="2" t="str">
        <x:v>ED</x:v>
      </x:c>
      <x:c r="C738" s="2" t="n">
        <x:v>1</x:v>
      </x:c>
      <x:c r="D738" s="2" t="n">
        <x:v>1</x:v>
      </x:c>
      <x:c r="E738" s="10"/>
      <x:c r="F738" s="11" t="n">
        <x:v>583</x:v>
      </x:c>
      <x:c r="G738" s="11" t="n">
        <x:v>0</x:v>
      </x:c>
      <x:c r="H738" s="11" t="n">
        <x:v>0</x:v>
      </x:c>
      <x:c r="I738" s="11" t="n">
        <x:v>1</x:v>
      </x:c>
      <x:c r="J738" s="11" t="n">
        <x:v>0</x:v>
      </x:c>
      <x:c r="K738" s="11" t="n">
        <x:v>0</x:v>
      </x:c>
      <x:c r="L738" s="11" t="n">
        <x:f>IF(B738="NED",1,IF(OR(B738="ED",B738="UN"),0,""))</x:f>
        <x:v>0</x:v>
      </x:c>
      <x:c r="M738" s="11" t="n">
        <x:f>IF(AND(K738=1,OR(B738="ED",B738="NED")),1,0)</x:f>
        <x:v>0</x:v>
      </x:c>
      <x:c r="N738" s="11" t="n">
        <x:f>IF(K738=1,1,0)</x:f>
        <x:v>0</x:v>
      </x:c>
      <x:c r="O738" s="12" t="str">
        <x:v>Exclude UniProt Membrane keyword</x:v>
      </x:c>
      <x:c r="P738" s="11" t="n">
        <x:v>0</x:v>
      </x:c>
      <x:c r="Q738" s="12" t="str">
        <x:v>AF-P26043-F1-model_v6</x:v>
      </x:c>
      <x:c r="R738" s="12" t="str">
        <x:v>ok</x:v>
      </x:c>
      <x:c r="S738" s="11" t="n">
        <x:v>354</x:v>
      </x:c>
      <x:c r="T738" s="11" t="n">
        <x:v>583</x:v>
      </x:c>
    </x:row>
    <x:row r="739" ht="23" customHeight="1">
      <x:c r="A739" s="2" t="str">
        <x:v>P26187</x:v>
      </x:c>
      <x:c r="B739" s="2" t="str">
        <x:v>ED</x:v>
      </x:c>
      <x:c r="C739" s="2" t="n">
        <x:v>0</x:v>
      </x:c>
      <x:c r="D739" s="2" t="n">
        <x:v>0</x:v>
      </x:c>
      <x:c r="E739" s="10" t="n">
        <x:v>82.58094786729859</x:v>
      </x:c>
      <x:c r="F739" s="11" t="n">
        <x:v>211</x:v>
      </x:c>
      <x:c r="G739" s="11" t="n">
        <x:v>0</x:v>
      </x:c>
      <x:c r="H739" s="11" t="n">
        <x:v>0</x:v>
      </x:c>
      <x:c r="I739" s="11" t="n">
        <x:v>0</x:v>
      </x:c>
      <x:c r="J739" s="11" t="n">
        <x:v>0</x:v>
      </x:c>
      <x:c r="K739" s="11" t="n">
        <x:v>1</x:v>
      </x:c>
      <x:c r="L739" s="11" t="n">
        <x:f>IF(B739="NED",1,IF(OR(B739="ED",B739="UN"),0,""))</x:f>
        <x:v>0</x:v>
      </x:c>
      <x:c r="M739" s="11" t="n">
        <x:f>IF(AND(K739=1,OR(B739="ED",B739="NED")),1,0)</x:f>
        <x:v>1</x:v>
      </x:c>
      <x:c r="N739" s="11" t="n">
        <x:f>IF(K739=1,1,0)</x:f>
        <x:v>1</x:v>
      </x:c>
      <x:c r="O739" s="12"/>
      <x:c r="P739" s="11" t="n">
        <x:v>0</x:v>
      </x:c>
      <x:c r="Q739" s="12" t="str">
        <x:v>AF-P26187-F1-model_v6</x:v>
      </x:c>
      <x:c r="R739" s="12" t="str">
        <x:v>ok</x:v>
      </x:c>
      <x:c r="S739" s="11" t="n">
        <x:v>355</x:v>
      </x:c>
      <x:c r="T739" s="11" t="n">
        <x:v>211</x:v>
      </x:c>
    </x:row>
    <x:row r="740" ht="23" customHeight="1">
      <x:c r="A740" s="2" t="str">
        <x:v>P26231</x:v>
      </x:c>
      <x:c r="B740" s="2" t="str">
        <x:v>UN</x:v>
      </x:c>
      <x:c r="C740" s="2" t="n">
        <x:v>1</x:v>
      </x:c>
      <x:c r="D740" s="2"/>
      <x:c r="E740" s="10"/>
      <x:c r="F740" s="11" t="n">
        <x:v>906</x:v>
      </x:c>
      <x:c r="G740" s="11" t="n">
        <x:v>0</x:v>
      </x:c>
      <x:c r="H740" s="11" t="n">
        <x:v>0</x:v>
      </x:c>
      <x:c r="I740" s="11" t="n">
        <x:v>1</x:v>
      </x:c>
      <x:c r="J740" s="11" t="n">
        <x:v>0</x:v>
      </x:c>
      <x:c r="K740" s="11" t="n">
        <x:v>0</x:v>
      </x:c>
      <x:c r="L740" s="11" t="n">
        <x:f>IF(B740="NED",1,IF(OR(B740="ED",B740="UN"),0,""))</x:f>
        <x:v>0</x:v>
      </x:c>
      <x:c r="M740" s="11" t="n">
        <x:f>IF(AND(K740=1,OR(B740="ED",B740="NED")),1,0)</x:f>
        <x:v>0</x:v>
      </x:c>
      <x:c r="N740" s="11" t="n">
        <x:f>IF(K740=1,1,0)</x:f>
        <x:v>0</x:v>
      </x:c>
      <x:c r="O740" s="12" t="str">
        <x:v>Exclude UniProt Membrane keyword</x:v>
      </x:c>
      <x:c r="P740" s="11" t="n">
        <x:v>0</x:v>
      </x:c>
      <x:c r="Q740" s="12" t="str">
        <x:v>AF-P26231-F1-model_v6</x:v>
      </x:c>
      <x:c r="R740" s="12" t="str">
        <x:v>ok</x:v>
      </x:c>
      <x:c r="S740" s="11" t="n">
        <x:v>356</x:v>
      </x:c>
      <x:c r="T740" s="11" t="n">
        <x:v>906</x:v>
      </x:c>
    </x:row>
    <x:row r="741" ht="23" customHeight="1">
      <x:c r="A741" s="2" t="str">
        <x:v>P26369</x:v>
      </x:c>
      <x:c r="B741" s="2" t="str">
        <x:v>ED</x:v>
      </x:c>
      <x:c r="C741" s="2" t="n">
        <x:v>1</x:v>
      </x:c>
      <x:c r="D741" s="2" t="n">
        <x:v>1</x:v>
      </x:c>
      <x:c r="E741" s="10" t="n">
        <x:v>72.67233684210527</x:v>
      </x:c>
      <x:c r="F741" s="11" t="n">
        <x:v>475</x:v>
      </x:c>
      <x:c r="G741" s="11" t="n">
        <x:v>0</x:v>
      </x:c>
      <x:c r="H741" s="11" t="n">
        <x:v>0</x:v>
      </x:c>
      <x:c r="I741" s="11" t="n">
        <x:v>0</x:v>
      </x:c>
      <x:c r="J741" s="11" t="n">
        <x:v>0</x:v>
      </x:c>
      <x:c r="K741" s="11" t="n">
        <x:v>1</x:v>
      </x:c>
      <x:c r="L741" s="11" t="n">
        <x:f>IF(B741="NED",1,IF(OR(B741="ED",B741="UN"),0,""))</x:f>
        <x:v>0</x:v>
      </x:c>
      <x:c r="M741" s="11" t="n">
        <x:f>IF(AND(K741=1,OR(B741="ED",B741="NED")),1,0)</x:f>
        <x:v>1</x:v>
      </x:c>
      <x:c r="N741" s="11" t="n">
        <x:f>IF(K741=1,1,0)</x:f>
        <x:v>1</x:v>
      </x:c>
      <x:c r="O741" s="12"/>
      <x:c r="P741" s="11" t="n">
        <x:v>0</x:v>
      </x:c>
      <x:c r="Q741" s="12" t="str">
        <x:v>AF-P26369-F1-model_v6</x:v>
      </x:c>
      <x:c r="R741" s="12" t="str">
        <x:v>ok</x:v>
      </x:c>
      <x:c r="S741" s="11" t="n">
        <x:v>357</x:v>
      </x:c>
      <x:c r="T741" s="11" t="n">
        <x:v>475</x:v>
      </x:c>
    </x:row>
    <x:row r="742" ht="23" customHeight="1">
      <x:c r="A742" s="2" t="str">
        <x:v>P26443</x:v>
      </x:c>
      <x:c r="B742" s="2" t="str">
        <x:v>NED</x:v>
      </x:c>
      <x:c r="C742" s="2" t="n">
        <x:v>1</x:v>
      </x:c>
      <x:c r="D742" s="2" t="n">
        <x:v>1</x:v>
      </x:c>
      <x:c r="E742" s="10" t="n">
        <x:v>90.31290322580644</x:v>
      </x:c>
      <x:c r="F742" s="11" t="n">
        <x:v>558</x:v>
      </x:c>
      <x:c r="G742" s="11" t="n">
        <x:v>0</x:v>
      </x:c>
      <x:c r="H742" s="11" t="n">
        <x:v>0</x:v>
      </x:c>
      <x:c r="I742" s="11" t="n">
        <x:v>0</x:v>
      </x:c>
      <x:c r="J742" s="11" t="n">
        <x:v>0</x:v>
      </x:c>
      <x:c r="K742" s="11" t="n">
        <x:v>1</x:v>
      </x:c>
      <x:c r="L742" s="11" t="n">
        <x:f>IF(B742="NED",1,IF(OR(B742="ED",B742="UN"),0,""))</x:f>
        <x:v>1</x:v>
      </x:c>
      <x:c r="M742" s="11" t="n">
        <x:f>IF(AND(K742=1,OR(B742="ED",B742="NED")),1,0)</x:f>
        <x:v>1</x:v>
      </x:c>
      <x:c r="N742" s="11" t="n">
        <x:f>IF(K742=1,1,0)</x:f>
        <x:v>1</x:v>
      </x:c>
      <x:c r="O742" s="12"/>
      <x:c r="P742" s="11" t="n">
        <x:v>0</x:v>
      </x:c>
      <x:c r="Q742" s="12" t="str">
        <x:v>AF-P26443-F1-model_v6</x:v>
      </x:c>
      <x:c r="R742" s="12" t="str">
        <x:v>ok</x:v>
      </x:c>
      <x:c r="S742" s="11" t="n">
        <x:v>358</x:v>
      </x:c>
      <x:c r="T742" s="11" t="n">
        <x:v>558</x:v>
      </x:c>
    </x:row>
    <x:row r="743" ht="23" customHeight="1">
      <x:c r="A743" s="2" t="str">
        <x:v>P26450</x:v>
      </x:c>
      <x:c r="B743" s="2" t="str">
        <x:v>UN</x:v>
      </x:c>
      <x:c r="C743" s="2" t="n">
        <x:v>1</x:v>
      </x:c>
      <x:c r="D743" s="2" t="n">
        <x:v>1</x:v>
      </x:c>
      <x:c r="E743" s="10" t="n">
        <x:v>83.09093922651934</x:v>
      </x:c>
      <x:c r="F743" s="11" t="n">
        <x:v>724</x:v>
      </x:c>
      <x:c r="G743" s="11" t="n">
        <x:v>0</x:v>
      </x:c>
      <x:c r="H743" s="11" t="n">
        <x:v>0</x:v>
      </x:c>
      <x:c r="I743" s="11" t="n">
        <x:v>0</x:v>
      </x:c>
      <x:c r="J743" s="11" t="n">
        <x:v>0</x:v>
      </x:c>
      <x:c r="K743" s="11" t="n">
        <x:v>1</x:v>
      </x:c>
      <x:c r="L743" s="11" t="n">
        <x:f>IF(B743="NED",1,IF(OR(B743="ED",B743="UN"),0,""))</x:f>
        <x:v>0</x:v>
      </x:c>
      <x:c r="M743" s="11" t="n">
        <x:f>IF(AND(K743=1,OR(B743="ED",B743="NED")),1,0)</x:f>
        <x:v>0</x:v>
      </x:c>
      <x:c r="N743" s="11" t="n">
        <x:f>IF(K743=1,1,0)</x:f>
        <x:v>1</x:v>
      </x:c>
      <x:c r="O743" s="12"/>
      <x:c r="P743" s="11" t="n">
        <x:v>0</x:v>
      </x:c>
      <x:c r="Q743" s="12" t="str">
        <x:v>AF-P26450-F1-model_v6</x:v>
      </x:c>
      <x:c r="R743" s="12" t="str">
        <x:v>ok</x:v>
      </x:c>
      <x:c r="S743" s="11" t="n">
        <x:v>359</x:v>
      </x:c>
      <x:c r="T743" s="11" t="n">
        <x:v>724</x:v>
      </x:c>
    </x:row>
    <x:row r="744" ht="23" customHeight="1">
      <x:c r="A744" s="2" t="str">
        <x:v>P26516</x:v>
      </x:c>
      <x:c r="B744" s="2" t="str">
        <x:v>ED</x:v>
      </x:c>
      <x:c r="C744" s="2" t="n">
        <x:v>1</x:v>
      </x:c>
      <x:c r="D744" s="2" t="n">
        <x:v>1</x:v>
      </x:c>
      <x:c r="E744" s="10" t="n">
        <x:v>85.07666666666667</x:v>
      </x:c>
      <x:c r="F744" s="11" t="n">
        <x:v>321</x:v>
      </x:c>
      <x:c r="G744" s="11" t="n">
        <x:v>0</x:v>
      </x:c>
      <x:c r="H744" s="11" t="n">
        <x:v>0</x:v>
      </x:c>
      <x:c r="I744" s="11" t="n">
        <x:v>0</x:v>
      </x:c>
      <x:c r="J744" s="11" t="n">
        <x:v>0</x:v>
      </x:c>
      <x:c r="K744" s="11" t="n">
        <x:v>1</x:v>
      </x:c>
      <x:c r="L744" s="11" t="n">
        <x:f>IF(B744="NED",1,IF(OR(B744="ED",B744="UN"),0,""))</x:f>
        <x:v>0</x:v>
      </x:c>
      <x:c r="M744" s="11" t="n">
        <x:f>IF(AND(K744=1,OR(B744="ED",B744="NED")),1,0)</x:f>
        <x:v>1</x:v>
      </x:c>
      <x:c r="N744" s="11" t="n">
        <x:f>IF(K744=1,1,0)</x:f>
        <x:v>1</x:v>
      </x:c>
      <x:c r="O744" s="12"/>
      <x:c r="P744" s="11" t="n">
        <x:v>0</x:v>
      </x:c>
      <x:c r="Q744" s="12" t="str">
        <x:v>AF-P26516-F1-model_v6</x:v>
      </x:c>
      <x:c r="R744" s="12" t="str">
        <x:v>ok</x:v>
      </x:c>
      <x:c r="S744" s="11" t="n">
        <x:v>360</x:v>
      </x:c>
      <x:c r="T744" s="11" t="n">
        <x:v>321</x:v>
      </x:c>
    </x:row>
    <x:row r="745" ht="23" customHeight="1">
      <x:c r="A745" s="2" t="str">
        <x:v>P26638</x:v>
      </x:c>
      <x:c r="B745" s="2" t="str">
        <x:v>NED</x:v>
      </x:c>
      <x:c r="C745" s="2" t="n">
        <x:v>1</x:v>
      </x:c>
      <x:c r="D745" s="2" t="n">
        <x:v>1</x:v>
      </x:c>
      <x:c r="E745" s="10" t="n">
        <x:v>92.11484375</x:v>
      </x:c>
      <x:c r="F745" s="11" t="n">
        <x:v>512</x:v>
      </x:c>
      <x:c r="G745" s="11" t="n">
        <x:v>0</x:v>
      </x:c>
      <x:c r="H745" s="11" t="n">
        <x:v>0</x:v>
      </x:c>
      <x:c r="I745" s="11" t="n">
        <x:v>0</x:v>
      </x:c>
      <x:c r="J745" s="11" t="n">
        <x:v>0</x:v>
      </x:c>
      <x:c r="K745" s="11" t="n">
        <x:v>1</x:v>
      </x:c>
      <x:c r="L745" s="11" t="n">
        <x:f>IF(B745="NED",1,IF(OR(B745="ED",B745="UN"),0,""))</x:f>
        <x:v>1</x:v>
      </x:c>
      <x:c r="M745" s="11" t="n">
        <x:f>IF(AND(K745=1,OR(B745="ED",B745="NED")),1,0)</x:f>
        <x:v>1</x:v>
      </x:c>
      <x:c r="N745" s="11" t="n">
        <x:f>IF(K745=1,1,0)</x:f>
        <x:v>1</x:v>
      </x:c>
      <x:c r="O745" s="12"/>
      <x:c r="P745" s="11" t="n">
        <x:v>0</x:v>
      </x:c>
      <x:c r="Q745" s="12" t="str">
        <x:v>AF-P26638-F1-model_v6</x:v>
      </x:c>
      <x:c r="R745" s="12" t="str">
        <x:v>ok</x:v>
      </x:c>
      <x:c r="S745" s="11" t="n">
        <x:v>361</x:v>
      </x:c>
      <x:c r="T745" s="11" t="n">
        <x:v>512</x:v>
      </x:c>
    </x:row>
    <x:row r="746" ht="23" customHeight="1">
      <x:c r="A746" s="2" t="str">
        <x:v>P26645</x:v>
      </x:c>
      <x:c r="B746" s="2" t="str">
        <x:v>UN</x:v>
      </x:c>
      <x:c r="C746" s="2" t="n">
        <x:v>0</x:v>
      </x:c>
      <x:c r="D746" s="2" t="n">
        <x:v>0</x:v>
      </x:c>
      <x:c r="E746" s="10"/>
      <x:c r="F746" s="11" t="n">
        <x:v>309</x:v>
      </x:c>
      <x:c r="G746" s="11" t="n">
        <x:v>0</x:v>
      </x:c>
      <x:c r="H746" s="11" t="n">
        <x:v>0</x:v>
      </x:c>
      <x:c r="I746" s="11" t="n">
        <x:v>1</x:v>
      </x:c>
      <x:c r="J746" s="11" t="n">
        <x:v>0</x:v>
      </x:c>
      <x:c r="K746" s="11" t="n">
        <x:v>0</x:v>
      </x:c>
      <x:c r="L746" s="11" t="n">
        <x:f>IF(B746="NED",1,IF(OR(B746="ED",B746="UN"),0,""))</x:f>
        <x:v>0</x:v>
      </x:c>
      <x:c r="M746" s="11" t="n">
        <x:f>IF(AND(K746=1,OR(B746="ED",B746="NED")),1,0)</x:f>
        <x:v>0</x:v>
      </x:c>
      <x:c r="N746" s="11" t="n">
        <x:f>IF(K746=1,1,0)</x:f>
        <x:v>0</x:v>
      </x:c>
      <x:c r="O746" s="12" t="str">
        <x:v>Exclude UniProt Membrane keyword</x:v>
      </x:c>
      <x:c r="P746" s="11" t="n">
        <x:v>0</x:v>
      </x:c>
      <x:c r="Q746" s="12" t="str">
        <x:v>AF-P26645-F1-model_v6</x:v>
      </x:c>
      <x:c r="R746" s="12" t="str">
        <x:v>ok</x:v>
      </x:c>
      <x:c r="S746" s="11" t="n">
        <x:v>362</x:v>
      </x:c>
      <x:c r="T746" s="11" t="n">
        <x:v>309</x:v>
      </x:c>
    </x:row>
    <x:row r="747" ht="23" customHeight="1">
      <x:c r="A747" s="2" t="str">
        <x:v>P27046</x:v>
      </x:c>
      <x:c r="B747" s="2" t="str">
        <x:v>UN</x:v>
      </x:c>
      <x:c r="C747" s="2" t="n">
        <x:v>1</x:v>
      </x:c>
      <x:c r="D747" s="2" t="n">
        <x:v>1</x:v>
      </x:c>
      <x:c r="E747" s="10"/>
      <x:c r="F747" s="11" t="n">
        <x:v>1150</x:v>
      </x:c>
      <x:c r="G747" s="11" t="n">
        <x:v>0</x:v>
      </x:c>
      <x:c r="H747" s="11" t="n">
        <x:v>0</x:v>
      </x:c>
      <x:c r="I747" s="11" t="n">
        <x:v>1</x:v>
      </x:c>
      <x:c r="J747" s="11" t="n">
        <x:v>0</x:v>
      </x:c>
      <x:c r="K747" s="11" t="n">
        <x:v>0</x:v>
      </x:c>
      <x:c r="L747" s="11" t="n">
        <x:f>IF(B747="NED",1,IF(OR(B747="ED",B747="UN"),0,""))</x:f>
        <x:v>0</x:v>
      </x:c>
      <x:c r="M747" s="11" t="n">
        <x:f>IF(AND(K747=1,OR(B747="ED",B747="NED")),1,0)</x:f>
        <x:v>0</x:v>
      </x:c>
      <x:c r="N747" s="11" t="n">
        <x:f>IF(K747=1,1,0)</x:f>
        <x:v>0</x:v>
      </x:c>
      <x:c r="O747" s="12" t="str">
        <x:v>Exclude UniProt Membrane keyword</x:v>
      </x:c>
      <x:c r="P747" s="11" t="n">
        <x:v>0</x:v>
      </x:c>
      <x:c r="Q747" s="12" t="str">
        <x:v>AF-P27046-F1-model_v6</x:v>
      </x:c>
      <x:c r="R747" s="12" t="str">
        <x:v>ok</x:v>
      </x:c>
      <x:c r="S747" s="11" t="n">
        <x:v>363</x:v>
      </x:c>
      <x:c r="T747" s="11" t="n">
        <x:v>1150</x:v>
      </x:c>
    </x:row>
    <x:row r="748" ht="23" customHeight="1">
      <x:c r="A748" s="2" t="str">
        <x:v>P27048</x:v>
      </x:c>
      <x:c r="B748" s="2" t="str">
        <x:v>UN</x:v>
      </x:c>
      <x:c r="C748" s="2" t="n">
        <x:v>1</x:v>
      </x:c>
      <x:c r="D748" s="2" t="n">
        <x:v>1</x:v>
      </x:c>
      <x:c r="E748" s="10" t="n">
        <x:v>69.50692640692641</x:v>
      </x:c>
      <x:c r="F748" s="11" t="n">
        <x:v>231</x:v>
      </x:c>
      <x:c r="G748" s="11" t="n">
        <x:v>0</x:v>
      </x:c>
      <x:c r="H748" s="11" t="n">
        <x:v>0</x:v>
      </x:c>
      <x:c r="I748" s="11" t="n">
        <x:v>0</x:v>
      </x:c>
      <x:c r="J748" s="11" t="n">
        <x:v>0</x:v>
      </x:c>
      <x:c r="K748" s="11" t="n">
        <x:v>0</x:v>
      </x:c>
      <x:c r="L748" s="11" t="n">
        <x:f>IF(B748="NED",1,IF(OR(B748="ED",B748="UN"),0,""))</x:f>
        <x:v>0</x:v>
      </x:c>
      <x:c r="M748" s="11" t="n">
        <x:f>IF(AND(K748=1,OR(B748="ED",B748="NED")),1,0)</x:f>
        <x:v>0</x:v>
      </x:c>
      <x:c r="N748" s="11" t="n">
        <x:f>IF(K748=1,1,0)</x:f>
        <x:v>0</x:v>
      </x:c>
      <x:c r="O748" s="12" t="str">
        <x:v>Retain protein mean pLDDT &gt;=70</x:v>
      </x:c>
      <x:c r="P748" s="11" t="n">
        <x:v>0</x:v>
      </x:c>
      <x:c r="Q748" s="12" t="str">
        <x:v>AF-P27048-F1-model_v6</x:v>
      </x:c>
      <x:c r="R748" s="12" t="str">
        <x:v>ok</x:v>
      </x:c>
      <x:c r="S748" s="11" t="n">
        <x:v>364</x:v>
      </x:c>
      <x:c r="T748" s="11" t="n">
        <x:v>231</x:v>
      </x:c>
    </x:row>
    <x:row r="749" ht="23" customHeight="1">
      <x:c r="A749" s="2" t="str">
        <x:v>P27546-2</x:v>
      </x:c>
      <x:c r="B749" s="2" t="str">
        <x:v>ED</x:v>
      </x:c>
      <x:c r="C749" s="2"/>
      <x:c r="D749" s="2"/>
      <x:c r="E749" s="10"/>
      <x:c r="F749" s="11"/>
      <x:c r="G749" s="11" t="n">
        <x:v>0</x:v>
      </x:c>
      <x:c r="H749" s="11" t="n">
        <x:v>0</x:v>
      </x:c>
      <x:c r="I749" s="11"/>
      <x:c r="J749" s="11"/>
      <x:c r="K749" s="11" t="n">
        <x:v>0</x:v>
      </x:c>
      <x:c r="L749" s="11" t="n">
        <x:f>IF(B749="NED",1,IF(OR(B749="ED",B749="UN"),0,""))</x:f>
        <x:v>0</x:v>
      </x:c>
      <x:c r="M749" s="11" t="n">
        <x:f>IF(AND(K749=1,OR(B749="ED",B749="NED")),1,0)</x:f>
        <x:v>0</x:v>
      </x:c>
      <x:c r="N749" s="11" t="n">
        <x:f>IF(K749=1,1,0)</x:f>
        <x:v>0</x:v>
      </x:c>
      <x:c r="O749" s="12" t="str">
        <x:v>Require exact native accession match</x:v>
      </x:c>
      <x:c r="P749" s="11" t="n">
        <x:v>0</x:v>
      </x:c>
      <x:c r="Q749" s="12"/>
      <x:c r="R749" s="12"/>
      <x:c r="S749" s="11" t="n">
        <x:v>365</x:v>
      </x:c>
      <x:c r="T749" s="11"/>
    </x:row>
    <x:row r="750" ht="23" customHeight="1">
      <x:c r="A750" s="2" t="str">
        <x:v>P27601</x:v>
      </x:c>
      <x:c r="B750" s="2" t="str">
        <x:v>ED</x:v>
      </x:c>
      <x:c r="C750" s="2" t="n">
        <x:v>1</x:v>
      </x:c>
      <x:c r="D750" s="2" t="n">
        <x:v>1</x:v>
      </x:c>
      <x:c r="E750" s="10"/>
      <x:c r="F750" s="11" t="n">
        <x:v>377</x:v>
      </x:c>
      <x:c r="G750" s="11" t="n">
        <x:v>0</x:v>
      </x:c>
      <x:c r="H750" s="11" t="n">
        <x:v>0</x:v>
      </x:c>
      <x:c r="I750" s="11" t="n">
        <x:v>1</x:v>
      </x:c>
      <x:c r="J750" s="11" t="n">
        <x:v>0</x:v>
      </x:c>
      <x:c r="K750" s="11" t="n">
        <x:v>0</x:v>
      </x:c>
      <x:c r="L750" s="11" t="n">
        <x:f>IF(B750="NED",1,IF(OR(B750="ED",B750="UN"),0,""))</x:f>
        <x:v>0</x:v>
      </x:c>
      <x:c r="M750" s="11" t="n">
        <x:f>IF(AND(K750=1,OR(B750="ED",B750="NED")),1,0)</x:f>
        <x:v>0</x:v>
      </x:c>
      <x:c r="N750" s="11" t="n">
        <x:f>IF(K750=1,1,0)</x:f>
        <x:v>0</x:v>
      </x:c>
      <x:c r="O750" s="12" t="str">
        <x:v>Exclude UniProt Membrane keyword</x:v>
      </x:c>
      <x:c r="P750" s="11" t="n">
        <x:v>0</x:v>
      </x:c>
      <x:c r="Q750" s="12" t="str">
        <x:v>AF-P27601-F1-model_v6</x:v>
      </x:c>
      <x:c r="R750" s="12" t="str">
        <x:v>ok</x:v>
      </x:c>
      <x:c r="S750" s="11" t="n">
        <x:v>366</x:v>
      </x:c>
      <x:c r="T750" s="11" t="n">
        <x:v>377</x:v>
      </x:c>
    </x:row>
    <x:row r="751" ht="23" customHeight="1">
      <x:c r="A751" s="2" t="str">
        <x:v>P27612</x:v>
      </x:c>
      <x:c r="B751" s="2" t="str">
        <x:v>ED</x:v>
      </x:c>
      <x:c r="C751" s="2" t="n">
        <x:v>1</x:v>
      </x:c>
      <x:c r="D751" s="2" t="n">
        <x:v>1</x:v>
      </x:c>
      <x:c r="E751" s="10" t="n">
        <x:v>84.90413098236776</x:v>
      </x:c>
      <x:c r="F751" s="11" t="n">
        <x:v>794</x:v>
      </x:c>
      <x:c r="G751" s="11" t="n">
        <x:v>0</x:v>
      </x:c>
      <x:c r="H751" s="11" t="n">
        <x:v>0</x:v>
      </x:c>
      <x:c r="I751" s="11" t="n">
        <x:v>0</x:v>
      </x:c>
      <x:c r="J751" s="11" t="n">
        <x:v>0</x:v>
      </x:c>
      <x:c r="K751" s="11" t="n">
        <x:v>1</x:v>
      </x:c>
      <x:c r="L751" s="11" t="n">
        <x:f>IF(B751="NED",1,IF(OR(B751="ED",B751="UN"),0,""))</x:f>
        <x:v>0</x:v>
      </x:c>
      <x:c r="M751" s="11" t="n">
        <x:f>IF(AND(K751=1,OR(B751="ED",B751="NED")),1,0)</x:f>
        <x:v>1</x:v>
      </x:c>
      <x:c r="N751" s="11" t="n">
        <x:f>IF(K751=1,1,0)</x:f>
        <x:v>1</x:v>
      </x:c>
      <x:c r="O751" s="12"/>
      <x:c r="P751" s="11" t="n">
        <x:v>0</x:v>
      </x:c>
      <x:c r="Q751" s="12" t="str">
        <x:v>AF-P27612-F1-model_v6</x:v>
      </x:c>
      <x:c r="R751" s="12" t="str">
        <x:v>ok</x:v>
      </x:c>
      <x:c r="S751" s="11" t="n">
        <x:v>367</x:v>
      </x:c>
      <x:c r="T751" s="11" t="n">
        <x:v>794</x:v>
      </x:c>
    </x:row>
    <x:row r="752" ht="23" customHeight="1">
      <x:c r="A752" s="2" t="str">
        <x:v>P27773</x:v>
      </x:c>
      <x:c r="B752" s="2" t="str">
        <x:v>ED</x:v>
      </x:c>
      <x:c r="C752" s="2" t="n">
        <x:v>1</x:v>
      </x:c>
      <x:c r="D752" s="2" t="n">
        <x:v>1</x:v>
      </x:c>
      <x:c r="E752" s="10" t="n">
        <x:v>91.61433663366336</x:v>
      </x:c>
      <x:c r="F752" s="11" t="n">
        <x:v>505</x:v>
      </x:c>
      <x:c r="G752" s="11" t="n">
        <x:v>0</x:v>
      </x:c>
      <x:c r="H752" s="11" t="n">
        <x:v>0</x:v>
      </x:c>
      <x:c r="I752" s="11" t="n">
        <x:v>0</x:v>
      </x:c>
      <x:c r="J752" s="11" t="n">
        <x:v>0</x:v>
      </x:c>
      <x:c r="K752" s="11" t="n">
        <x:v>1</x:v>
      </x:c>
      <x:c r="L752" s="11" t="n">
        <x:f>IF(B752="NED",1,IF(OR(B752="ED",B752="UN"),0,""))</x:f>
        <x:v>0</x:v>
      </x:c>
      <x:c r="M752" s="11" t="n">
        <x:f>IF(AND(K752=1,OR(B752="ED",B752="NED")),1,0)</x:f>
        <x:v>1</x:v>
      </x:c>
      <x:c r="N752" s="11" t="n">
        <x:f>IF(K752=1,1,0)</x:f>
        <x:v>1</x:v>
      </x:c>
      <x:c r="O752" s="12"/>
      <x:c r="P752" s="11" t="n">
        <x:v>0</x:v>
      </x:c>
      <x:c r="Q752" s="12" t="str">
        <x:v>AF-P27773-F1-model_v6</x:v>
      </x:c>
      <x:c r="R752" s="12" t="str">
        <x:v>ok</x:v>
      </x:c>
      <x:c r="S752" s="11" t="n">
        <x:v>368</x:v>
      </x:c>
      <x:c r="T752" s="11" t="n">
        <x:v>505</x:v>
      </x:c>
    </x:row>
    <x:row r="753" ht="23" customHeight="1">
      <x:c r="A753" s="2" t="str">
        <x:v>P28063</x:v>
      </x:c>
      <x:c r="B753" s="2" t="str">
        <x:v>ED</x:v>
      </x:c>
      <x:c r="C753" s="2" t="n">
        <x:v>1</x:v>
      </x:c>
      <x:c r="D753" s="2" t="n">
        <x:v>1</x:v>
      </x:c>
      <x:c r="E753" s="10" t="n">
        <x:v>83.76971014492753</x:v>
      </x:c>
      <x:c r="F753" s="11" t="n">
        <x:v>276</x:v>
      </x:c>
      <x:c r="G753" s="11" t="n">
        <x:v>0</x:v>
      </x:c>
      <x:c r="H753" s="11" t="n">
        <x:v>0</x:v>
      </x:c>
      <x:c r="I753" s="11" t="n">
        <x:v>0</x:v>
      </x:c>
      <x:c r="J753" s="11" t="n">
        <x:v>0</x:v>
      </x:c>
      <x:c r="K753" s="11" t="n">
        <x:v>1</x:v>
      </x:c>
      <x:c r="L753" s="11" t="n">
        <x:f>IF(B753="NED",1,IF(OR(B753="ED",B753="UN"),0,""))</x:f>
        <x:v>0</x:v>
      </x:c>
      <x:c r="M753" s="11" t="n">
        <x:f>IF(AND(K753=1,OR(B753="ED",B753="NED")),1,0)</x:f>
        <x:v>1</x:v>
      </x:c>
      <x:c r="N753" s="11" t="n">
        <x:f>IF(K753=1,1,0)</x:f>
        <x:v>1</x:v>
      </x:c>
      <x:c r="O753" s="12"/>
      <x:c r="P753" s="11" t="n">
        <x:v>0</x:v>
      </x:c>
      <x:c r="Q753" s="12" t="str">
        <x:v>AF-P28063-F1-model_v6</x:v>
      </x:c>
      <x:c r="R753" s="12" t="str">
        <x:v>ok</x:v>
      </x:c>
      <x:c r="S753" s="11" t="n">
        <x:v>369</x:v>
      </x:c>
      <x:c r="T753" s="11" t="n">
        <x:v>276</x:v>
      </x:c>
    </x:row>
    <x:row r="754" ht="23" customHeight="1">
      <x:c r="A754" s="2" t="str">
        <x:v>P28271</x:v>
      </x:c>
      <x:c r="B754" s="2" t="str">
        <x:v>UN</x:v>
      </x:c>
      <x:c r="C754" s="2" t="n">
        <x:v>1</x:v>
      </x:c>
      <x:c r="D754" s="2" t="n">
        <x:v>1</x:v>
      </x:c>
      <x:c r="E754" s="10" t="n">
        <x:v>96.25341957255344</x:v>
      </x:c>
      <x:c r="F754" s="11" t="n">
        <x:v>889</x:v>
      </x:c>
      <x:c r="G754" s="11" t="n">
        <x:v>0</x:v>
      </x:c>
      <x:c r="H754" s="11" t="n">
        <x:v>0</x:v>
      </x:c>
      <x:c r="I754" s="11" t="n">
        <x:v>0</x:v>
      </x:c>
      <x:c r="J754" s="11" t="n">
        <x:v>0</x:v>
      </x:c>
      <x:c r="K754" s="11" t="n">
        <x:v>1</x:v>
      </x:c>
      <x:c r="L754" s="11" t="n">
        <x:f>IF(B754="NED",1,IF(OR(B754="ED",B754="UN"),0,""))</x:f>
        <x:v>0</x:v>
      </x:c>
      <x:c r="M754" s="11" t="n">
        <x:f>IF(AND(K754=1,OR(B754="ED",B754="NED")),1,0)</x:f>
        <x:v>0</x:v>
      </x:c>
      <x:c r="N754" s="11" t="n">
        <x:f>IF(K754=1,1,0)</x:f>
        <x:v>1</x:v>
      </x:c>
      <x:c r="O754" s="12"/>
      <x:c r="P754" s="11" t="n">
        <x:v>0</x:v>
      </x:c>
      <x:c r="Q754" s="12" t="str">
        <x:v>AF-P28271-F1-model_v6</x:v>
      </x:c>
      <x:c r="R754" s="12" t="str">
        <x:v>ok</x:v>
      </x:c>
      <x:c r="S754" s="11" t="n">
        <x:v>370</x:v>
      </x:c>
      <x:c r="T754" s="11" t="n">
        <x:v>889</x:v>
      </x:c>
    </x:row>
    <x:row r="755" ht="23" customHeight="1">
      <x:c r="A755" s="2" t="str">
        <x:v>P28352</x:v>
      </x:c>
      <x:c r="B755" s="2" t="str">
        <x:v>UN</x:v>
      </x:c>
      <x:c r="C755" s="2" t="n">
        <x:v>1</x:v>
      </x:c>
      <x:c r="D755" s="2" t="n">
        <x:v>1</x:v>
      </x:c>
      <x:c r="E755" s="10" t="n">
        <x:v>90.42662460567824</x:v>
      </x:c>
      <x:c r="F755" s="11" t="n">
        <x:v>317</x:v>
      </x:c>
      <x:c r="G755" s="11" t="n">
        <x:v>0</x:v>
      </x:c>
      <x:c r="H755" s="11" t="n">
        <x:v>0</x:v>
      </x:c>
      <x:c r="I755" s="11" t="n">
        <x:v>0</x:v>
      </x:c>
      <x:c r="J755" s="11" t="n">
        <x:v>0</x:v>
      </x:c>
      <x:c r="K755" s="11" t="n">
        <x:v>1</x:v>
      </x:c>
      <x:c r="L755" s="11" t="n">
        <x:f>IF(B755="NED",1,IF(OR(B755="ED",B755="UN"),0,""))</x:f>
        <x:v>0</x:v>
      </x:c>
      <x:c r="M755" s="11" t="n">
        <x:f>IF(AND(K755=1,OR(B755="ED",B755="NED")),1,0)</x:f>
        <x:v>0</x:v>
      </x:c>
      <x:c r="N755" s="11" t="n">
        <x:f>IF(K755=1,1,0)</x:f>
        <x:v>1</x:v>
      </x:c>
      <x:c r="O755" s="12"/>
      <x:c r="P755" s="11" t="n">
        <x:v>0</x:v>
      </x:c>
      <x:c r="Q755" s="12" t="str">
        <x:v>AF-P28352-F1-model_v6</x:v>
      </x:c>
      <x:c r="R755" s="12" t="str">
        <x:v>ok</x:v>
      </x:c>
      <x:c r="S755" s="11" t="n">
        <x:v>371</x:v>
      </x:c>
      <x:c r="T755" s="11" t="n">
        <x:v>317</x:v>
      </x:c>
    </x:row>
    <x:row r="756" ht="23" customHeight="1">
      <x:c r="A756" s="2" t="str">
        <x:v>P28474</x:v>
      </x:c>
      <x:c r="B756" s="2" t="str">
        <x:v>UN</x:v>
      </x:c>
      <x:c r="C756" s="2" t="n">
        <x:v>1</x:v>
      </x:c>
      <x:c r="D756" s="2" t="n">
        <x:v>1</x:v>
      </x:c>
      <x:c r="E756" s="10" t="n">
        <x:v>97.81336898395722</x:v>
      </x:c>
      <x:c r="F756" s="11" t="n">
        <x:v>374</x:v>
      </x:c>
      <x:c r="G756" s="11" t="n">
        <x:v>0</x:v>
      </x:c>
      <x:c r="H756" s="11" t="n">
        <x:v>0</x:v>
      </x:c>
      <x:c r="I756" s="11" t="n">
        <x:v>0</x:v>
      </x:c>
      <x:c r="J756" s="11" t="n">
        <x:v>0</x:v>
      </x:c>
      <x:c r="K756" s="11" t="n">
        <x:v>1</x:v>
      </x:c>
      <x:c r="L756" s="11" t="n">
        <x:f>IF(B756="NED",1,IF(OR(B756="ED",B756="UN"),0,""))</x:f>
        <x:v>0</x:v>
      </x:c>
      <x:c r="M756" s="11" t="n">
        <x:f>IF(AND(K756=1,OR(B756="ED",B756="NED")),1,0)</x:f>
        <x:v>0</x:v>
      </x:c>
      <x:c r="N756" s="11" t="n">
        <x:f>IF(K756=1,1,0)</x:f>
        <x:v>1</x:v>
      </x:c>
      <x:c r="O756" s="12"/>
      <x:c r="P756" s="11" t="n">
        <x:v>0</x:v>
      </x:c>
      <x:c r="Q756" s="12" t="str">
        <x:v>AF-P28474-F1-model_v6</x:v>
      </x:c>
      <x:c r="R756" s="12" t="str">
        <x:v>ok</x:v>
      </x:c>
      <x:c r="S756" s="11" t="n">
        <x:v>372</x:v>
      </x:c>
      <x:c r="T756" s="11" t="n">
        <x:v>374</x:v>
      </x:c>
    </x:row>
    <x:row r="757" ht="23" customHeight="1">
      <x:c r="A757" s="2" t="str">
        <x:v>P28656</x:v>
      </x:c>
      <x:c r="B757" s="2" t="str">
        <x:v>ED</x:v>
      </x:c>
      <x:c r="C757" s="2" t="n">
        <x:v>0</x:v>
      </x:c>
      <x:c r="D757" s="2" t="n">
        <x:v>0</x:v>
      </x:c>
      <x:c r="E757" s="10" t="n">
        <x:v>80.22649616368287</x:v>
      </x:c>
      <x:c r="F757" s="11" t="n">
        <x:v>391</x:v>
      </x:c>
      <x:c r="G757" s="11" t="n">
        <x:v>0</x:v>
      </x:c>
      <x:c r="H757" s="11" t="n">
        <x:v>0</x:v>
      </x:c>
      <x:c r="I757" s="11" t="n">
        <x:v>0</x:v>
      </x:c>
      <x:c r="J757" s="11" t="n">
        <x:v>0</x:v>
      </x:c>
      <x:c r="K757" s="11" t="n">
        <x:v>1</x:v>
      </x:c>
      <x:c r="L757" s="11" t="n">
        <x:f>IF(B757="NED",1,IF(OR(B757="ED",B757="UN"),0,""))</x:f>
        <x:v>0</x:v>
      </x:c>
      <x:c r="M757" s="11" t="n">
        <x:f>IF(AND(K757=1,OR(B757="ED",B757="NED")),1,0)</x:f>
        <x:v>1</x:v>
      </x:c>
      <x:c r="N757" s="11" t="n">
        <x:f>IF(K757=1,1,0)</x:f>
        <x:v>1</x:v>
      </x:c>
      <x:c r="O757" s="12"/>
      <x:c r="P757" s="11" t="n">
        <x:v>0</x:v>
      </x:c>
      <x:c r="Q757" s="12" t="str">
        <x:v>AF-P28656-F1-model_v6</x:v>
      </x:c>
      <x:c r="R757" s="12" t="str">
        <x:v>ok</x:v>
      </x:c>
      <x:c r="S757" s="11" t="n">
        <x:v>373</x:v>
      </x:c>
      <x:c r="T757" s="11" t="n">
        <x:v>391</x:v>
      </x:c>
    </x:row>
    <x:row r="758" ht="23" customHeight="1">
      <x:c r="A758" s="2" t="str">
        <x:v>P28658</x:v>
      </x:c>
      <x:c r="B758" s="2" t="str">
        <x:v>ED</x:v>
      </x:c>
      <x:c r="C758" s="2" t="n">
        <x:v>0</x:v>
      </x:c>
      <x:c r="D758" s="2" t="n">
        <x:v>0</x:v>
      </x:c>
      <x:c r="E758" s="10" t="n">
        <x:v>89.23376842105263</x:v>
      </x:c>
      <x:c r="F758" s="11" t="n">
        <x:v>475</x:v>
      </x:c>
      <x:c r="G758" s="11" t="n">
        <x:v>0</x:v>
      </x:c>
      <x:c r="H758" s="11" t="n">
        <x:v>0</x:v>
      </x:c>
      <x:c r="I758" s="11" t="n">
        <x:v>0</x:v>
      </x:c>
      <x:c r="J758" s="11" t="n">
        <x:v>0</x:v>
      </x:c>
      <x:c r="K758" s="11" t="n">
        <x:v>1</x:v>
      </x:c>
      <x:c r="L758" s="11" t="n">
        <x:f>IF(B758="NED",1,IF(OR(B758="ED",B758="UN"),0,""))</x:f>
        <x:v>0</x:v>
      </x:c>
      <x:c r="M758" s="11" t="n">
        <x:f>IF(AND(K758=1,OR(B758="ED",B758="NED")),1,0)</x:f>
        <x:v>1</x:v>
      </x:c>
      <x:c r="N758" s="11" t="n">
        <x:f>IF(K758=1,1,0)</x:f>
        <x:v>1</x:v>
      </x:c>
      <x:c r="O758" s="12"/>
      <x:c r="P758" s="11" t="n">
        <x:v>0</x:v>
      </x:c>
      <x:c r="Q758" s="12" t="str">
        <x:v>AF-P28658-F1-model_v6</x:v>
      </x:c>
      <x:c r="R758" s="12" t="str">
        <x:v>ok</x:v>
      </x:c>
      <x:c r="S758" s="11" t="n">
        <x:v>374</x:v>
      </x:c>
      <x:c r="T758" s="11" t="n">
        <x:v>475</x:v>
      </x:c>
    </x:row>
    <x:row r="759" ht="23" customHeight="1">
      <x:c r="A759" s="2" t="str">
        <x:v>P28659-2</x:v>
      </x:c>
      <x:c r="B759" s="2" t="str">
        <x:v>ED</x:v>
      </x:c>
      <x:c r="C759" s="2"/>
      <x:c r="D759" s="2"/>
      <x:c r="E759" s="10"/>
      <x:c r="F759" s="11"/>
      <x:c r="G759" s="11" t="n">
        <x:v>0</x:v>
      </x:c>
      <x:c r="H759" s="11" t="n">
        <x:v>0</x:v>
      </x:c>
      <x:c r="I759" s="11"/>
      <x:c r="J759" s="11"/>
      <x:c r="K759" s="11" t="n">
        <x:v>0</x:v>
      </x:c>
      <x:c r="L759" s="11" t="n">
        <x:f>IF(B759="NED",1,IF(OR(B759="ED",B759="UN"),0,""))</x:f>
        <x:v>0</x:v>
      </x:c>
      <x:c r="M759" s="11" t="n">
        <x:f>IF(AND(K759=1,OR(B759="ED",B759="NED")),1,0)</x:f>
        <x:v>0</x:v>
      </x:c>
      <x:c r="N759" s="11" t="n">
        <x:f>IF(K759=1,1,0)</x:f>
        <x:v>0</x:v>
      </x:c>
      <x:c r="O759" s="12" t="str">
        <x:v>Require exact native accession match</x:v>
      </x:c>
      <x:c r="P759" s="11" t="n">
        <x:v>0</x:v>
      </x:c>
      <x:c r="Q759" s="12"/>
      <x:c r="R759" s="12"/>
      <x:c r="S759" s="11" t="n">
        <x:v>375</x:v>
      </x:c>
      <x:c r="T759" s="11"/>
    </x:row>
    <x:row r="760" ht="23" customHeight="1">
      <x:c r="A760" s="2" t="str">
        <x:v>P28660</x:v>
      </x:c>
      <x:c r="B760" s="2" t="str">
        <x:v>NED</x:v>
      </x:c>
      <x:c r="C760" s="2" t="n">
        <x:v>1</x:v>
      </x:c>
      <x:c r="D760" s="2" t="n">
        <x:v>1</x:v>
      </x:c>
      <x:c r="E760" s="10"/>
      <x:c r="F760" s="11" t="n">
        <x:v>1128</x:v>
      </x:c>
      <x:c r="G760" s="11" t="n">
        <x:v>0</x:v>
      </x:c>
      <x:c r="H760" s="11" t="n">
        <x:v>0</x:v>
      </x:c>
      <x:c r="I760" s="11" t="n">
        <x:v>1</x:v>
      </x:c>
      <x:c r="J760" s="11" t="n">
        <x:v>0</x:v>
      </x:c>
      <x:c r="K760" s="11" t="n">
        <x:v>0</x:v>
      </x:c>
      <x:c r="L760" s="11" t="n">
        <x:f>IF(B760="NED",1,IF(OR(B760="ED",B760="UN"),0,""))</x:f>
        <x:v>1</x:v>
      </x:c>
      <x:c r="M760" s="11" t="n">
        <x:f>IF(AND(K760=1,OR(B760="ED",B760="NED")),1,0)</x:f>
        <x:v>0</x:v>
      </x:c>
      <x:c r="N760" s="11" t="n">
        <x:f>IF(K760=1,1,0)</x:f>
        <x:v>0</x:v>
      </x:c>
      <x:c r="O760" s="12" t="str">
        <x:v>Exclude UniProt Membrane keyword</x:v>
      </x:c>
      <x:c r="P760" s="11" t="n">
        <x:v>0</x:v>
      </x:c>
      <x:c r="Q760" s="12" t="str">
        <x:v>AF-P28660-F1-model_v6</x:v>
      </x:c>
      <x:c r="R760" s="12" t="str">
        <x:v>ok</x:v>
      </x:c>
      <x:c r="S760" s="11" t="n">
        <x:v>376</x:v>
      </x:c>
      <x:c r="T760" s="11" t="n">
        <x:v>1128</x:v>
      </x:c>
    </x:row>
    <x:row r="761" ht="23" customHeight="1">
      <x:c r="A761" s="2" t="str">
        <x:v>P28740-2</x:v>
      </x:c>
      <x:c r="B761" s="2" t="str">
        <x:v>ED</x:v>
      </x:c>
      <x:c r="C761" s="2"/>
      <x:c r="D761" s="2"/>
      <x:c r="E761" s="10"/>
      <x:c r="F761" s="11"/>
      <x:c r="G761" s="11" t="n">
        <x:v>0</x:v>
      </x:c>
      <x:c r="H761" s="11" t="n">
        <x:v>0</x:v>
      </x:c>
      <x:c r="I761" s="11"/>
      <x:c r="J761" s="11"/>
      <x:c r="K761" s="11" t="n">
        <x:v>0</x:v>
      </x:c>
      <x:c r="L761" s="11" t="n">
        <x:f>IF(B761="NED",1,IF(OR(B761="ED",B761="UN"),0,""))</x:f>
        <x:v>0</x:v>
      </x:c>
      <x:c r="M761" s="11" t="n">
        <x:f>IF(AND(K761=1,OR(B761="ED",B761="NED")),1,0)</x:f>
        <x:v>0</x:v>
      </x:c>
      <x:c r="N761" s="11" t="n">
        <x:f>IF(K761=1,1,0)</x:f>
        <x:v>0</x:v>
      </x:c>
      <x:c r="O761" s="12" t="str">
        <x:v>Require exact native accession match</x:v>
      </x:c>
      <x:c r="P761" s="11" t="n">
        <x:v>0</x:v>
      </x:c>
      <x:c r="Q761" s="12"/>
      <x:c r="R761" s="12"/>
      <x:c r="S761" s="11" t="n">
        <x:v>377</x:v>
      </x:c>
      <x:c r="T761" s="11"/>
    </x:row>
    <x:row r="762" ht="23" customHeight="1">
      <x:c r="A762" s="2" t="str">
        <x:v>P28867</x:v>
      </x:c>
      <x:c r="B762" s="2" t="str">
        <x:v>UN</x:v>
      </x:c>
      <x:c r="C762" s="2" t="n">
        <x:v>1</x:v>
      </x:c>
      <x:c r="D762" s="2" t="n">
        <x:v>1</x:v>
      </x:c>
      <x:c r="E762" s="10"/>
      <x:c r="F762" s="11" t="n">
        <x:v>674</x:v>
      </x:c>
      <x:c r="G762" s="11" t="n">
        <x:v>0</x:v>
      </x:c>
      <x:c r="H762" s="11" t="n">
        <x:v>0</x:v>
      </x:c>
      <x:c r="I762" s="11" t="n">
        <x:v>1</x:v>
      </x:c>
      <x:c r="J762" s="11" t="n">
        <x:v>0</x:v>
      </x:c>
      <x:c r="K762" s="11" t="n">
        <x:v>0</x:v>
      </x:c>
      <x:c r="L762" s="11" t="n">
        <x:f>IF(B762="NED",1,IF(OR(B762="ED",B762="UN"),0,""))</x:f>
        <x:v>0</x:v>
      </x:c>
      <x:c r="M762" s="11" t="n">
        <x:f>IF(AND(K762=1,OR(B762="ED",B762="NED")),1,0)</x:f>
        <x:v>0</x:v>
      </x:c>
      <x:c r="N762" s="11" t="n">
        <x:f>IF(K762=1,1,0)</x:f>
        <x:v>0</x:v>
      </x:c>
      <x:c r="O762" s="12" t="str">
        <x:v>Exclude UniProt Membrane keyword</x:v>
      </x:c>
      <x:c r="P762" s="11" t="n">
        <x:v>0</x:v>
      </x:c>
      <x:c r="Q762" s="12" t="str">
        <x:v>AF-P28867-F1-model_v6</x:v>
      </x:c>
      <x:c r="R762" s="12" t="str">
        <x:v>ok</x:v>
      </x:c>
      <x:c r="S762" s="11" t="n">
        <x:v>378</x:v>
      </x:c>
      <x:c r="T762" s="11" t="n">
        <x:v>674</x:v>
      </x:c>
    </x:row>
    <x:row r="763" ht="23" customHeight="1">
      <x:c r="A763" s="2" t="str">
        <x:v>P29341</x:v>
      </x:c>
      <x:c r="B763" s="2" t="str">
        <x:v>ED</x:v>
      </x:c>
      <x:c r="C763" s="2" t="n">
        <x:v>1</x:v>
      </x:c>
      <x:c r="D763" s="2" t="n">
        <x:v>1</x:v>
      </x:c>
      <x:c r="E763" s="10" t="n">
        <x:v>76.87353773584906</x:v>
      </x:c>
      <x:c r="F763" s="11" t="n">
        <x:v>636</x:v>
      </x:c>
      <x:c r="G763" s="11" t="n">
        <x:v>0</x:v>
      </x:c>
      <x:c r="H763" s="11" t="n">
        <x:v>0</x:v>
      </x:c>
      <x:c r="I763" s="11" t="n">
        <x:v>0</x:v>
      </x:c>
      <x:c r="J763" s="11" t="n">
        <x:v>0</x:v>
      </x:c>
      <x:c r="K763" s="11" t="n">
        <x:v>1</x:v>
      </x:c>
      <x:c r="L763" s="11" t="n">
        <x:f>IF(B763="NED",1,IF(OR(B763="ED",B763="UN"),0,""))</x:f>
        <x:v>0</x:v>
      </x:c>
      <x:c r="M763" s="11" t="n">
        <x:f>IF(AND(K763=1,OR(B763="ED",B763="NED")),1,0)</x:f>
        <x:v>1</x:v>
      </x:c>
      <x:c r="N763" s="11" t="n">
        <x:f>IF(K763=1,1,0)</x:f>
        <x:v>1</x:v>
      </x:c>
      <x:c r="O763" s="12"/>
      <x:c r="P763" s="11" t="n">
        <x:v>0</x:v>
      </x:c>
      <x:c r="Q763" s="12" t="str">
        <x:v>AF-P29341-F1-model_v6</x:v>
      </x:c>
      <x:c r="R763" s="12" t="str">
        <x:v>ok</x:v>
      </x:c>
      <x:c r="S763" s="11" t="n">
        <x:v>379</x:v>
      </x:c>
      <x:c r="T763" s="11" t="n">
        <x:v>636</x:v>
      </x:c>
    </x:row>
    <x:row r="764" ht="23" customHeight="1">
      <x:c r="A764" s="2" t="str">
        <x:v>P29416</x:v>
      </x:c>
      <x:c r="B764" s="2" t="str">
        <x:v>UN</x:v>
      </x:c>
      <x:c r="C764" s="2"/>
      <x:c r="D764" s="2"/>
      <x:c r="E764" s="10"/>
      <x:c r="F764" s="11" t="n">
        <x:v>528</x:v>
      </x:c>
      <x:c r="G764" s="11" t="n">
        <x:v>0</x:v>
      </x:c>
      <x:c r="H764" s="11" t="n">
        <x:v>1</x:v>
      </x:c>
      <x:c r="I764" s="11" t="n">
        <x:v>0</x:v>
      </x:c>
      <x:c r="J764" s="11" t="n">
        <x:v>0</x:v>
      </x:c>
      <x:c r="K764" s="11" t="n">
        <x:v>0</x:v>
      </x:c>
      <x:c r="L764" s="11" t="n">
        <x:f>IF(B764="NED",1,IF(OR(B764="ED",B764="UN"),0,""))</x:f>
        <x:v>0</x:v>
      </x:c>
      <x:c r="M764" s="11" t="n">
        <x:f>IF(AND(K764=1,OR(B764="ED",B764="NED")),1,0)</x:f>
        <x:v>0</x:v>
      </x:c>
      <x:c r="N764" s="11" t="n">
        <x:f>IF(K764=1,1,0)</x:f>
        <x:v>0</x:v>
      </x:c>
      <x:c r="O764" s="12" t="str">
        <x:v>Require binary native NCLE status</x:v>
      </x:c>
      <x:c r="P764" s="11" t="n">
        <x:v>0</x:v>
      </x:c>
      <x:c r="Q764" s="12" t="str">
        <x:v>AF-P29416-F1-model_v6</x:v>
      </x:c>
      <x:c r="R764" s="12" t="str">
        <x:v>ok</x:v>
      </x:c>
      <x:c r="S764" s="11" t="n">
        <x:v>380</x:v>
      </x:c>
      <x:c r="T764" s="11" t="n">
        <x:v>528</x:v>
      </x:c>
    </x:row>
    <x:row r="765" ht="23" customHeight="1">
      <x:c r="A765" s="2" t="str">
        <x:v>P29595</x:v>
      </x:c>
      <x:c r="B765" s="2" t="str">
        <x:v>ED</x:v>
      </x:c>
      <x:c r="C765" s="2" t="n">
        <x:v>0</x:v>
      </x:c>
      <x:c r="D765" s="2" t="n">
        <x:v>0</x:v>
      </x:c>
      <x:c r="E765" s="10" t="n">
        <x:v>91.40271604938272</x:v>
      </x:c>
      <x:c r="F765" s="11" t="n">
        <x:v>81</x:v>
      </x:c>
      <x:c r="G765" s="11" t="n">
        <x:v>0</x:v>
      </x:c>
      <x:c r="H765" s="11" t="n">
        <x:v>0</x:v>
      </x:c>
      <x:c r="I765" s="11" t="n">
        <x:v>0</x:v>
      </x:c>
      <x:c r="J765" s="11" t="n">
        <x:v>0</x:v>
      </x:c>
      <x:c r="K765" s="11" t="n">
        <x:v>1</x:v>
      </x:c>
      <x:c r="L765" s="11" t="n">
        <x:f>IF(B765="NED",1,IF(OR(B765="ED",B765="UN"),0,""))</x:f>
        <x:v>0</x:v>
      </x:c>
      <x:c r="M765" s="11" t="n">
        <x:f>IF(AND(K765=1,OR(B765="ED",B765="NED")),1,0)</x:f>
        <x:v>1</x:v>
      </x:c>
      <x:c r="N765" s="11" t="n">
        <x:f>IF(K765=1,1,0)</x:f>
        <x:v>1</x:v>
      </x:c>
      <x:c r="O765" s="12"/>
      <x:c r="P765" s="11" t="n">
        <x:v>0</x:v>
      </x:c>
      <x:c r="Q765" s="12" t="str">
        <x:v>AF-P29595-F1-model_v6</x:v>
      </x:c>
      <x:c r="R765" s="12" t="str">
        <x:v>ok</x:v>
      </x:c>
      <x:c r="S765" s="11" t="n">
        <x:v>381</x:v>
      </x:c>
      <x:c r="T765" s="11" t="n">
        <x:v>81</x:v>
      </x:c>
    </x:row>
    <x:row r="766" ht="23" customHeight="1">
      <x:c r="A766" s="2" t="str">
        <x:v>P29758</x:v>
      </x:c>
      <x:c r="B766" s="2" t="str">
        <x:v>UN</x:v>
      </x:c>
      <x:c r="C766" s="2" t="n">
        <x:v>1</x:v>
      </x:c>
      <x:c r="D766" s="2" t="n">
        <x:v>1</x:v>
      </x:c>
      <x:c r="E766" s="10" t="n">
        <x:v>93.55708428246012</x:v>
      </x:c>
      <x:c r="F766" s="11" t="n">
        <x:v>439</x:v>
      </x:c>
      <x:c r="G766" s="11" t="n">
        <x:v>0</x:v>
      </x:c>
      <x:c r="H766" s="11" t="n">
        <x:v>0</x:v>
      </x:c>
      <x:c r="I766" s="11" t="n">
        <x:v>0</x:v>
      </x:c>
      <x:c r="J766" s="11" t="n">
        <x:v>0</x:v>
      </x:c>
      <x:c r="K766" s="11" t="n">
        <x:v>1</x:v>
      </x:c>
      <x:c r="L766" s="11" t="n">
        <x:f>IF(B766="NED",1,IF(OR(B766="ED",B766="UN"),0,""))</x:f>
        <x:v>0</x:v>
      </x:c>
      <x:c r="M766" s="11" t="n">
        <x:f>IF(AND(K766=1,OR(B766="ED",B766="NED")),1,0)</x:f>
        <x:v>0</x:v>
      </x:c>
      <x:c r="N766" s="11" t="n">
        <x:f>IF(K766=1,1,0)</x:f>
        <x:v>1</x:v>
      </x:c>
      <x:c r="O766" s="12"/>
      <x:c r="P766" s="11" t="n">
        <x:v>0</x:v>
      </x:c>
      <x:c r="Q766" s="12" t="str">
        <x:v>AF-P29758-F1-model_v6</x:v>
      </x:c>
      <x:c r="R766" s="12" t="str">
        <x:v>ok</x:v>
      </x:c>
      <x:c r="S766" s="11" t="n">
        <x:v>382</x:v>
      </x:c>
      <x:c r="T766" s="11" t="n">
        <x:v>439</x:v>
      </x:c>
    </x:row>
    <x:row r="767" ht="23" customHeight="1">
      <x:c r="A767" s="2" t="str">
        <x:v>P30285</x:v>
      </x:c>
      <x:c r="B767" s="2" t="str">
        <x:v>NED</x:v>
      </x:c>
      <x:c r="C767" s="2" t="n">
        <x:v>1</x:v>
      </x:c>
      <x:c r="D767" s="2" t="n">
        <x:v>1</x:v>
      </x:c>
      <x:c r="E767" s="10"/>
      <x:c r="F767" s="11" t="n">
        <x:v>303</x:v>
      </x:c>
      <x:c r="G767" s="11" t="n">
        <x:v>0</x:v>
      </x:c>
      <x:c r="H767" s="11" t="n">
        <x:v>0</x:v>
      </x:c>
      <x:c r="I767" s="11" t="n">
        <x:v>1</x:v>
      </x:c>
      <x:c r="J767" s="11" t="n">
        <x:v>0</x:v>
      </x:c>
      <x:c r="K767" s="11" t="n">
        <x:v>0</x:v>
      </x:c>
      <x:c r="L767" s="11" t="n">
        <x:f>IF(B767="NED",1,IF(OR(B767="ED",B767="UN"),0,""))</x:f>
        <x:v>1</x:v>
      </x:c>
      <x:c r="M767" s="11" t="n">
        <x:f>IF(AND(K767=1,OR(B767="ED",B767="NED")),1,0)</x:f>
        <x:v>0</x:v>
      </x:c>
      <x:c r="N767" s="11" t="n">
        <x:f>IF(K767=1,1,0)</x:f>
        <x:v>0</x:v>
      </x:c>
      <x:c r="O767" s="12" t="str">
        <x:v>Exclude UniProt Membrane keyword</x:v>
      </x:c>
      <x:c r="P767" s="11" t="n">
        <x:v>0</x:v>
      </x:c>
      <x:c r="Q767" s="12" t="str">
        <x:v>AF-P30285-F1-model_v6</x:v>
      </x:c>
      <x:c r="R767" s="12" t="str">
        <x:v>ok</x:v>
      </x:c>
      <x:c r="S767" s="11" t="n">
        <x:v>383</x:v>
      </x:c>
      <x:c r="T767" s="11" t="n">
        <x:v>303</x:v>
      </x:c>
    </x:row>
    <x:row r="768" ht="23" customHeight="1">
      <x:c r="A768" s="2" t="str">
        <x:v>P30412</x:v>
      </x:c>
      <x:c r="B768" s="2" t="str">
        <x:v>UN</x:v>
      </x:c>
      <x:c r="C768" s="2" t="n">
        <x:v>1</x:v>
      </x:c>
      <x:c r="D768" s="2" t="n">
        <x:v>1</x:v>
      </x:c>
      <x:c r="E768" s="10" t="n">
        <x:v>91.79891509433962</x:v>
      </x:c>
      <x:c r="F768" s="11" t="n">
        <x:v>212</x:v>
      </x:c>
      <x:c r="G768" s="11" t="n">
        <x:v>0</x:v>
      </x:c>
      <x:c r="H768" s="11" t="n">
        <x:v>0</x:v>
      </x:c>
      <x:c r="I768" s="11" t="n">
        <x:v>0</x:v>
      </x:c>
      <x:c r="J768" s="11" t="n">
        <x:v>0</x:v>
      </x:c>
      <x:c r="K768" s="11" t="n">
        <x:v>1</x:v>
      </x:c>
      <x:c r="L768" s="11" t="n">
        <x:f>IF(B768="NED",1,IF(OR(B768="ED",B768="UN"),0,""))</x:f>
        <x:v>0</x:v>
      </x:c>
      <x:c r="M768" s="11" t="n">
        <x:f>IF(AND(K768=1,OR(B768="ED",B768="NED")),1,0)</x:f>
        <x:v>0</x:v>
      </x:c>
      <x:c r="N768" s="11" t="n">
        <x:f>IF(K768=1,1,0)</x:f>
        <x:v>1</x:v>
      </x:c>
      <x:c r="O768" s="12"/>
      <x:c r="P768" s="11" t="n">
        <x:v>0</x:v>
      </x:c>
      <x:c r="Q768" s="12" t="str">
        <x:v>AF-P30412-F1-model_v6</x:v>
      </x:c>
      <x:c r="R768" s="12" t="str">
        <x:v>ok</x:v>
      </x:c>
      <x:c r="S768" s="11" t="n">
        <x:v>384</x:v>
      </x:c>
      <x:c r="T768" s="11" t="n">
        <x:v>212</x:v>
      </x:c>
    </x:row>
    <x:row r="769" ht="23" customHeight="1">
      <x:c r="A769" s="2" t="str">
        <x:v>P30416</x:v>
      </x:c>
      <x:c r="B769" s="2" t="str">
        <x:v>ED</x:v>
      </x:c>
      <x:c r="C769" s="2" t="n">
        <x:v>1</x:v>
      </x:c>
      <x:c r="D769" s="2" t="n">
        <x:v>1</x:v>
      </x:c>
      <x:c r="E769" s="10" t="n">
        <x:v>90.11010917030568</x:v>
      </x:c>
      <x:c r="F769" s="11" t="n">
        <x:v>458</x:v>
      </x:c>
      <x:c r="G769" s="11" t="n">
        <x:v>0</x:v>
      </x:c>
      <x:c r="H769" s="11" t="n">
        <x:v>0</x:v>
      </x:c>
      <x:c r="I769" s="11" t="n">
        <x:v>0</x:v>
      </x:c>
      <x:c r="J769" s="11" t="n">
        <x:v>0</x:v>
      </x:c>
      <x:c r="K769" s="11" t="n">
        <x:v>1</x:v>
      </x:c>
      <x:c r="L769" s="11" t="n">
        <x:f>IF(B769="NED",1,IF(OR(B769="ED",B769="UN"),0,""))</x:f>
        <x:v>0</x:v>
      </x:c>
      <x:c r="M769" s="11" t="n">
        <x:f>IF(AND(K769=1,OR(B769="ED",B769="NED")),1,0)</x:f>
        <x:v>1</x:v>
      </x:c>
      <x:c r="N769" s="11" t="n">
        <x:f>IF(K769=1,1,0)</x:f>
        <x:v>1</x:v>
      </x:c>
      <x:c r="O769" s="12"/>
      <x:c r="P769" s="11" t="n">
        <x:v>0</x:v>
      </x:c>
      <x:c r="Q769" s="12" t="str">
        <x:v>AF-P30416-F1-model_v6</x:v>
      </x:c>
      <x:c r="R769" s="12" t="str">
        <x:v>ok</x:v>
      </x:c>
      <x:c r="S769" s="11" t="n">
        <x:v>385</x:v>
      </x:c>
      <x:c r="T769" s="11" t="n">
        <x:v>458</x:v>
      </x:c>
    </x:row>
    <x:row r="770" ht="23" customHeight="1">
      <x:c r="A770" s="2" t="str">
        <x:v>P30681</x:v>
      </x:c>
      <x:c r="B770" s="2" t="str">
        <x:v>ED</x:v>
      </x:c>
      <x:c r="C770" s="2" t="n">
        <x:v>0</x:v>
      </x:c>
      <x:c r="D770" s="2" t="n">
        <x:v>0</x:v>
      </x:c>
      <x:c r="E770" s="10"/>
      <x:c r="F770" s="11" t="n">
        <x:v>210</x:v>
      </x:c>
      <x:c r="G770" s="11" t="n">
        <x:v>0</x:v>
      </x:c>
      <x:c r="H770" s="11" t="n">
        <x:v>0</x:v>
      </x:c>
      <x:c r="I770" s="11" t="n">
        <x:v>0</x:v>
      </x:c>
      <x:c r="J770" s="11" t="n">
        <x:v>1</x:v>
      </x:c>
      <x:c r="K770" s="11" t="n">
        <x:v>0</x:v>
      </x:c>
      <x:c r="L770" s="11" t="n">
        <x:f>IF(B770="NED",1,IF(OR(B770="ED",B770="UN"),0,""))</x:f>
        <x:v>0</x:v>
      </x:c>
      <x:c r="M770" s="11" t="n">
        <x:f>IF(AND(K770=1,OR(B770="ED",B770="NED")),1,0)</x:f>
        <x:v>0</x:v>
      </x:c>
      <x:c r="N770" s="11" t="n">
        <x:f>IF(K770=1,1,0)</x:f>
        <x:v>0</x:v>
      </x:c>
      <x:c r="O770" s="12" t="str">
        <x:v>Exclude UniProt Secreted keyword</x:v>
      </x:c>
      <x:c r="P770" s="11" t="n">
        <x:v>0</x:v>
      </x:c>
      <x:c r="Q770" s="12" t="str">
        <x:v>AF-P30681-F1-model_v6</x:v>
      </x:c>
      <x:c r="R770" s="12" t="str">
        <x:v>ok</x:v>
      </x:c>
      <x:c r="S770" s="11" t="n">
        <x:v>386</x:v>
      </x:c>
      <x:c r="T770" s="11" t="n">
        <x:v>210</x:v>
      </x:c>
    </x:row>
    <x:row r="771" ht="23" customHeight="1">
      <x:c r="A771" s="2" t="str">
        <x:v>P31230</x:v>
      </x:c>
      <x:c r="B771" s="2" t="str">
        <x:v>ED</x:v>
      </x:c>
      <x:c r="C771" s="2" t="n">
        <x:v>1</x:v>
      </x:c>
      <x:c r="D771" s="2" t="n">
        <x:v>1</x:v>
      </x:c>
      <x:c r="E771" s="10"/>
      <x:c r="F771" s="11" t="n">
        <x:v>310</x:v>
      </x:c>
      <x:c r="G771" s="11" t="n">
        <x:v>0</x:v>
      </x:c>
      <x:c r="H771" s="11" t="n">
        <x:v>0</x:v>
      </x:c>
      <x:c r="I771" s="11" t="n">
        <x:v>0</x:v>
      </x:c>
      <x:c r="J771" s="11" t="n">
        <x:v>1</x:v>
      </x:c>
      <x:c r="K771" s="11" t="n">
        <x:v>0</x:v>
      </x:c>
      <x:c r="L771" s="11" t="n">
        <x:f>IF(B771="NED",1,IF(OR(B771="ED",B771="UN"),0,""))</x:f>
        <x:v>0</x:v>
      </x:c>
      <x:c r="M771" s="11" t="n">
        <x:f>IF(AND(K771=1,OR(B771="ED",B771="NED")),1,0)</x:f>
        <x:v>0</x:v>
      </x:c>
      <x:c r="N771" s="11" t="n">
        <x:f>IF(K771=1,1,0)</x:f>
        <x:v>0</x:v>
      </x:c>
      <x:c r="O771" s="12" t="str">
        <x:v>Exclude UniProt Secreted keyword</x:v>
      </x:c>
      <x:c r="P771" s="11" t="n">
        <x:v>0</x:v>
      </x:c>
      <x:c r="Q771" s="12" t="str">
        <x:v>AF-P31230-F1-model_v6</x:v>
      </x:c>
      <x:c r="R771" s="12" t="str">
        <x:v>ok</x:v>
      </x:c>
      <x:c r="S771" s="11" t="n">
        <x:v>387</x:v>
      </x:c>
      <x:c r="T771" s="11" t="n">
        <x:v>310</x:v>
      </x:c>
    </x:row>
    <x:row r="772" ht="23" customHeight="1">
      <x:c r="A772" s="2" t="str">
        <x:v>P31324</x:v>
      </x:c>
      <x:c r="B772" s="2" t="str">
        <x:v>ED</x:v>
      </x:c>
      <x:c r="C772" s="2" t="n">
        <x:v>1</x:v>
      </x:c>
      <x:c r="D772" s="2" t="n">
        <x:v>1</x:v>
      </x:c>
      <x:c r="E772" s="10"/>
      <x:c r="F772" s="11" t="n">
        <x:v>416</x:v>
      </x:c>
      <x:c r="G772" s="11" t="n">
        <x:v>0</x:v>
      </x:c>
      <x:c r="H772" s="11" t="n">
        <x:v>0</x:v>
      </x:c>
      <x:c r="I772" s="11" t="n">
        <x:v>1</x:v>
      </x:c>
      <x:c r="J772" s="11" t="n">
        <x:v>0</x:v>
      </x:c>
      <x:c r="K772" s="11" t="n">
        <x:v>0</x:v>
      </x:c>
      <x:c r="L772" s="11" t="n">
        <x:f>IF(B772="NED",1,IF(OR(B772="ED",B772="UN"),0,""))</x:f>
        <x:v>0</x:v>
      </x:c>
      <x:c r="M772" s="11" t="n">
        <x:f>IF(AND(K772=1,OR(B772="ED",B772="NED")),1,0)</x:f>
        <x:v>0</x:v>
      </x:c>
      <x:c r="N772" s="11" t="n">
        <x:f>IF(K772=1,1,0)</x:f>
        <x:v>0</x:v>
      </x:c>
      <x:c r="O772" s="12" t="str">
        <x:v>Exclude UniProt Membrane keyword</x:v>
      </x:c>
      <x:c r="P772" s="11" t="n">
        <x:v>0</x:v>
      </x:c>
      <x:c r="Q772" s="12" t="str">
        <x:v>AF-P31324-F1-model_v6</x:v>
      </x:c>
      <x:c r="R772" s="12" t="str">
        <x:v>ok</x:v>
      </x:c>
      <x:c r="S772" s="11" t="n">
        <x:v>388</x:v>
      </x:c>
      <x:c r="T772" s="11" t="n">
        <x:v>416</x:v>
      </x:c>
    </x:row>
    <x:row r="773" ht="23" customHeight="1">
      <x:c r="A773" s="2" t="str">
        <x:v>P31786</x:v>
      </x:c>
      <x:c r="B773" s="2" t="str">
        <x:v>ED</x:v>
      </x:c>
      <x:c r="C773" s="2" t="n">
        <x:v>0</x:v>
      </x:c>
      <x:c r="D773" s="2" t="n">
        <x:v>0</x:v>
      </x:c>
      <x:c r="E773" s="10" t="n">
        <x:v>97.50977011494253</x:v>
      </x:c>
      <x:c r="F773" s="11" t="n">
        <x:v>87</x:v>
      </x:c>
      <x:c r="G773" s="11" t="n">
        <x:v>0</x:v>
      </x:c>
      <x:c r="H773" s="11" t="n">
        <x:v>0</x:v>
      </x:c>
      <x:c r="I773" s="11" t="n">
        <x:v>0</x:v>
      </x:c>
      <x:c r="J773" s="11" t="n">
        <x:v>0</x:v>
      </x:c>
      <x:c r="K773" s="11" t="n">
        <x:v>1</x:v>
      </x:c>
      <x:c r="L773" s="11" t="n">
        <x:f>IF(B773="NED",1,IF(OR(B773="ED",B773="UN"),0,""))</x:f>
        <x:v>0</x:v>
      </x:c>
      <x:c r="M773" s="11" t="n">
        <x:f>IF(AND(K773=1,OR(B773="ED",B773="NED")),1,0)</x:f>
        <x:v>1</x:v>
      </x:c>
      <x:c r="N773" s="11" t="n">
        <x:f>IF(K773=1,1,0)</x:f>
        <x:v>1</x:v>
      </x:c>
      <x:c r="O773" s="12"/>
      <x:c r="P773" s="11" t="n">
        <x:v>0</x:v>
      </x:c>
      <x:c r="Q773" s="12" t="str">
        <x:v>AF-P31786-F1-model_v6</x:v>
      </x:c>
      <x:c r="R773" s="12" t="str">
        <x:v>ok</x:v>
      </x:c>
      <x:c r="S773" s="11" t="n">
        <x:v>389</x:v>
      </x:c>
      <x:c r="T773" s="11" t="n">
        <x:v>87</x:v>
      </x:c>
    </x:row>
    <x:row r="774" ht="23" customHeight="1">
      <x:c r="A774" s="2" t="str">
        <x:v>P31938</x:v>
      </x:c>
      <x:c r="B774" s="2" t="str">
        <x:v>ED</x:v>
      </x:c>
      <x:c r="C774" s="2" t="n">
        <x:v>1</x:v>
      </x:c>
      <x:c r="D774" s="2" t="n">
        <x:v>1</x:v>
      </x:c>
      <x:c r="E774" s="10"/>
      <x:c r="F774" s="11" t="n">
        <x:v>393</x:v>
      </x:c>
      <x:c r="G774" s="11" t="n">
        <x:v>0</x:v>
      </x:c>
      <x:c r="H774" s="11" t="n">
        <x:v>0</x:v>
      </x:c>
      <x:c r="I774" s="11" t="n">
        <x:v>1</x:v>
      </x:c>
      <x:c r="J774" s="11" t="n">
        <x:v>0</x:v>
      </x:c>
      <x:c r="K774" s="11" t="n">
        <x:v>0</x:v>
      </x:c>
      <x:c r="L774" s="11" t="n">
        <x:f>IF(B774="NED",1,IF(OR(B774="ED",B774="UN"),0,""))</x:f>
        <x:v>0</x:v>
      </x:c>
      <x:c r="M774" s="11" t="n">
        <x:f>IF(AND(K774=1,OR(B774="ED",B774="NED")),1,0)</x:f>
        <x:v>0</x:v>
      </x:c>
      <x:c r="N774" s="11" t="n">
        <x:f>IF(K774=1,1,0)</x:f>
        <x:v>0</x:v>
      </x:c>
      <x:c r="O774" s="12" t="str">
        <x:v>Exclude UniProt Membrane keyword</x:v>
      </x:c>
      <x:c r="P774" s="11" t="n">
        <x:v>0</x:v>
      </x:c>
      <x:c r="Q774" s="12" t="str">
        <x:v>AF-P31938-F1-model_v6</x:v>
      </x:c>
      <x:c r="R774" s="12" t="str">
        <x:v>ok</x:v>
      </x:c>
      <x:c r="S774" s="11" t="n">
        <x:v>390</x:v>
      </x:c>
      <x:c r="T774" s="11" t="n">
        <x:v>393</x:v>
      </x:c>
    </x:row>
    <x:row r="775" ht="23" customHeight="1">
      <x:c r="A775" s="2" t="str">
        <x:v>P32020</x:v>
      </x:c>
      <x:c r="B775" s="2" t="str">
        <x:v>NED</x:v>
      </x:c>
      <x:c r="C775" s="2" t="n">
        <x:v>1</x:v>
      </x:c>
      <x:c r="D775" s="2" t="n">
        <x:v>1</x:v>
      </x:c>
      <x:c r="E775" s="10" t="n">
        <x:v>92.13787934186472</x:v>
      </x:c>
      <x:c r="F775" s="11" t="n">
        <x:v>547</x:v>
      </x:c>
      <x:c r="G775" s="11" t="n">
        <x:v>0</x:v>
      </x:c>
      <x:c r="H775" s="11" t="n">
        <x:v>0</x:v>
      </x:c>
      <x:c r="I775" s="11" t="n">
        <x:v>0</x:v>
      </x:c>
      <x:c r="J775" s="11" t="n">
        <x:v>0</x:v>
      </x:c>
      <x:c r="K775" s="11" t="n">
        <x:v>1</x:v>
      </x:c>
      <x:c r="L775" s="11" t="n">
        <x:f>IF(B775="NED",1,IF(OR(B775="ED",B775="UN"),0,""))</x:f>
        <x:v>1</x:v>
      </x:c>
      <x:c r="M775" s="11" t="n">
        <x:f>IF(AND(K775=1,OR(B775="ED",B775="NED")),1,0)</x:f>
        <x:v>1</x:v>
      </x:c>
      <x:c r="N775" s="11" t="n">
        <x:f>IF(K775=1,1,0)</x:f>
        <x:v>1</x:v>
      </x:c>
      <x:c r="O775" s="12"/>
      <x:c r="P775" s="11" t="n">
        <x:v>0</x:v>
      </x:c>
      <x:c r="Q775" s="12" t="str">
        <x:v>AF-P32020-F1-model_v6</x:v>
      </x:c>
      <x:c r="R775" s="12" t="str">
        <x:v>ok</x:v>
      </x:c>
      <x:c r="S775" s="11" t="n">
        <x:v>391</x:v>
      </x:c>
      <x:c r="T775" s="11" t="n">
        <x:v>547</x:v>
      </x:c>
    </x:row>
    <x:row r="776" ht="23" customHeight="1">
      <x:c r="A776" s="2" t="str">
        <x:v>P32067</x:v>
      </x:c>
      <x:c r="B776" s="2" t="str">
        <x:v>UN</x:v>
      </x:c>
      <x:c r="C776" s="2" t="n">
        <x:v>1</x:v>
      </x:c>
      <x:c r="D776" s="2" t="n">
        <x:v>1</x:v>
      </x:c>
      <x:c r="E776" s="10" t="n">
        <x:v>71.00156626506025</x:v>
      </x:c>
      <x:c r="F776" s="11" t="n">
        <x:v>415</x:v>
      </x:c>
      <x:c r="G776" s="11" t="n">
        <x:v>0</x:v>
      </x:c>
      <x:c r="H776" s="11" t="n">
        <x:v>0</x:v>
      </x:c>
      <x:c r="I776" s="11" t="n">
        <x:v>0</x:v>
      </x:c>
      <x:c r="J776" s="11" t="n">
        <x:v>0</x:v>
      </x:c>
      <x:c r="K776" s="11" t="n">
        <x:v>1</x:v>
      </x:c>
      <x:c r="L776" s="11" t="n">
        <x:f>IF(B776="NED",1,IF(OR(B776="ED",B776="UN"),0,""))</x:f>
        <x:v>0</x:v>
      </x:c>
      <x:c r="M776" s="11" t="n">
        <x:f>IF(AND(K776=1,OR(B776="ED",B776="NED")),1,0)</x:f>
        <x:v>0</x:v>
      </x:c>
      <x:c r="N776" s="11" t="n">
        <x:f>IF(K776=1,1,0)</x:f>
        <x:v>1</x:v>
      </x:c>
      <x:c r="O776" s="12"/>
      <x:c r="P776" s="11" t="n">
        <x:v>0</x:v>
      </x:c>
      <x:c r="Q776" s="12" t="str">
        <x:v>AF-P32067-F1-model_v6</x:v>
      </x:c>
      <x:c r="R776" s="12" t="str">
        <x:v>ok</x:v>
      </x:c>
      <x:c r="S776" s="11" t="n">
        <x:v>392</x:v>
      </x:c>
      <x:c r="T776" s="11" t="n">
        <x:v>415</x:v>
      </x:c>
    </x:row>
    <x:row r="777" ht="23" customHeight="1">
      <x:c r="A777" s="2" t="str">
        <x:v>P32233</x:v>
      </x:c>
      <x:c r="B777" s="2" t="str">
        <x:v>UN</x:v>
      </x:c>
      <x:c r="C777" s="2" t="n">
        <x:v>1</x:v>
      </x:c>
      <x:c r="D777" s="2" t="n">
        <x:v>1</x:v>
      </x:c>
      <x:c r="E777" s="10" t="n">
        <x:v>83.59237057220709</x:v>
      </x:c>
      <x:c r="F777" s="11" t="n">
        <x:v>367</x:v>
      </x:c>
      <x:c r="G777" s="11" t="n">
        <x:v>0</x:v>
      </x:c>
      <x:c r="H777" s="11" t="n">
        <x:v>0</x:v>
      </x:c>
      <x:c r="I777" s="11" t="n">
        <x:v>0</x:v>
      </x:c>
      <x:c r="J777" s="11" t="n">
        <x:v>0</x:v>
      </x:c>
      <x:c r="K777" s="11" t="n">
        <x:v>1</x:v>
      </x:c>
      <x:c r="L777" s="11" t="n">
        <x:f>IF(B777="NED",1,IF(OR(B777="ED",B777="UN"),0,""))</x:f>
        <x:v>0</x:v>
      </x:c>
      <x:c r="M777" s="11" t="n">
        <x:f>IF(AND(K777=1,OR(B777="ED",B777="NED")),1,0)</x:f>
        <x:v>0</x:v>
      </x:c>
      <x:c r="N777" s="11" t="n">
        <x:f>IF(K777=1,1,0)</x:f>
        <x:v>1</x:v>
      </x:c>
      <x:c r="O777" s="12"/>
      <x:c r="P777" s="11" t="n">
        <x:v>0</x:v>
      </x:c>
      <x:c r="Q777" s="12" t="str">
        <x:v>AF-P32233-F1-model_v6</x:v>
      </x:c>
      <x:c r="R777" s="12" t="str">
        <x:v>ok</x:v>
      </x:c>
      <x:c r="S777" s="11" t="n">
        <x:v>393</x:v>
      </x:c>
      <x:c r="T777" s="11" t="n">
        <x:v>367</x:v>
      </x:c>
    </x:row>
    <x:row r="778" ht="23" customHeight="1">
      <x:c r="A778" s="2" t="str">
        <x:v>P32507</x:v>
      </x:c>
      <x:c r="B778" s="2" t="str">
        <x:v>UN</x:v>
      </x:c>
      <x:c r="C778" s="2" t="n">
        <x:v>1</x:v>
      </x:c>
      <x:c r="D778" s="2" t="n">
        <x:v>1</x:v>
      </x:c>
      <x:c r="E778" s="10"/>
      <x:c r="F778" s="11" t="n">
        <x:v>530</x:v>
      </x:c>
      <x:c r="G778" s="11" t="n">
        <x:v>0</x:v>
      </x:c>
      <x:c r="H778" s="11" t="n">
        <x:v>0</x:v>
      </x:c>
      <x:c r="I778" s="11" t="n">
        <x:v>1</x:v>
      </x:c>
      <x:c r="J778" s="11" t="n">
        <x:v>0</x:v>
      </x:c>
      <x:c r="K778" s="11" t="n">
        <x:v>0</x:v>
      </x:c>
      <x:c r="L778" s="11" t="n">
        <x:f>IF(B778="NED",1,IF(OR(B778="ED",B778="UN"),0,""))</x:f>
        <x:v>0</x:v>
      </x:c>
      <x:c r="M778" s="11" t="n">
        <x:f>IF(AND(K778=1,OR(B778="ED",B778="NED")),1,0)</x:f>
        <x:v>0</x:v>
      </x:c>
      <x:c r="N778" s="11" t="n">
        <x:f>IF(K778=1,1,0)</x:f>
        <x:v>0</x:v>
      </x:c>
      <x:c r="O778" s="12" t="str">
        <x:v>Exclude UniProt Membrane keyword</x:v>
      </x:c>
      <x:c r="P778" s="11" t="n">
        <x:v>0</x:v>
      </x:c>
      <x:c r="Q778" s="12" t="str">
        <x:v>AF-P32507-F1-model_v6</x:v>
      </x:c>
      <x:c r="R778" s="12" t="str">
        <x:v>ok</x:v>
      </x:c>
      <x:c r="S778" s="11" t="n">
        <x:v>394</x:v>
      </x:c>
      <x:c r="T778" s="11" t="n">
        <x:v>530</x:v>
      </x:c>
    </x:row>
    <x:row r="779" ht="23" customHeight="1">
      <x:c r="A779" s="2" t="str">
        <x:v>P32883-2</x:v>
      </x:c>
      <x:c r="B779" s="2" t="str">
        <x:v>ED</x:v>
      </x:c>
      <x:c r="C779" s="2"/>
      <x:c r="D779" s="2"/>
      <x:c r="E779" s="10"/>
      <x:c r="F779" s="11"/>
      <x:c r="G779" s="11" t="n">
        <x:v>0</x:v>
      </x:c>
      <x:c r="H779" s="11" t="n">
        <x:v>0</x:v>
      </x:c>
      <x:c r="I779" s="11"/>
      <x:c r="J779" s="11"/>
      <x:c r="K779" s="11" t="n">
        <x:v>0</x:v>
      </x:c>
      <x:c r="L779" s="11" t="n">
        <x:f>IF(B779="NED",1,IF(OR(B779="ED",B779="UN"),0,""))</x:f>
        <x:v>0</x:v>
      </x:c>
      <x:c r="M779" s="11" t="n">
        <x:f>IF(AND(K779=1,OR(B779="ED",B779="NED")),1,0)</x:f>
        <x:v>0</x:v>
      </x:c>
      <x:c r="N779" s="11" t="n">
        <x:f>IF(K779=1,1,0)</x:f>
        <x:v>0</x:v>
      </x:c>
      <x:c r="O779" s="12" t="str">
        <x:v>Require exact native accession match</x:v>
      </x:c>
      <x:c r="P779" s="11" t="n">
        <x:v>0</x:v>
      </x:c>
      <x:c r="Q779" s="12"/>
      <x:c r="R779" s="12"/>
      <x:c r="S779" s="11" t="n">
        <x:v>395</x:v>
      </x:c>
      <x:c r="T779" s="11"/>
    </x:row>
    <x:row r="780" ht="23" customHeight="1">
      <x:c r="A780" s="2" t="str">
        <x:v>P32921-2</x:v>
      </x:c>
      <x:c r="B780" s="2" t="str">
        <x:v>ED</x:v>
      </x:c>
      <x:c r="C780" s="2"/>
      <x:c r="D780" s="2"/>
      <x:c r="E780" s="10"/>
      <x:c r="F780" s="11"/>
      <x:c r="G780" s="11" t="n">
        <x:v>0</x:v>
      </x:c>
      <x:c r="H780" s="11" t="n">
        <x:v>0</x:v>
      </x:c>
      <x:c r="I780" s="11"/>
      <x:c r="J780" s="11"/>
      <x:c r="K780" s="11" t="n">
        <x:v>0</x:v>
      </x:c>
      <x:c r="L780" s="11" t="n">
        <x:f>IF(B780="NED",1,IF(OR(B780="ED",B780="UN"),0,""))</x:f>
        <x:v>0</x:v>
      </x:c>
      <x:c r="M780" s="11" t="n">
        <x:f>IF(AND(K780=1,OR(B780="ED",B780="NED")),1,0)</x:f>
        <x:v>0</x:v>
      </x:c>
      <x:c r="N780" s="11" t="n">
        <x:f>IF(K780=1,1,0)</x:f>
        <x:v>0</x:v>
      </x:c>
      <x:c r="O780" s="12" t="str">
        <x:v>Require exact native accession match</x:v>
      </x:c>
      <x:c r="P780" s="11" t="n">
        <x:v>0</x:v>
      </x:c>
      <x:c r="Q780" s="12"/>
      <x:c r="R780" s="12"/>
      <x:c r="S780" s="11" t="n">
        <x:v>396</x:v>
      </x:c>
      <x:c r="T780" s="11"/>
    </x:row>
    <x:row r="781" ht="23" customHeight="1">
      <x:c r="A781" s="2" t="str">
        <x:v>P33174</x:v>
      </x:c>
      <x:c r="B781" s="2" t="str">
        <x:v>UN</x:v>
      </x:c>
      <x:c r="C781" s="2" t="n">
        <x:v>1</x:v>
      </x:c>
      <x:c r="D781" s="2" t="n">
        <x:v>1</x:v>
      </x:c>
      <x:c r="E781" s="10" t="n">
        <x:v>71.75382615759546</x:v>
      </x:c>
      <x:c r="F781" s="11" t="n">
        <x:v>1231</x:v>
      </x:c>
      <x:c r="G781" s="11" t="n">
        <x:v>0</x:v>
      </x:c>
      <x:c r="H781" s="11" t="n">
        <x:v>0</x:v>
      </x:c>
      <x:c r="I781" s="11" t="n">
        <x:v>0</x:v>
      </x:c>
      <x:c r="J781" s="11" t="n">
        <x:v>0</x:v>
      </x:c>
      <x:c r="K781" s="11" t="n">
        <x:v>1</x:v>
      </x:c>
      <x:c r="L781" s="11" t="n">
        <x:f>IF(B781="NED",1,IF(OR(B781="ED",B781="UN"),0,""))</x:f>
        <x:v>0</x:v>
      </x:c>
      <x:c r="M781" s="11" t="n">
        <x:f>IF(AND(K781=1,OR(B781="ED",B781="NED")),1,0)</x:f>
        <x:v>0</x:v>
      </x:c>
      <x:c r="N781" s="11" t="n">
        <x:f>IF(K781=1,1,0)</x:f>
        <x:v>1</x:v>
      </x:c>
      <x:c r="O781" s="12"/>
      <x:c r="P781" s="11" t="n">
        <x:v>0</x:v>
      </x:c>
      <x:c r="Q781" s="12" t="str">
        <x:v>AF-P33174-F1-model_v6</x:v>
      </x:c>
      <x:c r="R781" s="12" t="str">
        <x:v>ok</x:v>
      </x:c>
      <x:c r="S781" s="11" t="n">
        <x:v>397</x:v>
      </x:c>
      <x:c r="T781" s="11" t="n">
        <x:v>1231</x:v>
      </x:c>
    </x:row>
    <x:row r="782" ht="23" customHeight="1">
      <x:c r="A782" s="2" t="str">
        <x:v>P33215</x:v>
      </x:c>
      <x:c r="B782" s="2" t="str">
        <x:v>ED</x:v>
      </x:c>
      <x:c r="C782" s="2" t="n">
        <x:v>1</x:v>
      </x:c>
      <x:c r="D782" s="2" t="n">
        <x:v>1</x:v>
      </x:c>
      <x:c r="E782" s="10" t="n">
        <x:v>65.50127272727272</x:v>
      </x:c>
      <x:c r="F782" s="11" t="n">
        <x:v>660</x:v>
      </x:c>
      <x:c r="G782" s="11" t="n">
        <x:v>0</x:v>
      </x:c>
      <x:c r="H782" s="11" t="n">
        <x:v>0</x:v>
      </x:c>
      <x:c r="I782" s="11" t="n">
        <x:v>0</x:v>
      </x:c>
      <x:c r="J782" s="11" t="n">
        <x:v>0</x:v>
      </x:c>
      <x:c r="K782" s="11" t="n">
        <x:v>0</x:v>
      </x:c>
      <x:c r="L782" s="11" t="n">
        <x:f>IF(B782="NED",1,IF(OR(B782="ED",B782="UN"),0,""))</x:f>
        <x:v>0</x:v>
      </x:c>
      <x:c r="M782" s="11" t="n">
        <x:f>IF(AND(K782=1,OR(B782="ED",B782="NED")),1,0)</x:f>
        <x:v>0</x:v>
      </x:c>
      <x:c r="N782" s="11" t="n">
        <x:f>IF(K782=1,1,0)</x:f>
        <x:v>0</x:v>
      </x:c>
      <x:c r="O782" s="12" t="str">
        <x:v>Retain protein mean pLDDT &gt;=70</x:v>
      </x:c>
      <x:c r="P782" s="11" t="n">
        <x:v>0</x:v>
      </x:c>
      <x:c r="Q782" s="12" t="str">
        <x:v>AF-P33215-F1-model_v6</x:v>
      </x:c>
      <x:c r="R782" s="12" t="str">
        <x:v>ok</x:v>
      </x:c>
      <x:c r="S782" s="11" t="n">
        <x:v>398</x:v>
      </x:c>
      <x:c r="T782" s="11" t="n">
        <x:v>660</x:v>
      </x:c>
    </x:row>
    <x:row r="783" ht="23" customHeight="1">
      <x:c r="A783" s="2" t="str">
        <x:v>P33609</x:v>
      </x:c>
      <x:c r="B783" s="2" t="str">
        <x:v>NED</x:v>
      </x:c>
      <x:c r="C783" s="2" t="n">
        <x:v>1</x:v>
      </x:c>
      <x:c r="D783" s="2" t="n">
        <x:v>1</x:v>
      </x:c>
      <x:c r="E783" s="10" t="n">
        <x:v>75.50862116040956</x:v>
      </x:c>
      <x:c r="F783" s="11" t="n">
        <x:v>1465</x:v>
      </x:c>
      <x:c r="G783" s="11" t="n">
        <x:v>0</x:v>
      </x:c>
      <x:c r="H783" s="11" t="n">
        <x:v>0</x:v>
      </x:c>
      <x:c r="I783" s="11" t="n">
        <x:v>0</x:v>
      </x:c>
      <x:c r="J783" s="11" t="n">
        <x:v>0</x:v>
      </x:c>
      <x:c r="K783" s="11" t="n">
        <x:v>1</x:v>
      </x:c>
      <x:c r="L783" s="11" t="n">
        <x:f>IF(B783="NED",1,IF(OR(B783="ED",B783="UN"),0,""))</x:f>
        <x:v>1</x:v>
      </x:c>
      <x:c r="M783" s="11" t="n">
        <x:f>IF(AND(K783=1,OR(B783="ED",B783="NED")),1,0)</x:f>
        <x:v>1</x:v>
      </x:c>
      <x:c r="N783" s="11" t="n">
        <x:f>IF(K783=1,1,0)</x:f>
        <x:v>1</x:v>
      </x:c>
      <x:c r="O783" s="12"/>
      <x:c r="P783" s="11" t="n">
        <x:v>0</x:v>
      </x:c>
      <x:c r="Q783" s="12" t="str">
        <x:v>AF-P33609-F1-model_v6</x:v>
      </x:c>
      <x:c r="R783" s="12" t="str">
        <x:v>ok</x:v>
      </x:c>
      <x:c r="S783" s="11" t="n">
        <x:v>399</x:v>
      </x:c>
      <x:c r="T783" s="11" t="n">
        <x:v>1465</x:v>
      </x:c>
    </x:row>
    <x:row r="784" ht="23" customHeight="1">
      <x:c r="A784" s="2" t="str">
        <x:v>P33610</x:v>
      </x:c>
      <x:c r="B784" s="2" t="str">
        <x:v>UN</x:v>
      </x:c>
      <x:c r="C784" s="2" t="n">
        <x:v>1</x:v>
      </x:c>
      <x:c r="D784" s="2" t="n">
        <x:v>1</x:v>
      </x:c>
      <x:c r="E784" s="10" t="n">
        <x:v>82.59097029702971</x:v>
      </x:c>
      <x:c r="F784" s="11" t="n">
        <x:v>505</x:v>
      </x:c>
      <x:c r="G784" s="11" t="n">
        <x:v>0</x:v>
      </x:c>
      <x:c r="H784" s="11" t="n">
        <x:v>0</x:v>
      </x:c>
      <x:c r="I784" s="11" t="n">
        <x:v>0</x:v>
      </x:c>
      <x:c r="J784" s="11" t="n">
        <x:v>0</x:v>
      </x:c>
      <x:c r="K784" s="11" t="n">
        <x:v>1</x:v>
      </x:c>
      <x:c r="L784" s="11" t="n">
        <x:f>IF(B784="NED",1,IF(OR(B784="ED",B784="UN"),0,""))</x:f>
        <x:v>0</x:v>
      </x:c>
      <x:c r="M784" s="11" t="n">
        <x:f>IF(AND(K784=1,OR(B784="ED",B784="NED")),1,0)</x:f>
        <x:v>0</x:v>
      </x:c>
      <x:c r="N784" s="11" t="n">
        <x:f>IF(K784=1,1,0)</x:f>
        <x:v>1</x:v>
      </x:c>
      <x:c r="O784" s="12"/>
      <x:c r="P784" s="11" t="n">
        <x:v>0</x:v>
      </x:c>
      <x:c r="Q784" s="12" t="str">
        <x:v>AF-P33610-F1-model_v6</x:v>
      </x:c>
      <x:c r="R784" s="12" t="str">
        <x:v>ok</x:v>
      </x:c>
      <x:c r="S784" s="11" t="n">
        <x:v>400</x:v>
      </x:c>
      <x:c r="T784" s="11" t="n">
        <x:v>505</x:v>
      </x:c>
    </x:row>
    <x:row r="785" ht="23" customHeight="1">
      <x:c r="A785" s="2" t="str">
        <x:v>P33611</x:v>
      </x:c>
      <x:c r="B785" s="2" t="str">
        <x:v>UN</x:v>
      </x:c>
      <x:c r="C785" s="2" t="n">
        <x:v>1</x:v>
      </x:c>
      <x:c r="D785" s="2" t="n">
        <x:v>1</x:v>
      </x:c>
      <x:c r="E785" s="10" t="n">
        <x:v>85.68270000000001</x:v>
      </x:c>
      <x:c r="F785" s="11" t="n">
        <x:v>600</x:v>
      </x:c>
      <x:c r="G785" s="11" t="n">
        <x:v>0</x:v>
      </x:c>
      <x:c r="H785" s="11" t="n">
        <x:v>0</x:v>
      </x:c>
      <x:c r="I785" s="11" t="n">
        <x:v>0</x:v>
      </x:c>
      <x:c r="J785" s="11" t="n">
        <x:v>0</x:v>
      </x:c>
      <x:c r="K785" s="11" t="n">
        <x:v>1</x:v>
      </x:c>
      <x:c r="L785" s="11" t="n">
        <x:f>IF(B785="NED",1,IF(OR(B785="ED",B785="UN"),0,""))</x:f>
        <x:v>0</x:v>
      </x:c>
      <x:c r="M785" s="11" t="n">
        <x:f>IF(AND(K785=1,OR(B785="ED",B785="NED")),1,0)</x:f>
        <x:v>0</x:v>
      </x:c>
      <x:c r="N785" s="11" t="n">
        <x:f>IF(K785=1,1,0)</x:f>
        <x:v>1</x:v>
      </x:c>
      <x:c r="O785" s="12"/>
      <x:c r="P785" s="11" t="n">
        <x:v>0</x:v>
      </x:c>
      <x:c r="Q785" s="12" t="str">
        <x:v>AF-P33611-F1-model_v6</x:v>
      </x:c>
      <x:c r="R785" s="12" t="str">
        <x:v>ok</x:v>
      </x:c>
      <x:c r="S785" s="11" t="n">
        <x:v>401</x:v>
      </x:c>
      <x:c r="T785" s="11" t="n">
        <x:v>600</x:v>
      </x:c>
    </x:row>
    <x:row r="786" ht="23" customHeight="1">
      <x:c r="A786" s="2" t="str">
        <x:v>P34022</x:v>
      </x:c>
      <x:c r="B786" s="2" t="str">
        <x:v>ED</x:v>
      </x:c>
      <x:c r="C786" s="2" t="n">
        <x:v>1</x:v>
      </x:c>
      <x:c r="D786" s="2" t="n">
        <x:v>1</x:v>
      </x:c>
      <x:c r="E786" s="10" t="n">
        <x:v>84.30334975369459</x:v>
      </x:c>
      <x:c r="F786" s="11" t="n">
        <x:v>203</x:v>
      </x:c>
      <x:c r="G786" s="11" t="n">
        <x:v>0</x:v>
      </x:c>
      <x:c r="H786" s="11" t="n">
        <x:v>0</x:v>
      </x:c>
      <x:c r="I786" s="11" t="n">
        <x:v>0</x:v>
      </x:c>
      <x:c r="J786" s="11" t="n">
        <x:v>0</x:v>
      </x:c>
      <x:c r="K786" s="11" t="n">
        <x:v>1</x:v>
      </x:c>
      <x:c r="L786" s="11" t="n">
        <x:f>IF(B786="NED",1,IF(OR(B786="ED",B786="UN"),0,""))</x:f>
        <x:v>0</x:v>
      </x:c>
      <x:c r="M786" s="11" t="n">
        <x:f>IF(AND(K786=1,OR(B786="ED",B786="NED")),1,0)</x:f>
        <x:v>1</x:v>
      </x:c>
      <x:c r="N786" s="11" t="n">
        <x:f>IF(K786=1,1,0)</x:f>
        <x:v>1</x:v>
      </x:c>
      <x:c r="O786" s="12"/>
      <x:c r="P786" s="11" t="n">
        <x:v>0</x:v>
      </x:c>
      <x:c r="Q786" s="12" t="str">
        <x:v>AF-P34022-F1-model_v6</x:v>
      </x:c>
      <x:c r="R786" s="12" t="str">
        <x:v>ok</x:v>
      </x:c>
      <x:c r="S786" s="11" t="n">
        <x:v>402</x:v>
      </x:c>
      <x:c r="T786" s="11" t="n">
        <x:v>203</x:v>
      </x:c>
    </x:row>
    <x:row r="787" ht="23" customHeight="1">
      <x:c r="A787" s="2" t="str">
        <x:v>P34152-3</x:v>
      </x:c>
      <x:c r="B787" s="2" t="str">
        <x:v>ED</x:v>
      </x:c>
      <x:c r="C787" s="2"/>
      <x:c r="D787" s="2"/>
      <x:c r="E787" s="10"/>
      <x:c r="F787" s="11"/>
      <x:c r="G787" s="11" t="n">
        <x:v>0</x:v>
      </x:c>
      <x:c r="H787" s="11" t="n">
        <x:v>0</x:v>
      </x:c>
      <x:c r="I787" s="11"/>
      <x:c r="J787" s="11"/>
      <x:c r="K787" s="11" t="n">
        <x:v>0</x:v>
      </x:c>
      <x:c r="L787" s="11" t="n">
        <x:f>IF(B787="NED",1,IF(OR(B787="ED",B787="UN"),0,""))</x:f>
        <x:v>0</x:v>
      </x:c>
      <x:c r="M787" s="11" t="n">
        <x:f>IF(AND(K787=1,OR(B787="ED",B787="NED")),1,0)</x:f>
        <x:v>0</x:v>
      </x:c>
      <x:c r="N787" s="11" t="n">
        <x:f>IF(K787=1,1,0)</x:f>
        <x:v>0</x:v>
      </x:c>
      <x:c r="O787" s="12" t="str">
        <x:v>Require exact native accession match</x:v>
      </x:c>
      <x:c r="P787" s="11" t="n">
        <x:v>0</x:v>
      </x:c>
      <x:c r="Q787" s="12"/>
      <x:c r="R787" s="12"/>
      <x:c r="S787" s="11" t="n">
        <x:v>403</x:v>
      </x:c>
      <x:c r="T787" s="11"/>
    </x:row>
    <x:row r="788" ht="23" customHeight="1">
      <x:c r="A788" s="2" t="str">
        <x:v>P34884</x:v>
      </x:c>
      <x:c r="B788" s="2" t="str">
        <x:v>ED</x:v>
      </x:c>
      <x:c r="C788" s="2" t="n">
        <x:v>0</x:v>
      </x:c>
      <x:c r="D788" s="2" t="n">
        <x:v>0</x:v>
      </x:c>
      <x:c r="E788" s="10"/>
      <x:c r="F788" s="11" t="n">
        <x:v>115</x:v>
      </x:c>
      <x:c r="G788" s="11" t="n">
        <x:v>0</x:v>
      </x:c>
      <x:c r="H788" s="11" t="n">
        <x:v>0</x:v>
      </x:c>
      <x:c r="I788" s="11" t="n">
        <x:v>0</x:v>
      </x:c>
      <x:c r="J788" s="11" t="n">
        <x:v>1</x:v>
      </x:c>
      <x:c r="K788" s="11" t="n">
        <x:v>0</x:v>
      </x:c>
      <x:c r="L788" s="11" t="n">
        <x:f>IF(B788="NED",1,IF(OR(B788="ED",B788="UN"),0,""))</x:f>
        <x:v>0</x:v>
      </x:c>
      <x:c r="M788" s="11" t="n">
        <x:f>IF(AND(K788=1,OR(B788="ED",B788="NED")),1,0)</x:f>
        <x:v>0</x:v>
      </x:c>
      <x:c r="N788" s="11" t="n">
        <x:f>IF(K788=1,1,0)</x:f>
        <x:v>0</x:v>
      </x:c>
      <x:c r="O788" s="12" t="str">
        <x:v>Exclude UniProt Secreted keyword</x:v>
      </x:c>
      <x:c r="P788" s="11" t="n">
        <x:v>0</x:v>
      </x:c>
      <x:c r="Q788" s="12" t="str">
        <x:v>AF-P34884-F1-model_v6</x:v>
      </x:c>
      <x:c r="R788" s="12" t="str">
        <x:v>ok</x:v>
      </x:c>
      <x:c r="S788" s="11" t="n">
        <x:v>404</x:v>
      </x:c>
      <x:c r="T788" s="11" t="n">
        <x:v>115</x:v>
      </x:c>
    </x:row>
    <x:row r="789" ht="23" customHeight="1">
      <x:c r="A789" s="2" t="str">
        <x:v>P35123</x:v>
      </x:c>
      <x:c r="B789" s="2" t="str">
        <x:v>UN</x:v>
      </x:c>
      <x:c r="C789" s="2" t="n">
        <x:v>1</x:v>
      </x:c>
      <x:c r="D789" s="2" t="n">
        <x:v>1</x:v>
      </x:c>
      <x:c r="E789" s="10" t="n">
        <x:v>74.87679833679833</x:v>
      </x:c>
      <x:c r="F789" s="11" t="n">
        <x:v>962</x:v>
      </x:c>
      <x:c r="G789" s="11" t="n">
        <x:v>0</x:v>
      </x:c>
      <x:c r="H789" s="11" t="n">
        <x:v>0</x:v>
      </x:c>
      <x:c r="I789" s="11" t="n">
        <x:v>0</x:v>
      </x:c>
      <x:c r="J789" s="11" t="n">
        <x:v>0</x:v>
      </x:c>
      <x:c r="K789" s="11" t="n">
        <x:v>1</x:v>
      </x:c>
      <x:c r="L789" s="11" t="n">
        <x:f>IF(B789="NED",1,IF(OR(B789="ED",B789="UN"),0,""))</x:f>
        <x:v>0</x:v>
      </x:c>
      <x:c r="M789" s="11" t="n">
        <x:f>IF(AND(K789=1,OR(B789="ED",B789="NED")),1,0)</x:f>
        <x:v>0</x:v>
      </x:c>
      <x:c r="N789" s="11" t="n">
        <x:f>IF(K789=1,1,0)</x:f>
        <x:v>1</x:v>
      </x:c>
      <x:c r="O789" s="12"/>
      <x:c r="P789" s="11" t="n">
        <x:v>0</x:v>
      </x:c>
      <x:c r="Q789" s="12" t="str">
        <x:v>AF-P35123-F1-model_v6</x:v>
      </x:c>
      <x:c r="R789" s="12" t="str">
        <x:v>ok</x:v>
      </x:c>
      <x:c r="S789" s="11" t="n">
        <x:v>405</x:v>
      </x:c>
      <x:c r="T789" s="11" t="n">
        <x:v>962</x:v>
      </x:c>
    </x:row>
    <x:row r="790" ht="23" customHeight="1">
      <x:c r="A790" s="2" t="str">
        <x:v>P35235</x:v>
      </x:c>
      <x:c r="B790" s="2" t="str">
        <x:v>ED</x:v>
      </x:c>
      <x:c r="C790" s="2" t="n">
        <x:v>1</x:v>
      </x:c>
      <x:c r="D790" s="2" t="n">
        <x:v>1</x:v>
      </x:c>
      <x:c r="E790" s="10" t="n">
        <x:v>85.60013490725126</x:v>
      </x:c>
      <x:c r="F790" s="11" t="n">
        <x:v>593</x:v>
      </x:c>
      <x:c r="G790" s="11" t="n">
        <x:v>0</x:v>
      </x:c>
      <x:c r="H790" s="11" t="n">
        <x:v>0</x:v>
      </x:c>
      <x:c r="I790" s="11" t="n">
        <x:v>0</x:v>
      </x:c>
      <x:c r="J790" s="11" t="n">
        <x:v>0</x:v>
      </x:c>
      <x:c r="K790" s="11" t="n">
        <x:v>1</x:v>
      </x:c>
      <x:c r="L790" s="11" t="n">
        <x:f>IF(B790="NED",1,IF(OR(B790="ED",B790="UN"),0,""))</x:f>
        <x:v>0</x:v>
      </x:c>
      <x:c r="M790" s="11" t="n">
        <x:f>IF(AND(K790=1,OR(B790="ED",B790="NED")),1,0)</x:f>
        <x:v>1</x:v>
      </x:c>
      <x:c r="N790" s="11" t="n">
        <x:f>IF(K790=1,1,0)</x:f>
        <x:v>1</x:v>
      </x:c>
      <x:c r="O790" s="12"/>
      <x:c r="P790" s="11" t="n">
        <x:v>0</x:v>
      </x:c>
      <x:c r="Q790" s="12" t="str">
        <x:v>AF-P35235-F1-model_v6</x:v>
      </x:c>
      <x:c r="R790" s="12" t="str">
        <x:v>ok</x:v>
      </x:c>
      <x:c r="S790" s="11" t="n">
        <x:v>406</x:v>
      </x:c>
      <x:c r="T790" s="11" t="n">
        <x:v>593</x:v>
      </x:c>
    </x:row>
    <x:row r="791" ht="23" customHeight="1">
      <x:c r="A791" s="2" t="str">
        <x:v>P35278</x:v>
      </x:c>
      <x:c r="B791" s="2" t="str">
        <x:v>ED</x:v>
      </x:c>
      <x:c r="C791" s="2" t="n">
        <x:v>1</x:v>
      </x:c>
      <x:c r="D791" s="2" t="n">
        <x:v>1</x:v>
      </x:c>
      <x:c r="E791" s="10"/>
      <x:c r="F791" s="11" t="n">
        <x:v>216</x:v>
      </x:c>
      <x:c r="G791" s="11" t="n">
        <x:v>0</x:v>
      </x:c>
      <x:c r="H791" s="11" t="n">
        <x:v>0</x:v>
      </x:c>
      <x:c r="I791" s="11" t="n">
        <x:v>1</x:v>
      </x:c>
      <x:c r="J791" s="11" t="n">
        <x:v>0</x:v>
      </x:c>
      <x:c r="K791" s="11" t="n">
        <x:v>0</x:v>
      </x:c>
      <x:c r="L791" s="11" t="n">
        <x:f>IF(B791="NED",1,IF(OR(B791="ED",B791="UN"),0,""))</x:f>
        <x:v>0</x:v>
      </x:c>
      <x:c r="M791" s="11" t="n">
        <x:f>IF(AND(K791=1,OR(B791="ED",B791="NED")),1,0)</x:f>
        <x:v>0</x:v>
      </x:c>
      <x:c r="N791" s="11" t="n">
        <x:f>IF(K791=1,1,0)</x:f>
        <x:v>0</x:v>
      </x:c>
      <x:c r="O791" s="12" t="str">
        <x:v>Exclude UniProt Membrane keyword</x:v>
      </x:c>
      <x:c r="P791" s="11" t="n">
        <x:v>0</x:v>
      </x:c>
      <x:c r="Q791" s="12" t="str">
        <x:v>AF-P35278-F1-model_v6</x:v>
      </x:c>
      <x:c r="R791" s="12" t="str">
        <x:v>ok</x:v>
      </x:c>
      <x:c r="S791" s="11" t="n">
        <x:v>407</x:v>
      </x:c>
      <x:c r="T791" s="11" t="n">
        <x:v>216</x:v>
      </x:c>
    </x:row>
    <x:row r="792" ht="23" customHeight="1">
      <x:c r="A792" s="2" t="str">
        <x:v>P35279-2</x:v>
      </x:c>
      <x:c r="B792" s="2" t="str">
        <x:v>ED</x:v>
      </x:c>
      <x:c r="C792" s="2"/>
      <x:c r="D792" s="2"/>
      <x:c r="E792" s="10"/>
      <x:c r="F792" s="11"/>
      <x:c r="G792" s="11" t="n">
        <x:v>0</x:v>
      </x:c>
      <x:c r="H792" s="11" t="n">
        <x:v>0</x:v>
      </x:c>
      <x:c r="I792" s="11"/>
      <x:c r="J792" s="11"/>
      <x:c r="K792" s="11" t="n">
        <x:v>0</x:v>
      </x:c>
      <x:c r="L792" s="11" t="n">
        <x:f>IF(B792="NED",1,IF(OR(B792="ED",B792="UN"),0,""))</x:f>
        <x:v>0</x:v>
      </x:c>
      <x:c r="M792" s="11" t="n">
        <x:f>IF(AND(K792=1,OR(B792="ED",B792="NED")),1,0)</x:f>
        <x:v>0</x:v>
      </x:c>
      <x:c r="N792" s="11" t="n">
        <x:f>IF(K792=1,1,0)</x:f>
        <x:v>0</x:v>
      </x:c>
      <x:c r="O792" s="12" t="str">
        <x:v>Require exact native accession match</x:v>
      </x:c>
      <x:c r="P792" s="11" t="n">
        <x:v>0</x:v>
      </x:c>
      <x:c r="Q792" s="12"/>
      <x:c r="R792" s="12"/>
      <x:c r="S792" s="11" t="n">
        <x:v>408</x:v>
      </x:c>
      <x:c r="T792" s="11"/>
    </x:row>
    <x:row r="793" ht="23" customHeight="1">
      <x:c r="A793" s="2" t="str">
        <x:v>P35282</x:v>
      </x:c>
      <x:c r="B793" s="2" t="str">
        <x:v>ED</x:v>
      </x:c>
      <x:c r="C793" s="2" t="n">
        <x:v>1</x:v>
      </x:c>
      <x:c r="D793" s="2" t="n">
        <x:v>1</x:v>
      </x:c>
      <x:c r="E793" s="10"/>
      <x:c r="F793" s="11" t="n">
        <x:v>222</x:v>
      </x:c>
      <x:c r="G793" s="11" t="n">
        <x:v>0</x:v>
      </x:c>
      <x:c r="H793" s="11" t="n">
        <x:v>0</x:v>
      </x:c>
      <x:c r="I793" s="11" t="n">
        <x:v>1</x:v>
      </x:c>
      <x:c r="J793" s="11" t="n">
        <x:v>0</x:v>
      </x:c>
      <x:c r="K793" s="11" t="n">
        <x:v>0</x:v>
      </x:c>
      <x:c r="L793" s="11" t="n">
        <x:f>IF(B793="NED",1,IF(OR(B793="ED",B793="UN"),0,""))</x:f>
        <x:v>0</x:v>
      </x:c>
      <x:c r="M793" s="11" t="n">
        <x:f>IF(AND(K793=1,OR(B793="ED",B793="NED")),1,0)</x:f>
        <x:v>0</x:v>
      </x:c>
      <x:c r="N793" s="11" t="n">
        <x:f>IF(K793=1,1,0)</x:f>
        <x:v>0</x:v>
      </x:c>
      <x:c r="O793" s="12" t="str">
        <x:v>Exclude UniProt Membrane keyword</x:v>
      </x:c>
      <x:c r="P793" s="11" t="n">
        <x:v>0</x:v>
      </x:c>
      <x:c r="Q793" s="12" t="str">
        <x:v>AF-P35282-F1-model_v6</x:v>
      </x:c>
      <x:c r="R793" s="12" t="str">
        <x:v>ok</x:v>
      </x:c>
      <x:c r="S793" s="11" t="n">
        <x:v>409</x:v>
      </x:c>
      <x:c r="T793" s="11" t="n">
        <x:v>222</x:v>
      </x:c>
    </x:row>
    <x:row r="794" ht="23" customHeight="1">
      <x:c r="A794" s="2" t="str">
        <x:v>P35290</x:v>
      </x:c>
      <x:c r="B794" s="2" t="str">
        <x:v>ED</x:v>
      </x:c>
      <x:c r="C794" s="2" t="n">
        <x:v>1</x:v>
      </x:c>
      <x:c r="D794" s="2" t="n">
        <x:v>1</x:v>
      </x:c>
      <x:c r="E794" s="10"/>
      <x:c r="F794" s="11" t="n">
        <x:v>203</x:v>
      </x:c>
      <x:c r="G794" s="11" t="n">
        <x:v>0</x:v>
      </x:c>
      <x:c r="H794" s="11" t="n">
        <x:v>0</x:v>
      </x:c>
      <x:c r="I794" s="11" t="n">
        <x:v>1</x:v>
      </x:c>
      <x:c r="J794" s="11" t="n">
        <x:v>0</x:v>
      </x:c>
      <x:c r="K794" s="11" t="n">
        <x:v>0</x:v>
      </x:c>
      <x:c r="L794" s="11" t="n">
        <x:f>IF(B794="NED",1,IF(OR(B794="ED",B794="UN"),0,""))</x:f>
        <x:v>0</x:v>
      </x:c>
      <x:c r="M794" s="11" t="n">
        <x:f>IF(AND(K794=1,OR(B794="ED",B794="NED")),1,0)</x:f>
        <x:v>0</x:v>
      </x:c>
      <x:c r="N794" s="11" t="n">
        <x:f>IF(K794=1,1,0)</x:f>
        <x:v>0</x:v>
      </x:c>
      <x:c r="O794" s="12" t="str">
        <x:v>Exclude UniProt Membrane keyword</x:v>
      </x:c>
      <x:c r="P794" s="11" t="n">
        <x:v>0</x:v>
      </x:c>
      <x:c r="Q794" s="12" t="str">
        <x:v>AF-P35290-F1-model_v6</x:v>
      </x:c>
      <x:c r="R794" s="12" t="str">
        <x:v>ok</x:v>
      </x:c>
      <x:c r="S794" s="11" t="n">
        <x:v>410</x:v>
      </x:c>
      <x:c r="T794" s="11" t="n">
        <x:v>203</x:v>
      </x:c>
    </x:row>
    <x:row r="795" ht="23" customHeight="1">
      <x:c r="A795" s="2" t="str">
        <x:v>P35293</x:v>
      </x:c>
      <x:c r="B795" s="2" t="str">
        <x:v>UN</x:v>
      </x:c>
      <x:c r="C795" s="2" t="n">
        <x:v>1</x:v>
      </x:c>
      <x:c r="D795" s="2" t="n">
        <x:v>1</x:v>
      </x:c>
      <x:c r="E795" s="10"/>
      <x:c r="F795" s="11" t="n">
        <x:v>206</x:v>
      </x:c>
      <x:c r="G795" s="11" t="n">
        <x:v>0</x:v>
      </x:c>
      <x:c r="H795" s="11" t="n">
        <x:v>0</x:v>
      </x:c>
      <x:c r="I795" s="11" t="n">
        <x:v>1</x:v>
      </x:c>
      <x:c r="J795" s="11" t="n">
        <x:v>0</x:v>
      </x:c>
      <x:c r="K795" s="11" t="n">
        <x:v>0</x:v>
      </x:c>
      <x:c r="L795" s="11" t="n">
        <x:f>IF(B795="NED",1,IF(OR(B795="ED",B795="UN"),0,""))</x:f>
        <x:v>0</x:v>
      </x:c>
      <x:c r="M795" s="11" t="n">
        <x:f>IF(AND(K795=1,OR(B795="ED",B795="NED")),1,0)</x:f>
        <x:v>0</x:v>
      </x:c>
      <x:c r="N795" s="11" t="n">
        <x:f>IF(K795=1,1,0)</x:f>
        <x:v>0</x:v>
      </x:c>
      <x:c r="O795" s="12" t="str">
        <x:v>Exclude UniProt Membrane keyword</x:v>
      </x:c>
      <x:c r="P795" s="11" t="n">
        <x:v>0</x:v>
      </x:c>
      <x:c r="Q795" s="12" t="str">
        <x:v>AF-P35293-F1-model_v6</x:v>
      </x:c>
      <x:c r="R795" s="12" t="str">
        <x:v>ok</x:v>
      </x:c>
      <x:c r="S795" s="11" t="n">
        <x:v>411</x:v>
      </x:c>
      <x:c r="T795" s="11" t="n">
        <x:v>206</x:v>
      </x:c>
    </x:row>
    <x:row r="796" ht="23" customHeight="1">
      <x:c r="A796" s="2" t="str">
        <x:v>P35550</x:v>
      </x:c>
      <x:c r="B796" s="2" t="str">
        <x:v>ED</x:v>
      </x:c>
      <x:c r="C796" s="2" t="n">
        <x:v>1</x:v>
      </x:c>
      <x:c r="D796" s="2" t="n">
        <x:v>1</x:v>
      </x:c>
      <x:c r="E796" s="10" t="n">
        <x:v>76.03125382262998</x:v>
      </x:c>
      <x:c r="F796" s="11" t="n">
        <x:v>327</x:v>
      </x:c>
      <x:c r="G796" s="11" t="n">
        <x:v>0</x:v>
      </x:c>
      <x:c r="H796" s="11" t="n">
        <x:v>0</x:v>
      </x:c>
      <x:c r="I796" s="11" t="n">
        <x:v>0</x:v>
      </x:c>
      <x:c r="J796" s="11" t="n">
        <x:v>0</x:v>
      </x:c>
      <x:c r="K796" s="11" t="n">
        <x:v>1</x:v>
      </x:c>
      <x:c r="L796" s="11" t="n">
        <x:f>IF(B796="NED",1,IF(OR(B796="ED",B796="UN"),0,""))</x:f>
        <x:v>0</x:v>
      </x:c>
      <x:c r="M796" s="11" t="n">
        <x:f>IF(AND(K796=1,OR(B796="ED",B796="NED")),1,0)</x:f>
        <x:v>1</x:v>
      </x:c>
      <x:c r="N796" s="11" t="n">
        <x:f>IF(K796=1,1,0)</x:f>
        <x:v>1</x:v>
      </x:c>
      <x:c r="O796" s="12"/>
      <x:c r="P796" s="11" t="n">
        <x:v>0</x:v>
      </x:c>
      <x:c r="Q796" s="12" t="str">
        <x:v>AF-P35550-F1-model_v6</x:v>
      </x:c>
      <x:c r="R796" s="12" t="str">
        <x:v>ok</x:v>
      </x:c>
      <x:c r="S796" s="11" t="n">
        <x:v>412</x:v>
      </x:c>
      <x:c r="T796" s="11" t="n">
        <x:v>327</x:v>
      </x:c>
    </x:row>
    <x:row r="797" ht="23" customHeight="1">
      <x:c r="A797" s="2" t="str">
        <x:v>P35564</x:v>
      </x:c>
      <x:c r="B797" s="2" t="str">
        <x:v>NED</x:v>
      </x:c>
      <x:c r="C797" s="2" t="n">
        <x:v>1</x:v>
      </x:c>
      <x:c r="D797" s="2" t="n">
        <x:v>1</x:v>
      </x:c>
      <x:c r="E797" s="10"/>
      <x:c r="F797" s="11" t="n">
        <x:v>591</x:v>
      </x:c>
      <x:c r="G797" s="11" t="n">
        <x:v>0</x:v>
      </x:c>
      <x:c r="H797" s="11" t="n">
        <x:v>0</x:v>
      </x:c>
      <x:c r="I797" s="11" t="n">
        <x:v>1</x:v>
      </x:c>
      <x:c r="J797" s="11" t="n">
        <x:v>0</x:v>
      </x:c>
      <x:c r="K797" s="11" t="n">
        <x:v>0</x:v>
      </x:c>
      <x:c r="L797" s="11" t="n">
        <x:f>IF(B797="NED",1,IF(OR(B797="ED",B797="UN"),0,""))</x:f>
        <x:v>1</x:v>
      </x:c>
      <x:c r="M797" s="11" t="n">
        <x:f>IF(AND(K797=1,OR(B797="ED",B797="NED")),1,0)</x:f>
        <x:v>0</x:v>
      </x:c>
      <x:c r="N797" s="11" t="n">
        <x:f>IF(K797=1,1,0)</x:f>
        <x:v>0</x:v>
      </x:c>
      <x:c r="O797" s="12" t="str">
        <x:v>Exclude UniProt Membrane keyword</x:v>
      </x:c>
      <x:c r="P797" s="11" t="n">
        <x:v>0</x:v>
      </x:c>
      <x:c r="Q797" s="12" t="str">
        <x:v>AF-P35564-F1-model_v6</x:v>
      </x:c>
      <x:c r="R797" s="12" t="str">
        <x:v>ok</x:v>
      </x:c>
      <x:c r="S797" s="11" t="n">
        <x:v>413</x:v>
      </x:c>
      <x:c r="T797" s="11" t="n">
        <x:v>591</x:v>
      </x:c>
    </x:row>
    <x:row r="798" ht="23" customHeight="1">
      <x:c r="A798" s="2" t="str">
        <x:v>P35601-2</x:v>
      </x:c>
      <x:c r="B798" s="2" t="str">
        <x:v>UN</x:v>
      </x:c>
      <x:c r="C798" s="2"/>
      <x:c r="D798" s="2"/>
      <x:c r="E798" s="10"/>
      <x:c r="F798" s="11"/>
      <x:c r="G798" s="11" t="n">
        <x:v>0</x:v>
      </x:c>
      <x:c r="H798" s="11" t="n">
        <x:v>0</x:v>
      </x:c>
      <x:c r="I798" s="11"/>
      <x:c r="J798" s="11"/>
      <x:c r="K798" s="11" t="n">
        <x:v>0</x:v>
      </x:c>
      <x:c r="L798" s="11" t="n">
        <x:f>IF(B798="NED",1,IF(OR(B798="ED",B798="UN"),0,""))</x:f>
        <x:v>0</x:v>
      </x:c>
      <x:c r="M798" s="11" t="n">
        <x:f>IF(AND(K798=1,OR(B798="ED",B798="NED")),1,0)</x:f>
        <x:v>0</x:v>
      </x:c>
      <x:c r="N798" s="11" t="n">
        <x:f>IF(K798=1,1,0)</x:f>
        <x:v>0</x:v>
      </x:c>
      <x:c r="O798" s="12" t="str">
        <x:v>Require exact native accession match</x:v>
      </x:c>
      <x:c r="P798" s="11" t="n">
        <x:v>0</x:v>
      </x:c>
      <x:c r="Q798" s="12"/>
      <x:c r="R798" s="12"/>
      <x:c r="S798" s="11" t="n">
        <x:v>414</x:v>
      </x:c>
      <x:c r="T798" s="11"/>
    </x:row>
    <x:row r="799" ht="23" customHeight="1">
      <x:c r="A799" s="2" t="str">
        <x:v>P35700</x:v>
      </x:c>
      <x:c r="B799" s="2" t="str">
        <x:v>ED</x:v>
      </x:c>
      <x:c r="C799" s="2" t="n">
        <x:v>1</x:v>
      </x:c>
      <x:c r="D799" s="2" t="n">
        <x:v>1</x:v>
      </x:c>
      <x:c r="E799" s="10" t="n">
        <x:v>96.9781407035176</x:v>
      </x:c>
      <x:c r="F799" s="11" t="n">
        <x:v>199</x:v>
      </x:c>
      <x:c r="G799" s="11" t="n">
        <x:v>0</x:v>
      </x:c>
      <x:c r="H799" s="11" t="n">
        <x:v>0</x:v>
      </x:c>
      <x:c r="I799" s="11" t="n">
        <x:v>0</x:v>
      </x:c>
      <x:c r="J799" s="11" t="n">
        <x:v>0</x:v>
      </x:c>
      <x:c r="K799" s="11" t="n">
        <x:v>1</x:v>
      </x:c>
      <x:c r="L799" s="11" t="n">
        <x:f>IF(B799="NED",1,IF(OR(B799="ED",B799="UN"),0,""))</x:f>
        <x:v>0</x:v>
      </x:c>
      <x:c r="M799" s="11" t="n">
        <x:f>IF(AND(K799=1,OR(B799="ED",B799="NED")),1,0)</x:f>
        <x:v>1</x:v>
      </x:c>
      <x:c r="N799" s="11" t="n">
        <x:f>IF(K799=1,1,0)</x:f>
        <x:v>1</x:v>
      </x:c>
      <x:c r="O799" s="12"/>
      <x:c r="P799" s="11" t="n">
        <x:v>0</x:v>
      </x:c>
      <x:c r="Q799" s="12" t="str">
        <x:v>AF-P35700-F1-model_v6</x:v>
      </x:c>
      <x:c r="R799" s="12" t="str">
        <x:v>ok</x:v>
      </x:c>
      <x:c r="S799" s="11" t="n">
        <x:v>415</x:v>
      </x:c>
      <x:c r="T799" s="11" t="n">
        <x:v>199</x:v>
      </x:c>
    </x:row>
    <x:row r="800" ht="23" customHeight="1">
      <x:c r="A800" s="2" t="str">
        <x:v>P35761-2</x:v>
      </x:c>
      <x:c r="B800" s="2" t="str">
        <x:v>ED</x:v>
      </x:c>
      <x:c r="C800" s="2"/>
      <x:c r="D800" s="2"/>
      <x:c r="E800" s="10"/>
      <x:c r="F800" s="11"/>
      <x:c r="G800" s="11" t="n">
        <x:v>0</x:v>
      </x:c>
      <x:c r="H800" s="11" t="n">
        <x:v>0</x:v>
      </x:c>
      <x:c r="I800" s="11"/>
      <x:c r="J800" s="11"/>
      <x:c r="K800" s="11" t="n">
        <x:v>0</x:v>
      </x:c>
      <x:c r="L800" s="11" t="n">
        <x:f>IF(B800="NED",1,IF(OR(B800="ED",B800="UN"),0,""))</x:f>
        <x:v>0</x:v>
      </x:c>
      <x:c r="M800" s="11" t="n">
        <x:f>IF(AND(K800=1,OR(B800="ED",B800="NED")),1,0)</x:f>
        <x:v>0</x:v>
      </x:c>
      <x:c r="N800" s="11" t="n">
        <x:f>IF(K800=1,1,0)</x:f>
        <x:v>0</x:v>
      </x:c>
      <x:c r="O800" s="12" t="str">
        <x:v>Require exact native accession match</x:v>
      </x:c>
      <x:c r="P800" s="11" t="n">
        <x:v>0</x:v>
      </x:c>
      <x:c r="Q800" s="12"/>
      <x:c r="R800" s="12"/>
      <x:c r="S800" s="11" t="n">
        <x:v>416</x:v>
      </x:c>
      <x:c r="T800" s="11"/>
    </x:row>
    <x:row r="801" ht="23" customHeight="1">
      <x:c r="A801" s="2" t="str">
        <x:v>P35762</x:v>
      </x:c>
      <x:c r="B801" s="2" t="str">
        <x:v>NED</x:v>
      </x:c>
      <x:c r="C801" s="2" t="n">
        <x:v>0</x:v>
      </x:c>
      <x:c r="D801" s="2" t="n">
        <x:v>0</x:v>
      </x:c>
      <x:c r="E801" s="10"/>
      <x:c r="F801" s="11" t="n">
        <x:v>236</x:v>
      </x:c>
      <x:c r="G801" s="11" t="n">
        <x:v>0</x:v>
      </x:c>
      <x:c r="H801" s="11" t="n">
        <x:v>0</x:v>
      </x:c>
      <x:c r="I801" s="11" t="n">
        <x:v>1</x:v>
      </x:c>
      <x:c r="J801" s="11" t="n">
        <x:v>0</x:v>
      </x:c>
      <x:c r="K801" s="11" t="n">
        <x:v>0</x:v>
      </x:c>
      <x:c r="L801" s="11" t="n">
        <x:f>IF(B801="NED",1,IF(OR(B801="ED",B801="UN"),0,""))</x:f>
        <x:v>1</x:v>
      </x:c>
      <x:c r="M801" s="11" t="n">
        <x:f>IF(AND(K801=1,OR(B801="ED",B801="NED")),1,0)</x:f>
        <x:v>0</x:v>
      </x:c>
      <x:c r="N801" s="11" t="n">
        <x:f>IF(K801=1,1,0)</x:f>
        <x:v>0</x:v>
      </x:c>
      <x:c r="O801" s="12" t="str">
        <x:v>Exclude UniProt Membrane keyword</x:v>
      </x:c>
      <x:c r="P801" s="11" t="n">
        <x:v>0</x:v>
      </x:c>
      <x:c r="Q801" s="12" t="str">
        <x:v>AF-P35762-F1-model_v6</x:v>
      </x:c>
      <x:c r="R801" s="12" t="str">
        <x:v>ok</x:v>
      </x:c>
      <x:c r="S801" s="11" t="n">
        <x:v>417</x:v>
      </x:c>
      <x:c r="T801" s="11" t="n">
        <x:v>236</x:v>
      </x:c>
    </x:row>
    <x:row r="802" ht="23" customHeight="1">
      <x:c r="A802" s="2" t="str">
        <x:v>P35822</x:v>
      </x:c>
      <x:c r="B802" s="2" t="str">
        <x:v>ED</x:v>
      </x:c>
      <x:c r="C802" s="2"/>
      <x:c r="D802" s="2"/>
      <x:c r="E802" s="10"/>
      <x:c r="F802" s="11" t="n">
        <x:v>1457</x:v>
      </x:c>
      <x:c r="G802" s="11" t="n">
        <x:v>0</x:v>
      </x:c>
      <x:c r="H802" s="11" t="n">
        <x:v>1</x:v>
      </x:c>
      <x:c r="I802" s="11" t="n">
        <x:v>1</x:v>
      </x:c>
      <x:c r="J802" s="11" t="n">
        <x:v>0</x:v>
      </x:c>
      <x:c r="K802" s="11" t="n">
        <x:v>0</x:v>
      </x:c>
      <x:c r="L802" s="11" t="n">
        <x:f>IF(B802="NED",1,IF(OR(B802="ED",B802="UN"),0,""))</x:f>
        <x:v>0</x:v>
      </x:c>
      <x:c r="M802" s="11" t="n">
        <x:f>IF(AND(K802=1,OR(B802="ED",B802="NED")),1,0)</x:f>
        <x:v>0</x:v>
      </x:c>
      <x:c r="N802" s="11" t="n">
        <x:f>IF(K802=1,1,0)</x:f>
        <x:v>0</x:v>
      </x:c>
      <x:c r="O802" s="12" t="str">
        <x:v>Require binary native NCLE status</x:v>
      </x:c>
      <x:c r="P802" s="11" t="n">
        <x:v>0</x:v>
      </x:c>
      <x:c r="Q802" s="12" t="str">
        <x:v>AF-P35822-F1-model_v6</x:v>
      </x:c>
      <x:c r="R802" s="12" t="str">
        <x:v>ok</x:v>
      </x:c>
      <x:c r="S802" s="11" t="n">
        <x:v>418</x:v>
      </x:c>
      <x:c r="T802" s="11" t="n">
        <x:v>1457</x:v>
      </x:c>
    </x:row>
    <x:row r="803" ht="23" customHeight="1">
      <x:c r="A803" s="2" t="str">
        <x:v>P35831</x:v>
      </x:c>
      <x:c r="B803" s="2" t="str">
        <x:v>ED</x:v>
      </x:c>
      <x:c r="C803" s="2" t="n">
        <x:v>1</x:v>
      </x:c>
      <x:c r="D803" s="2" t="n">
        <x:v>1</x:v>
      </x:c>
      <x:c r="E803" s="10" t="n">
        <x:v>61.76064516129032</x:v>
      </x:c>
      <x:c r="F803" s="11" t="n">
        <x:v>775</x:v>
      </x:c>
      <x:c r="G803" s="11" t="n">
        <x:v>0</x:v>
      </x:c>
      <x:c r="H803" s="11" t="n">
        <x:v>0</x:v>
      </x:c>
      <x:c r="I803" s="11" t="n">
        <x:v>0</x:v>
      </x:c>
      <x:c r="J803" s="11" t="n">
        <x:v>0</x:v>
      </x:c>
      <x:c r="K803" s="11" t="n">
        <x:v>0</x:v>
      </x:c>
      <x:c r="L803" s="11" t="n">
        <x:f>IF(B803="NED",1,IF(OR(B803="ED",B803="UN"),0,""))</x:f>
        <x:v>0</x:v>
      </x:c>
      <x:c r="M803" s="11" t="n">
        <x:f>IF(AND(K803=1,OR(B803="ED",B803="NED")),1,0)</x:f>
        <x:v>0</x:v>
      </x:c>
      <x:c r="N803" s="11" t="n">
        <x:f>IF(K803=1,1,0)</x:f>
        <x:v>0</x:v>
      </x:c>
      <x:c r="O803" s="12" t="str">
        <x:v>Retain protein mean pLDDT &gt;=70</x:v>
      </x:c>
      <x:c r="P803" s="11" t="n">
        <x:v>0</x:v>
      </x:c>
      <x:c r="Q803" s="12" t="str">
        <x:v>AF-P35831-F1-model_v6</x:v>
      </x:c>
      <x:c r="R803" s="12" t="str">
        <x:v>ok</x:v>
      </x:c>
      <x:c r="S803" s="11" t="n">
        <x:v>419</x:v>
      </x:c>
      <x:c r="T803" s="11" t="n">
        <x:v>775</x:v>
      </x:c>
    </x:row>
    <x:row r="804" ht="23" customHeight="1">
      <x:c r="A804" s="2" t="str">
        <x:v>P35922-3</x:v>
      </x:c>
      <x:c r="B804" s="2" t="str">
        <x:v>ED</x:v>
      </x:c>
      <x:c r="C804" s="2"/>
      <x:c r="D804" s="2"/>
      <x:c r="E804" s="10"/>
      <x:c r="F804" s="11"/>
      <x:c r="G804" s="11" t="n">
        <x:v>0</x:v>
      </x:c>
      <x:c r="H804" s="11" t="n">
        <x:v>0</x:v>
      </x:c>
      <x:c r="I804" s="11"/>
      <x:c r="J804" s="11"/>
      <x:c r="K804" s="11" t="n">
        <x:v>0</x:v>
      </x:c>
      <x:c r="L804" s="11" t="n">
        <x:f>IF(B804="NED",1,IF(OR(B804="ED",B804="UN"),0,""))</x:f>
        <x:v>0</x:v>
      </x:c>
      <x:c r="M804" s="11" t="n">
        <x:f>IF(AND(K804=1,OR(B804="ED",B804="NED")),1,0)</x:f>
        <x:v>0</x:v>
      </x:c>
      <x:c r="N804" s="11" t="n">
        <x:f>IF(K804=1,1,0)</x:f>
        <x:v>0</x:v>
      </x:c>
      <x:c r="O804" s="12" t="str">
        <x:v>Require exact native accession match</x:v>
      </x:c>
      <x:c r="P804" s="11" t="n">
        <x:v>0</x:v>
      </x:c>
      <x:c r="Q804" s="12"/>
      <x:c r="R804" s="12"/>
      <x:c r="S804" s="11" t="n">
        <x:v>420</x:v>
      </x:c>
      <x:c r="T804" s="11"/>
    </x:row>
    <x:row r="805" ht="23" customHeight="1">
      <x:c r="A805" s="2" t="str">
        <x:v>P35951</x:v>
      </x:c>
      <x:c r="B805" s="2" t="str">
        <x:v>ED</x:v>
      </x:c>
      <x:c r="C805" s="2" t="n">
        <x:v>1</x:v>
      </x:c>
      <x:c r="D805" s="2" t="n">
        <x:v>1</x:v>
      </x:c>
      <x:c r="E805" s="10"/>
      <x:c r="F805" s="11" t="n">
        <x:v>862</x:v>
      </x:c>
      <x:c r="G805" s="11" t="n">
        <x:v>0</x:v>
      </x:c>
      <x:c r="H805" s="11" t="n">
        <x:v>0</x:v>
      </x:c>
      <x:c r="I805" s="11" t="n">
        <x:v>1</x:v>
      </x:c>
      <x:c r="J805" s="11" t="n">
        <x:v>0</x:v>
      </x:c>
      <x:c r="K805" s="11" t="n">
        <x:v>0</x:v>
      </x:c>
      <x:c r="L805" s="11" t="n">
        <x:f>IF(B805="NED",1,IF(OR(B805="ED",B805="UN"),0,""))</x:f>
        <x:v>0</x:v>
      </x:c>
      <x:c r="M805" s="11" t="n">
        <x:f>IF(AND(K805=1,OR(B805="ED",B805="NED")),1,0)</x:f>
        <x:v>0</x:v>
      </x:c>
      <x:c r="N805" s="11" t="n">
        <x:f>IF(K805=1,1,0)</x:f>
        <x:v>0</x:v>
      </x:c>
      <x:c r="O805" s="12" t="str">
        <x:v>Exclude UniProt Membrane keyword</x:v>
      </x:c>
      <x:c r="P805" s="11" t="n">
        <x:v>0</x:v>
      </x:c>
      <x:c r="Q805" s="12" t="str">
        <x:v>AF-P35951-F1-model_v6</x:v>
      </x:c>
      <x:c r="R805" s="12" t="str">
        <x:v>ok</x:v>
      </x:c>
      <x:c r="S805" s="11" t="n">
        <x:v>421</x:v>
      </x:c>
      <x:c r="T805" s="11" t="n">
        <x:v>862</x:v>
      </x:c>
    </x:row>
    <x:row r="806" ht="23" customHeight="1">
      <x:c r="A806" s="2" t="str">
        <x:v>P35979</x:v>
      </x:c>
      <x:c r="B806" s="2" t="str">
        <x:v>UN</x:v>
      </x:c>
      <x:c r="C806" s="2" t="n">
        <x:v>0</x:v>
      </x:c>
      <x:c r="D806" s="2" t="n">
        <x:v>0</x:v>
      </x:c>
      <x:c r="E806" s="10" t="n">
        <x:v>71.29218181818182</x:v>
      </x:c>
      <x:c r="F806" s="11" t="n">
        <x:v>165</x:v>
      </x:c>
      <x:c r="G806" s="11" t="n">
        <x:v>0</x:v>
      </x:c>
      <x:c r="H806" s="11" t="n">
        <x:v>0</x:v>
      </x:c>
      <x:c r="I806" s="11" t="n">
        <x:v>0</x:v>
      </x:c>
      <x:c r="J806" s="11" t="n">
        <x:v>0</x:v>
      </x:c>
      <x:c r="K806" s="11" t="n">
        <x:v>1</x:v>
      </x:c>
      <x:c r="L806" s="11" t="n">
        <x:f>IF(B806="NED",1,IF(OR(B806="ED",B806="UN"),0,""))</x:f>
        <x:v>0</x:v>
      </x:c>
      <x:c r="M806" s="11" t="n">
        <x:f>IF(AND(K806=1,OR(B806="ED",B806="NED")),1,0)</x:f>
        <x:v>0</x:v>
      </x:c>
      <x:c r="N806" s="11" t="n">
        <x:f>IF(K806=1,1,0)</x:f>
        <x:v>1</x:v>
      </x:c>
      <x:c r="O806" s="12"/>
      <x:c r="P806" s="11" t="n">
        <x:v>0</x:v>
      </x:c>
      <x:c r="Q806" s="12" t="str">
        <x:v>AF-P35979-F1-model_v6</x:v>
      </x:c>
      <x:c r="R806" s="12" t="str">
        <x:v>ok</x:v>
      </x:c>
      <x:c r="S806" s="11" t="n">
        <x:v>422</x:v>
      </x:c>
      <x:c r="T806" s="11" t="n">
        <x:v>165</x:v>
      </x:c>
    </x:row>
    <x:row r="807" ht="23" customHeight="1">
      <x:c r="A807" s="2" t="str">
        <x:v>P36552</x:v>
      </x:c>
      <x:c r="B807" s="2" t="str">
        <x:v>UN</x:v>
      </x:c>
      <x:c r="C807" s="2" t="n">
        <x:v>1</x:v>
      </x:c>
      <x:c r="D807" s="2" t="n">
        <x:v>1</x:v>
      </x:c>
      <x:c r="E807" s="10" t="n">
        <x:v>79.338690744921</x:v>
      </x:c>
      <x:c r="F807" s="11" t="n">
        <x:v>443</x:v>
      </x:c>
      <x:c r="G807" s="11" t="n">
        <x:v>0</x:v>
      </x:c>
      <x:c r="H807" s="11" t="n">
        <x:v>0</x:v>
      </x:c>
      <x:c r="I807" s="11" t="n">
        <x:v>0</x:v>
      </x:c>
      <x:c r="J807" s="11" t="n">
        <x:v>0</x:v>
      </x:c>
      <x:c r="K807" s="11" t="n">
        <x:v>1</x:v>
      </x:c>
      <x:c r="L807" s="11" t="n">
        <x:f>IF(B807="NED",1,IF(OR(B807="ED",B807="UN"),0,""))</x:f>
        <x:v>0</x:v>
      </x:c>
      <x:c r="M807" s="11" t="n">
        <x:f>IF(AND(K807=1,OR(B807="ED",B807="NED")),1,0)</x:f>
        <x:v>0</x:v>
      </x:c>
      <x:c r="N807" s="11" t="n">
        <x:f>IF(K807=1,1,0)</x:f>
        <x:v>1</x:v>
      </x:c>
      <x:c r="O807" s="12"/>
      <x:c r="P807" s="11" t="n">
        <x:v>0</x:v>
      </x:c>
      <x:c r="Q807" s="12" t="str">
        <x:v>AF-P36552-F1-model_v6</x:v>
      </x:c>
      <x:c r="R807" s="12" t="str">
        <x:v>ok</x:v>
      </x:c>
      <x:c r="S807" s="11" t="n">
        <x:v>423</x:v>
      </x:c>
      <x:c r="T807" s="11" t="n">
        <x:v>443</x:v>
      </x:c>
    </x:row>
    <x:row r="808" ht="23" customHeight="1">
      <x:c r="A808" s="2" t="str">
        <x:v>P37040</x:v>
      </x:c>
      <x:c r="B808" s="2" t="str">
        <x:v>ED</x:v>
      </x:c>
      <x:c r="C808" s="2" t="n">
        <x:v>1</x:v>
      </x:c>
      <x:c r="D808" s="2" t="n">
        <x:v>1</x:v>
      </x:c>
      <x:c r="E808" s="10"/>
      <x:c r="F808" s="11" t="n">
        <x:v>678</x:v>
      </x:c>
      <x:c r="G808" s="11" t="n">
        <x:v>0</x:v>
      </x:c>
      <x:c r="H808" s="11" t="n">
        <x:v>0</x:v>
      </x:c>
      <x:c r="I808" s="11" t="n">
        <x:v>1</x:v>
      </x:c>
      <x:c r="J808" s="11" t="n">
        <x:v>0</x:v>
      </x:c>
      <x:c r="K808" s="11" t="n">
        <x:v>0</x:v>
      </x:c>
      <x:c r="L808" s="11" t="n">
        <x:f>IF(B808="NED",1,IF(OR(B808="ED",B808="UN"),0,""))</x:f>
        <x:v>0</x:v>
      </x:c>
      <x:c r="M808" s="11" t="n">
        <x:f>IF(AND(K808=1,OR(B808="ED",B808="NED")),1,0)</x:f>
        <x:v>0</x:v>
      </x:c>
      <x:c r="N808" s="11" t="n">
        <x:f>IF(K808=1,1,0)</x:f>
        <x:v>0</x:v>
      </x:c>
      <x:c r="O808" s="12" t="str">
        <x:v>Exclude UniProt Membrane keyword</x:v>
      </x:c>
      <x:c r="P808" s="11" t="n">
        <x:v>0</x:v>
      </x:c>
      <x:c r="Q808" s="12" t="str">
        <x:v>AF-P37040-F1-model_v6</x:v>
      </x:c>
      <x:c r="R808" s="12" t="str">
        <x:v>ok</x:v>
      </x:c>
      <x:c r="S808" s="11" t="n">
        <x:v>424</x:v>
      </x:c>
      <x:c r="T808" s="11" t="n">
        <x:v>678</x:v>
      </x:c>
    </x:row>
    <x:row r="809" ht="23" customHeight="1">
      <x:c r="A809" s="2" t="str">
        <x:v>P37913</x:v>
      </x:c>
      <x:c r="B809" s="2" t="str">
        <x:v>ED</x:v>
      </x:c>
      <x:c r="C809" s="2" t="n">
        <x:v>1</x:v>
      </x:c>
      <x:c r="D809" s="2" t="n">
        <x:v>1</x:v>
      </x:c>
      <x:c r="E809" s="10" t="n">
        <x:v>75.55330786026201</x:v>
      </x:c>
      <x:c r="F809" s="11" t="n">
        <x:v>916</x:v>
      </x:c>
      <x:c r="G809" s="11" t="n">
        <x:v>0</x:v>
      </x:c>
      <x:c r="H809" s="11" t="n">
        <x:v>0</x:v>
      </x:c>
      <x:c r="I809" s="11" t="n">
        <x:v>0</x:v>
      </x:c>
      <x:c r="J809" s="11" t="n">
        <x:v>0</x:v>
      </x:c>
      <x:c r="K809" s="11" t="n">
        <x:v>1</x:v>
      </x:c>
      <x:c r="L809" s="11" t="n">
        <x:f>IF(B809="NED",1,IF(OR(B809="ED",B809="UN"),0,""))</x:f>
        <x:v>0</x:v>
      </x:c>
      <x:c r="M809" s="11" t="n">
        <x:f>IF(AND(K809=1,OR(B809="ED",B809="NED")),1,0)</x:f>
        <x:v>1</x:v>
      </x:c>
      <x:c r="N809" s="11" t="n">
        <x:f>IF(K809=1,1,0)</x:f>
        <x:v>1</x:v>
      </x:c>
      <x:c r="O809" s="12"/>
      <x:c r="P809" s="11" t="n">
        <x:v>0</x:v>
      </x:c>
      <x:c r="Q809" s="12" t="str">
        <x:v>AF-P37913-F1-model_v6</x:v>
      </x:c>
      <x:c r="R809" s="12" t="str">
        <x:v>ok</x:v>
      </x:c>
      <x:c r="S809" s="11" t="n">
        <x:v>425</x:v>
      </x:c>
      <x:c r="T809" s="11" t="n">
        <x:v>916</x:v>
      </x:c>
    </x:row>
    <x:row r="810" ht="23" customHeight="1">
      <x:c r="A810" s="2" t="str">
        <x:v>P38647</x:v>
      </x:c>
      <x:c r="B810" s="2" t="str">
        <x:v>ED</x:v>
      </x:c>
      <x:c r="C810" s="2" t="n">
        <x:v>1</x:v>
      </x:c>
      <x:c r="D810" s="2" t="n">
        <x:v>1</x:v>
      </x:c>
      <x:c r="E810" s="10" t="n">
        <x:v>86.25929307805596</x:v>
      </x:c>
      <x:c r="F810" s="11" t="n">
        <x:v>679</x:v>
      </x:c>
      <x:c r="G810" s="11" t="n">
        <x:v>0</x:v>
      </x:c>
      <x:c r="H810" s="11" t="n">
        <x:v>0</x:v>
      </x:c>
      <x:c r="I810" s="11" t="n">
        <x:v>0</x:v>
      </x:c>
      <x:c r="J810" s="11" t="n">
        <x:v>0</x:v>
      </x:c>
      <x:c r="K810" s="11" t="n">
        <x:v>1</x:v>
      </x:c>
      <x:c r="L810" s="11" t="n">
        <x:f>IF(B810="NED",1,IF(OR(B810="ED",B810="UN"),0,""))</x:f>
        <x:v>0</x:v>
      </x:c>
      <x:c r="M810" s="11" t="n">
        <x:f>IF(AND(K810=1,OR(B810="ED",B810="NED")),1,0)</x:f>
        <x:v>1</x:v>
      </x:c>
      <x:c r="N810" s="11" t="n">
        <x:f>IF(K810=1,1,0)</x:f>
        <x:v>1</x:v>
      </x:c>
      <x:c r="O810" s="12"/>
      <x:c r="P810" s="11" t="n">
        <x:v>0</x:v>
      </x:c>
      <x:c r="Q810" s="12" t="str">
        <x:v>AF-P38647-F1-model_v6</x:v>
      </x:c>
      <x:c r="R810" s="12" t="str">
        <x:v>ok</x:v>
      </x:c>
      <x:c r="S810" s="11" t="n">
        <x:v>426</x:v>
      </x:c>
      <x:c r="T810" s="11" t="n">
        <x:v>679</x:v>
      </x:c>
    </x:row>
    <x:row r="811" ht="23" customHeight="1">
      <x:c r="A811" s="2" t="str">
        <x:v>P39053-5</x:v>
      </x:c>
      <x:c r="B811" s="2" t="str">
        <x:v>UN</x:v>
      </x:c>
      <x:c r="C811" s="2"/>
      <x:c r="D811" s="2"/>
      <x:c r="E811" s="10"/>
      <x:c r="F811" s="11"/>
      <x:c r="G811" s="11" t="n">
        <x:v>0</x:v>
      </x:c>
      <x:c r="H811" s="11" t="n">
        <x:v>0</x:v>
      </x:c>
      <x:c r="I811" s="11"/>
      <x:c r="J811" s="11"/>
      <x:c r="K811" s="11" t="n">
        <x:v>0</x:v>
      </x:c>
      <x:c r="L811" s="11" t="n">
        <x:f>IF(B811="NED",1,IF(OR(B811="ED",B811="UN"),0,""))</x:f>
        <x:v>0</x:v>
      </x:c>
      <x:c r="M811" s="11" t="n">
        <x:f>IF(AND(K811=1,OR(B811="ED",B811="NED")),1,0)</x:f>
        <x:v>0</x:v>
      </x:c>
      <x:c r="N811" s="11" t="n">
        <x:f>IF(K811=1,1,0)</x:f>
        <x:v>0</x:v>
      </x:c>
      <x:c r="O811" s="12" t="str">
        <x:v>Require exact native accession match</x:v>
      </x:c>
      <x:c r="P811" s="11" t="n">
        <x:v>0</x:v>
      </x:c>
      <x:c r="Q811" s="12"/>
      <x:c r="R811" s="12"/>
      <x:c r="S811" s="11" t="n">
        <x:v>427</x:v>
      </x:c>
      <x:c r="T811" s="11"/>
    </x:row>
    <x:row r="812" ht="23" customHeight="1">
      <x:c r="A812" s="2" t="str">
        <x:v>P39054</x:v>
      </x:c>
      <x:c r="B812" s="2" t="str">
        <x:v>ED</x:v>
      </x:c>
      <x:c r="C812" s="2" t="n">
        <x:v>1</x:v>
      </x:c>
      <x:c r="D812" s="2" t="n">
        <x:v>1</x:v>
      </x:c>
      <x:c r="E812" s="10"/>
      <x:c r="F812" s="11" t="n">
        <x:v>870</x:v>
      </x:c>
      <x:c r="G812" s="11" t="n">
        <x:v>0</x:v>
      </x:c>
      <x:c r="H812" s="11" t="n">
        <x:v>0</x:v>
      </x:c>
      <x:c r="I812" s="11" t="n">
        <x:v>1</x:v>
      </x:c>
      <x:c r="J812" s="11" t="n">
        <x:v>0</x:v>
      </x:c>
      <x:c r="K812" s="11" t="n">
        <x:v>0</x:v>
      </x:c>
      <x:c r="L812" s="11" t="n">
        <x:f>IF(B812="NED",1,IF(OR(B812="ED",B812="UN"),0,""))</x:f>
        <x:v>0</x:v>
      </x:c>
      <x:c r="M812" s="11" t="n">
        <x:f>IF(AND(K812=1,OR(B812="ED",B812="NED")),1,0)</x:f>
        <x:v>0</x:v>
      </x:c>
      <x:c r="N812" s="11" t="n">
        <x:f>IF(K812=1,1,0)</x:f>
        <x:v>0</x:v>
      </x:c>
      <x:c r="O812" s="12" t="str">
        <x:v>Exclude UniProt Membrane keyword</x:v>
      </x:c>
      <x:c r="P812" s="11" t="n">
        <x:v>0</x:v>
      </x:c>
      <x:c r="Q812" s="12" t="str">
        <x:v>AF-P39054-F1-model_v6</x:v>
      </x:c>
      <x:c r="R812" s="12" t="str">
        <x:v>ok</x:v>
      </x:c>
      <x:c r="S812" s="11" t="n">
        <x:v>428</x:v>
      </x:c>
      <x:c r="T812" s="11" t="n">
        <x:v>870</x:v>
      </x:c>
    </x:row>
    <x:row r="813" ht="23" customHeight="1">
      <x:c r="A813" s="2" t="str">
        <x:v>P40124</x:v>
      </x:c>
      <x:c r="B813" s="2" t="str">
        <x:v>ED</x:v>
      </x:c>
      <x:c r="C813" s="2" t="n">
        <x:v>1</x:v>
      </x:c>
      <x:c r="D813" s="2" t="n">
        <x:v>1</x:v>
      </x:c>
      <x:c r="E813" s="10"/>
      <x:c r="F813" s="11" t="n">
        <x:v>474</x:v>
      </x:c>
      <x:c r="G813" s="11" t="n">
        <x:v>0</x:v>
      </x:c>
      <x:c r="H813" s="11" t="n">
        <x:v>0</x:v>
      </x:c>
      <x:c r="I813" s="11" t="n">
        <x:v>1</x:v>
      </x:c>
      <x:c r="J813" s="11" t="n">
        <x:v>0</x:v>
      </x:c>
      <x:c r="K813" s="11" t="n">
        <x:v>0</x:v>
      </x:c>
      <x:c r="L813" s="11" t="n">
        <x:f>IF(B813="NED",1,IF(OR(B813="ED",B813="UN"),0,""))</x:f>
        <x:v>0</x:v>
      </x:c>
      <x:c r="M813" s="11" t="n">
        <x:f>IF(AND(K813=1,OR(B813="ED",B813="NED")),1,0)</x:f>
        <x:v>0</x:v>
      </x:c>
      <x:c r="N813" s="11" t="n">
        <x:f>IF(K813=1,1,0)</x:f>
        <x:v>0</x:v>
      </x:c>
      <x:c r="O813" s="12" t="str">
        <x:v>Exclude UniProt Membrane keyword</x:v>
      </x:c>
      <x:c r="P813" s="11" t="n">
        <x:v>0</x:v>
      </x:c>
      <x:c r="Q813" s="12" t="str">
        <x:v>AF-P40124-F1-model_v6</x:v>
      </x:c>
      <x:c r="R813" s="12" t="str">
        <x:v>ok</x:v>
      </x:c>
      <x:c r="S813" s="11" t="n">
        <x:v>429</x:v>
      </x:c>
      <x:c r="T813" s="11" t="n">
        <x:v>474</x:v>
      </x:c>
    </x:row>
    <x:row r="814" ht="23" customHeight="1">
      <x:c r="A814" s="2" t="str">
        <x:v>P40142</x:v>
      </x:c>
      <x:c r="B814" s="2" t="str">
        <x:v>NED</x:v>
      </x:c>
      <x:c r="C814" s="2" t="n">
        <x:v>1</x:v>
      </x:c>
      <x:c r="D814" s="2" t="n">
        <x:v>1</x:v>
      </x:c>
      <x:c r="E814" s="10" t="n">
        <x:v>98.14845906902086</x:v>
      </x:c>
      <x:c r="F814" s="11" t="n">
        <x:v>623</x:v>
      </x:c>
      <x:c r="G814" s="11" t="n">
        <x:v>0</x:v>
      </x:c>
      <x:c r="H814" s="11" t="n">
        <x:v>0</x:v>
      </x:c>
      <x:c r="I814" s="11" t="n">
        <x:v>0</x:v>
      </x:c>
      <x:c r="J814" s="11" t="n">
        <x:v>0</x:v>
      </x:c>
      <x:c r="K814" s="11" t="n">
        <x:v>1</x:v>
      </x:c>
      <x:c r="L814" s="11" t="n">
        <x:f>IF(B814="NED",1,IF(OR(B814="ED",B814="UN"),0,""))</x:f>
        <x:v>1</x:v>
      </x:c>
      <x:c r="M814" s="11" t="n">
        <x:f>IF(AND(K814=1,OR(B814="ED",B814="NED")),1,0)</x:f>
        <x:v>1</x:v>
      </x:c>
      <x:c r="N814" s="11" t="n">
        <x:f>IF(K814=1,1,0)</x:f>
        <x:v>1</x:v>
      </x:c>
      <x:c r="O814" s="12"/>
      <x:c r="P814" s="11" t="n">
        <x:v>0</x:v>
      </x:c>
      <x:c r="Q814" s="12" t="str">
        <x:v>AF-P40142-F1-model_v6</x:v>
      </x:c>
      <x:c r="R814" s="12" t="str">
        <x:v>ok</x:v>
      </x:c>
      <x:c r="S814" s="11" t="n">
        <x:v>430</x:v>
      </x:c>
      <x:c r="T814" s="11" t="n">
        <x:v>623</x:v>
      </x:c>
    </x:row>
    <x:row r="815" ht="23" customHeight="1">
      <x:c r="A815" s="2" t="str">
        <x:v>P40201</x:v>
      </x:c>
      <x:c r="B815" s="2" t="str">
        <x:v>ED</x:v>
      </x:c>
      <x:c r="C815" s="2" t="n">
        <x:v>1</x:v>
      </x:c>
      <x:c r="D815" s="2" t="n">
        <x:v>1</x:v>
      </x:c>
      <x:c r="E815" s="10" t="n">
        <x:v>61.65791934541204</x:v>
      </x:c>
      <x:c r="F815" s="11" t="n">
        <x:v>1711</x:v>
      </x:c>
      <x:c r="G815" s="11" t="n">
        <x:v>0</x:v>
      </x:c>
      <x:c r="H815" s="11" t="n">
        <x:v>0</x:v>
      </x:c>
      <x:c r="I815" s="11" t="n">
        <x:v>0</x:v>
      </x:c>
      <x:c r="J815" s="11" t="n">
        <x:v>0</x:v>
      </x:c>
      <x:c r="K815" s="11" t="n">
        <x:v>0</x:v>
      </x:c>
      <x:c r="L815" s="11" t="n">
        <x:f>IF(B815="NED",1,IF(OR(B815="ED",B815="UN"),0,""))</x:f>
        <x:v>0</x:v>
      </x:c>
      <x:c r="M815" s="11" t="n">
        <x:f>IF(AND(K815=1,OR(B815="ED",B815="NED")),1,0)</x:f>
        <x:v>0</x:v>
      </x:c>
      <x:c r="N815" s="11" t="n">
        <x:f>IF(K815=1,1,0)</x:f>
        <x:v>0</x:v>
      </x:c>
      <x:c r="O815" s="12" t="str">
        <x:v>Retain protein mean pLDDT &gt;=70</x:v>
      </x:c>
      <x:c r="P815" s="11" t="n">
        <x:v>0</x:v>
      </x:c>
      <x:c r="Q815" s="12" t="str">
        <x:v>AF-P40201-F1-model_v6</x:v>
      </x:c>
      <x:c r="R815" s="12" t="str">
        <x:v>ok</x:v>
      </x:c>
      <x:c r="S815" s="11" t="n">
        <x:v>431</x:v>
      </x:c>
      <x:c r="T815" s="11" t="n">
        <x:v>1711</x:v>
      </x:c>
    </x:row>
    <x:row r="816" ht="23" customHeight="1">
      <x:c r="A816" s="2" t="str">
        <x:v>P40336</x:v>
      </x:c>
      <x:c r="B816" s="2" t="str">
        <x:v>UN</x:v>
      </x:c>
      <x:c r="C816" s="2" t="n">
        <x:v>1</x:v>
      </x:c>
      <x:c r="D816" s="2" t="n">
        <x:v>1</x:v>
      </x:c>
      <x:c r="E816" s="10"/>
      <x:c r="F816" s="11" t="n">
        <x:v>327</x:v>
      </x:c>
      <x:c r="G816" s="11" t="n">
        <x:v>0</x:v>
      </x:c>
      <x:c r="H816" s="11" t="n">
        <x:v>0</x:v>
      </x:c>
      <x:c r="I816" s="11" t="n">
        <x:v>1</x:v>
      </x:c>
      <x:c r="J816" s="11" t="n">
        <x:v>0</x:v>
      </x:c>
      <x:c r="K816" s="11" t="n">
        <x:v>0</x:v>
      </x:c>
      <x:c r="L816" s="11" t="n">
        <x:f>IF(B816="NED",1,IF(OR(B816="ED",B816="UN"),0,""))</x:f>
        <x:v>0</x:v>
      </x:c>
      <x:c r="M816" s="11" t="n">
        <x:f>IF(AND(K816=1,OR(B816="ED",B816="NED")),1,0)</x:f>
        <x:v>0</x:v>
      </x:c>
      <x:c r="N816" s="11" t="n">
        <x:f>IF(K816=1,1,0)</x:f>
        <x:v>0</x:v>
      </x:c>
      <x:c r="O816" s="12" t="str">
        <x:v>Exclude UniProt Membrane keyword</x:v>
      </x:c>
      <x:c r="P816" s="11" t="n">
        <x:v>0</x:v>
      </x:c>
      <x:c r="Q816" s="12" t="str">
        <x:v>AF-P40336-F1-model_v6</x:v>
      </x:c>
      <x:c r="R816" s="12" t="str">
        <x:v>ok</x:v>
      </x:c>
      <x:c r="S816" s="11" t="n">
        <x:v>432</x:v>
      </x:c>
      <x:c r="T816" s="11" t="n">
        <x:v>327</x:v>
      </x:c>
    </x:row>
    <x:row r="817" ht="23" customHeight="1">
      <x:c r="A817" s="2" t="str">
        <x:v>P41241</x:v>
      </x:c>
      <x:c r="B817" s="2" t="str">
        <x:v>UN</x:v>
      </x:c>
      <x:c r="C817" s="2" t="n">
        <x:v>1</x:v>
      </x:c>
      <x:c r="D817" s="2" t="n">
        <x:v>1</x:v>
      </x:c>
      <x:c r="E817" s="10"/>
      <x:c r="F817" s="11" t="n">
        <x:v>450</x:v>
      </x:c>
      <x:c r="G817" s="11" t="n">
        <x:v>0</x:v>
      </x:c>
      <x:c r="H817" s="11" t="n">
        <x:v>0</x:v>
      </x:c>
      <x:c r="I817" s="11" t="n">
        <x:v>1</x:v>
      </x:c>
      <x:c r="J817" s="11" t="n">
        <x:v>0</x:v>
      </x:c>
      <x:c r="K817" s="11" t="n">
        <x:v>0</x:v>
      </x:c>
      <x:c r="L817" s="11" t="n">
        <x:f>IF(B817="NED",1,IF(OR(B817="ED",B817="UN"),0,""))</x:f>
        <x:v>0</x:v>
      </x:c>
      <x:c r="M817" s="11" t="n">
        <x:f>IF(AND(K817=1,OR(B817="ED",B817="NED")),1,0)</x:f>
        <x:v>0</x:v>
      </x:c>
      <x:c r="N817" s="11" t="n">
        <x:f>IF(K817=1,1,0)</x:f>
        <x:v>0</x:v>
      </x:c>
      <x:c r="O817" s="12" t="str">
        <x:v>Exclude UniProt Membrane keyword</x:v>
      </x:c>
      <x:c r="P817" s="11" t="n">
        <x:v>0</x:v>
      </x:c>
      <x:c r="Q817" s="12" t="str">
        <x:v>AF-P41241-F1-model_v6</x:v>
      </x:c>
      <x:c r="R817" s="12" t="str">
        <x:v>ok</x:v>
      </x:c>
      <x:c r="S817" s="11" t="n">
        <x:v>433</x:v>
      </x:c>
      <x:c r="T817" s="11" t="n">
        <x:v>450</x:v>
      </x:c>
    </x:row>
    <x:row r="818" ht="23" customHeight="1">
      <x:c r="A818" s="2" t="str">
        <x:v>P41731</x:v>
      </x:c>
      <x:c r="B818" s="2" t="str">
        <x:v>UN</x:v>
      </x:c>
      <x:c r="C818" s="2" t="n">
        <x:v>0</x:v>
      </x:c>
      <x:c r="D818" s="2" t="n">
        <x:v>0</x:v>
      </x:c>
      <x:c r="E818" s="10"/>
      <x:c r="F818" s="11" t="n">
        <x:v>238</x:v>
      </x:c>
      <x:c r="G818" s="11" t="n">
        <x:v>0</x:v>
      </x:c>
      <x:c r="H818" s="11" t="n">
        <x:v>0</x:v>
      </x:c>
      <x:c r="I818" s="11" t="n">
        <x:v>1</x:v>
      </x:c>
      <x:c r="J818" s="11" t="n">
        <x:v>1</x:v>
      </x:c>
      <x:c r="K818" s="11" t="n">
        <x:v>0</x:v>
      </x:c>
      <x:c r="L818" s="11" t="n">
        <x:f>IF(B818="NED",1,IF(OR(B818="ED",B818="UN"),0,""))</x:f>
        <x:v>0</x:v>
      </x:c>
      <x:c r="M818" s="11" t="n">
        <x:f>IF(AND(K818=1,OR(B818="ED",B818="NED")),1,0)</x:f>
        <x:v>0</x:v>
      </x:c>
      <x:c r="N818" s="11" t="n">
        <x:f>IF(K818=1,1,0)</x:f>
        <x:v>0</x:v>
      </x:c>
      <x:c r="O818" s="12" t="str">
        <x:v>Exclude UniProt Membrane keyword</x:v>
      </x:c>
      <x:c r="P818" s="11" t="n">
        <x:v>0</x:v>
      </x:c>
      <x:c r="Q818" s="12" t="str">
        <x:v>AF-P41731-F1-model_v6</x:v>
      </x:c>
      <x:c r="R818" s="12" t="str">
        <x:v>ok</x:v>
      </x:c>
      <x:c r="S818" s="11" t="n">
        <x:v>434</x:v>
      </x:c>
      <x:c r="T818" s="11" t="n">
        <x:v>238</x:v>
      </x:c>
    </x:row>
    <x:row r="819" ht="23" customHeight="1">
      <x:c r="A819" s="2" t="str">
        <x:v>P42125</x:v>
      </x:c>
      <x:c r="B819" s="2" t="str">
        <x:v>ED</x:v>
      </x:c>
      <x:c r="C819" s="2" t="n">
        <x:v>0</x:v>
      </x:c>
      <x:c r="D819" s="2" t="n">
        <x:v>0</x:v>
      </x:c>
      <x:c r="E819" s="10" t="n">
        <x:v>91.28051903114186</x:v>
      </x:c>
      <x:c r="F819" s="11" t="n">
        <x:v>289</x:v>
      </x:c>
      <x:c r="G819" s="11" t="n">
        <x:v>0</x:v>
      </x:c>
      <x:c r="H819" s="11" t="n">
        <x:v>0</x:v>
      </x:c>
      <x:c r="I819" s="11" t="n">
        <x:v>0</x:v>
      </x:c>
      <x:c r="J819" s="11" t="n">
        <x:v>0</x:v>
      </x:c>
      <x:c r="K819" s="11" t="n">
        <x:v>1</x:v>
      </x:c>
      <x:c r="L819" s="11" t="n">
        <x:f>IF(B819="NED",1,IF(OR(B819="ED",B819="UN"),0,""))</x:f>
        <x:v>0</x:v>
      </x:c>
      <x:c r="M819" s="11" t="n">
        <x:f>IF(AND(K819=1,OR(B819="ED",B819="NED")),1,0)</x:f>
        <x:v>1</x:v>
      </x:c>
      <x:c r="N819" s="11" t="n">
        <x:f>IF(K819=1,1,0)</x:f>
        <x:v>1</x:v>
      </x:c>
      <x:c r="O819" s="12"/>
      <x:c r="P819" s="11" t="n">
        <x:v>0</x:v>
      </x:c>
      <x:c r="Q819" s="12" t="str">
        <x:v>AF-P42125-F1-model_v6</x:v>
      </x:c>
      <x:c r="R819" s="12" t="str">
        <x:v>ok</x:v>
      </x:c>
      <x:c r="S819" s="11" t="n">
        <x:v>435</x:v>
      </x:c>
      <x:c r="T819" s="11" t="n">
        <x:v>289</x:v>
      </x:c>
    </x:row>
    <x:row r="820" ht="23" customHeight="1">
      <x:c r="A820" s="2" t="str">
        <x:v>P42128</x:v>
      </x:c>
      <x:c r="B820" s="2" t="str">
        <x:v>ED</x:v>
      </x:c>
      <x:c r="C820" s="2" t="n">
        <x:v>1</x:v>
      </x:c>
      <x:c r="D820" s="2" t="n">
        <x:v>1</x:v>
      </x:c>
      <x:c r="E820" s="10" t="n">
        <x:v>56.368609179415856</x:v>
      </x:c>
      <x:c r="F820" s="11" t="n">
        <x:v>719</x:v>
      </x:c>
      <x:c r="G820" s="11" t="n">
        <x:v>0</x:v>
      </x:c>
      <x:c r="H820" s="11" t="n">
        <x:v>0</x:v>
      </x:c>
      <x:c r="I820" s="11" t="n">
        <x:v>0</x:v>
      </x:c>
      <x:c r="J820" s="11" t="n">
        <x:v>0</x:v>
      </x:c>
      <x:c r="K820" s="11" t="n">
        <x:v>0</x:v>
      </x:c>
      <x:c r="L820" s="11" t="n">
        <x:f>IF(B820="NED",1,IF(OR(B820="ED",B820="UN"),0,""))</x:f>
        <x:v>0</x:v>
      </x:c>
      <x:c r="M820" s="11" t="n">
        <x:f>IF(AND(K820=1,OR(B820="ED",B820="NED")),1,0)</x:f>
        <x:v>0</x:v>
      </x:c>
      <x:c r="N820" s="11" t="n">
        <x:f>IF(K820=1,1,0)</x:f>
        <x:v>0</x:v>
      </x:c>
      <x:c r="O820" s="12" t="str">
        <x:v>Retain protein mean pLDDT &gt;=70</x:v>
      </x:c>
      <x:c r="P820" s="11" t="n">
        <x:v>0</x:v>
      </x:c>
      <x:c r="Q820" s="12" t="str">
        <x:v>AF-P42128-F1-model_v6</x:v>
      </x:c>
      <x:c r="R820" s="12" t="str">
        <x:v>ok</x:v>
      </x:c>
      <x:c r="S820" s="11" t="n">
        <x:v>436</x:v>
      </x:c>
      <x:c r="T820" s="11" t="n">
        <x:v>719</x:v>
      </x:c>
    </x:row>
    <x:row r="821" ht="23" customHeight="1">
      <x:c r="A821" s="2" t="str">
        <x:v>P42208</x:v>
      </x:c>
      <x:c r="B821" s="2" t="str">
        <x:v>ED</x:v>
      </x:c>
      <x:c r="C821" s="2" t="n">
        <x:v>1</x:v>
      </x:c>
      <x:c r="D821" s="2" t="n">
        <x:v>1</x:v>
      </x:c>
      <x:c r="E821" s="10"/>
      <x:c r="F821" s="11" t="n">
        <x:v>361</x:v>
      </x:c>
      <x:c r="G821" s="11" t="n">
        <x:v>0</x:v>
      </x:c>
      <x:c r="H821" s="11" t="n">
        <x:v>0</x:v>
      </x:c>
      <x:c r="I821" s="11" t="n">
        <x:v>1</x:v>
      </x:c>
      <x:c r="J821" s="11" t="n">
        <x:v>0</x:v>
      </x:c>
      <x:c r="K821" s="11" t="n">
        <x:v>0</x:v>
      </x:c>
      <x:c r="L821" s="11" t="n">
        <x:f>IF(B821="NED",1,IF(OR(B821="ED",B821="UN"),0,""))</x:f>
        <x:v>0</x:v>
      </x:c>
      <x:c r="M821" s="11" t="n">
        <x:f>IF(AND(K821=1,OR(B821="ED",B821="NED")),1,0)</x:f>
        <x:v>0</x:v>
      </x:c>
      <x:c r="N821" s="11" t="n">
        <x:f>IF(K821=1,1,0)</x:f>
        <x:v>0</x:v>
      </x:c>
      <x:c r="O821" s="12" t="str">
        <x:v>Exclude UniProt Membrane keyword</x:v>
      </x:c>
      <x:c r="P821" s="11" t="n">
        <x:v>0</x:v>
      </x:c>
      <x:c r="Q821" s="12" t="str">
        <x:v>AF-P42208-F1-model_v6</x:v>
      </x:c>
      <x:c r="R821" s="12" t="str">
        <x:v>ok</x:v>
      </x:c>
      <x:c r="S821" s="11" t="n">
        <x:v>437</x:v>
      </x:c>
      <x:c r="T821" s="11" t="n">
        <x:v>361</x:v>
      </x:c>
    </x:row>
    <x:row r="822" ht="23" customHeight="1">
      <x:c r="A822" s="2" t="str">
        <x:v>P42227-2</x:v>
      </x:c>
      <x:c r="B822" s="2" t="str">
        <x:v>ED</x:v>
      </x:c>
      <x:c r="C822" s="2"/>
      <x:c r="D822" s="2"/>
      <x:c r="E822" s="10"/>
      <x:c r="F822" s="11"/>
      <x:c r="G822" s="11" t="n">
        <x:v>0</x:v>
      </x:c>
      <x:c r="H822" s="11" t="n">
        <x:v>0</x:v>
      </x:c>
      <x:c r="I822" s="11"/>
      <x:c r="J822" s="11"/>
      <x:c r="K822" s="11" t="n">
        <x:v>0</x:v>
      </x:c>
      <x:c r="L822" s="11" t="n">
        <x:f>IF(B822="NED",1,IF(OR(B822="ED",B822="UN"),0,""))</x:f>
        <x:v>0</x:v>
      </x:c>
      <x:c r="M822" s="11" t="n">
        <x:f>IF(AND(K822=1,OR(B822="ED",B822="NED")),1,0)</x:f>
        <x:v>0</x:v>
      </x:c>
      <x:c r="N822" s="11" t="n">
        <x:f>IF(K822=1,1,0)</x:f>
        <x:v>0</x:v>
      </x:c>
      <x:c r="O822" s="12" t="str">
        <x:v>Require exact native accession match</x:v>
      </x:c>
      <x:c r="P822" s="11" t="n">
        <x:v>0</x:v>
      </x:c>
      <x:c r="Q822" s="12"/>
      <x:c r="R822" s="12"/>
      <x:c r="S822" s="11" t="n">
        <x:v>438</x:v>
      </x:c>
      <x:c r="T822" s="11"/>
    </x:row>
    <x:row r="823" ht="23" customHeight="1">
      <x:c r="A823" s="2" t="str">
        <x:v>P42232</x:v>
      </x:c>
      <x:c r="B823" s="2" t="str">
        <x:v>ED</x:v>
      </x:c>
      <x:c r="C823" s="2" t="n">
        <x:v>1</x:v>
      </x:c>
      <x:c r="D823" s="2" t="n">
        <x:v>1</x:v>
      </x:c>
      <x:c r="E823" s="10" t="n">
        <x:v>85.34978371501272</x:v>
      </x:c>
      <x:c r="F823" s="11" t="n">
        <x:v>786</x:v>
      </x:c>
      <x:c r="G823" s="11" t="n">
        <x:v>0</x:v>
      </x:c>
      <x:c r="H823" s="11" t="n">
        <x:v>0</x:v>
      </x:c>
      <x:c r="I823" s="11" t="n">
        <x:v>0</x:v>
      </x:c>
      <x:c r="J823" s="11" t="n">
        <x:v>0</x:v>
      </x:c>
      <x:c r="K823" s="11" t="n">
        <x:v>1</x:v>
      </x:c>
      <x:c r="L823" s="11" t="n">
        <x:f>IF(B823="NED",1,IF(OR(B823="ED",B823="UN"),0,""))</x:f>
        <x:v>0</x:v>
      </x:c>
      <x:c r="M823" s="11" t="n">
        <x:f>IF(AND(K823=1,OR(B823="ED",B823="NED")),1,0)</x:f>
        <x:v>1</x:v>
      </x:c>
      <x:c r="N823" s="11" t="n">
        <x:f>IF(K823=1,1,0)</x:f>
        <x:v>1</x:v>
      </x:c>
      <x:c r="O823" s="12"/>
      <x:c r="P823" s="11" t="n">
        <x:v>0</x:v>
      </x:c>
      <x:c r="Q823" s="12" t="str">
        <x:v>AF-P42232-F1-model_v6</x:v>
      </x:c>
      <x:c r="R823" s="12" t="str">
        <x:v>ok</x:v>
      </x:c>
      <x:c r="S823" s="11" t="n">
        <x:v>439</x:v>
      </x:c>
      <x:c r="T823" s="11" t="n">
        <x:v>786</x:v>
      </x:c>
    </x:row>
    <x:row r="824" ht="23" customHeight="1">
      <x:c r="A824" s="2" t="str">
        <x:v>P42582</x:v>
      </x:c>
      <x:c r="B824" s="2" t="str">
        <x:v>UN</x:v>
      </x:c>
      <x:c r="C824" s="2" t="n">
        <x:v>0</x:v>
      </x:c>
      <x:c r="D824" s="2" t="n">
        <x:v>0</x:v>
      </x:c>
      <x:c r="E824" s="10" t="n">
        <x:v>62.25861635220127</x:v>
      </x:c>
      <x:c r="F824" s="11" t="n">
        <x:v>318</x:v>
      </x:c>
      <x:c r="G824" s="11" t="n">
        <x:v>0</x:v>
      </x:c>
      <x:c r="H824" s="11" t="n">
        <x:v>0</x:v>
      </x:c>
      <x:c r="I824" s="11" t="n">
        <x:v>0</x:v>
      </x:c>
      <x:c r="J824" s="11" t="n">
        <x:v>0</x:v>
      </x:c>
      <x:c r="K824" s="11" t="n">
        <x:v>0</x:v>
      </x:c>
      <x:c r="L824" s="11" t="n">
        <x:f>IF(B824="NED",1,IF(OR(B824="ED",B824="UN"),0,""))</x:f>
        <x:v>0</x:v>
      </x:c>
      <x:c r="M824" s="11" t="n">
        <x:f>IF(AND(K824=1,OR(B824="ED",B824="NED")),1,0)</x:f>
        <x:v>0</x:v>
      </x:c>
      <x:c r="N824" s="11" t="n">
        <x:f>IF(K824=1,1,0)</x:f>
        <x:v>0</x:v>
      </x:c>
      <x:c r="O824" s="12" t="str">
        <x:v>Retain protein mean pLDDT &gt;=70</x:v>
      </x:c>
      <x:c r="P824" s="11" t="n">
        <x:v>0</x:v>
      </x:c>
      <x:c r="Q824" s="12" t="str">
        <x:v>AF-P42582-F1-model_v6</x:v>
      </x:c>
      <x:c r="R824" s="12" t="str">
        <x:v>ok</x:v>
      </x:c>
      <x:c r="S824" s="11" t="n">
        <x:v>440</x:v>
      </x:c>
      <x:c r="T824" s="11" t="n">
        <x:v>318</x:v>
      </x:c>
    </x:row>
    <x:row r="825" ht="23" customHeight="1">
      <x:c r="A825" s="2" t="str">
        <x:v>P42669</x:v>
      </x:c>
      <x:c r="B825" s="2" t="str">
        <x:v>ED</x:v>
      </x:c>
      <x:c r="C825" s="2" t="n">
        <x:v>0</x:v>
      </x:c>
      <x:c r="D825" s="2" t="n">
        <x:v>0</x:v>
      </x:c>
      <x:c r="E825" s="10" t="n">
        <x:v>77.71903426791278</x:v>
      </x:c>
      <x:c r="F825" s="11" t="n">
        <x:v>321</x:v>
      </x:c>
      <x:c r="G825" s="11" t="n">
        <x:v>0</x:v>
      </x:c>
      <x:c r="H825" s="11" t="n">
        <x:v>0</x:v>
      </x:c>
      <x:c r="I825" s="11" t="n">
        <x:v>0</x:v>
      </x:c>
      <x:c r="J825" s="11" t="n">
        <x:v>0</x:v>
      </x:c>
      <x:c r="K825" s="11" t="n">
        <x:v>1</x:v>
      </x:c>
      <x:c r="L825" s="11" t="n">
        <x:f>IF(B825="NED",1,IF(OR(B825="ED",B825="UN"),0,""))</x:f>
        <x:v>0</x:v>
      </x:c>
      <x:c r="M825" s="11" t="n">
        <x:f>IF(AND(K825=1,OR(B825="ED",B825="NED")),1,0)</x:f>
        <x:v>1</x:v>
      </x:c>
      <x:c r="N825" s="11" t="n">
        <x:f>IF(K825=1,1,0)</x:f>
        <x:v>1</x:v>
      </x:c>
      <x:c r="O825" s="12"/>
      <x:c r="P825" s="11" t="n">
        <x:v>0</x:v>
      </x:c>
      <x:c r="Q825" s="12" t="str">
        <x:v>AF-P42669-F1-model_v6</x:v>
      </x:c>
      <x:c r="R825" s="12" t="str">
        <x:v>ok</x:v>
      </x:c>
      <x:c r="S825" s="11" t="n">
        <x:v>441</x:v>
      </x:c>
      <x:c r="T825" s="11" t="n">
        <x:v>321</x:v>
      </x:c>
    </x:row>
    <x:row r="826" ht="23" customHeight="1">
      <x:c r="A826" s="2" t="str">
        <x:v>P42859</x:v>
      </x:c>
      <x:c r="B826" s="2" t="str">
        <x:v>ED</x:v>
      </x:c>
      <x:c r="C826" s="2"/>
      <x:c r="D826" s="2"/>
      <x:c r="E826" s="10"/>
      <x:c r="F826" s="11"/>
      <x:c r="G826" s="11" t="n">
        <x:v>0</x:v>
      </x:c>
      <x:c r="H826" s="11" t="n">
        <x:v>0</x:v>
      </x:c>
      <x:c r="I826" s="11" t="n">
        <x:v>0</x:v>
      </x:c>
      <x:c r="J826" s="11" t="n">
        <x:v>0</x:v>
      </x:c>
      <x:c r="K826" s="11" t="n">
        <x:v>0</x:v>
      </x:c>
      <x:c r="L826" s="11" t="n">
        <x:f>IF(B826="NED",1,IF(OR(B826="ED",B826="UN"),0,""))</x:f>
        <x:v>0</x:v>
      </x:c>
      <x:c r="M826" s="11" t="n">
        <x:f>IF(AND(K826=1,OR(B826="ED",B826="NED")),1,0)</x:f>
        <x:v>0</x:v>
      </x:c>
      <x:c r="N826" s="11" t="n">
        <x:f>IF(K826=1,1,0)</x:f>
        <x:v>0</x:v>
      </x:c>
      <x:c r="O826" s="12" t="str">
        <x:v>Require exact native accession match</x:v>
      </x:c>
      <x:c r="P826" s="11" t="n">
        <x:v>0</x:v>
      </x:c>
      <x:c r="Q826" s="12"/>
      <x:c r="R826" s="12"/>
      <x:c r="S826" s="11" t="n">
        <x:v>442</x:v>
      </x:c>
      <x:c r="T826" s="11" t="n">
        <x:v>3119</x:v>
      </x:c>
    </x:row>
    <x:row r="827" ht="23" customHeight="1">
      <x:c r="A827" s="2" t="str">
        <x:v>P42932</x:v>
      </x:c>
      <x:c r="B827" s="2" t="str">
        <x:v>UN</x:v>
      </x:c>
      <x:c r="C827" s="2" t="n">
        <x:v>1</x:v>
      </x:c>
      <x:c r="D827" s="2" t="n">
        <x:v>1</x:v>
      </x:c>
      <x:c r="E827" s="10" t="n">
        <x:v>89.22065693430656</x:v>
      </x:c>
      <x:c r="F827" s="11" t="n">
        <x:v>548</x:v>
      </x:c>
      <x:c r="G827" s="11" t="n">
        <x:v>0</x:v>
      </x:c>
      <x:c r="H827" s="11" t="n">
        <x:v>0</x:v>
      </x:c>
      <x:c r="I827" s="11" t="n">
        <x:v>0</x:v>
      </x:c>
      <x:c r="J827" s="11" t="n">
        <x:v>0</x:v>
      </x:c>
      <x:c r="K827" s="11" t="n">
        <x:v>1</x:v>
      </x:c>
      <x:c r="L827" s="11" t="n">
        <x:f>IF(B827="NED",1,IF(OR(B827="ED",B827="UN"),0,""))</x:f>
        <x:v>0</x:v>
      </x:c>
      <x:c r="M827" s="11" t="n">
        <x:f>IF(AND(K827=1,OR(B827="ED",B827="NED")),1,0)</x:f>
        <x:v>0</x:v>
      </x:c>
      <x:c r="N827" s="11" t="n">
        <x:f>IF(K827=1,1,0)</x:f>
        <x:v>1</x:v>
      </x:c>
      <x:c r="O827" s="12"/>
      <x:c r="P827" s="11" t="n">
        <x:v>0</x:v>
      </x:c>
      <x:c r="Q827" s="12" t="str">
        <x:v>AF-P42932-F1-model_v6</x:v>
      </x:c>
      <x:c r="R827" s="12" t="str">
        <x:v>ok</x:v>
      </x:c>
      <x:c r="S827" s="11" t="n">
        <x:v>443</x:v>
      </x:c>
      <x:c r="T827" s="11" t="n">
        <x:v>548</x:v>
      </x:c>
    </x:row>
    <x:row r="828" ht="23" customHeight="1">
      <x:c r="A828" s="2" t="str">
        <x:v>P43024</x:v>
      </x:c>
      <x:c r="B828" s="2" t="str">
        <x:v>UN</x:v>
      </x:c>
      <x:c r="C828" s="2" t="n">
        <x:v>0</x:v>
      </x:c>
      <x:c r="D828" s="2" t="n">
        <x:v>0</x:v>
      </x:c>
      <x:c r="E828" s="10"/>
      <x:c r="F828" s="11" t="n">
        <x:v>111</x:v>
      </x:c>
      <x:c r="G828" s="11" t="n">
        <x:v>0</x:v>
      </x:c>
      <x:c r="H828" s="11" t="n">
        <x:v>0</x:v>
      </x:c>
      <x:c r="I828" s="11" t="n">
        <x:v>1</x:v>
      </x:c>
      <x:c r="J828" s="11" t="n">
        <x:v>0</x:v>
      </x:c>
      <x:c r="K828" s="11" t="n">
        <x:v>0</x:v>
      </x:c>
      <x:c r="L828" s="11" t="n">
        <x:f>IF(B828="NED",1,IF(OR(B828="ED",B828="UN"),0,""))</x:f>
        <x:v>0</x:v>
      </x:c>
      <x:c r="M828" s="11" t="n">
        <x:f>IF(AND(K828=1,OR(B828="ED",B828="NED")),1,0)</x:f>
        <x:v>0</x:v>
      </x:c>
      <x:c r="N828" s="11" t="n">
        <x:f>IF(K828=1,1,0)</x:f>
        <x:v>0</x:v>
      </x:c>
      <x:c r="O828" s="12" t="str">
        <x:v>Exclude UniProt Membrane keyword</x:v>
      </x:c>
      <x:c r="P828" s="11" t="n">
        <x:v>0</x:v>
      </x:c>
      <x:c r="Q828" s="12" t="str">
        <x:v>AF-P43024-F1-model_v6</x:v>
      </x:c>
      <x:c r="R828" s="12" t="str">
        <x:v>ok</x:v>
      </x:c>
      <x:c r="S828" s="11" t="n">
        <x:v>444</x:v>
      </x:c>
      <x:c r="T828" s="11" t="n">
        <x:v>111</x:v>
      </x:c>
    </x:row>
    <x:row r="829" ht="23" customHeight="1">
      <x:c r="A829" s="2" t="str">
        <x:v>P43135</x:v>
      </x:c>
      <x:c r="B829" s="2" t="str">
        <x:v>UN</x:v>
      </x:c>
      <x:c r="C829" s="2" t="n">
        <x:v>1</x:v>
      </x:c>
      <x:c r="D829" s="2" t="n">
        <x:v>1</x:v>
      </x:c>
      <x:c r="E829" s="10" t="n">
        <x:v>76.31410628019324</x:v>
      </x:c>
      <x:c r="F829" s="11" t="n">
        <x:v>414</x:v>
      </x:c>
      <x:c r="G829" s="11" t="n">
        <x:v>0</x:v>
      </x:c>
      <x:c r="H829" s="11" t="n">
        <x:v>0</x:v>
      </x:c>
      <x:c r="I829" s="11" t="n">
        <x:v>0</x:v>
      </x:c>
      <x:c r="J829" s="11" t="n">
        <x:v>0</x:v>
      </x:c>
      <x:c r="K829" s="11" t="n">
        <x:v>1</x:v>
      </x:c>
      <x:c r="L829" s="11" t="n">
        <x:f>IF(B829="NED",1,IF(OR(B829="ED",B829="UN"),0,""))</x:f>
        <x:v>0</x:v>
      </x:c>
      <x:c r="M829" s="11" t="n">
        <x:f>IF(AND(K829=1,OR(B829="ED",B829="NED")),1,0)</x:f>
        <x:v>0</x:v>
      </x:c>
      <x:c r="N829" s="11" t="n">
        <x:f>IF(K829=1,1,0)</x:f>
        <x:v>1</x:v>
      </x:c>
      <x:c r="O829" s="12"/>
      <x:c r="P829" s="11" t="n">
        <x:v>0</x:v>
      </x:c>
      <x:c r="Q829" s="12" t="str">
        <x:v>AF-P43135-F1-model_v6</x:v>
      </x:c>
      <x:c r="R829" s="12" t="str">
        <x:v>ok</x:v>
      </x:c>
      <x:c r="S829" s="11" t="n">
        <x:v>445</x:v>
      </x:c>
      <x:c r="T829" s="11" t="n">
        <x:v>414</x:v>
      </x:c>
    </x:row>
    <x:row r="830" ht="23" customHeight="1">
      <x:c r="A830" s="2" t="str">
        <x:v>P43247</x:v>
      </x:c>
      <x:c r="B830" s="2" t="str">
        <x:v>UN</x:v>
      </x:c>
      <x:c r="C830" s="2" t="n">
        <x:v>1</x:v>
      </x:c>
      <x:c r="D830" s="2" t="n">
        <x:v>1</x:v>
      </x:c>
      <x:c r="E830" s="10" t="n">
        <x:v>86.90740106951871</x:v>
      </x:c>
      <x:c r="F830" s="11" t="n">
        <x:v>935</x:v>
      </x:c>
      <x:c r="G830" s="11" t="n">
        <x:v>0</x:v>
      </x:c>
      <x:c r="H830" s="11" t="n">
        <x:v>0</x:v>
      </x:c>
      <x:c r="I830" s="11" t="n">
        <x:v>0</x:v>
      </x:c>
      <x:c r="J830" s="11" t="n">
        <x:v>0</x:v>
      </x:c>
      <x:c r="K830" s="11" t="n">
        <x:v>1</x:v>
      </x:c>
      <x:c r="L830" s="11" t="n">
        <x:f>IF(B830="NED",1,IF(OR(B830="ED",B830="UN"),0,""))</x:f>
        <x:v>0</x:v>
      </x:c>
      <x:c r="M830" s="11" t="n">
        <x:f>IF(AND(K830=1,OR(B830="ED",B830="NED")),1,0)</x:f>
        <x:v>0</x:v>
      </x:c>
      <x:c r="N830" s="11" t="n">
        <x:f>IF(K830=1,1,0)</x:f>
        <x:v>1</x:v>
      </x:c>
      <x:c r="O830" s="12"/>
      <x:c r="P830" s="11" t="n">
        <x:v>0</x:v>
      </x:c>
      <x:c r="Q830" s="12" t="str">
        <x:v>AF-P43247-F1-model_v6</x:v>
      </x:c>
      <x:c r="R830" s="12" t="str">
        <x:v>ok</x:v>
      </x:c>
      <x:c r="S830" s="11" t="n">
        <x:v>446</x:v>
      </x:c>
      <x:c r="T830" s="11" t="n">
        <x:v>935</x:v>
      </x:c>
    </x:row>
    <x:row r="831" ht="23" customHeight="1">
      <x:c r="A831" s="2" t="str">
        <x:v>P43275</x:v>
      </x:c>
      <x:c r="B831" s="2" t="str">
        <x:v>UN</x:v>
      </x:c>
      <x:c r="C831" s="2" t="n">
        <x:v>1</x:v>
      </x:c>
      <x:c r="D831" s="2" t="n">
        <x:v>1</x:v>
      </x:c>
      <x:c r="E831" s="10" t="n">
        <x:v>65.04446009389672</x:v>
      </x:c>
      <x:c r="F831" s="11" t="n">
        <x:v>213</x:v>
      </x:c>
      <x:c r="G831" s="11" t="n">
        <x:v>0</x:v>
      </x:c>
      <x:c r="H831" s="11" t="n">
        <x:v>0</x:v>
      </x:c>
      <x:c r="I831" s="11" t="n">
        <x:v>0</x:v>
      </x:c>
      <x:c r="J831" s="11" t="n">
        <x:v>0</x:v>
      </x:c>
      <x:c r="K831" s="11" t="n">
        <x:v>0</x:v>
      </x:c>
      <x:c r="L831" s="11" t="n">
        <x:f>IF(B831="NED",1,IF(OR(B831="ED",B831="UN"),0,""))</x:f>
        <x:v>0</x:v>
      </x:c>
      <x:c r="M831" s="11" t="n">
        <x:f>IF(AND(K831=1,OR(B831="ED",B831="NED")),1,0)</x:f>
        <x:v>0</x:v>
      </x:c>
      <x:c r="N831" s="11" t="n">
        <x:f>IF(K831=1,1,0)</x:f>
        <x:v>0</x:v>
      </x:c>
      <x:c r="O831" s="12" t="str">
        <x:v>Retain protein mean pLDDT &gt;=70</x:v>
      </x:c>
      <x:c r="P831" s="11" t="n">
        <x:v>0</x:v>
      </x:c>
      <x:c r="Q831" s="12" t="str">
        <x:v>AF-P43275-F1-model_v6</x:v>
      </x:c>
      <x:c r="R831" s="12" t="str">
        <x:v>ok</x:v>
      </x:c>
      <x:c r="S831" s="11" t="n">
        <x:v>447</x:v>
      </x:c>
      <x:c r="T831" s="11" t="n">
        <x:v>213</x:v>
      </x:c>
    </x:row>
    <x:row r="832" ht="23" customHeight="1">
      <x:c r="A832" s="2" t="str">
        <x:v>P43276</x:v>
      </x:c>
      <x:c r="B832" s="2" t="str">
        <x:v>ED</x:v>
      </x:c>
      <x:c r="C832" s="2" t="n">
        <x:v>1</x:v>
      </x:c>
      <x:c r="D832" s="2" t="n">
        <x:v>1</x:v>
      </x:c>
      <x:c r="E832" s="10" t="n">
        <x:v>64.42910313901345</x:v>
      </x:c>
      <x:c r="F832" s="11" t="n">
        <x:v>223</x:v>
      </x:c>
      <x:c r="G832" s="11" t="n">
        <x:v>0</x:v>
      </x:c>
      <x:c r="H832" s="11" t="n">
        <x:v>0</x:v>
      </x:c>
      <x:c r="I832" s="11" t="n">
        <x:v>0</x:v>
      </x:c>
      <x:c r="J832" s="11" t="n">
        <x:v>0</x:v>
      </x:c>
      <x:c r="K832" s="11" t="n">
        <x:v>0</x:v>
      </x:c>
      <x:c r="L832" s="11" t="n">
        <x:f>IF(B832="NED",1,IF(OR(B832="ED",B832="UN"),0,""))</x:f>
        <x:v>0</x:v>
      </x:c>
      <x:c r="M832" s="11" t="n">
        <x:f>IF(AND(K832=1,OR(B832="ED",B832="NED")),1,0)</x:f>
        <x:v>0</x:v>
      </x:c>
      <x:c r="N832" s="11" t="n">
        <x:f>IF(K832=1,1,0)</x:f>
        <x:v>0</x:v>
      </x:c>
      <x:c r="O832" s="12" t="str">
        <x:v>Retain protein mean pLDDT &gt;=70</x:v>
      </x:c>
      <x:c r="P832" s="11" t="n">
        <x:v>0</x:v>
      </x:c>
      <x:c r="Q832" s="12" t="str">
        <x:v>AF-P43276-F1-model_v6</x:v>
      </x:c>
      <x:c r="R832" s="12" t="str">
        <x:v>ok</x:v>
      </x:c>
      <x:c r="S832" s="11" t="n">
        <x:v>448</x:v>
      </x:c>
      <x:c r="T832" s="11" t="n">
        <x:v>223</x:v>
      </x:c>
    </x:row>
    <x:row r="833" ht="23" customHeight="1">
      <x:c r="A833" s="2" t="str">
        <x:v>P43277</x:v>
      </x:c>
      <x:c r="B833" s="2" t="str">
        <x:v>UN</x:v>
      </x:c>
      <x:c r="C833" s="2" t="n">
        <x:v>1</x:v>
      </x:c>
      <x:c r="D833" s="2" t="n">
        <x:v>1</x:v>
      </x:c>
      <x:c r="E833" s="10" t="n">
        <x:v>64.53837104072397</x:v>
      </x:c>
      <x:c r="F833" s="11" t="n">
        <x:v>221</x:v>
      </x:c>
      <x:c r="G833" s="11" t="n">
        <x:v>0</x:v>
      </x:c>
      <x:c r="H833" s="11" t="n">
        <x:v>0</x:v>
      </x:c>
      <x:c r="I833" s="11" t="n">
        <x:v>0</x:v>
      </x:c>
      <x:c r="J833" s="11" t="n">
        <x:v>0</x:v>
      </x:c>
      <x:c r="K833" s="11" t="n">
        <x:v>0</x:v>
      </x:c>
      <x:c r="L833" s="11" t="n">
        <x:f>IF(B833="NED",1,IF(OR(B833="ED",B833="UN"),0,""))</x:f>
        <x:v>0</x:v>
      </x:c>
      <x:c r="M833" s="11" t="n">
        <x:f>IF(AND(K833=1,OR(B833="ED",B833="NED")),1,0)</x:f>
        <x:v>0</x:v>
      </x:c>
      <x:c r="N833" s="11" t="n">
        <x:f>IF(K833=1,1,0)</x:f>
        <x:v>0</x:v>
      </x:c>
      <x:c r="O833" s="12" t="str">
        <x:v>Retain protein mean pLDDT &gt;=70</x:v>
      </x:c>
      <x:c r="P833" s="11" t="n">
        <x:v>0</x:v>
      </x:c>
      <x:c r="Q833" s="12" t="str">
        <x:v>AF-P43277-F1-model_v6</x:v>
      </x:c>
      <x:c r="R833" s="12" t="str">
        <x:v>ok</x:v>
      </x:c>
      <x:c r="S833" s="11" t="n">
        <x:v>449</x:v>
      </x:c>
      <x:c r="T833" s="11" t="n">
        <x:v>221</x:v>
      </x:c>
    </x:row>
    <x:row r="834" ht="23" customHeight="1">
      <x:c r="A834" s="2" t="str">
        <x:v>P43300</x:v>
      </x:c>
      <x:c r="B834" s="2" t="str">
        <x:v>UN</x:v>
      </x:c>
      <x:c r="C834" s="2" t="n">
        <x:v>1</x:v>
      </x:c>
      <x:c r="D834" s="2"/>
      <x:c r="E834" s="10" t="n">
        <x:v>49.74395348837209</x:v>
      </x:c>
      <x:c r="F834" s="11" t="n">
        <x:v>387</x:v>
      </x:c>
      <x:c r="G834" s="11" t="n">
        <x:v>0</x:v>
      </x:c>
      <x:c r="H834" s="11" t="n">
        <x:v>0</x:v>
      </x:c>
      <x:c r="I834" s="11" t="n">
        <x:v>0</x:v>
      </x:c>
      <x:c r="J834" s="11" t="n">
        <x:v>0</x:v>
      </x:c>
      <x:c r="K834" s="11" t="n">
        <x:v>0</x:v>
      </x:c>
      <x:c r="L834" s="11" t="n">
        <x:f>IF(B834="NED",1,IF(OR(B834="ED",B834="UN"),0,""))</x:f>
        <x:v>0</x:v>
      </x:c>
      <x:c r="M834" s="11" t="n">
        <x:f>IF(AND(K834=1,OR(B834="ED",B834="NED")),1,0)</x:f>
        <x:v>0</x:v>
      </x:c>
      <x:c r="N834" s="11" t="n">
        <x:f>IF(K834=1,1,0)</x:f>
        <x:v>0</x:v>
      </x:c>
      <x:c r="O834" s="12" t="str">
        <x:v>Retain protein mean pLDDT &gt;=70</x:v>
      </x:c>
      <x:c r="P834" s="11" t="n">
        <x:v>0</x:v>
      </x:c>
      <x:c r="Q834" s="12" t="str">
        <x:v>AF-P43300-F1-model_v6</x:v>
      </x:c>
      <x:c r="R834" s="12" t="str">
        <x:v>ok</x:v>
      </x:c>
      <x:c r="S834" s="11" t="n">
        <x:v>450</x:v>
      </x:c>
      <x:c r="T834" s="11" t="n">
        <x:v>387</x:v>
      </x:c>
    </x:row>
    <x:row r="835" ht="23" customHeight="1">
      <x:c r="A835" s="2" t="str">
        <x:v>P43346</x:v>
      </x:c>
      <x:c r="B835" s="2" t="str">
        <x:v>UN</x:v>
      </x:c>
      <x:c r="C835" s="2" t="n">
        <x:v>1</x:v>
      </x:c>
      <x:c r="D835" s="2" t="n">
        <x:v>1</x:v>
      </x:c>
      <x:c r="E835" s="10" t="n">
        <x:v>88.57607692307693</x:v>
      </x:c>
      <x:c r="F835" s="11" t="n">
        <x:v>260</x:v>
      </x:c>
      <x:c r="G835" s="11" t="n">
        <x:v>0</x:v>
      </x:c>
      <x:c r="H835" s="11" t="n">
        <x:v>0</x:v>
      </x:c>
      <x:c r="I835" s="11" t="n">
        <x:v>0</x:v>
      </x:c>
      <x:c r="J835" s="11" t="n">
        <x:v>0</x:v>
      </x:c>
      <x:c r="K835" s="11" t="n">
        <x:v>1</x:v>
      </x:c>
      <x:c r="L835" s="11" t="n">
        <x:f>IF(B835="NED",1,IF(OR(B835="ED",B835="UN"),0,""))</x:f>
        <x:v>0</x:v>
      </x:c>
      <x:c r="M835" s="11" t="n">
        <x:f>IF(AND(K835=1,OR(B835="ED",B835="NED")),1,0)</x:f>
        <x:v>0</x:v>
      </x:c>
      <x:c r="N835" s="11" t="n">
        <x:f>IF(K835=1,1,0)</x:f>
        <x:v>1</x:v>
      </x:c>
      <x:c r="O835" s="12"/>
      <x:c r="P835" s="11" t="n">
        <x:v>0</x:v>
      </x:c>
      <x:c r="Q835" s="12" t="str">
        <x:v>AF-P43346-F1-model_v6</x:v>
      </x:c>
      <x:c r="R835" s="12" t="str">
        <x:v>ok</x:v>
      </x:c>
      <x:c r="S835" s="11" t="n">
        <x:v>451</x:v>
      </x:c>
      <x:c r="T835" s="11" t="n">
        <x:v>260</x:v>
      </x:c>
    </x:row>
    <x:row r="836" ht="23" customHeight="1">
      <x:c r="A836" s="2" t="str">
        <x:v>P43406</x:v>
      </x:c>
      <x:c r="B836" s="2" t="str">
        <x:v>UN</x:v>
      </x:c>
      <x:c r="C836" s="2"/>
      <x:c r="D836" s="2"/>
      <x:c r="E836" s="10"/>
      <x:c r="F836" s="11" t="n">
        <x:v>1044</x:v>
      </x:c>
      <x:c r="G836" s="11" t="n">
        <x:v>1</x:v>
      </x:c>
      <x:c r="H836" s="11" t="n">
        <x:v>1</x:v>
      </x:c>
      <x:c r="I836" s="11" t="n">
        <x:v>1</x:v>
      </x:c>
      <x:c r="J836" s="11" t="n">
        <x:v>0</x:v>
      </x:c>
      <x:c r="K836" s="11" t="n">
        <x:v>0</x:v>
      </x:c>
      <x:c r="L836" s="11" t="n">
        <x:f>IF(B836="NED",1,IF(OR(B836="ED",B836="UN"),0,""))</x:f>
        <x:v>0</x:v>
      </x:c>
      <x:c r="M836" s="11" t="n">
        <x:f>IF(AND(K836=1,OR(B836="ED",B836="NED")),1,0)</x:f>
        <x:v>0</x:v>
      </x:c>
      <x:c r="N836" s="11" t="n">
        <x:f>IF(K836=1,1,0)</x:f>
        <x:v>0</x:v>
      </x:c>
      <x:c r="O836" s="12" t="str">
        <x:v>Require binary native NCLE status</x:v>
      </x:c>
      <x:c r="P836" s="11" t="n">
        <x:v>0</x:v>
      </x:c>
      <x:c r="Q836" s="12" t="str">
        <x:v>AF-P43406-F1-model_v6</x:v>
      </x:c>
      <x:c r="R836" s="12" t="str">
        <x:v>ok</x:v>
      </x:c>
      <x:c r="S836" s="11" t="n">
        <x:v>452</x:v>
      </x:c>
      <x:c r="T836" s="11" t="n">
        <x:v>1044</x:v>
      </x:c>
    </x:row>
    <x:row r="837" ht="23" customHeight="1">
      <x:c r="A837" s="2" t="str">
        <x:v>P43883</x:v>
      </x:c>
      <x:c r="B837" s="2" t="str">
        <x:v>UN</x:v>
      </x:c>
      <x:c r="C837" s="2" t="n">
        <x:v>0</x:v>
      </x:c>
      <x:c r="D837" s="2" t="n">
        <x:v>0</x:v>
      </x:c>
      <x:c r="E837" s="10"/>
      <x:c r="F837" s="11" t="n">
        <x:v>425</x:v>
      </x:c>
      <x:c r="G837" s="11" t="n">
        <x:v>0</x:v>
      </x:c>
      <x:c r="H837" s="11" t="n">
        <x:v>0</x:v>
      </x:c>
      <x:c r="I837" s="11" t="n">
        <x:v>1</x:v>
      </x:c>
      <x:c r="J837" s="11" t="n">
        <x:v>0</x:v>
      </x:c>
      <x:c r="K837" s="11" t="n">
        <x:v>0</x:v>
      </x:c>
      <x:c r="L837" s="11" t="n">
        <x:f>IF(B837="NED",1,IF(OR(B837="ED",B837="UN"),0,""))</x:f>
        <x:v>0</x:v>
      </x:c>
      <x:c r="M837" s="11" t="n">
        <x:f>IF(AND(K837=1,OR(B837="ED",B837="NED")),1,0)</x:f>
        <x:v>0</x:v>
      </x:c>
      <x:c r="N837" s="11" t="n">
        <x:f>IF(K837=1,1,0)</x:f>
        <x:v>0</x:v>
      </x:c>
      <x:c r="O837" s="12" t="str">
        <x:v>Exclude UniProt Membrane keyword</x:v>
      </x:c>
      <x:c r="P837" s="11" t="n">
        <x:v>0</x:v>
      </x:c>
      <x:c r="Q837" s="12" t="str">
        <x:v>AF-P43883-F1-model_v6</x:v>
      </x:c>
      <x:c r="R837" s="12" t="str">
        <x:v>ok</x:v>
      </x:c>
      <x:c r="S837" s="11" t="n">
        <x:v>453</x:v>
      </x:c>
      <x:c r="T837" s="11" t="n">
        <x:v>425</x:v>
      </x:c>
    </x:row>
    <x:row r="838" ht="23" customHeight="1">
      <x:c r="A838" s="2" t="str">
        <x:v>P45376</x:v>
      </x:c>
      <x:c r="B838" s="2" t="str">
        <x:v>UN</x:v>
      </x:c>
      <x:c r="C838" s="2" t="n">
        <x:v>1</x:v>
      </x:c>
      <x:c r="D838" s="2" t="n">
        <x:v>1</x:v>
      </x:c>
      <x:c r="E838" s="10" t="n">
        <x:v>97.4559493670886</x:v>
      </x:c>
      <x:c r="F838" s="11" t="n">
        <x:v>316</x:v>
      </x:c>
      <x:c r="G838" s="11" t="n">
        <x:v>0</x:v>
      </x:c>
      <x:c r="H838" s="11" t="n">
        <x:v>0</x:v>
      </x:c>
      <x:c r="I838" s="11" t="n">
        <x:v>0</x:v>
      </x:c>
      <x:c r="J838" s="11" t="n">
        <x:v>0</x:v>
      </x:c>
      <x:c r="K838" s="11" t="n">
        <x:v>1</x:v>
      </x:c>
      <x:c r="L838" s="11" t="n">
        <x:f>IF(B838="NED",1,IF(OR(B838="ED",B838="UN"),0,""))</x:f>
        <x:v>0</x:v>
      </x:c>
      <x:c r="M838" s="11" t="n">
        <x:f>IF(AND(K838=1,OR(B838="ED",B838="NED")),1,0)</x:f>
        <x:v>0</x:v>
      </x:c>
      <x:c r="N838" s="11" t="n">
        <x:f>IF(K838=1,1,0)</x:f>
        <x:v>1</x:v>
      </x:c>
      <x:c r="O838" s="12"/>
      <x:c r="P838" s="11" t="n">
        <x:v>0</x:v>
      </x:c>
      <x:c r="Q838" s="12" t="str">
        <x:v>AF-P45376-F1-model_v6</x:v>
      </x:c>
      <x:c r="R838" s="12" t="str">
        <x:v>ok</x:v>
      </x:c>
      <x:c r="S838" s="11" t="n">
        <x:v>454</x:v>
      </x:c>
      <x:c r="T838" s="11" t="n">
        <x:v>316</x:v>
      </x:c>
    </x:row>
    <x:row r="839" ht="23" customHeight="1">
      <x:c r="A839" s="2" t="str">
        <x:v>P45377</x:v>
      </x:c>
      <x:c r="B839" s="2" t="str">
        <x:v>ED</x:v>
      </x:c>
      <x:c r="C839" s="2" t="n">
        <x:v>1</x:v>
      </x:c>
      <x:c r="D839" s="2" t="n">
        <x:v>1</x:v>
      </x:c>
      <x:c r="E839" s="10" t="n">
        <x:v>96.89981012658228</x:v>
      </x:c>
      <x:c r="F839" s="11" t="n">
        <x:v>316</x:v>
      </x:c>
      <x:c r="G839" s="11" t="n">
        <x:v>0</x:v>
      </x:c>
      <x:c r="H839" s="11" t="n">
        <x:v>0</x:v>
      </x:c>
      <x:c r="I839" s="11" t="n">
        <x:v>0</x:v>
      </x:c>
      <x:c r="J839" s="11" t="n">
        <x:v>0</x:v>
      </x:c>
      <x:c r="K839" s="11" t="n">
        <x:v>1</x:v>
      </x:c>
      <x:c r="L839" s="11" t="n">
        <x:f>IF(B839="NED",1,IF(OR(B839="ED",B839="UN"),0,""))</x:f>
        <x:v>0</x:v>
      </x:c>
      <x:c r="M839" s="11" t="n">
        <x:f>IF(AND(K839=1,OR(B839="ED",B839="NED")),1,0)</x:f>
        <x:v>1</x:v>
      </x:c>
      <x:c r="N839" s="11" t="n">
        <x:f>IF(K839=1,1,0)</x:f>
        <x:v>1</x:v>
      </x:c>
      <x:c r="O839" s="12"/>
      <x:c r="P839" s="11" t="n">
        <x:v>0</x:v>
      </x:c>
      <x:c r="Q839" s="12" t="str">
        <x:v>AF-P45377-F1-model_v6</x:v>
      </x:c>
      <x:c r="R839" s="12" t="str">
        <x:v>ok</x:v>
      </x:c>
      <x:c r="S839" s="11" t="n">
        <x:v>455</x:v>
      </x:c>
      <x:c r="T839" s="11" t="n">
        <x:v>316</x:v>
      </x:c>
    </x:row>
    <x:row r="840" ht="23" customHeight="1">
      <x:c r="A840" s="2" t="str">
        <x:v>P45591</x:v>
      </x:c>
      <x:c r="B840" s="2" t="str">
        <x:v>ED</x:v>
      </x:c>
      <x:c r="C840" s="2" t="n">
        <x:v>1</x:v>
      </x:c>
      <x:c r="D840" s="2" t="n">
        <x:v>1</x:v>
      </x:c>
      <x:c r="E840" s="10" t="n">
        <x:v>89.679578313253</x:v>
      </x:c>
      <x:c r="F840" s="11" t="n">
        <x:v>166</x:v>
      </x:c>
      <x:c r="G840" s="11" t="n">
        <x:v>0</x:v>
      </x:c>
      <x:c r="H840" s="11" t="n">
        <x:v>0</x:v>
      </x:c>
      <x:c r="I840" s="11" t="n">
        <x:v>0</x:v>
      </x:c>
      <x:c r="J840" s="11" t="n">
        <x:v>0</x:v>
      </x:c>
      <x:c r="K840" s="11" t="n">
        <x:v>1</x:v>
      </x:c>
      <x:c r="L840" s="11" t="n">
        <x:f>IF(B840="NED",1,IF(OR(B840="ED",B840="UN"),0,""))</x:f>
        <x:v>0</x:v>
      </x:c>
      <x:c r="M840" s="11" t="n">
        <x:f>IF(AND(K840=1,OR(B840="ED",B840="NED")),1,0)</x:f>
        <x:v>1</x:v>
      </x:c>
      <x:c r="N840" s="11" t="n">
        <x:f>IF(K840=1,1,0)</x:f>
        <x:v>1</x:v>
      </x:c>
      <x:c r="O840" s="12"/>
      <x:c r="P840" s="11" t="n">
        <x:v>0</x:v>
      </x:c>
      <x:c r="Q840" s="12" t="str">
        <x:v>AF-P45591-F1-model_v6</x:v>
      </x:c>
      <x:c r="R840" s="12" t="str">
        <x:v>ok</x:v>
      </x:c>
      <x:c r="S840" s="11" t="n">
        <x:v>456</x:v>
      </x:c>
      <x:c r="T840" s="11" t="n">
        <x:v>166</x:v>
      </x:c>
    </x:row>
    <x:row r="841" ht="23" customHeight="1">
      <x:c r="A841" s="2" t="str">
        <x:v>P45878</x:v>
      </x:c>
      <x:c r="B841" s="2" t="str">
        <x:v>ED</x:v>
      </x:c>
      <x:c r="C841" s="2" t="n">
        <x:v>1</x:v>
      </x:c>
      <x:c r="D841" s="2" t="n">
        <x:v>1</x:v>
      </x:c>
      <x:c r="E841" s="10"/>
      <x:c r="F841" s="11" t="n">
        <x:v>140</x:v>
      </x:c>
      <x:c r="G841" s="11" t="n">
        <x:v>0</x:v>
      </x:c>
      <x:c r="H841" s="11" t="n">
        <x:v>0</x:v>
      </x:c>
      <x:c r="I841" s="11" t="n">
        <x:v>1</x:v>
      </x:c>
      <x:c r="J841" s="11" t="n">
        <x:v>0</x:v>
      </x:c>
      <x:c r="K841" s="11" t="n">
        <x:v>0</x:v>
      </x:c>
      <x:c r="L841" s="11" t="n">
        <x:f>IF(B841="NED",1,IF(OR(B841="ED",B841="UN"),0,""))</x:f>
        <x:v>0</x:v>
      </x:c>
      <x:c r="M841" s="11" t="n">
        <x:f>IF(AND(K841=1,OR(B841="ED",B841="NED")),1,0)</x:f>
        <x:v>0</x:v>
      </x:c>
      <x:c r="N841" s="11" t="n">
        <x:f>IF(K841=1,1,0)</x:f>
        <x:v>0</x:v>
      </x:c>
      <x:c r="O841" s="12" t="str">
        <x:v>Exclude UniProt Membrane keyword</x:v>
      </x:c>
      <x:c r="P841" s="11" t="n">
        <x:v>0</x:v>
      </x:c>
      <x:c r="Q841" s="12" t="str">
        <x:v>AF-P45878-F1-model_v6</x:v>
      </x:c>
      <x:c r="R841" s="12" t="str">
        <x:v>ok</x:v>
      </x:c>
      <x:c r="S841" s="11" t="n">
        <x:v>457</x:v>
      </x:c>
      <x:c r="T841" s="11" t="n">
        <x:v>140</x:v>
      </x:c>
    </x:row>
    <x:row r="842" ht="23" customHeight="1">
      <x:c r="A842" s="2" t="str">
        <x:v>P46061</x:v>
      </x:c>
      <x:c r="B842" s="2" t="str">
        <x:v>ED</x:v>
      </x:c>
      <x:c r="C842" s="2" t="n">
        <x:v>0</x:v>
      </x:c>
      <x:c r="D842" s="2" t="n">
        <x:v>0</x:v>
      </x:c>
      <x:c r="E842" s="10" t="n">
        <x:v>87.01555178268252</x:v>
      </x:c>
      <x:c r="F842" s="11" t="n">
        <x:v>589</x:v>
      </x:c>
      <x:c r="G842" s="11" t="n">
        <x:v>0</x:v>
      </x:c>
      <x:c r="H842" s="11" t="n">
        <x:v>0</x:v>
      </x:c>
      <x:c r="I842" s="11" t="n">
        <x:v>0</x:v>
      </x:c>
      <x:c r="J842" s="11" t="n">
        <x:v>0</x:v>
      </x:c>
      <x:c r="K842" s="11" t="n">
        <x:v>1</x:v>
      </x:c>
      <x:c r="L842" s="11" t="n">
        <x:f>IF(B842="NED",1,IF(OR(B842="ED",B842="UN"),0,""))</x:f>
        <x:v>0</x:v>
      </x:c>
      <x:c r="M842" s="11" t="n">
        <x:f>IF(AND(K842=1,OR(B842="ED",B842="NED")),1,0)</x:f>
        <x:v>1</x:v>
      </x:c>
      <x:c r="N842" s="11" t="n">
        <x:f>IF(K842=1,1,0)</x:f>
        <x:v>1</x:v>
      </x:c>
      <x:c r="O842" s="12"/>
      <x:c r="P842" s="11" t="n">
        <x:v>0</x:v>
      </x:c>
      <x:c r="Q842" s="12" t="str">
        <x:v>AF-P46061-F1-model_v6</x:v>
      </x:c>
      <x:c r="R842" s="12" t="str">
        <x:v>ok</x:v>
      </x:c>
      <x:c r="S842" s="11" t="n">
        <x:v>458</x:v>
      </x:c>
      <x:c r="T842" s="11" t="n">
        <x:v>589</x:v>
      </x:c>
    </x:row>
    <x:row r="843" ht="23" customHeight="1">
      <x:c r="A843" s="2" t="str">
        <x:v>P46460</x:v>
      </x:c>
      <x:c r="B843" s="2" t="str">
        <x:v>ED</x:v>
      </x:c>
      <x:c r="C843" s="2" t="n">
        <x:v>1</x:v>
      </x:c>
      <x:c r="D843" s="2" t="n">
        <x:v>1</x:v>
      </x:c>
      <x:c r="E843" s="10" t="n">
        <x:v>85.43393817204301</x:v>
      </x:c>
      <x:c r="F843" s="11" t="n">
        <x:v>744</x:v>
      </x:c>
      <x:c r="G843" s="11" t="n">
        <x:v>0</x:v>
      </x:c>
      <x:c r="H843" s="11" t="n">
        <x:v>0</x:v>
      </x:c>
      <x:c r="I843" s="11" t="n">
        <x:v>0</x:v>
      </x:c>
      <x:c r="J843" s="11" t="n">
        <x:v>0</x:v>
      </x:c>
      <x:c r="K843" s="11" t="n">
        <x:v>1</x:v>
      </x:c>
      <x:c r="L843" s="11" t="n">
        <x:f>IF(B843="NED",1,IF(OR(B843="ED",B843="UN"),0,""))</x:f>
        <x:v>0</x:v>
      </x:c>
      <x:c r="M843" s="11" t="n">
        <x:f>IF(AND(K843=1,OR(B843="ED",B843="NED")),1,0)</x:f>
        <x:v>1</x:v>
      </x:c>
      <x:c r="N843" s="11" t="n">
        <x:f>IF(K843=1,1,0)</x:f>
        <x:v>1</x:v>
      </x:c>
      <x:c r="O843" s="12"/>
      <x:c r="P843" s="11" t="n">
        <x:v>0</x:v>
      </x:c>
      <x:c r="Q843" s="12" t="str">
        <x:v>AF-P46460-F1-model_v6</x:v>
      </x:c>
      <x:c r="R843" s="12" t="str">
        <x:v>ok</x:v>
      </x:c>
      <x:c r="S843" s="11" t="n">
        <x:v>459</x:v>
      </x:c>
      <x:c r="T843" s="11" t="n">
        <x:v>744</x:v>
      </x:c>
    </x:row>
    <x:row r="844" ht="23" customHeight="1">
      <x:c r="A844" s="2" t="str">
        <x:v>P46467</x:v>
      </x:c>
      <x:c r="B844" s="2" t="str">
        <x:v>UN</x:v>
      </x:c>
      <x:c r="C844" s="2" t="n">
        <x:v>1</x:v>
      </x:c>
      <x:c r="D844" s="2" t="n">
        <x:v>1</x:v>
      </x:c>
      <x:c r="E844" s="10"/>
      <x:c r="F844" s="11" t="n">
        <x:v>444</x:v>
      </x:c>
      <x:c r="G844" s="11" t="n">
        <x:v>0</x:v>
      </x:c>
      <x:c r="H844" s="11" t="n">
        <x:v>0</x:v>
      </x:c>
      <x:c r="I844" s="11" t="n">
        <x:v>1</x:v>
      </x:c>
      <x:c r="J844" s="11" t="n">
        <x:v>0</x:v>
      </x:c>
      <x:c r="K844" s="11" t="n">
        <x:v>0</x:v>
      </x:c>
      <x:c r="L844" s="11" t="n">
        <x:f>IF(B844="NED",1,IF(OR(B844="ED",B844="UN"),0,""))</x:f>
        <x:v>0</x:v>
      </x:c>
      <x:c r="M844" s="11" t="n">
        <x:f>IF(AND(K844=1,OR(B844="ED",B844="NED")),1,0)</x:f>
        <x:v>0</x:v>
      </x:c>
      <x:c r="N844" s="11" t="n">
        <x:f>IF(K844=1,1,0)</x:f>
        <x:v>0</x:v>
      </x:c>
      <x:c r="O844" s="12" t="str">
        <x:v>Exclude UniProt Membrane keyword</x:v>
      </x:c>
      <x:c r="P844" s="11" t="n">
        <x:v>0</x:v>
      </x:c>
      <x:c r="Q844" s="12" t="str">
        <x:v>AF-P46467-F1-model_v6</x:v>
      </x:c>
      <x:c r="R844" s="12" t="str">
        <x:v>ok</x:v>
      </x:c>
      <x:c r="S844" s="11" t="n">
        <x:v>460</x:v>
      </x:c>
      <x:c r="T844" s="11" t="n">
        <x:v>444</x:v>
      </x:c>
    </x:row>
    <x:row r="845" ht="23" customHeight="1">
      <x:c r="A845" s="2" t="str">
        <x:v>P46471</x:v>
      </x:c>
      <x:c r="B845" s="2" t="str">
        <x:v>NED</x:v>
      </x:c>
      <x:c r="C845" s="2" t="n">
        <x:v>1</x:v>
      </x:c>
      <x:c r="D845" s="2" t="n">
        <x:v>1</x:v>
      </x:c>
      <x:c r="E845" s="10" t="n">
        <x:v>81.15429561200924</x:v>
      </x:c>
      <x:c r="F845" s="11" t="n">
        <x:v>433</x:v>
      </x:c>
      <x:c r="G845" s="11" t="n">
        <x:v>0</x:v>
      </x:c>
      <x:c r="H845" s="11" t="n">
        <x:v>0</x:v>
      </x:c>
      <x:c r="I845" s="11" t="n">
        <x:v>0</x:v>
      </x:c>
      <x:c r="J845" s="11" t="n">
        <x:v>0</x:v>
      </x:c>
      <x:c r="K845" s="11" t="n">
        <x:v>1</x:v>
      </x:c>
      <x:c r="L845" s="11" t="n">
        <x:f>IF(B845="NED",1,IF(OR(B845="ED",B845="UN"),0,""))</x:f>
        <x:v>1</x:v>
      </x:c>
      <x:c r="M845" s="11" t="n">
        <x:f>IF(AND(K845=1,OR(B845="ED",B845="NED")),1,0)</x:f>
        <x:v>1</x:v>
      </x:c>
      <x:c r="N845" s="11" t="n">
        <x:f>IF(K845=1,1,0)</x:f>
        <x:v>1</x:v>
      </x:c>
      <x:c r="O845" s="12"/>
      <x:c r="P845" s="11" t="n">
        <x:v>0</x:v>
      </x:c>
      <x:c r="Q845" s="12" t="str">
        <x:v>AF-P46471-F1-model_v6</x:v>
      </x:c>
      <x:c r="R845" s="12" t="str">
        <x:v>ok</x:v>
      </x:c>
      <x:c r="S845" s="11" t="n">
        <x:v>461</x:v>
      </x:c>
      <x:c r="T845" s="11" t="n">
        <x:v>433</x:v>
      </x:c>
    </x:row>
    <x:row r="846" ht="23" customHeight="1">
      <x:c r="A846" s="2" t="str">
        <x:v>P46638</x:v>
      </x:c>
      <x:c r="B846" s="2" t="str">
        <x:v>ED</x:v>
      </x:c>
      <x:c r="C846" s="2" t="n">
        <x:v>1</x:v>
      </x:c>
      <x:c r="D846" s="2" t="n">
        <x:v>1</x:v>
      </x:c>
      <x:c r="E846" s="10"/>
      <x:c r="F846" s="11" t="n">
        <x:v>218</x:v>
      </x:c>
      <x:c r="G846" s="11" t="n">
        <x:v>0</x:v>
      </x:c>
      <x:c r="H846" s="11" t="n">
        <x:v>0</x:v>
      </x:c>
      <x:c r="I846" s="11" t="n">
        <x:v>1</x:v>
      </x:c>
      <x:c r="J846" s="11" t="n">
        <x:v>0</x:v>
      </x:c>
      <x:c r="K846" s="11" t="n">
        <x:v>0</x:v>
      </x:c>
      <x:c r="L846" s="11" t="n">
        <x:f>IF(B846="NED",1,IF(OR(B846="ED",B846="UN"),0,""))</x:f>
        <x:v>0</x:v>
      </x:c>
      <x:c r="M846" s="11" t="n">
        <x:f>IF(AND(K846=1,OR(B846="ED",B846="NED")),1,0)</x:f>
        <x:v>0</x:v>
      </x:c>
      <x:c r="N846" s="11" t="n">
        <x:f>IF(K846=1,1,0)</x:f>
        <x:v>0</x:v>
      </x:c>
      <x:c r="O846" s="12" t="str">
        <x:v>Exclude UniProt Membrane keyword</x:v>
      </x:c>
      <x:c r="P846" s="11" t="n">
        <x:v>0</x:v>
      </x:c>
      <x:c r="Q846" s="12" t="str">
        <x:v>AF-P46638-F1-model_v6</x:v>
      </x:c>
      <x:c r="R846" s="12" t="str">
        <x:v>ok</x:v>
      </x:c>
      <x:c r="S846" s="11" t="n">
        <x:v>462</x:v>
      </x:c>
      <x:c r="T846" s="11" t="n">
        <x:v>218</x:v>
      </x:c>
    </x:row>
    <x:row r="847" ht="23" customHeight="1">
      <x:c r="A847" s="2" t="str">
        <x:v>P46664</x:v>
      </x:c>
      <x:c r="B847" s="2" t="str">
        <x:v>UN</x:v>
      </x:c>
      <x:c r="C847" s="2" t="n">
        <x:v>1</x:v>
      </x:c>
      <x:c r="D847" s="2" t="n">
        <x:v>1</x:v>
      </x:c>
      <x:c r="E847" s="10" t="n">
        <x:v>92.43188596491228</x:v>
      </x:c>
      <x:c r="F847" s="11" t="n">
        <x:v>456</x:v>
      </x:c>
      <x:c r="G847" s="11" t="n">
        <x:v>0</x:v>
      </x:c>
      <x:c r="H847" s="11" t="n">
        <x:v>0</x:v>
      </x:c>
      <x:c r="I847" s="11" t="n">
        <x:v>0</x:v>
      </x:c>
      <x:c r="J847" s="11" t="n">
        <x:v>0</x:v>
      </x:c>
      <x:c r="K847" s="11" t="n">
        <x:v>1</x:v>
      </x:c>
      <x:c r="L847" s="11" t="n">
        <x:f>IF(B847="NED",1,IF(OR(B847="ED",B847="UN"),0,""))</x:f>
        <x:v>0</x:v>
      </x:c>
      <x:c r="M847" s="11" t="n">
        <x:f>IF(AND(K847=1,OR(B847="ED",B847="NED")),1,0)</x:f>
        <x:v>0</x:v>
      </x:c>
      <x:c r="N847" s="11" t="n">
        <x:f>IF(K847=1,1,0)</x:f>
        <x:v>1</x:v>
      </x:c>
      <x:c r="O847" s="12"/>
      <x:c r="P847" s="11" t="n">
        <x:v>0</x:v>
      </x:c>
      <x:c r="Q847" s="12" t="str">
        <x:v>AF-P46664-F1-model_v6</x:v>
      </x:c>
      <x:c r="R847" s="12" t="str">
        <x:v>ok</x:v>
      </x:c>
      <x:c r="S847" s="11" t="n">
        <x:v>463</x:v>
      </x:c>
      <x:c r="T847" s="11" t="n">
        <x:v>456</x:v>
      </x:c>
    </x:row>
    <x:row r="848" ht="23" customHeight="1">
      <x:c r="A848" s="2" t="str">
        <x:v>P46718</x:v>
      </x:c>
      <x:c r="B848" s="2" t="str">
        <x:v>ED</x:v>
      </x:c>
      <x:c r="C848" s="2" t="n">
        <x:v>1</x:v>
      </x:c>
      <x:c r="D848" s="2" t="n">
        <x:v>1</x:v>
      </x:c>
      <x:c r="E848" s="10" t="n">
        <x:v>83.73495626822158</x:v>
      </x:c>
      <x:c r="F848" s="11" t="n">
        <x:v>343</x:v>
      </x:c>
      <x:c r="G848" s="11" t="n">
        <x:v>0</x:v>
      </x:c>
      <x:c r="H848" s="11" t="n">
        <x:v>0</x:v>
      </x:c>
      <x:c r="I848" s="11" t="n">
        <x:v>0</x:v>
      </x:c>
      <x:c r="J848" s="11" t="n">
        <x:v>0</x:v>
      </x:c>
      <x:c r="K848" s="11" t="n">
        <x:v>1</x:v>
      </x:c>
      <x:c r="L848" s="11" t="n">
        <x:f>IF(B848="NED",1,IF(OR(B848="ED",B848="UN"),0,""))</x:f>
        <x:v>0</x:v>
      </x:c>
      <x:c r="M848" s="11" t="n">
        <x:f>IF(AND(K848=1,OR(B848="ED",B848="NED")),1,0)</x:f>
        <x:v>1</x:v>
      </x:c>
      <x:c r="N848" s="11" t="n">
        <x:f>IF(K848=1,1,0)</x:f>
        <x:v>1</x:v>
      </x:c>
      <x:c r="O848" s="12"/>
      <x:c r="P848" s="11" t="n">
        <x:v>0</x:v>
      </x:c>
      <x:c r="Q848" s="12" t="str">
        <x:v>AF-P46718-F1-model_v6</x:v>
      </x:c>
      <x:c r="R848" s="12" t="str">
        <x:v>ok</x:v>
      </x:c>
      <x:c r="S848" s="11" t="n">
        <x:v>464</x:v>
      </x:c>
      <x:c r="T848" s="11" t="n">
        <x:v>343</x:v>
      </x:c>
    </x:row>
    <x:row r="849" ht="23" customHeight="1">
      <x:c r="A849" s="2" t="str">
        <x:v>P46735</x:v>
      </x:c>
      <x:c r="B849" s="2" t="str">
        <x:v>UN</x:v>
      </x:c>
      <x:c r="C849" s="2" t="n">
        <x:v>1</x:v>
      </x:c>
      <x:c r="D849" s="2" t="n">
        <x:v>1</x:v>
      </x:c>
      <x:c r="E849" s="10" t="n">
        <x:v>86.83918699186991</x:v>
      </x:c>
      <x:c r="F849" s="11" t="n">
        <x:v>1107</x:v>
      </x:c>
      <x:c r="G849" s="11" t="n">
        <x:v>0</x:v>
      </x:c>
      <x:c r="H849" s="11" t="n">
        <x:v>0</x:v>
      </x:c>
      <x:c r="I849" s="11" t="n">
        <x:v>0</x:v>
      </x:c>
      <x:c r="J849" s="11" t="n">
        <x:v>0</x:v>
      </x:c>
      <x:c r="K849" s="11" t="n">
        <x:v>1</x:v>
      </x:c>
      <x:c r="L849" s="11" t="n">
        <x:f>IF(B849="NED",1,IF(OR(B849="ED",B849="UN"),0,""))</x:f>
        <x:v>0</x:v>
      </x:c>
      <x:c r="M849" s="11" t="n">
        <x:f>IF(AND(K849=1,OR(B849="ED",B849="NED")),1,0)</x:f>
        <x:v>0</x:v>
      </x:c>
      <x:c r="N849" s="11" t="n">
        <x:f>IF(K849=1,1,0)</x:f>
        <x:v>1</x:v>
      </x:c>
      <x:c r="O849" s="12"/>
      <x:c r="P849" s="11" t="n">
        <x:v>0</x:v>
      </x:c>
      <x:c r="Q849" s="12" t="str">
        <x:v>AF-P46735-F1-model_v6</x:v>
      </x:c>
      <x:c r="R849" s="12" t="str">
        <x:v>ok</x:v>
      </x:c>
      <x:c r="S849" s="11" t="n">
        <x:v>465</x:v>
      </x:c>
      <x:c r="T849" s="11" t="n">
        <x:v>1107</x:v>
      </x:c>
    </x:row>
    <x:row r="850" ht="23" customHeight="1">
      <x:c r="A850" s="2" t="str">
        <x:v>P46737</x:v>
      </x:c>
      <x:c r="B850" s="2" t="str">
        <x:v>NED</x:v>
      </x:c>
      <x:c r="C850" s="2" t="n">
        <x:v>1</x:v>
      </x:c>
      <x:c r="D850" s="2" t="n">
        <x:v>1</x:v>
      </x:c>
      <x:c r="E850" s="10" t="n">
        <x:v>88.39615120274914</x:v>
      </x:c>
      <x:c r="F850" s="11" t="n">
        <x:v>291</x:v>
      </x:c>
      <x:c r="G850" s="11" t="n">
        <x:v>0</x:v>
      </x:c>
      <x:c r="H850" s="11" t="n">
        <x:v>0</x:v>
      </x:c>
      <x:c r="I850" s="11" t="n">
        <x:v>0</x:v>
      </x:c>
      <x:c r="J850" s="11" t="n">
        <x:v>0</x:v>
      </x:c>
      <x:c r="K850" s="11" t="n">
        <x:v>1</x:v>
      </x:c>
      <x:c r="L850" s="11" t="n">
        <x:f>IF(B850="NED",1,IF(OR(B850="ED",B850="UN"),0,""))</x:f>
        <x:v>1</x:v>
      </x:c>
      <x:c r="M850" s="11" t="n">
        <x:f>IF(AND(K850=1,OR(B850="ED",B850="NED")),1,0)</x:f>
        <x:v>1</x:v>
      </x:c>
      <x:c r="N850" s="11" t="n">
        <x:f>IF(K850=1,1,0)</x:f>
        <x:v>1</x:v>
      </x:c>
      <x:c r="O850" s="12"/>
      <x:c r="P850" s="11" t="n">
        <x:v>0</x:v>
      </x:c>
      <x:c r="Q850" s="12" t="str">
        <x:v>AF-P46737-F1-model_v6</x:v>
      </x:c>
      <x:c r="R850" s="12" t="str">
        <x:v>ok</x:v>
      </x:c>
      <x:c r="S850" s="11" t="n">
        <x:v>466</x:v>
      </x:c>
      <x:c r="T850" s="11" t="n">
        <x:v>291</x:v>
      </x:c>
    </x:row>
    <x:row r="851" ht="23" customHeight="1">
      <x:c r="A851" s="2" t="str">
        <x:v>P46938-2</x:v>
      </x:c>
      <x:c r="B851" s="2" t="str">
        <x:v>UN</x:v>
      </x:c>
      <x:c r="C851" s="2"/>
      <x:c r="D851" s="2"/>
      <x:c r="E851" s="10"/>
      <x:c r="F851" s="11"/>
      <x:c r="G851" s="11" t="n">
        <x:v>0</x:v>
      </x:c>
      <x:c r="H851" s="11" t="n">
        <x:v>0</x:v>
      </x:c>
      <x:c r="I851" s="11"/>
      <x:c r="J851" s="11"/>
      <x:c r="K851" s="11" t="n">
        <x:v>0</x:v>
      </x:c>
      <x:c r="L851" s="11" t="n">
        <x:f>IF(B851="NED",1,IF(OR(B851="ED",B851="UN"),0,""))</x:f>
        <x:v>0</x:v>
      </x:c>
      <x:c r="M851" s="11" t="n">
        <x:f>IF(AND(K851=1,OR(B851="ED",B851="NED")),1,0)</x:f>
        <x:v>0</x:v>
      </x:c>
      <x:c r="N851" s="11" t="n">
        <x:f>IF(K851=1,1,0)</x:f>
        <x:v>0</x:v>
      </x:c>
      <x:c r="O851" s="12" t="str">
        <x:v>Require exact native accession match</x:v>
      </x:c>
      <x:c r="P851" s="11" t="n">
        <x:v>0</x:v>
      </x:c>
      <x:c r="Q851" s="12"/>
      <x:c r="R851" s="12"/>
      <x:c r="S851" s="11" t="n">
        <x:v>467</x:v>
      </x:c>
      <x:c r="T851" s="11"/>
    </x:row>
    <x:row r="852" ht="23" customHeight="1">
      <x:c r="A852" s="2" t="str">
        <x:v>P47199</x:v>
      </x:c>
      <x:c r="B852" s="2" t="str">
        <x:v>UN</x:v>
      </x:c>
      <x:c r="C852" s="2" t="n">
        <x:v>1</x:v>
      </x:c>
      <x:c r="D852" s="2" t="n">
        <x:v>1</x:v>
      </x:c>
      <x:c r="E852" s="10" t="n">
        <x:v>96.0336253776435</x:v>
      </x:c>
      <x:c r="F852" s="11" t="n">
        <x:v>331</x:v>
      </x:c>
      <x:c r="G852" s="11" t="n">
        <x:v>0</x:v>
      </x:c>
      <x:c r="H852" s="11" t="n">
        <x:v>0</x:v>
      </x:c>
      <x:c r="I852" s="11" t="n">
        <x:v>0</x:v>
      </x:c>
      <x:c r="J852" s="11" t="n">
        <x:v>0</x:v>
      </x:c>
      <x:c r="K852" s="11" t="n">
        <x:v>1</x:v>
      </x:c>
      <x:c r="L852" s="11" t="n">
        <x:f>IF(B852="NED",1,IF(OR(B852="ED",B852="UN"),0,""))</x:f>
        <x:v>0</x:v>
      </x:c>
      <x:c r="M852" s="11" t="n">
        <x:f>IF(AND(K852=1,OR(B852="ED",B852="NED")),1,0)</x:f>
        <x:v>0</x:v>
      </x:c>
      <x:c r="N852" s="11" t="n">
        <x:f>IF(K852=1,1,0)</x:f>
        <x:v>1</x:v>
      </x:c>
      <x:c r="O852" s="12"/>
      <x:c r="P852" s="11" t="n">
        <x:v>0</x:v>
      </x:c>
      <x:c r="Q852" s="12" t="str">
        <x:v>AF-P47199-F1-model_v6</x:v>
      </x:c>
      <x:c r="R852" s="12" t="str">
        <x:v>ok</x:v>
      </x:c>
      <x:c r="S852" s="11" t="n">
        <x:v>468</x:v>
      </x:c>
      <x:c r="T852" s="11" t="n">
        <x:v>331</x:v>
      </x:c>
    </x:row>
    <x:row r="853" ht="23" customHeight="1">
      <x:c r="A853" s="2" t="str">
        <x:v>P47713</x:v>
      </x:c>
      <x:c r="B853" s="2" t="str">
        <x:v>NED</x:v>
      </x:c>
      <x:c r="C853" s="2" t="n">
        <x:v>1</x:v>
      </x:c>
      <x:c r="D853" s="2" t="n">
        <x:v>1</x:v>
      </x:c>
      <x:c r="E853" s="10"/>
      <x:c r="F853" s="11" t="n">
        <x:v>748</x:v>
      </x:c>
      <x:c r="G853" s="11" t="n">
        <x:v>0</x:v>
      </x:c>
      <x:c r="H853" s="11" t="n">
        <x:v>0</x:v>
      </x:c>
      <x:c r="I853" s="11" t="n">
        <x:v>1</x:v>
      </x:c>
      <x:c r="J853" s="11" t="n">
        <x:v>0</x:v>
      </x:c>
      <x:c r="K853" s="11" t="n">
        <x:v>0</x:v>
      </x:c>
      <x:c r="L853" s="11" t="n">
        <x:f>IF(B853="NED",1,IF(OR(B853="ED",B853="UN"),0,""))</x:f>
        <x:v>1</x:v>
      </x:c>
      <x:c r="M853" s="11" t="n">
        <x:f>IF(AND(K853=1,OR(B853="ED",B853="NED")),1,0)</x:f>
        <x:v>0</x:v>
      </x:c>
      <x:c r="N853" s="11" t="n">
        <x:f>IF(K853=1,1,0)</x:f>
        <x:v>0</x:v>
      </x:c>
      <x:c r="O853" s="12" t="str">
        <x:v>Exclude UniProt Membrane keyword</x:v>
      </x:c>
      <x:c r="P853" s="11" t="n">
        <x:v>0</x:v>
      </x:c>
      <x:c r="Q853" s="12" t="str">
        <x:v>AF-P47713-F1-model_v6</x:v>
      </x:c>
      <x:c r="R853" s="12" t="str">
        <x:v>ok</x:v>
      </x:c>
      <x:c r="S853" s="11" t="n">
        <x:v>469</x:v>
      </x:c>
      <x:c r="T853" s="11" t="n">
        <x:v>748</x:v>
      </x:c>
    </x:row>
    <x:row r="854" ht="23" customHeight="1">
      <x:c r="A854" s="2" t="str">
        <x:v>P47740</x:v>
      </x:c>
      <x:c r="B854" s="2" t="str">
        <x:v>UN</x:v>
      </x:c>
      <x:c r="C854" s="2" t="n">
        <x:v>1</x:v>
      </x:c>
      <x:c r="D854" s="2" t="n">
        <x:v>1</x:v>
      </x:c>
      <x:c r="E854" s="10"/>
      <x:c r="F854" s="11" t="n">
        <x:v>484</x:v>
      </x:c>
      <x:c r="G854" s="11" t="n">
        <x:v>0</x:v>
      </x:c>
      <x:c r="H854" s="11" t="n">
        <x:v>0</x:v>
      </x:c>
      <x:c r="I854" s="11" t="n">
        <x:v>1</x:v>
      </x:c>
      <x:c r="J854" s="11" t="n">
        <x:v>0</x:v>
      </x:c>
      <x:c r="K854" s="11" t="n">
        <x:v>0</x:v>
      </x:c>
      <x:c r="L854" s="11" t="n">
        <x:f>IF(B854="NED",1,IF(OR(B854="ED",B854="UN"),0,""))</x:f>
        <x:v>0</x:v>
      </x:c>
      <x:c r="M854" s="11" t="n">
        <x:f>IF(AND(K854=1,OR(B854="ED",B854="NED")),1,0)</x:f>
        <x:v>0</x:v>
      </x:c>
      <x:c r="N854" s="11" t="n">
        <x:f>IF(K854=1,1,0)</x:f>
        <x:v>0</x:v>
      </x:c>
      <x:c r="O854" s="12" t="str">
        <x:v>Exclude UniProt Membrane keyword</x:v>
      </x:c>
      <x:c r="P854" s="11" t="n">
        <x:v>0</x:v>
      </x:c>
      <x:c r="Q854" s="12" t="str">
        <x:v>AF-P47740-F1-model_v6</x:v>
      </x:c>
      <x:c r="R854" s="12" t="str">
        <x:v>ok</x:v>
      </x:c>
      <x:c r="S854" s="11" t="n">
        <x:v>470</x:v>
      </x:c>
      <x:c r="T854" s="11" t="n">
        <x:v>484</x:v>
      </x:c>
    </x:row>
    <x:row r="855" ht="23" customHeight="1">
      <x:c r="A855" s="2" t="str">
        <x:v>P47754</x:v>
      </x:c>
      <x:c r="B855" s="2" t="str">
        <x:v>UN</x:v>
      </x:c>
      <x:c r="C855" s="2" t="n">
        <x:v>0</x:v>
      </x:c>
      <x:c r="D855" s="2" t="n">
        <x:v>0</x:v>
      </x:c>
      <x:c r="E855" s="10" t="n">
        <x:v>92.82192307692308</x:v>
      </x:c>
      <x:c r="F855" s="11" t="n">
        <x:v>286</x:v>
      </x:c>
      <x:c r="G855" s="11" t="n">
        <x:v>0</x:v>
      </x:c>
      <x:c r="H855" s="11" t="n">
        <x:v>0</x:v>
      </x:c>
      <x:c r="I855" s="11" t="n">
        <x:v>0</x:v>
      </x:c>
      <x:c r="J855" s="11" t="n">
        <x:v>0</x:v>
      </x:c>
      <x:c r="K855" s="11" t="n">
        <x:v>1</x:v>
      </x:c>
      <x:c r="L855" s="11" t="n">
        <x:f>IF(B855="NED",1,IF(OR(B855="ED",B855="UN"),0,""))</x:f>
        <x:v>0</x:v>
      </x:c>
      <x:c r="M855" s="11" t="n">
        <x:f>IF(AND(K855=1,OR(B855="ED",B855="NED")),1,0)</x:f>
        <x:v>0</x:v>
      </x:c>
      <x:c r="N855" s="11" t="n">
        <x:f>IF(K855=1,1,0)</x:f>
        <x:v>1</x:v>
      </x:c>
      <x:c r="O855" s="12"/>
      <x:c r="P855" s="11" t="n">
        <x:v>0</x:v>
      </x:c>
      <x:c r="Q855" s="12" t="str">
        <x:v>AF-P47754-F1-model_v6</x:v>
      </x:c>
      <x:c r="R855" s="12" t="str">
        <x:v>ok</x:v>
      </x:c>
      <x:c r="S855" s="11" t="n">
        <x:v>471</x:v>
      </x:c>
      <x:c r="T855" s="11" t="n">
        <x:v>286</x:v>
      </x:c>
    </x:row>
    <x:row r="856" ht="23" customHeight="1">
      <x:c r="A856" s="2" t="str">
        <x:v>P47757-2</x:v>
      </x:c>
      <x:c r="B856" s="2" t="str">
        <x:v>UN</x:v>
      </x:c>
      <x:c r="C856" s="2"/>
      <x:c r="D856" s="2"/>
      <x:c r="E856" s="10"/>
      <x:c r="F856" s="11"/>
      <x:c r="G856" s="11" t="n">
        <x:v>0</x:v>
      </x:c>
      <x:c r="H856" s="11" t="n">
        <x:v>0</x:v>
      </x:c>
      <x:c r="I856" s="11"/>
      <x:c r="J856" s="11"/>
      <x:c r="K856" s="11" t="n">
        <x:v>0</x:v>
      </x:c>
      <x:c r="L856" s="11" t="n">
        <x:f>IF(B856="NED",1,IF(OR(B856="ED",B856="UN"),0,""))</x:f>
        <x:v>0</x:v>
      </x:c>
      <x:c r="M856" s="11" t="n">
        <x:f>IF(AND(K856=1,OR(B856="ED",B856="NED")),1,0)</x:f>
        <x:v>0</x:v>
      </x:c>
      <x:c r="N856" s="11" t="n">
        <x:f>IF(K856=1,1,0)</x:f>
        <x:v>0</x:v>
      </x:c>
      <x:c r="O856" s="12" t="str">
        <x:v>Require exact native accession match</x:v>
      </x:c>
      <x:c r="P856" s="11" t="n">
        <x:v>0</x:v>
      </x:c>
      <x:c r="Q856" s="12"/>
      <x:c r="R856" s="12"/>
      <x:c r="S856" s="11" t="n">
        <x:v>472</x:v>
      </x:c>
      <x:c r="T856" s="11"/>
    </x:row>
    <x:row r="857" ht="23" customHeight="1">
      <x:c r="A857" s="2" t="str">
        <x:v>P47758</x:v>
      </x:c>
      <x:c r="B857" s="2" t="str">
        <x:v>UN</x:v>
      </x:c>
      <x:c r="C857" s="2" t="n">
        <x:v>1</x:v>
      </x:c>
      <x:c r="D857" s="2" t="n">
        <x:v>1</x:v>
      </x:c>
      <x:c r="E857" s="10"/>
      <x:c r="F857" s="11" t="n">
        <x:v>269</x:v>
      </x:c>
      <x:c r="G857" s="11" t="n">
        <x:v>0</x:v>
      </x:c>
      <x:c r="H857" s="11" t="n">
        <x:v>0</x:v>
      </x:c>
      <x:c r="I857" s="11" t="n">
        <x:v>1</x:v>
      </x:c>
      <x:c r="J857" s="11" t="n">
        <x:v>0</x:v>
      </x:c>
      <x:c r="K857" s="11" t="n">
        <x:v>0</x:v>
      </x:c>
      <x:c r="L857" s="11" t="n">
        <x:f>IF(B857="NED",1,IF(OR(B857="ED",B857="UN"),0,""))</x:f>
        <x:v>0</x:v>
      </x:c>
      <x:c r="M857" s="11" t="n">
        <x:f>IF(AND(K857=1,OR(B857="ED",B857="NED")),1,0)</x:f>
        <x:v>0</x:v>
      </x:c>
      <x:c r="N857" s="11" t="n">
        <x:f>IF(K857=1,1,0)</x:f>
        <x:v>0</x:v>
      </x:c>
      <x:c r="O857" s="12" t="str">
        <x:v>Exclude UniProt Membrane keyword</x:v>
      </x:c>
      <x:c r="P857" s="11" t="n">
        <x:v>0</x:v>
      </x:c>
      <x:c r="Q857" s="12" t="str">
        <x:v>AF-P47758-F1-model_v6</x:v>
      </x:c>
      <x:c r="R857" s="12" t="str">
        <x:v>ok</x:v>
      </x:c>
      <x:c r="S857" s="11" t="n">
        <x:v>473</x:v>
      </x:c>
      <x:c r="T857" s="11" t="n">
        <x:v>269</x:v>
      </x:c>
    </x:row>
    <x:row r="858" ht="23" customHeight="1">
      <x:c r="A858" s="2" t="str">
        <x:v>P47791-2</x:v>
      </x:c>
      <x:c r="B858" s="2" t="str">
        <x:v>UN</x:v>
      </x:c>
      <x:c r="C858" s="2"/>
      <x:c r="D858" s="2"/>
      <x:c r="E858" s="10"/>
      <x:c r="F858" s="11"/>
      <x:c r="G858" s="11" t="n">
        <x:v>0</x:v>
      </x:c>
      <x:c r="H858" s="11" t="n">
        <x:v>0</x:v>
      </x:c>
      <x:c r="I858" s="11"/>
      <x:c r="J858" s="11"/>
      <x:c r="K858" s="11" t="n">
        <x:v>0</x:v>
      </x:c>
      <x:c r="L858" s="11" t="n">
        <x:f>IF(B858="NED",1,IF(OR(B858="ED",B858="UN"),0,""))</x:f>
        <x:v>0</x:v>
      </x:c>
      <x:c r="M858" s="11" t="n">
        <x:f>IF(AND(K858=1,OR(B858="ED",B858="NED")),1,0)</x:f>
        <x:v>0</x:v>
      </x:c>
      <x:c r="N858" s="11" t="n">
        <x:f>IF(K858=1,1,0)</x:f>
        <x:v>0</x:v>
      </x:c>
      <x:c r="O858" s="12" t="str">
        <x:v>Require exact native accession match</x:v>
      </x:c>
      <x:c r="P858" s="11" t="n">
        <x:v>0</x:v>
      </x:c>
      <x:c r="Q858" s="12"/>
      <x:c r="R858" s="12"/>
      <x:c r="S858" s="11" t="n">
        <x:v>474</x:v>
      </x:c>
      <x:c r="T858" s="11"/>
    </x:row>
    <x:row r="859" ht="23" customHeight="1">
      <x:c r="A859" s="2" t="str">
        <x:v>P47802</x:v>
      </x:c>
      <x:c r="B859" s="2" t="str">
        <x:v>ED</x:v>
      </x:c>
      <x:c r="C859" s="2" t="n">
        <x:v>1</x:v>
      </x:c>
      <x:c r="D859" s="2" t="n">
        <x:v>1</x:v>
      </x:c>
      <x:c r="E859" s="10"/>
      <x:c r="F859" s="11" t="n">
        <x:v>317</x:v>
      </x:c>
      <x:c r="G859" s="11" t="n">
        <x:v>0</x:v>
      </x:c>
      <x:c r="H859" s="11" t="n">
        <x:v>0</x:v>
      </x:c>
      <x:c r="I859" s="11" t="n">
        <x:v>1</x:v>
      </x:c>
      <x:c r="J859" s="11" t="n">
        <x:v>0</x:v>
      </x:c>
      <x:c r="K859" s="11" t="n">
        <x:v>0</x:v>
      </x:c>
      <x:c r="L859" s="11" t="n">
        <x:f>IF(B859="NED",1,IF(OR(B859="ED",B859="UN"),0,""))</x:f>
        <x:v>0</x:v>
      </x:c>
      <x:c r="M859" s="11" t="n">
        <x:f>IF(AND(K859=1,OR(B859="ED",B859="NED")),1,0)</x:f>
        <x:v>0</x:v>
      </x:c>
      <x:c r="N859" s="11" t="n">
        <x:f>IF(K859=1,1,0)</x:f>
        <x:v>0</x:v>
      </x:c>
      <x:c r="O859" s="12" t="str">
        <x:v>Exclude UniProt Membrane keyword</x:v>
      </x:c>
      <x:c r="P859" s="11" t="n">
        <x:v>0</x:v>
      </x:c>
      <x:c r="Q859" s="12" t="str">
        <x:v>AF-P47802-F1-model_v6</x:v>
      </x:c>
      <x:c r="R859" s="12" t="str">
        <x:v>ok</x:v>
      </x:c>
      <x:c r="S859" s="11" t="n">
        <x:v>475</x:v>
      </x:c>
      <x:c r="T859" s="11" t="n">
        <x:v>317</x:v>
      </x:c>
    </x:row>
    <x:row r="860" ht="23" customHeight="1">
      <x:c r="A860" s="2" t="str">
        <x:v>P47809</x:v>
      </x:c>
      <x:c r="B860" s="2" t="str">
        <x:v>ED</x:v>
      </x:c>
      <x:c r="C860" s="2" t="n">
        <x:v>1</x:v>
      </x:c>
      <x:c r="D860" s="2" t="n">
        <x:v>1</x:v>
      </x:c>
      <x:c r="E860" s="10" t="n">
        <x:v>77.97740554156171</x:v>
      </x:c>
      <x:c r="F860" s="11" t="n">
        <x:v>397</x:v>
      </x:c>
      <x:c r="G860" s="11" t="n">
        <x:v>0</x:v>
      </x:c>
      <x:c r="H860" s="11" t="n">
        <x:v>0</x:v>
      </x:c>
      <x:c r="I860" s="11" t="n">
        <x:v>0</x:v>
      </x:c>
      <x:c r="J860" s="11" t="n">
        <x:v>0</x:v>
      </x:c>
      <x:c r="K860" s="11" t="n">
        <x:v>1</x:v>
      </x:c>
      <x:c r="L860" s="11" t="n">
        <x:f>IF(B860="NED",1,IF(OR(B860="ED",B860="UN"),0,""))</x:f>
        <x:v>0</x:v>
      </x:c>
      <x:c r="M860" s="11" t="n">
        <x:f>IF(AND(K860=1,OR(B860="ED",B860="NED")),1,0)</x:f>
        <x:v>1</x:v>
      </x:c>
      <x:c r="N860" s="11" t="n">
        <x:f>IF(K860=1,1,0)</x:f>
        <x:v>1</x:v>
      </x:c>
      <x:c r="O860" s="12"/>
      <x:c r="P860" s="11" t="n">
        <x:v>0</x:v>
      </x:c>
      <x:c r="Q860" s="12" t="str">
        <x:v>AF-P47809-F1-model_v6</x:v>
      </x:c>
      <x:c r="R860" s="12" t="str">
        <x:v>ok</x:v>
      </x:c>
      <x:c r="S860" s="11" t="n">
        <x:v>476</x:v>
      </x:c>
      <x:c r="T860" s="11" t="n">
        <x:v>397</x:v>
      </x:c>
    </x:row>
    <x:row r="861" ht="23" customHeight="1">
      <x:c r="A861" s="2" t="str">
        <x:v>P47811</x:v>
      </x:c>
      <x:c r="B861" s="2" t="str">
        <x:v>ED</x:v>
      </x:c>
      <x:c r="C861" s="2" t="n">
        <x:v>1</x:v>
      </x:c>
      <x:c r="D861" s="2" t="n">
        <x:v>1</x:v>
      </x:c>
      <x:c r="E861" s="10" t="n">
        <x:v>90.48702777777778</x:v>
      </x:c>
      <x:c r="F861" s="11" t="n">
        <x:v>360</x:v>
      </x:c>
      <x:c r="G861" s="11" t="n">
        <x:v>0</x:v>
      </x:c>
      <x:c r="H861" s="11" t="n">
        <x:v>0</x:v>
      </x:c>
      <x:c r="I861" s="11" t="n">
        <x:v>0</x:v>
      </x:c>
      <x:c r="J861" s="11" t="n">
        <x:v>0</x:v>
      </x:c>
      <x:c r="K861" s="11" t="n">
        <x:v>1</x:v>
      </x:c>
      <x:c r="L861" s="11" t="n">
        <x:f>IF(B861="NED",1,IF(OR(B861="ED",B861="UN"),0,""))</x:f>
        <x:v>0</x:v>
      </x:c>
      <x:c r="M861" s="11" t="n">
        <x:f>IF(AND(K861=1,OR(B861="ED",B861="NED")),1,0)</x:f>
        <x:v>1</x:v>
      </x:c>
      <x:c r="N861" s="11" t="n">
        <x:f>IF(K861=1,1,0)</x:f>
        <x:v>1</x:v>
      </x:c>
      <x:c r="O861" s="12"/>
      <x:c r="P861" s="11" t="n">
        <x:v>0</x:v>
      </x:c>
      <x:c r="Q861" s="12" t="str">
        <x:v>AF-P47811-F1-model_v6</x:v>
      </x:c>
      <x:c r="R861" s="12" t="str">
        <x:v>ok</x:v>
      </x:c>
      <x:c r="S861" s="11" t="n">
        <x:v>477</x:v>
      </x:c>
      <x:c r="T861" s="11" t="n">
        <x:v>360</x:v>
      </x:c>
    </x:row>
    <x:row r="862" ht="23" customHeight="1">
      <x:c r="A862" s="2" t="str">
        <x:v>P47856-2</x:v>
      </x:c>
      <x:c r="B862" s="2" t="str">
        <x:v>UN</x:v>
      </x:c>
      <x:c r="C862" s="2"/>
      <x:c r="D862" s="2"/>
      <x:c r="E862" s="10"/>
      <x:c r="F862" s="11"/>
      <x:c r="G862" s="11" t="n">
        <x:v>0</x:v>
      </x:c>
      <x:c r="H862" s="11" t="n">
        <x:v>0</x:v>
      </x:c>
      <x:c r="I862" s="11"/>
      <x:c r="J862" s="11"/>
      <x:c r="K862" s="11" t="n">
        <x:v>0</x:v>
      </x:c>
      <x:c r="L862" s="11" t="n">
        <x:f>IF(B862="NED",1,IF(OR(B862="ED",B862="UN"),0,""))</x:f>
        <x:v>0</x:v>
      </x:c>
      <x:c r="M862" s="11" t="n">
        <x:f>IF(AND(K862=1,OR(B862="ED",B862="NED")),1,0)</x:f>
        <x:v>0</x:v>
      </x:c>
      <x:c r="N862" s="11" t="n">
        <x:f>IF(K862=1,1,0)</x:f>
        <x:v>0</x:v>
      </x:c>
      <x:c r="O862" s="12" t="str">
        <x:v>Require exact native accession match</x:v>
      </x:c>
      <x:c r="P862" s="11" t="n">
        <x:v>0</x:v>
      </x:c>
      <x:c r="Q862" s="12"/>
      <x:c r="R862" s="12"/>
      <x:c r="S862" s="11" t="n">
        <x:v>478</x:v>
      </x:c>
      <x:c r="T862" s="11"/>
    </x:row>
    <x:row r="863" ht="23" customHeight="1">
      <x:c r="A863" s="2" t="str">
        <x:v>P47857</x:v>
      </x:c>
      <x:c r="B863" s="2" t="str">
        <x:v>NED</x:v>
      </x:c>
      <x:c r="C863" s="2" t="n">
        <x:v>1</x:v>
      </x:c>
      <x:c r="D863" s="2" t="n">
        <x:v>1</x:v>
      </x:c>
      <x:c r="E863" s="10" t="n">
        <x:v>90.7048717948718</x:v>
      </x:c>
      <x:c r="F863" s="11" t="n">
        <x:v>780</x:v>
      </x:c>
      <x:c r="G863" s="11" t="n">
        <x:v>0</x:v>
      </x:c>
      <x:c r="H863" s="11" t="n">
        <x:v>0</x:v>
      </x:c>
      <x:c r="I863" s="11" t="n">
        <x:v>0</x:v>
      </x:c>
      <x:c r="J863" s="11" t="n">
        <x:v>0</x:v>
      </x:c>
      <x:c r="K863" s="11" t="n">
        <x:v>1</x:v>
      </x:c>
      <x:c r="L863" s="11" t="n">
        <x:f>IF(B863="NED",1,IF(OR(B863="ED",B863="UN"),0,""))</x:f>
        <x:v>1</x:v>
      </x:c>
      <x:c r="M863" s="11" t="n">
        <x:f>IF(AND(K863=1,OR(B863="ED",B863="NED")),1,0)</x:f>
        <x:v>1</x:v>
      </x:c>
      <x:c r="N863" s="11" t="n">
        <x:f>IF(K863=1,1,0)</x:f>
        <x:v>1</x:v>
      </x:c>
      <x:c r="O863" s="12"/>
      <x:c r="P863" s="11" t="n">
        <x:v>0</x:v>
      </x:c>
      <x:c r="Q863" s="12" t="str">
        <x:v>AF-P47857-F1-model_v6</x:v>
      </x:c>
      <x:c r="R863" s="12" t="str">
        <x:v>ok</x:v>
      </x:c>
      <x:c r="S863" s="11" t="n">
        <x:v>479</x:v>
      </x:c>
      <x:c r="T863" s="11" t="n">
        <x:v>780</x:v>
      </x:c>
    </x:row>
    <x:row r="864" ht="23" customHeight="1">
      <x:c r="A864" s="2" t="str">
        <x:v>P47930</x:v>
      </x:c>
      <x:c r="B864" s="2" t="str">
        <x:v>NED</x:v>
      </x:c>
      <x:c r="C864" s="2" t="n">
        <x:v>0</x:v>
      </x:c>
      <x:c r="D864" s="2" t="n">
        <x:v>0</x:v>
      </x:c>
      <x:c r="E864" s="10" t="n">
        <x:v>62.2969018404908</x:v>
      </x:c>
      <x:c r="F864" s="11" t="n">
        <x:v>326</x:v>
      </x:c>
      <x:c r="G864" s="11" t="n">
        <x:v>0</x:v>
      </x:c>
      <x:c r="H864" s="11" t="n">
        <x:v>0</x:v>
      </x:c>
      <x:c r="I864" s="11" t="n">
        <x:v>0</x:v>
      </x:c>
      <x:c r="J864" s="11" t="n">
        <x:v>0</x:v>
      </x:c>
      <x:c r="K864" s="11" t="n">
        <x:v>0</x:v>
      </x:c>
      <x:c r="L864" s="11" t="n">
        <x:f>IF(B864="NED",1,IF(OR(B864="ED",B864="UN"),0,""))</x:f>
        <x:v>1</x:v>
      </x:c>
      <x:c r="M864" s="11" t="n">
        <x:f>IF(AND(K864=1,OR(B864="ED",B864="NED")),1,0)</x:f>
        <x:v>0</x:v>
      </x:c>
      <x:c r="N864" s="11" t="n">
        <x:f>IF(K864=1,1,0)</x:f>
        <x:v>0</x:v>
      </x:c>
      <x:c r="O864" s="12" t="str">
        <x:v>Retain protein mean pLDDT &gt;=70</x:v>
      </x:c>
      <x:c r="P864" s="11" t="n">
        <x:v>0</x:v>
      </x:c>
      <x:c r="Q864" s="12" t="str">
        <x:v>AF-P47930-F1-model_v6</x:v>
      </x:c>
      <x:c r="R864" s="12" t="str">
        <x:v>ok</x:v>
      </x:c>
      <x:c r="S864" s="11" t="n">
        <x:v>480</x:v>
      </x:c>
      <x:c r="T864" s="11" t="n">
        <x:v>326</x:v>
      </x:c>
    </x:row>
    <x:row r="865" ht="23" customHeight="1">
      <x:c r="A865" s="2" t="str">
        <x:v>P47941</x:v>
      </x:c>
      <x:c r="B865" s="2" t="str">
        <x:v>ED</x:v>
      </x:c>
      <x:c r="C865" s="2" t="n">
        <x:v>1</x:v>
      </x:c>
      <x:c r="D865" s="2" t="n">
        <x:v>1</x:v>
      </x:c>
      <x:c r="E865" s="10" t="n">
        <x:v>68.21679867986798</x:v>
      </x:c>
      <x:c r="F865" s="11" t="n">
        <x:v>303</x:v>
      </x:c>
      <x:c r="G865" s="11" t="n">
        <x:v>0</x:v>
      </x:c>
      <x:c r="H865" s="11" t="n">
        <x:v>0</x:v>
      </x:c>
      <x:c r="I865" s="11" t="n">
        <x:v>0</x:v>
      </x:c>
      <x:c r="J865" s="11" t="n">
        <x:v>0</x:v>
      </x:c>
      <x:c r="K865" s="11" t="n">
        <x:v>0</x:v>
      </x:c>
      <x:c r="L865" s="11" t="n">
        <x:f>IF(B865="NED",1,IF(OR(B865="ED",B865="UN"),0,""))</x:f>
        <x:v>0</x:v>
      </x:c>
      <x:c r="M865" s="11" t="n">
        <x:f>IF(AND(K865=1,OR(B865="ED",B865="NED")),1,0)</x:f>
        <x:v>0</x:v>
      </x:c>
      <x:c r="N865" s="11" t="n">
        <x:f>IF(K865=1,1,0)</x:f>
        <x:v>0</x:v>
      </x:c>
      <x:c r="O865" s="12" t="str">
        <x:v>Retain protein mean pLDDT &gt;=70</x:v>
      </x:c>
      <x:c r="P865" s="11" t="n">
        <x:v>0</x:v>
      </x:c>
      <x:c r="Q865" s="12" t="str">
        <x:v>AF-P47941-F1-model_v6</x:v>
      </x:c>
      <x:c r="R865" s="12" t="str">
        <x:v>ok</x:v>
      </x:c>
      <x:c r="S865" s="11" t="n">
        <x:v>481</x:v>
      </x:c>
      <x:c r="T865" s="11" t="n">
        <x:v>303</x:v>
      </x:c>
    </x:row>
    <x:row r="866" ht="23" customHeight="1">
      <x:c r="A866" s="2" t="str">
        <x:v>P47955</x:v>
      </x:c>
      <x:c r="B866" s="2" t="str">
        <x:v>UN</x:v>
      </x:c>
      <x:c r="C866" s="2" t="n">
        <x:v>0</x:v>
      </x:c>
      <x:c r="D866" s="2" t="n">
        <x:v>0</x:v>
      </x:c>
      <x:c r="E866" s="10" t="n">
        <x:v>70.04394736842106</x:v>
      </x:c>
      <x:c r="F866" s="11" t="n">
        <x:v>114</x:v>
      </x:c>
      <x:c r="G866" s="11" t="n">
        <x:v>0</x:v>
      </x:c>
      <x:c r="H866" s="11" t="n">
        <x:v>0</x:v>
      </x:c>
      <x:c r="I866" s="11" t="n">
        <x:v>0</x:v>
      </x:c>
      <x:c r="J866" s="11" t="n">
        <x:v>0</x:v>
      </x:c>
      <x:c r="K866" s="11" t="n">
        <x:v>1</x:v>
      </x:c>
      <x:c r="L866" s="11" t="n">
        <x:f>IF(B866="NED",1,IF(OR(B866="ED",B866="UN"),0,""))</x:f>
        <x:v>0</x:v>
      </x:c>
      <x:c r="M866" s="11" t="n">
        <x:f>IF(AND(K866=1,OR(B866="ED",B866="NED")),1,0)</x:f>
        <x:v>0</x:v>
      </x:c>
      <x:c r="N866" s="11" t="n">
        <x:f>IF(K866=1,1,0)</x:f>
        <x:v>1</x:v>
      </x:c>
      <x:c r="O866" s="12"/>
      <x:c r="P866" s="11" t="n">
        <x:v>0</x:v>
      </x:c>
      <x:c r="Q866" s="12" t="str">
        <x:v>AF-P47955-F1-model_v6</x:v>
      </x:c>
      <x:c r="R866" s="12" t="str">
        <x:v>ok</x:v>
      </x:c>
      <x:c r="S866" s="11" t="n">
        <x:v>482</x:v>
      </x:c>
      <x:c r="T866" s="11" t="n">
        <x:v>114</x:v>
      </x:c>
    </x:row>
    <x:row r="867" ht="23" customHeight="1">
      <x:c r="A867" s="2" t="str">
        <x:v>P47962</x:v>
      </x:c>
      <x:c r="B867" s="2" t="str">
        <x:v>NED</x:v>
      </x:c>
      <x:c r="C867" s="2" t="n">
        <x:v>1</x:v>
      </x:c>
      <x:c r="D867" s="2" t="n">
        <x:v>1</x:v>
      </x:c>
      <x:c r="E867" s="10" t="n">
        <x:v>96.49282828282828</x:v>
      </x:c>
      <x:c r="F867" s="11" t="n">
        <x:v>297</x:v>
      </x:c>
      <x:c r="G867" s="11" t="n">
        <x:v>0</x:v>
      </x:c>
      <x:c r="H867" s="11" t="n">
        <x:v>0</x:v>
      </x:c>
      <x:c r="I867" s="11" t="n">
        <x:v>0</x:v>
      </x:c>
      <x:c r="J867" s="11" t="n">
        <x:v>0</x:v>
      </x:c>
      <x:c r="K867" s="11" t="n">
        <x:v>1</x:v>
      </x:c>
      <x:c r="L867" s="11" t="n">
        <x:f>IF(B867="NED",1,IF(OR(B867="ED",B867="UN"),0,""))</x:f>
        <x:v>1</x:v>
      </x:c>
      <x:c r="M867" s="11" t="n">
        <x:f>IF(AND(K867=1,OR(B867="ED",B867="NED")),1,0)</x:f>
        <x:v>1</x:v>
      </x:c>
      <x:c r="N867" s="11" t="n">
        <x:f>IF(K867=1,1,0)</x:f>
        <x:v>1</x:v>
      </x:c>
      <x:c r="O867" s="12"/>
      <x:c r="P867" s="11" t="n">
        <x:v>0</x:v>
      </x:c>
      <x:c r="Q867" s="12" t="str">
        <x:v>AF-P47962-F1-model_v6</x:v>
      </x:c>
      <x:c r="R867" s="12" t="str">
        <x:v>ok</x:v>
      </x:c>
      <x:c r="S867" s="11" t="n">
        <x:v>483</x:v>
      </x:c>
      <x:c r="T867" s="11" t="n">
        <x:v>297</x:v>
      </x:c>
    </x:row>
    <x:row r="868" ht="23" customHeight="1">
      <x:c r="A868" s="2" t="str">
        <x:v>P48036</x:v>
      </x:c>
      <x:c r="B868" s="2" t="str">
        <x:v>ED</x:v>
      </x:c>
      <x:c r="C868" s="2" t="n">
        <x:v>0</x:v>
      </x:c>
      <x:c r="D868" s="2" t="n">
        <x:v>0</x:v>
      </x:c>
      <x:c r="E868" s="10" t="n">
        <x:v>96.8364263322884</x:v>
      </x:c>
      <x:c r="F868" s="11" t="n">
        <x:v>319</x:v>
      </x:c>
      <x:c r="G868" s="11" t="n">
        <x:v>0</x:v>
      </x:c>
      <x:c r="H868" s="11" t="n">
        <x:v>0</x:v>
      </x:c>
      <x:c r="I868" s="11" t="n">
        <x:v>0</x:v>
      </x:c>
      <x:c r="J868" s="11" t="n">
        <x:v>0</x:v>
      </x:c>
      <x:c r="K868" s="11" t="n">
        <x:v>1</x:v>
      </x:c>
      <x:c r="L868" s="11" t="n">
        <x:f>IF(B868="NED",1,IF(OR(B868="ED",B868="UN"),0,""))</x:f>
        <x:v>0</x:v>
      </x:c>
      <x:c r="M868" s="11" t="n">
        <x:f>IF(AND(K868=1,OR(B868="ED",B868="NED")),1,0)</x:f>
        <x:v>1</x:v>
      </x:c>
      <x:c r="N868" s="11" t="n">
        <x:f>IF(K868=1,1,0)</x:f>
        <x:v>1</x:v>
      </x:c>
      <x:c r="O868" s="12"/>
      <x:c r="P868" s="11" t="n">
        <x:v>0</x:v>
      </x:c>
      <x:c r="Q868" s="12" t="str">
        <x:v>AF-P48036-F1-model_v6</x:v>
      </x:c>
      <x:c r="R868" s="12" t="str">
        <x:v>ok</x:v>
      </x:c>
      <x:c r="S868" s="11" t="n">
        <x:v>484</x:v>
      </x:c>
      <x:c r="T868" s="11" t="n">
        <x:v>319</x:v>
      </x:c>
    </x:row>
    <x:row r="869" ht="23" customHeight="1">
      <x:c r="A869" s="2" t="str">
        <x:v>P48428</x:v>
      </x:c>
      <x:c r="B869" s="2" t="str">
        <x:v>UN</x:v>
      </x:c>
      <x:c r="C869" s="2" t="n">
        <x:v>0</x:v>
      </x:c>
      <x:c r="D869" s="2" t="n">
        <x:v>0</x:v>
      </x:c>
      <x:c r="E869" s="10" t="n">
        <x:v>93.5462037037037</x:v>
      </x:c>
      <x:c r="F869" s="11" t="n">
        <x:v>108</x:v>
      </x:c>
      <x:c r="G869" s="11" t="n">
        <x:v>0</x:v>
      </x:c>
      <x:c r="H869" s="11" t="n">
        <x:v>0</x:v>
      </x:c>
      <x:c r="I869" s="11" t="n">
        <x:v>0</x:v>
      </x:c>
      <x:c r="J869" s="11" t="n">
        <x:v>0</x:v>
      </x:c>
      <x:c r="K869" s="11" t="n">
        <x:v>1</x:v>
      </x:c>
      <x:c r="L869" s="11" t="n">
        <x:f>IF(B869="NED",1,IF(OR(B869="ED",B869="UN"),0,""))</x:f>
        <x:v>0</x:v>
      </x:c>
      <x:c r="M869" s="11" t="n">
        <x:f>IF(AND(K869=1,OR(B869="ED",B869="NED")),1,0)</x:f>
        <x:v>0</x:v>
      </x:c>
      <x:c r="N869" s="11" t="n">
        <x:f>IF(K869=1,1,0)</x:f>
        <x:v>1</x:v>
      </x:c>
      <x:c r="O869" s="12"/>
      <x:c r="P869" s="11" t="n">
        <x:v>0</x:v>
      </x:c>
      <x:c r="Q869" s="12" t="str">
        <x:v>AF-P48428-F1-model_v6</x:v>
      </x:c>
      <x:c r="R869" s="12" t="str">
        <x:v>ok</x:v>
      </x:c>
      <x:c r="S869" s="11" t="n">
        <x:v>485</x:v>
      </x:c>
      <x:c r="T869" s="11" t="n">
        <x:v>108</x:v>
      </x:c>
    </x:row>
    <x:row r="870" ht="23" customHeight="1">
      <x:c r="A870" s="2" t="str">
        <x:v>P48678</x:v>
      </x:c>
      <x:c r="B870" s="2" t="str">
        <x:v>UN</x:v>
      </x:c>
      <x:c r="C870" s="2" t="n">
        <x:v>0</x:v>
      </x:c>
      <x:c r="D870" s="2" t="n">
        <x:v>0</x:v>
      </x:c>
      <x:c r="E870" s="10" t="n">
        <x:v>76.04395488721805</x:v>
      </x:c>
      <x:c r="F870" s="11" t="n">
        <x:v>665</x:v>
      </x:c>
      <x:c r="G870" s="11" t="n">
        <x:v>0</x:v>
      </x:c>
      <x:c r="H870" s="11" t="n">
        <x:v>0</x:v>
      </x:c>
      <x:c r="I870" s="11" t="n">
        <x:v>0</x:v>
      </x:c>
      <x:c r="J870" s="11" t="n">
        <x:v>0</x:v>
      </x:c>
      <x:c r="K870" s="11" t="n">
        <x:v>1</x:v>
      </x:c>
      <x:c r="L870" s="11" t="n">
        <x:f>IF(B870="NED",1,IF(OR(B870="ED",B870="UN"),0,""))</x:f>
        <x:v>0</x:v>
      </x:c>
      <x:c r="M870" s="11" t="n">
        <x:f>IF(AND(K870=1,OR(B870="ED",B870="NED")),1,0)</x:f>
        <x:v>0</x:v>
      </x:c>
      <x:c r="N870" s="11" t="n">
        <x:f>IF(K870=1,1,0)</x:f>
        <x:v>1</x:v>
      </x:c>
      <x:c r="O870" s="12"/>
      <x:c r="P870" s="11" t="n">
        <x:v>0</x:v>
      </x:c>
      <x:c r="Q870" s="12" t="str">
        <x:v>AF-P48678-F1-model_v6</x:v>
      </x:c>
      <x:c r="R870" s="12" t="str">
        <x:v>ok</x:v>
      </x:c>
      <x:c r="S870" s="11" t="n">
        <x:v>486</x:v>
      </x:c>
      <x:c r="T870" s="11" t="n">
        <x:v>665</x:v>
      </x:c>
    </x:row>
    <x:row r="871" ht="23" customHeight="1">
      <x:c r="A871" s="2" t="str">
        <x:v>P48722</x:v>
      </x:c>
      <x:c r="B871" s="2" t="str">
        <x:v>NED</x:v>
      </x:c>
      <x:c r="C871" s="2" t="n">
        <x:v>1</x:v>
      </x:c>
      <x:c r="D871" s="2" t="n">
        <x:v>1</x:v>
      </x:c>
      <x:c r="E871" s="10" t="n">
        <x:v>85.84579952267303</x:v>
      </x:c>
      <x:c r="F871" s="11" t="n">
        <x:v>838</x:v>
      </x:c>
      <x:c r="G871" s="11" t="n">
        <x:v>0</x:v>
      </x:c>
      <x:c r="H871" s="11" t="n">
        <x:v>0</x:v>
      </x:c>
      <x:c r="I871" s="11" t="n">
        <x:v>0</x:v>
      </x:c>
      <x:c r="J871" s="11" t="n">
        <x:v>0</x:v>
      </x:c>
      <x:c r="K871" s="11" t="n">
        <x:v>1</x:v>
      </x:c>
      <x:c r="L871" s="11" t="n">
        <x:f>IF(B871="NED",1,IF(OR(B871="ED",B871="UN"),0,""))</x:f>
        <x:v>1</x:v>
      </x:c>
      <x:c r="M871" s="11" t="n">
        <x:f>IF(AND(K871=1,OR(B871="ED",B871="NED")),1,0)</x:f>
        <x:v>1</x:v>
      </x:c>
      <x:c r="N871" s="11" t="n">
        <x:f>IF(K871=1,1,0)</x:f>
        <x:v>1</x:v>
      </x:c>
      <x:c r="O871" s="12"/>
      <x:c r="P871" s="11" t="n">
        <x:v>0</x:v>
      </x:c>
      <x:c r="Q871" s="12" t="str">
        <x:v>AF-P48722-F1-model_v6</x:v>
      </x:c>
      <x:c r="R871" s="12" t="str">
        <x:v>ok</x:v>
      </x:c>
      <x:c r="S871" s="11" t="n">
        <x:v>487</x:v>
      </x:c>
      <x:c r="T871" s="11" t="n">
        <x:v>838</x:v>
      </x:c>
    </x:row>
    <x:row r="872" ht="23" customHeight="1">
      <x:c r="A872" s="2" t="str">
        <x:v>P48725</x:v>
      </x:c>
      <x:c r="B872" s="2" t="str">
        <x:v>ED</x:v>
      </x:c>
      <x:c r="C872" s="2"/>
      <x:c r="D872" s="2"/>
      <x:c r="E872" s="10"/>
      <x:c r="F872" s="11"/>
      <x:c r="G872" s="11" t="n">
        <x:v>0</x:v>
      </x:c>
      <x:c r="H872" s="11" t="n">
        <x:v>0</x:v>
      </x:c>
      <x:c r="I872" s="11" t="n">
        <x:v>0</x:v>
      </x:c>
      <x:c r="J872" s="11" t="n">
        <x:v>0</x:v>
      </x:c>
      <x:c r="K872" s="11" t="n">
        <x:v>0</x:v>
      </x:c>
      <x:c r="L872" s="11" t="n">
        <x:f>IF(B872="NED",1,IF(OR(B872="ED",B872="UN"),0,""))</x:f>
        <x:v>0</x:v>
      </x:c>
      <x:c r="M872" s="11" t="n">
        <x:f>IF(AND(K872=1,OR(B872="ED",B872="NED")),1,0)</x:f>
        <x:v>0</x:v>
      </x:c>
      <x:c r="N872" s="11" t="n">
        <x:f>IF(K872=1,1,0)</x:f>
        <x:v>0</x:v>
      </x:c>
      <x:c r="O872" s="12" t="str">
        <x:v>Require exact native accession match</x:v>
      </x:c>
      <x:c r="P872" s="11" t="n">
        <x:v>0</x:v>
      </x:c>
      <x:c r="Q872" s="12"/>
      <x:c r="R872" s="12"/>
      <x:c r="S872" s="11" t="n">
        <x:v>488</x:v>
      </x:c>
      <x:c r="T872" s="11" t="n">
        <x:v>2898</x:v>
      </x:c>
    </x:row>
    <x:row r="873" ht="23" customHeight="1">
      <x:c r="A873" s="2" t="str">
        <x:v>P48755</x:v>
      </x:c>
      <x:c r="B873" s="2" t="str">
        <x:v>UN</x:v>
      </x:c>
      <x:c r="C873" s="2" t="n">
        <x:v>0</x:v>
      </x:c>
      <x:c r="D873" s="2" t="n">
        <x:v>0</x:v>
      </x:c>
      <x:c r="E873" s="10" t="n">
        <x:v>66.3214652014652</x:v>
      </x:c>
      <x:c r="F873" s="11" t="n">
        <x:v>273</x:v>
      </x:c>
      <x:c r="G873" s="11" t="n">
        <x:v>0</x:v>
      </x:c>
      <x:c r="H873" s="11" t="n">
        <x:v>0</x:v>
      </x:c>
      <x:c r="I873" s="11" t="n">
        <x:v>0</x:v>
      </x:c>
      <x:c r="J873" s="11" t="n">
        <x:v>0</x:v>
      </x:c>
      <x:c r="K873" s="11" t="n">
        <x:v>0</x:v>
      </x:c>
      <x:c r="L873" s="11" t="n">
        <x:f>IF(B873="NED",1,IF(OR(B873="ED",B873="UN"),0,""))</x:f>
        <x:v>0</x:v>
      </x:c>
      <x:c r="M873" s="11" t="n">
        <x:f>IF(AND(K873=1,OR(B873="ED",B873="NED")),1,0)</x:f>
        <x:v>0</x:v>
      </x:c>
      <x:c r="N873" s="11" t="n">
        <x:f>IF(K873=1,1,0)</x:f>
        <x:v>0</x:v>
      </x:c>
      <x:c r="O873" s="12" t="str">
        <x:v>Retain protein mean pLDDT &gt;=70</x:v>
      </x:c>
      <x:c r="P873" s="11" t="n">
        <x:v>0</x:v>
      </x:c>
      <x:c r="Q873" s="12" t="str">
        <x:v>AF-P48755-F1-model_v6</x:v>
      </x:c>
      <x:c r="R873" s="12" t="str">
        <x:v>ok</x:v>
      </x:c>
      <x:c r="S873" s="11" t="n">
        <x:v>489</x:v>
      </x:c>
      <x:c r="T873" s="11" t="n">
        <x:v>273</x:v>
      </x:c>
    </x:row>
    <x:row r="874" ht="23" customHeight="1">
      <x:c r="A874" s="2" t="str">
        <x:v>P48760-2</x:v>
      </x:c>
      <x:c r="B874" s="2" t="str">
        <x:v>ED</x:v>
      </x:c>
      <x:c r="C874" s="2"/>
      <x:c r="D874" s="2"/>
      <x:c r="E874" s="10"/>
      <x:c r="F874" s="11"/>
      <x:c r="G874" s="11" t="n">
        <x:v>0</x:v>
      </x:c>
      <x:c r="H874" s="11" t="n">
        <x:v>0</x:v>
      </x:c>
      <x:c r="I874" s="11"/>
      <x:c r="J874" s="11"/>
      <x:c r="K874" s="11" t="n">
        <x:v>0</x:v>
      </x:c>
      <x:c r="L874" s="11" t="n">
        <x:f>IF(B874="NED",1,IF(OR(B874="ED",B874="UN"),0,""))</x:f>
        <x:v>0</x:v>
      </x:c>
      <x:c r="M874" s="11" t="n">
        <x:f>IF(AND(K874=1,OR(B874="ED",B874="NED")),1,0)</x:f>
        <x:v>0</x:v>
      </x:c>
      <x:c r="N874" s="11" t="n">
        <x:f>IF(K874=1,1,0)</x:f>
        <x:v>0</x:v>
      </x:c>
      <x:c r="O874" s="12" t="str">
        <x:v>Require exact native accession match</x:v>
      </x:c>
      <x:c r="P874" s="11" t="n">
        <x:v>0</x:v>
      </x:c>
      <x:c r="Q874" s="12"/>
      <x:c r="R874" s="12"/>
      <x:c r="S874" s="11" t="n">
        <x:v>490</x:v>
      </x:c>
      <x:c r="T874" s="11"/>
    </x:row>
    <x:row r="875" ht="23" customHeight="1">
      <x:c r="A875" s="2" t="str">
        <x:v>P48771</x:v>
      </x:c>
      <x:c r="B875" s="2" t="str">
        <x:v>NED</x:v>
      </x:c>
      <x:c r="C875" s="2" t="n">
        <x:v>0</x:v>
      </x:c>
      <x:c r="D875" s="2" t="n">
        <x:v>0</x:v>
      </x:c>
      <x:c r="E875" s="10"/>
      <x:c r="F875" s="11" t="n">
        <x:v>83</x:v>
      </x:c>
      <x:c r="G875" s="11" t="n">
        <x:v>0</x:v>
      </x:c>
      <x:c r="H875" s="11" t="n">
        <x:v>0</x:v>
      </x:c>
      <x:c r="I875" s="11" t="n">
        <x:v>1</x:v>
      </x:c>
      <x:c r="J875" s="11" t="n">
        <x:v>0</x:v>
      </x:c>
      <x:c r="K875" s="11" t="n">
        <x:v>0</x:v>
      </x:c>
      <x:c r="L875" s="11" t="n">
        <x:f>IF(B875="NED",1,IF(OR(B875="ED",B875="UN"),0,""))</x:f>
        <x:v>1</x:v>
      </x:c>
      <x:c r="M875" s="11" t="n">
        <x:f>IF(AND(K875=1,OR(B875="ED",B875="NED")),1,0)</x:f>
        <x:v>0</x:v>
      </x:c>
      <x:c r="N875" s="11" t="n">
        <x:f>IF(K875=1,1,0)</x:f>
        <x:v>0</x:v>
      </x:c>
      <x:c r="O875" s="12" t="str">
        <x:v>Exclude UniProt Membrane keyword</x:v>
      </x:c>
      <x:c r="P875" s="11" t="n">
        <x:v>0</x:v>
      </x:c>
      <x:c r="Q875" s="12" t="str">
        <x:v>AF-P48771-F1-model_v6</x:v>
      </x:c>
      <x:c r="R875" s="12" t="str">
        <x:v>ok</x:v>
      </x:c>
      <x:c r="S875" s="11" t="n">
        <x:v>491</x:v>
      </x:c>
      <x:c r="T875" s="11" t="n">
        <x:v>83</x:v>
      </x:c>
    </x:row>
    <x:row r="876" ht="23" customHeight="1">
      <x:c r="A876" s="2" t="str">
        <x:v>P48774</x:v>
      </x:c>
      <x:c r="B876" s="2" t="str">
        <x:v>UN</x:v>
      </x:c>
      <x:c r="C876" s="2" t="n">
        <x:v>1</x:v>
      </x:c>
      <x:c r="D876" s="2" t="n">
        <x:v>1</x:v>
      </x:c>
      <x:c r="E876" s="10" t="n">
        <x:v>96.6709375</x:v>
      </x:c>
      <x:c r="F876" s="11" t="n">
        <x:v>224</x:v>
      </x:c>
      <x:c r="G876" s="11" t="n">
        <x:v>0</x:v>
      </x:c>
      <x:c r="H876" s="11" t="n">
        <x:v>0</x:v>
      </x:c>
      <x:c r="I876" s="11" t="n">
        <x:v>0</x:v>
      </x:c>
      <x:c r="J876" s="11" t="n">
        <x:v>0</x:v>
      </x:c>
      <x:c r="K876" s="11" t="n">
        <x:v>1</x:v>
      </x:c>
      <x:c r="L876" s="11" t="n">
        <x:f>IF(B876="NED",1,IF(OR(B876="ED",B876="UN"),0,""))</x:f>
        <x:v>0</x:v>
      </x:c>
      <x:c r="M876" s="11" t="n">
        <x:f>IF(AND(K876=1,OR(B876="ED",B876="NED")),1,0)</x:f>
        <x:v>0</x:v>
      </x:c>
      <x:c r="N876" s="11" t="n">
        <x:f>IF(K876=1,1,0)</x:f>
        <x:v>1</x:v>
      </x:c>
      <x:c r="O876" s="12"/>
      <x:c r="P876" s="11" t="n">
        <x:v>0</x:v>
      </x:c>
      <x:c r="Q876" s="12" t="str">
        <x:v>AF-P48774-F1-model_v6</x:v>
      </x:c>
      <x:c r="R876" s="12" t="str">
        <x:v>ok</x:v>
      </x:c>
      <x:c r="S876" s="11" t="n">
        <x:v>492</x:v>
      </x:c>
      <x:c r="T876" s="11" t="n">
        <x:v>224</x:v>
      </x:c>
    </x:row>
    <x:row r="877" ht="23" customHeight="1">
      <x:c r="A877" s="2" t="str">
        <x:v>P48962</x:v>
      </x:c>
      <x:c r="B877" s="2" t="str">
        <x:v>UN</x:v>
      </x:c>
      <x:c r="C877" s="2" t="n">
        <x:v>1</x:v>
      </x:c>
      <x:c r="D877" s="2" t="n">
        <x:v>1</x:v>
      </x:c>
      <x:c r="E877" s="10"/>
      <x:c r="F877" s="11" t="n">
        <x:v>298</x:v>
      </x:c>
      <x:c r="G877" s="11" t="n">
        <x:v>0</x:v>
      </x:c>
      <x:c r="H877" s="11" t="n">
        <x:v>0</x:v>
      </x:c>
      <x:c r="I877" s="11" t="n">
        <x:v>1</x:v>
      </x:c>
      <x:c r="J877" s="11" t="n">
        <x:v>0</x:v>
      </x:c>
      <x:c r="K877" s="11" t="n">
        <x:v>0</x:v>
      </x:c>
      <x:c r="L877" s="11" t="n">
        <x:f>IF(B877="NED",1,IF(OR(B877="ED",B877="UN"),0,""))</x:f>
        <x:v>0</x:v>
      </x:c>
      <x:c r="M877" s="11" t="n">
        <x:f>IF(AND(K877=1,OR(B877="ED",B877="NED")),1,0)</x:f>
        <x:v>0</x:v>
      </x:c>
      <x:c r="N877" s="11" t="n">
        <x:f>IF(K877=1,1,0)</x:f>
        <x:v>0</x:v>
      </x:c>
      <x:c r="O877" s="12" t="str">
        <x:v>Exclude UniProt Membrane keyword</x:v>
      </x:c>
      <x:c r="P877" s="11" t="n">
        <x:v>0</x:v>
      </x:c>
      <x:c r="Q877" s="12" t="str">
        <x:v>AF-P48962-F1-model_v6</x:v>
      </x:c>
      <x:c r="R877" s="12" t="str">
        <x:v>ok</x:v>
      </x:c>
      <x:c r="S877" s="11" t="n">
        <x:v>493</x:v>
      </x:c>
      <x:c r="T877" s="11" t="n">
        <x:v>298</x:v>
      </x:c>
    </x:row>
    <x:row r="878" ht="23" customHeight="1">
      <x:c r="A878" s="2" t="str">
        <x:v>P49025-4</x:v>
      </x:c>
      <x:c r="B878" s="2" t="str">
        <x:v>UN</x:v>
      </x:c>
      <x:c r="C878" s="2"/>
      <x:c r="D878" s="2"/>
      <x:c r="E878" s="10"/>
      <x:c r="F878" s="11"/>
      <x:c r="G878" s="11" t="n">
        <x:v>0</x:v>
      </x:c>
      <x:c r="H878" s="11" t="n">
        <x:v>0</x:v>
      </x:c>
      <x:c r="I878" s="11"/>
      <x:c r="J878" s="11"/>
      <x:c r="K878" s="11" t="n">
        <x:v>0</x:v>
      </x:c>
      <x:c r="L878" s="11" t="n">
        <x:f>IF(B878="NED",1,IF(OR(B878="ED",B878="UN"),0,""))</x:f>
        <x:v>0</x:v>
      </x:c>
      <x:c r="M878" s="11" t="n">
        <x:f>IF(AND(K878=1,OR(B878="ED",B878="NED")),1,0)</x:f>
        <x:v>0</x:v>
      </x:c>
      <x:c r="N878" s="11" t="n">
        <x:f>IF(K878=1,1,0)</x:f>
        <x:v>0</x:v>
      </x:c>
      <x:c r="O878" s="12" t="str">
        <x:v>Require exact native accession match</x:v>
      </x:c>
      <x:c r="P878" s="11" t="n">
        <x:v>0</x:v>
      </x:c>
      <x:c r="Q878" s="12"/>
      <x:c r="R878" s="12"/>
      <x:c r="S878" s="11" t="n">
        <x:v>494</x:v>
      </x:c>
      <x:c r="T878" s="11"/>
    </x:row>
    <x:row r="879" ht="23" customHeight="1">
      <x:c r="A879" s="2" t="str">
        <x:v>P49135</x:v>
      </x:c>
      <x:c r="B879" s="2" t="str">
        <x:v>UN</x:v>
      </x:c>
      <x:c r="C879" s="2" t="n">
        <x:v>1</x:v>
      </x:c>
      <x:c r="D879" s="2" t="n">
        <x:v>1</x:v>
      </x:c>
      <x:c r="E879" s="10" t="n">
        <x:v>75.85984674329502</x:v>
      </x:c>
      <x:c r="F879" s="11" t="n">
        <x:v>783</x:v>
      </x:c>
      <x:c r="G879" s="11" t="n">
        <x:v>0</x:v>
      </x:c>
      <x:c r="H879" s="11" t="n">
        <x:v>0</x:v>
      </x:c>
      <x:c r="I879" s="11" t="n">
        <x:v>0</x:v>
      </x:c>
      <x:c r="J879" s="11" t="n">
        <x:v>0</x:v>
      </x:c>
      <x:c r="K879" s="11" t="n">
        <x:v>1</x:v>
      </x:c>
      <x:c r="L879" s="11" t="n">
        <x:f>IF(B879="NED",1,IF(OR(B879="ED",B879="UN"),0,""))</x:f>
        <x:v>0</x:v>
      </x:c>
      <x:c r="M879" s="11" t="n">
        <x:f>IF(AND(K879=1,OR(B879="ED",B879="NED")),1,0)</x:f>
        <x:v>0</x:v>
      </x:c>
      <x:c r="N879" s="11" t="n">
        <x:f>IF(K879=1,1,0)</x:f>
        <x:v>1</x:v>
      </x:c>
      <x:c r="O879" s="12"/>
      <x:c r="P879" s="11" t="n">
        <x:v>0</x:v>
      </x:c>
      <x:c r="Q879" s="12" t="str">
        <x:v>AF-P49135-F1-model_v6</x:v>
      </x:c>
      <x:c r="R879" s="12" t="str">
        <x:v>ok</x:v>
      </x:c>
      <x:c r="S879" s="11" t="n">
        <x:v>495</x:v>
      </x:c>
      <x:c r="T879" s="11" t="n">
        <x:v>783</x:v>
      </x:c>
    </x:row>
    <x:row r="880" ht="23" customHeight="1">
      <x:c r="A880" s="2" t="str">
        <x:v>P49282-2</x:v>
      </x:c>
      <x:c r="B880" s="2" t="str">
        <x:v>UN</x:v>
      </x:c>
      <x:c r="C880" s="2"/>
      <x:c r="D880" s="2"/>
      <x:c r="E880" s="10"/>
      <x:c r="F880" s="11"/>
      <x:c r="G880" s="11" t="n">
        <x:v>0</x:v>
      </x:c>
      <x:c r="H880" s="11" t="n">
        <x:v>0</x:v>
      </x:c>
      <x:c r="I880" s="11"/>
      <x:c r="J880" s="11"/>
      <x:c r="K880" s="11" t="n">
        <x:v>0</x:v>
      </x:c>
      <x:c r="L880" s="11" t="n">
        <x:f>IF(B880="NED",1,IF(OR(B880="ED",B880="UN"),0,""))</x:f>
        <x:v>0</x:v>
      </x:c>
      <x:c r="M880" s="11" t="n">
        <x:f>IF(AND(K880=1,OR(B880="ED",B880="NED")),1,0)</x:f>
        <x:v>0</x:v>
      </x:c>
      <x:c r="N880" s="11" t="n">
        <x:f>IF(K880=1,1,0)</x:f>
        <x:v>0</x:v>
      </x:c>
      <x:c r="O880" s="12" t="str">
        <x:v>Require exact native accession match</x:v>
      </x:c>
      <x:c r="P880" s="11" t="n">
        <x:v>0</x:v>
      </x:c>
      <x:c r="Q880" s="12"/>
      <x:c r="R880" s="12"/>
      <x:c r="S880" s="11" t="n">
        <x:v>496</x:v>
      </x:c>
      <x:c r="T880" s="11"/>
    </x:row>
    <x:row r="881" ht="23" customHeight="1">
      <x:c r="A881" s="2" t="str">
        <x:v>P49312</x:v>
      </x:c>
      <x:c r="B881" s="2" t="str">
        <x:v>ED</x:v>
      </x:c>
      <x:c r="C881" s="2" t="n">
        <x:v>1</x:v>
      </x:c>
      <x:c r="D881" s="2" t="n">
        <x:v>1</x:v>
      </x:c>
      <x:c r="E881" s="10" t="n">
        <x:v>71.78515625</x:v>
      </x:c>
      <x:c r="F881" s="11" t="n">
        <x:v>320</x:v>
      </x:c>
      <x:c r="G881" s="11" t="n">
        <x:v>0</x:v>
      </x:c>
      <x:c r="H881" s="11" t="n">
        <x:v>0</x:v>
      </x:c>
      <x:c r="I881" s="11" t="n">
        <x:v>0</x:v>
      </x:c>
      <x:c r="J881" s="11" t="n">
        <x:v>0</x:v>
      </x:c>
      <x:c r="K881" s="11" t="n">
        <x:v>1</x:v>
      </x:c>
      <x:c r="L881" s="11" t="n">
        <x:f>IF(B881="NED",1,IF(OR(B881="ED",B881="UN"),0,""))</x:f>
        <x:v>0</x:v>
      </x:c>
      <x:c r="M881" s="11" t="n">
        <x:f>IF(AND(K881=1,OR(B881="ED",B881="NED")),1,0)</x:f>
        <x:v>1</x:v>
      </x:c>
      <x:c r="N881" s="11" t="n">
        <x:f>IF(K881=1,1,0)</x:f>
        <x:v>1</x:v>
      </x:c>
      <x:c r="O881" s="12"/>
      <x:c r="P881" s="11" t="n">
        <x:v>0</x:v>
      </x:c>
      <x:c r="Q881" s="12" t="str">
        <x:v>AF-P49312-F1-model_v6</x:v>
      </x:c>
      <x:c r="R881" s="12" t="str">
        <x:v>ok</x:v>
      </x:c>
      <x:c r="S881" s="11" t="n">
        <x:v>497</x:v>
      </x:c>
      <x:c r="T881" s="11" t="n">
        <x:v>320</x:v>
      </x:c>
    </x:row>
    <x:row r="882" ht="23" customHeight="1">
      <x:c r="A882" s="2" t="str">
        <x:v>P49443</x:v>
      </x:c>
      <x:c r="B882" s="2" t="str">
        <x:v>UN</x:v>
      </x:c>
      <x:c r="C882" s="2" t="n">
        <x:v>1</x:v>
      </x:c>
      <x:c r="D882" s="2" t="n">
        <x:v>1</x:v>
      </x:c>
      <x:c r="E882" s="10"/>
      <x:c r="F882" s="11" t="n">
        <x:v>382</x:v>
      </x:c>
      <x:c r="G882" s="11" t="n">
        <x:v>0</x:v>
      </x:c>
      <x:c r="H882" s="11" t="n">
        <x:v>0</x:v>
      </x:c>
      <x:c r="I882" s="11" t="n">
        <x:v>1</x:v>
      </x:c>
      <x:c r="J882" s="11" t="n">
        <x:v>0</x:v>
      </x:c>
      <x:c r="K882" s="11" t="n">
        <x:v>0</x:v>
      </x:c>
      <x:c r="L882" s="11" t="n">
        <x:f>IF(B882="NED",1,IF(OR(B882="ED",B882="UN"),0,""))</x:f>
        <x:v>0</x:v>
      </x:c>
      <x:c r="M882" s="11" t="n">
        <x:f>IF(AND(K882=1,OR(B882="ED",B882="NED")),1,0)</x:f>
        <x:v>0</x:v>
      </x:c>
      <x:c r="N882" s="11" t="n">
        <x:f>IF(K882=1,1,0)</x:f>
        <x:v>0</x:v>
      </x:c>
      <x:c r="O882" s="12" t="str">
        <x:v>Exclude UniProt Membrane keyword</x:v>
      </x:c>
      <x:c r="P882" s="11" t="n">
        <x:v>0</x:v>
      </x:c>
      <x:c r="Q882" s="12" t="str">
        <x:v>AF-P49443-F1-model_v6</x:v>
      </x:c>
      <x:c r="R882" s="12" t="str">
        <x:v>ok</x:v>
      </x:c>
      <x:c r="S882" s="11" t="n">
        <x:v>498</x:v>
      </x:c>
      <x:c r="T882" s="11" t="n">
        <x:v>382</x:v>
      </x:c>
    </x:row>
    <x:row r="883" ht="23" customHeight="1">
      <x:c r="A883" s="2" t="str">
        <x:v>P49452</x:v>
      </x:c>
      <x:c r="B883" s="2" t="str">
        <x:v>UN</x:v>
      </x:c>
      <x:c r="C883" s="2" t="n">
        <x:v>1</x:v>
      </x:c>
      <x:c r="D883" s="2" t="n">
        <x:v>1</x:v>
      </x:c>
      <x:c r="E883" s="10" t="n">
        <x:v>48.151688741721856</x:v>
      </x:c>
      <x:c r="F883" s="11" t="n">
        <x:v>906</x:v>
      </x:c>
      <x:c r="G883" s="11" t="n">
        <x:v>0</x:v>
      </x:c>
      <x:c r="H883" s="11" t="n">
        <x:v>0</x:v>
      </x:c>
      <x:c r="I883" s="11" t="n">
        <x:v>0</x:v>
      </x:c>
      <x:c r="J883" s="11" t="n">
        <x:v>0</x:v>
      </x:c>
      <x:c r="K883" s="11" t="n">
        <x:v>0</x:v>
      </x:c>
      <x:c r="L883" s="11" t="n">
        <x:f>IF(B883="NED",1,IF(OR(B883="ED",B883="UN"),0,""))</x:f>
        <x:v>0</x:v>
      </x:c>
      <x:c r="M883" s="11" t="n">
        <x:f>IF(AND(K883=1,OR(B883="ED",B883="NED")),1,0)</x:f>
        <x:v>0</x:v>
      </x:c>
      <x:c r="N883" s="11" t="n">
        <x:f>IF(K883=1,1,0)</x:f>
        <x:v>0</x:v>
      </x:c>
      <x:c r="O883" s="12" t="str">
        <x:v>Retain protein mean pLDDT &gt;=70</x:v>
      </x:c>
      <x:c r="P883" s="11" t="n">
        <x:v>0</x:v>
      </x:c>
      <x:c r="Q883" s="12" t="str">
        <x:v>AF-P49452-F1-model_v6</x:v>
      </x:c>
      <x:c r="R883" s="12" t="str">
        <x:v>ok</x:v>
      </x:c>
      <x:c r="S883" s="11" t="n">
        <x:v>499</x:v>
      </x:c>
      <x:c r="T883" s="11" t="n">
        <x:v>906</x:v>
      </x:c>
    </x:row>
    <x:row r="884" ht="23" customHeight="1">
      <x:c r="A884" s="2" t="str">
        <x:v>P49586</x:v>
      </x:c>
      <x:c r="B884" s="2" t="str">
        <x:v>ED</x:v>
      </x:c>
      <x:c r="C884" s="2" t="n">
        <x:v>1</x:v>
      </x:c>
      <x:c r="D884" s="2" t="n">
        <x:v>1</x:v>
      </x:c>
      <x:c r="E884" s="10"/>
      <x:c r="F884" s="11" t="n">
        <x:v>367</x:v>
      </x:c>
      <x:c r="G884" s="11" t="n">
        <x:v>0</x:v>
      </x:c>
      <x:c r="H884" s="11" t="n">
        <x:v>0</x:v>
      </x:c>
      <x:c r="I884" s="11" t="n">
        <x:v>1</x:v>
      </x:c>
      <x:c r="J884" s="11" t="n">
        <x:v>0</x:v>
      </x:c>
      <x:c r="K884" s="11" t="n">
        <x:v>0</x:v>
      </x:c>
      <x:c r="L884" s="11" t="n">
        <x:f>IF(B884="NED",1,IF(OR(B884="ED",B884="UN"),0,""))</x:f>
        <x:v>0</x:v>
      </x:c>
      <x:c r="M884" s="11" t="n">
        <x:f>IF(AND(K884=1,OR(B884="ED",B884="NED")),1,0)</x:f>
        <x:v>0</x:v>
      </x:c>
      <x:c r="N884" s="11" t="n">
        <x:f>IF(K884=1,1,0)</x:f>
        <x:v>0</x:v>
      </x:c>
      <x:c r="O884" s="12" t="str">
        <x:v>Exclude UniProt Membrane keyword</x:v>
      </x:c>
      <x:c r="P884" s="11" t="n">
        <x:v>0</x:v>
      </x:c>
      <x:c r="Q884" s="12" t="str">
        <x:v>AF-P49586-F1-model_v6</x:v>
      </x:c>
      <x:c r="R884" s="12" t="str">
        <x:v>ok</x:v>
      </x:c>
      <x:c r="S884" s="11" t="n">
        <x:v>500</x:v>
      </x:c>
      <x:c r="T884" s="11" t="n">
        <x:v>367</x:v>
      </x:c>
    </x:row>
    <x:row r="885" ht="23" customHeight="1">
      <x:c r="A885" s="2" t="str">
        <x:v>P49615</x:v>
      </x:c>
      <x:c r="B885" s="2" t="str">
        <x:v>ED</x:v>
      </x:c>
      <x:c r="C885" s="2" t="n">
        <x:v>1</x:v>
      </x:c>
      <x:c r="D885" s="2" t="n">
        <x:v>1</x:v>
      </x:c>
      <x:c r="E885" s="10"/>
      <x:c r="F885" s="11" t="n">
        <x:v>292</x:v>
      </x:c>
      <x:c r="G885" s="11" t="n">
        <x:v>0</x:v>
      </x:c>
      <x:c r="H885" s="11" t="n">
        <x:v>0</x:v>
      </x:c>
      <x:c r="I885" s="11" t="n">
        <x:v>1</x:v>
      </x:c>
      <x:c r="J885" s="11" t="n">
        <x:v>0</x:v>
      </x:c>
      <x:c r="K885" s="11" t="n">
        <x:v>0</x:v>
      </x:c>
      <x:c r="L885" s="11" t="n">
        <x:f>IF(B885="NED",1,IF(OR(B885="ED",B885="UN"),0,""))</x:f>
        <x:v>0</x:v>
      </x:c>
      <x:c r="M885" s="11" t="n">
        <x:f>IF(AND(K885=1,OR(B885="ED",B885="NED")),1,0)</x:f>
        <x:v>0</x:v>
      </x:c>
      <x:c r="N885" s="11" t="n">
        <x:f>IF(K885=1,1,0)</x:f>
        <x:v>0</x:v>
      </x:c>
      <x:c r="O885" s="12" t="str">
        <x:v>Exclude UniProt Membrane keyword</x:v>
      </x:c>
      <x:c r="P885" s="11" t="n">
        <x:v>0</x:v>
      </x:c>
      <x:c r="Q885" s="12" t="str">
        <x:v>AF-P49615-F1-model_v6</x:v>
      </x:c>
      <x:c r="R885" s="12" t="str">
        <x:v>ok</x:v>
      </x:c>
      <x:c r="S885" s="11" t="n">
        <x:v>501</x:v>
      </x:c>
      <x:c r="T885" s="11" t="n">
        <x:v>292</x:v>
      </x:c>
    </x:row>
    <x:row r="886" ht="23" customHeight="1">
      <x:c r="A886" s="2" t="str">
        <x:v>P49717</x:v>
      </x:c>
      <x:c r="B886" s="2" t="str">
        <x:v>NED</x:v>
      </x:c>
      <x:c r="C886" s="2" t="n">
        <x:v>1</x:v>
      </x:c>
      <x:c r="D886" s="2" t="n">
        <x:v>1</x:v>
      </x:c>
      <x:c r="E886" s="10" t="n">
        <x:v>74.31064965197216</x:v>
      </x:c>
      <x:c r="F886" s="11" t="n">
        <x:v>862</x:v>
      </x:c>
      <x:c r="G886" s="11" t="n">
        <x:v>0</x:v>
      </x:c>
      <x:c r="H886" s="11" t="n">
        <x:v>0</x:v>
      </x:c>
      <x:c r="I886" s="11" t="n">
        <x:v>0</x:v>
      </x:c>
      <x:c r="J886" s="11" t="n">
        <x:v>0</x:v>
      </x:c>
      <x:c r="K886" s="11" t="n">
        <x:v>1</x:v>
      </x:c>
      <x:c r="L886" s="11" t="n">
        <x:f>IF(B886="NED",1,IF(OR(B886="ED",B886="UN"),0,""))</x:f>
        <x:v>1</x:v>
      </x:c>
      <x:c r="M886" s="11" t="n">
        <x:f>IF(AND(K886=1,OR(B886="ED",B886="NED")),1,0)</x:f>
        <x:v>1</x:v>
      </x:c>
      <x:c r="N886" s="11" t="n">
        <x:f>IF(K886=1,1,0)</x:f>
        <x:v>1</x:v>
      </x:c>
      <x:c r="O886" s="12"/>
      <x:c r="P886" s="11" t="n">
        <x:v>0</x:v>
      </x:c>
      <x:c r="Q886" s="12" t="str">
        <x:v>AF-P49717-F1-model_v6</x:v>
      </x:c>
      <x:c r="R886" s="12" t="str">
        <x:v>ok</x:v>
      </x:c>
      <x:c r="S886" s="11" t="n">
        <x:v>502</x:v>
      </x:c>
      <x:c r="T886" s="11" t="n">
        <x:v>862</x:v>
      </x:c>
    </x:row>
    <x:row r="887" ht="23" customHeight="1">
      <x:c r="A887" s="2" t="str">
        <x:v>P49722</x:v>
      </x:c>
      <x:c r="B887" s="2" t="str">
        <x:v>NED</x:v>
      </x:c>
      <x:c r="C887" s="2" t="n">
        <x:v>1</x:v>
      </x:c>
      <x:c r="D887" s="2" t="n">
        <x:v>1</x:v>
      </x:c>
      <x:c r="E887" s="10" t="n">
        <x:v>94.8025641025641</x:v>
      </x:c>
      <x:c r="F887" s="11" t="n">
        <x:v>234</x:v>
      </x:c>
      <x:c r="G887" s="11" t="n">
        <x:v>0</x:v>
      </x:c>
      <x:c r="H887" s="11" t="n">
        <x:v>0</x:v>
      </x:c>
      <x:c r="I887" s="11" t="n">
        <x:v>0</x:v>
      </x:c>
      <x:c r="J887" s="11" t="n">
        <x:v>0</x:v>
      </x:c>
      <x:c r="K887" s="11" t="n">
        <x:v>1</x:v>
      </x:c>
      <x:c r="L887" s="11" t="n">
        <x:f>IF(B887="NED",1,IF(OR(B887="ED",B887="UN"),0,""))</x:f>
        <x:v>1</x:v>
      </x:c>
      <x:c r="M887" s="11" t="n">
        <x:f>IF(AND(K887=1,OR(B887="ED",B887="NED")),1,0)</x:f>
        <x:v>1</x:v>
      </x:c>
      <x:c r="N887" s="11" t="n">
        <x:f>IF(K887=1,1,0)</x:f>
        <x:v>1</x:v>
      </x:c>
      <x:c r="O887" s="12"/>
      <x:c r="P887" s="11" t="n">
        <x:v>0</x:v>
      </x:c>
      <x:c r="Q887" s="12" t="str">
        <x:v>AF-P49722-F1-model_v6</x:v>
      </x:c>
      <x:c r="R887" s="12" t="str">
        <x:v>ok</x:v>
      </x:c>
      <x:c r="S887" s="11" t="n">
        <x:v>503</x:v>
      </x:c>
      <x:c r="T887" s="11" t="n">
        <x:v>234</x:v>
      </x:c>
    </x:row>
    <x:row r="888" ht="23" customHeight="1">
      <x:c r="A888" s="2" t="str">
        <x:v>P49962</x:v>
      </x:c>
      <x:c r="B888" s="2" t="str">
        <x:v>ED</x:v>
      </x:c>
      <x:c r="C888" s="2" t="n">
        <x:v>0</x:v>
      </x:c>
      <x:c r="D888" s="2" t="n">
        <x:v>0</x:v>
      </x:c>
      <x:c r="E888" s="10" t="n">
        <x:v>90.32697674418604</x:v>
      </x:c>
      <x:c r="F888" s="11" t="n">
        <x:v>86</x:v>
      </x:c>
      <x:c r="G888" s="11" t="n">
        <x:v>0</x:v>
      </x:c>
      <x:c r="H888" s="11" t="n">
        <x:v>0</x:v>
      </x:c>
      <x:c r="I888" s="11" t="n">
        <x:v>0</x:v>
      </x:c>
      <x:c r="J888" s="11" t="n">
        <x:v>0</x:v>
      </x:c>
      <x:c r="K888" s="11" t="n">
        <x:v>1</x:v>
      </x:c>
      <x:c r="L888" s="11" t="n">
        <x:f>IF(B888="NED",1,IF(OR(B888="ED",B888="UN"),0,""))</x:f>
        <x:v>0</x:v>
      </x:c>
      <x:c r="M888" s="11" t="n">
        <x:f>IF(AND(K888=1,OR(B888="ED",B888="NED")),1,0)</x:f>
        <x:v>1</x:v>
      </x:c>
      <x:c r="N888" s="11" t="n">
        <x:f>IF(K888=1,1,0)</x:f>
        <x:v>1</x:v>
      </x:c>
      <x:c r="O888" s="12"/>
      <x:c r="P888" s="11" t="n">
        <x:v>0</x:v>
      </x:c>
      <x:c r="Q888" s="12" t="str">
        <x:v>AF-P49962-F1-model_v6</x:v>
      </x:c>
      <x:c r="R888" s="12" t="str">
        <x:v>ok</x:v>
      </x:c>
      <x:c r="S888" s="11" t="n">
        <x:v>504</x:v>
      </x:c>
      <x:c r="T888" s="11" t="n">
        <x:v>86</x:v>
      </x:c>
    </x:row>
    <x:row r="889" ht="23" customHeight="1">
      <x:c r="A889" s="2" t="str">
        <x:v>P50096</x:v>
      </x:c>
      <x:c r="B889" s="2" t="str">
        <x:v>ED</x:v>
      </x:c>
      <x:c r="C889" s="2" t="n">
        <x:v>1</x:v>
      </x:c>
      <x:c r="D889" s="2" t="n">
        <x:v>1</x:v>
      </x:c>
      <x:c r="E889" s="10" t="n">
        <x:v>93.1783852140078</x:v>
      </x:c>
      <x:c r="F889" s="11" t="n">
        <x:v>514</x:v>
      </x:c>
      <x:c r="G889" s="11" t="n">
        <x:v>0</x:v>
      </x:c>
      <x:c r="H889" s="11" t="n">
        <x:v>0</x:v>
      </x:c>
      <x:c r="I889" s="11" t="n">
        <x:v>0</x:v>
      </x:c>
      <x:c r="J889" s="11" t="n">
        <x:v>0</x:v>
      </x:c>
      <x:c r="K889" s="11" t="n">
        <x:v>1</x:v>
      </x:c>
      <x:c r="L889" s="11" t="n">
        <x:f>IF(B889="NED",1,IF(OR(B889="ED",B889="UN"),0,""))</x:f>
        <x:v>0</x:v>
      </x:c>
      <x:c r="M889" s="11" t="n">
        <x:f>IF(AND(K889=1,OR(B889="ED",B889="NED")),1,0)</x:f>
        <x:v>1</x:v>
      </x:c>
      <x:c r="N889" s="11" t="n">
        <x:f>IF(K889=1,1,0)</x:f>
        <x:v>1</x:v>
      </x:c>
      <x:c r="O889" s="12"/>
      <x:c r="P889" s="11" t="n">
        <x:v>0</x:v>
      </x:c>
      <x:c r="Q889" s="12" t="str">
        <x:v>AF-P50096-F1-model_v6</x:v>
      </x:c>
      <x:c r="R889" s="12" t="str">
        <x:v>ok</x:v>
      </x:c>
      <x:c r="S889" s="11" t="n">
        <x:v>505</x:v>
      </x:c>
      <x:c r="T889" s="11" t="n">
        <x:v>514</x:v>
      </x:c>
    </x:row>
    <x:row r="890" ht="23" customHeight="1">
      <x:c r="A890" s="2" t="str">
        <x:v>P50247</x:v>
      </x:c>
      <x:c r="B890" s="2" t="str">
        <x:v>UN</x:v>
      </x:c>
      <x:c r="C890" s="2" t="n">
        <x:v>1</x:v>
      </x:c>
      <x:c r="D890" s="2" t="n">
        <x:v>1</x:v>
      </x:c>
      <x:c r="E890" s="10" t="n">
        <x:v>97.10909722222222</x:v>
      </x:c>
      <x:c r="F890" s="11" t="n">
        <x:v>432</x:v>
      </x:c>
      <x:c r="G890" s="11" t="n">
        <x:v>0</x:v>
      </x:c>
      <x:c r="H890" s="11" t="n">
        <x:v>0</x:v>
      </x:c>
      <x:c r="I890" s="11" t="n">
        <x:v>0</x:v>
      </x:c>
      <x:c r="J890" s="11" t="n">
        <x:v>0</x:v>
      </x:c>
      <x:c r="K890" s="11" t="n">
        <x:v>1</x:v>
      </x:c>
      <x:c r="L890" s="11" t="n">
        <x:f>IF(B890="NED",1,IF(OR(B890="ED",B890="UN"),0,""))</x:f>
        <x:v>0</x:v>
      </x:c>
      <x:c r="M890" s="11" t="n">
        <x:f>IF(AND(K890=1,OR(B890="ED",B890="NED")),1,0)</x:f>
        <x:v>0</x:v>
      </x:c>
      <x:c r="N890" s="11" t="n">
        <x:f>IF(K890=1,1,0)</x:f>
        <x:v>1</x:v>
      </x:c>
      <x:c r="O890" s="12"/>
      <x:c r="P890" s="11" t="n">
        <x:v>0</x:v>
      </x:c>
      <x:c r="Q890" s="12" t="str">
        <x:v>AF-P50247-F1-model_v6</x:v>
      </x:c>
      <x:c r="R890" s="12" t="str">
        <x:v>ok</x:v>
      </x:c>
      <x:c r="S890" s="11" t="n">
        <x:v>506</x:v>
      </x:c>
      <x:c r="T890" s="11" t="n">
        <x:v>432</x:v>
      </x:c>
    </x:row>
    <x:row r="891" ht="23" customHeight="1">
      <x:c r="A891" s="2" t="str">
        <x:v>P50396</x:v>
      </x:c>
      <x:c r="B891" s="2" t="str">
        <x:v>UN</x:v>
      </x:c>
      <x:c r="C891" s="2" t="n">
        <x:v>1</x:v>
      </x:c>
      <x:c r="D891" s="2" t="n">
        <x:v>1</x:v>
      </x:c>
      <x:c r="E891" s="10" t="n">
        <x:v>93.33950782997763</x:v>
      </x:c>
      <x:c r="F891" s="11" t="n">
        <x:v>447</x:v>
      </x:c>
      <x:c r="G891" s="11" t="n">
        <x:v>0</x:v>
      </x:c>
      <x:c r="H891" s="11" t="n">
        <x:v>0</x:v>
      </x:c>
      <x:c r="I891" s="11" t="n">
        <x:v>0</x:v>
      </x:c>
      <x:c r="J891" s="11" t="n">
        <x:v>0</x:v>
      </x:c>
      <x:c r="K891" s="11" t="n">
        <x:v>1</x:v>
      </x:c>
      <x:c r="L891" s="11" t="n">
        <x:f>IF(B891="NED",1,IF(OR(B891="ED",B891="UN"),0,""))</x:f>
        <x:v>0</x:v>
      </x:c>
      <x:c r="M891" s="11" t="n">
        <x:f>IF(AND(K891=1,OR(B891="ED",B891="NED")),1,0)</x:f>
        <x:v>0</x:v>
      </x:c>
      <x:c r="N891" s="11" t="n">
        <x:f>IF(K891=1,1,0)</x:f>
        <x:v>1</x:v>
      </x:c>
      <x:c r="O891" s="12"/>
      <x:c r="P891" s="11" t="n">
        <x:v>0</x:v>
      </x:c>
      <x:c r="Q891" s="12" t="str">
        <x:v>AF-P50396-F1-model_v6</x:v>
      </x:c>
      <x:c r="R891" s="12" t="str">
        <x:v>ok</x:v>
      </x:c>
      <x:c r="S891" s="11" t="n">
        <x:v>507</x:v>
      </x:c>
      <x:c r="T891" s="11" t="n">
        <x:v>447</x:v>
      </x:c>
    </x:row>
    <x:row r="892" ht="23" customHeight="1">
      <x:c r="A892" s="2" t="str">
        <x:v>P50429</x:v>
      </x:c>
      <x:c r="B892" s="2" t="str">
        <x:v>NED</x:v>
      </x:c>
      <x:c r="C892" s="2"/>
      <x:c r="D892" s="2"/>
      <x:c r="E892" s="10"/>
      <x:c r="F892" s="11" t="n">
        <x:v>534</x:v>
      </x:c>
      <x:c r="G892" s="11" t="n">
        <x:v>0</x:v>
      </x:c>
      <x:c r="H892" s="11" t="n">
        <x:v>1</x:v>
      </x:c>
      <x:c r="I892" s="11" t="n">
        <x:v>0</x:v>
      </x:c>
      <x:c r="J892" s="11" t="n">
        <x:v>0</x:v>
      </x:c>
      <x:c r="K892" s="11" t="n">
        <x:v>0</x:v>
      </x:c>
      <x:c r="L892" s="11" t="n">
        <x:f>IF(B892="NED",1,IF(OR(B892="ED",B892="UN"),0,""))</x:f>
        <x:v>1</x:v>
      </x:c>
      <x:c r="M892" s="11" t="n">
        <x:f>IF(AND(K892=1,OR(B892="ED",B892="NED")),1,0)</x:f>
        <x:v>0</x:v>
      </x:c>
      <x:c r="N892" s="11" t="n">
        <x:f>IF(K892=1,1,0)</x:f>
        <x:v>0</x:v>
      </x:c>
      <x:c r="O892" s="12" t="str">
        <x:v>Require binary native NCLE status</x:v>
      </x:c>
      <x:c r="P892" s="11" t="n">
        <x:v>0</x:v>
      </x:c>
      <x:c r="Q892" s="12" t="str">
        <x:v>AF-P50429-F1-model_v6</x:v>
      </x:c>
      <x:c r="R892" s="12" t="str">
        <x:v>ok</x:v>
      </x:c>
      <x:c r="S892" s="11" t="n">
        <x:v>508</x:v>
      </x:c>
      <x:c r="T892" s="11" t="n">
        <x:v>534</x:v>
      </x:c>
    </x:row>
    <x:row r="893" ht="23" customHeight="1">
      <x:c r="A893" s="2" t="str">
        <x:v>P50431</x:v>
      </x:c>
      <x:c r="B893" s="2" t="str">
        <x:v>UN</x:v>
      </x:c>
      <x:c r="C893" s="2" t="n">
        <x:v>1</x:v>
      </x:c>
      <x:c r="D893" s="2" t="n">
        <x:v>1</x:v>
      </x:c>
      <x:c r="E893" s="10" t="n">
        <x:v>97.36200836820085</x:v>
      </x:c>
      <x:c r="F893" s="11" t="n">
        <x:v>478</x:v>
      </x:c>
      <x:c r="G893" s="11" t="n">
        <x:v>0</x:v>
      </x:c>
      <x:c r="H893" s="11" t="n">
        <x:v>0</x:v>
      </x:c>
      <x:c r="I893" s="11" t="n">
        <x:v>0</x:v>
      </x:c>
      <x:c r="J893" s="11" t="n">
        <x:v>0</x:v>
      </x:c>
      <x:c r="K893" s="11" t="n">
        <x:v>1</x:v>
      </x:c>
      <x:c r="L893" s="11" t="n">
        <x:f>IF(B893="NED",1,IF(OR(B893="ED",B893="UN"),0,""))</x:f>
        <x:v>0</x:v>
      </x:c>
      <x:c r="M893" s="11" t="n">
        <x:f>IF(AND(K893=1,OR(B893="ED",B893="NED")),1,0)</x:f>
        <x:v>0</x:v>
      </x:c>
      <x:c r="N893" s="11" t="n">
        <x:f>IF(K893=1,1,0)</x:f>
        <x:v>1</x:v>
      </x:c>
      <x:c r="O893" s="12"/>
      <x:c r="P893" s="11" t="n">
        <x:v>0</x:v>
      </x:c>
      <x:c r="Q893" s="12" t="str">
        <x:v>AF-P50431-F1-model_v6</x:v>
      </x:c>
      <x:c r="R893" s="12" t="str">
        <x:v>ok</x:v>
      </x:c>
      <x:c r="S893" s="11" t="n">
        <x:v>509</x:v>
      </x:c>
      <x:c r="T893" s="11" t="n">
        <x:v>478</x:v>
      </x:c>
    </x:row>
    <x:row r="894" ht="23" customHeight="1">
      <x:c r="A894" s="2" t="str">
        <x:v>P50516</x:v>
      </x:c>
      <x:c r="B894" s="2" t="str">
        <x:v>NED</x:v>
      </x:c>
      <x:c r="C894" s="2" t="n">
        <x:v>1</x:v>
      </x:c>
      <x:c r="D894" s="2" t="n">
        <x:v>1</x:v>
      </x:c>
      <x:c r="E894" s="10"/>
      <x:c r="F894" s="11" t="n">
        <x:v>617</x:v>
      </x:c>
      <x:c r="G894" s="11" t="n">
        <x:v>0</x:v>
      </x:c>
      <x:c r="H894" s="11" t="n">
        <x:v>0</x:v>
      </x:c>
      <x:c r="I894" s="11" t="n">
        <x:v>1</x:v>
      </x:c>
      <x:c r="J894" s="11" t="n">
        <x:v>0</x:v>
      </x:c>
      <x:c r="K894" s="11" t="n">
        <x:v>0</x:v>
      </x:c>
      <x:c r="L894" s="11" t="n">
        <x:f>IF(B894="NED",1,IF(OR(B894="ED",B894="UN"),0,""))</x:f>
        <x:v>1</x:v>
      </x:c>
      <x:c r="M894" s="11" t="n">
        <x:f>IF(AND(K894=1,OR(B894="ED",B894="NED")),1,0)</x:f>
        <x:v>0</x:v>
      </x:c>
      <x:c r="N894" s="11" t="n">
        <x:f>IF(K894=1,1,0)</x:f>
        <x:v>0</x:v>
      </x:c>
      <x:c r="O894" s="12" t="str">
        <x:v>Exclude UniProt Membrane keyword</x:v>
      </x:c>
      <x:c r="P894" s="11" t="n">
        <x:v>0</x:v>
      </x:c>
      <x:c r="Q894" s="12" t="str">
        <x:v>AF-P50516-F1-model_v6</x:v>
      </x:c>
      <x:c r="R894" s="12" t="str">
        <x:v>ok</x:v>
      </x:c>
      <x:c r="S894" s="11" t="n">
        <x:v>510</x:v>
      </x:c>
      <x:c r="T894" s="11" t="n">
        <x:v>617</x:v>
      </x:c>
    </x:row>
    <x:row r="895" ht="23" customHeight="1">
      <x:c r="A895" s="2" t="str">
        <x:v>P50518</x:v>
      </x:c>
      <x:c r="B895" s="2" t="str">
        <x:v>UN</x:v>
      </x:c>
      <x:c r="C895" s="2" t="n">
        <x:v>0</x:v>
      </x:c>
      <x:c r="D895" s="2" t="n">
        <x:v>0</x:v>
      </x:c>
      <x:c r="E895" s="10"/>
      <x:c r="F895" s="11" t="n">
        <x:v>226</x:v>
      </x:c>
      <x:c r="G895" s="11" t="n">
        <x:v>0</x:v>
      </x:c>
      <x:c r="H895" s="11" t="n">
        <x:v>0</x:v>
      </x:c>
      <x:c r="I895" s="11" t="n">
        <x:v>1</x:v>
      </x:c>
      <x:c r="J895" s="11" t="n">
        <x:v>0</x:v>
      </x:c>
      <x:c r="K895" s="11" t="n">
        <x:v>0</x:v>
      </x:c>
      <x:c r="L895" s="11" t="n">
        <x:f>IF(B895="NED",1,IF(OR(B895="ED",B895="UN"),0,""))</x:f>
        <x:v>0</x:v>
      </x:c>
      <x:c r="M895" s="11" t="n">
        <x:f>IF(AND(K895=1,OR(B895="ED",B895="NED")),1,0)</x:f>
        <x:v>0</x:v>
      </x:c>
      <x:c r="N895" s="11" t="n">
        <x:f>IF(K895=1,1,0)</x:f>
        <x:v>0</x:v>
      </x:c>
      <x:c r="O895" s="12" t="str">
        <x:v>Exclude UniProt Membrane keyword</x:v>
      </x:c>
      <x:c r="P895" s="11" t="n">
        <x:v>0</x:v>
      </x:c>
      <x:c r="Q895" s="12" t="str">
        <x:v>AF-P50518-F1-model_v6</x:v>
      </x:c>
      <x:c r="R895" s="12" t="str">
        <x:v>ok</x:v>
      </x:c>
      <x:c r="S895" s="11" t="n">
        <x:v>511</x:v>
      </x:c>
      <x:c r="T895" s="11" t="n">
        <x:v>226</x:v>
      </x:c>
    </x:row>
    <x:row r="896" ht="23" customHeight="1">
      <x:c r="A896" s="2" t="str">
        <x:v>P50544</x:v>
      </x:c>
      <x:c r="B896" s="2" t="str">
        <x:v>NED</x:v>
      </x:c>
      <x:c r="C896" s="2" t="n">
        <x:v>1</x:v>
      </x:c>
      <x:c r="D896" s="2" t="n">
        <x:v>1</x:v>
      </x:c>
      <x:c r="E896" s="10"/>
      <x:c r="F896" s="11" t="n">
        <x:v>656</x:v>
      </x:c>
      <x:c r="G896" s="11" t="n">
        <x:v>0</x:v>
      </x:c>
      <x:c r="H896" s="11" t="n">
        <x:v>0</x:v>
      </x:c>
      <x:c r="I896" s="11" t="n">
        <x:v>1</x:v>
      </x:c>
      <x:c r="J896" s="11" t="n">
        <x:v>0</x:v>
      </x:c>
      <x:c r="K896" s="11" t="n">
        <x:v>0</x:v>
      </x:c>
      <x:c r="L896" s="11" t="n">
        <x:f>IF(B896="NED",1,IF(OR(B896="ED",B896="UN"),0,""))</x:f>
        <x:v>1</x:v>
      </x:c>
      <x:c r="M896" s="11" t="n">
        <x:f>IF(AND(K896=1,OR(B896="ED",B896="NED")),1,0)</x:f>
        <x:v>0</x:v>
      </x:c>
      <x:c r="N896" s="11" t="n">
        <x:f>IF(K896=1,1,0)</x:f>
        <x:v>0</x:v>
      </x:c>
      <x:c r="O896" s="12" t="str">
        <x:v>Exclude UniProt Membrane keyword</x:v>
      </x:c>
      <x:c r="P896" s="11" t="n">
        <x:v>0</x:v>
      </x:c>
      <x:c r="Q896" s="12" t="str">
        <x:v>AF-P50544-F1-model_v6</x:v>
      </x:c>
      <x:c r="R896" s="12" t="str">
        <x:v>ok</x:v>
      </x:c>
      <x:c r="S896" s="11" t="n">
        <x:v>512</x:v>
      </x:c>
      <x:c r="T896" s="11" t="n">
        <x:v>656</x:v>
      </x:c>
    </x:row>
    <x:row r="897" ht="23" customHeight="1">
      <x:c r="A897" s="2" t="str">
        <x:v>P50580</x:v>
      </x:c>
      <x:c r="B897" s="2" t="str">
        <x:v>UN</x:v>
      </x:c>
      <x:c r="C897" s="2" t="n">
        <x:v>1</x:v>
      </x:c>
      <x:c r="D897" s="2" t="n">
        <x:v>1</x:v>
      </x:c>
      <x:c r="E897" s="10" t="n">
        <x:v>92.74035532994922</x:v>
      </x:c>
      <x:c r="F897" s="11" t="n">
        <x:v>394</x:v>
      </x:c>
      <x:c r="G897" s="11" t="n">
        <x:v>0</x:v>
      </x:c>
      <x:c r="H897" s="11" t="n">
        <x:v>0</x:v>
      </x:c>
      <x:c r="I897" s="11" t="n">
        <x:v>0</x:v>
      </x:c>
      <x:c r="J897" s="11" t="n">
        <x:v>0</x:v>
      </x:c>
      <x:c r="K897" s="11" t="n">
        <x:v>1</x:v>
      </x:c>
      <x:c r="L897" s="11" t="n">
        <x:f>IF(B897="NED",1,IF(OR(B897="ED",B897="UN"),0,""))</x:f>
        <x:v>0</x:v>
      </x:c>
      <x:c r="M897" s="11" t="n">
        <x:f>IF(AND(K897=1,OR(B897="ED",B897="NED")),1,0)</x:f>
        <x:v>0</x:v>
      </x:c>
      <x:c r="N897" s="11" t="n">
        <x:f>IF(K897=1,1,0)</x:f>
        <x:v>1</x:v>
      </x:c>
      <x:c r="O897" s="12"/>
      <x:c r="P897" s="11" t="n">
        <x:v>0</x:v>
      </x:c>
      <x:c r="Q897" s="12" t="str">
        <x:v>AF-P50580-F1-model_v6</x:v>
      </x:c>
      <x:c r="R897" s="12" t="str">
        <x:v>ok</x:v>
      </x:c>
      <x:c r="S897" s="11" t="n">
        <x:v>513</x:v>
      </x:c>
      <x:c r="T897" s="11" t="n">
        <x:v>394</x:v>
      </x:c>
    </x:row>
    <x:row r="898" ht="23" customHeight="1">
      <x:c r="A898" s="2" t="str">
        <x:v>P51150</x:v>
      </x:c>
      <x:c r="B898" s="2" t="str">
        <x:v>UN</x:v>
      </x:c>
      <x:c r="C898" s="2" t="n">
        <x:v>1</x:v>
      </x:c>
      <x:c r="D898" s="2" t="n">
        <x:v>1</x:v>
      </x:c>
      <x:c r="E898" s="10"/>
      <x:c r="F898" s="11" t="n">
        <x:v>207</x:v>
      </x:c>
      <x:c r="G898" s="11" t="n">
        <x:v>0</x:v>
      </x:c>
      <x:c r="H898" s="11" t="n">
        <x:v>0</x:v>
      </x:c>
      <x:c r="I898" s="11" t="n">
        <x:v>1</x:v>
      </x:c>
      <x:c r="J898" s="11" t="n">
        <x:v>0</x:v>
      </x:c>
      <x:c r="K898" s="11" t="n">
        <x:v>0</x:v>
      </x:c>
      <x:c r="L898" s="11" t="n">
        <x:f>IF(B898="NED",1,IF(OR(B898="ED",B898="UN"),0,""))</x:f>
        <x:v>0</x:v>
      </x:c>
      <x:c r="M898" s="11" t="n">
        <x:f>IF(AND(K898=1,OR(B898="ED",B898="NED")),1,0)</x:f>
        <x:v>0</x:v>
      </x:c>
      <x:c r="N898" s="11" t="n">
        <x:f>IF(K898=1,1,0)</x:f>
        <x:v>0</x:v>
      </x:c>
      <x:c r="O898" s="12" t="str">
        <x:v>Exclude UniProt Membrane keyword</x:v>
      </x:c>
      <x:c r="P898" s="11" t="n">
        <x:v>0</x:v>
      </x:c>
      <x:c r="Q898" s="12" t="str">
        <x:v>AF-P51150-F1-model_v6</x:v>
      </x:c>
      <x:c r="R898" s="12" t="str">
        <x:v>ok</x:v>
      </x:c>
      <x:c r="S898" s="11" t="n">
        <x:v>514</x:v>
      </x:c>
      <x:c r="T898" s="11" t="n">
        <x:v>207</x:v>
      </x:c>
    </x:row>
    <x:row r="899" ht="23" customHeight="1">
      <x:c r="A899" s="2" t="str">
        <x:v>P51174</x:v>
      </x:c>
      <x:c r="B899" s="2" t="str">
        <x:v>UN</x:v>
      </x:c>
      <x:c r="C899" s="2" t="n">
        <x:v>1</x:v>
      </x:c>
      <x:c r="D899" s="2" t="n">
        <x:v>1</x:v>
      </x:c>
      <x:c r="E899" s="10" t="n">
        <x:v>92.87297674418603</x:v>
      </x:c>
      <x:c r="F899" s="11" t="n">
        <x:v>430</x:v>
      </x:c>
      <x:c r="G899" s="11" t="n">
        <x:v>0</x:v>
      </x:c>
      <x:c r="H899" s="11" t="n">
        <x:v>0</x:v>
      </x:c>
      <x:c r="I899" s="11" t="n">
        <x:v>0</x:v>
      </x:c>
      <x:c r="J899" s="11" t="n">
        <x:v>0</x:v>
      </x:c>
      <x:c r="K899" s="11" t="n">
        <x:v>1</x:v>
      </x:c>
      <x:c r="L899" s="11" t="n">
        <x:f>IF(B899="NED",1,IF(OR(B899="ED",B899="UN"),0,""))</x:f>
        <x:v>0</x:v>
      </x:c>
      <x:c r="M899" s="11" t="n">
        <x:f>IF(AND(K899=1,OR(B899="ED",B899="NED")),1,0)</x:f>
        <x:v>0</x:v>
      </x:c>
      <x:c r="N899" s="11" t="n">
        <x:f>IF(K899=1,1,0)</x:f>
        <x:v>1</x:v>
      </x:c>
      <x:c r="O899" s="12"/>
      <x:c r="P899" s="11" t="n">
        <x:v>0</x:v>
      </x:c>
      <x:c r="Q899" s="12" t="str">
        <x:v>AF-P51174-F1-model_v6</x:v>
      </x:c>
      <x:c r="R899" s="12" t="str">
        <x:v>ok</x:v>
      </x:c>
      <x:c r="S899" s="11" t="n">
        <x:v>515</x:v>
      </x:c>
      <x:c r="T899" s="11" t="n">
        <x:v>430</x:v>
      </x:c>
    </x:row>
    <x:row r="900" ht="23" customHeight="1">
      <x:c r="A900" s="2" t="str">
        <x:v>P51410</x:v>
      </x:c>
      <x:c r="B900" s="2" t="str">
        <x:v>NED</x:v>
      </x:c>
      <x:c r="C900" s="2" t="n">
        <x:v>1</x:v>
      </x:c>
      <x:c r="D900" s="2" t="n">
        <x:v>1</x:v>
      </x:c>
      <x:c r="E900" s="10" t="n">
        <x:v>94.25833333333333</x:v>
      </x:c>
      <x:c r="F900" s="11" t="n">
        <x:v>192</x:v>
      </x:c>
      <x:c r="G900" s="11" t="n">
        <x:v>0</x:v>
      </x:c>
      <x:c r="H900" s="11" t="n">
        <x:v>0</x:v>
      </x:c>
      <x:c r="I900" s="11" t="n">
        <x:v>0</x:v>
      </x:c>
      <x:c r="J900" s="11" t="n">
        <x:v>0</x:v>
      </x:c>
      <x:c r="K900" s="11" t="n">
        <x:v>1</x:v>
      </x:c>
      <x:c r="L900" s="11" t="n">
        <x:f>IF(B900="NED",1,IF(OR(B900="ED",B900="UN"),0,""))</x:f>
        <x:v>1</x:v>
      </x:c>
      <x:c r="M900" s="11" t="n">
        <x:f>IF(AND(K900=1,OR(B900="ED",B900="NED")),1,0)</x:f>
        <x:v>1</x:v>
      </x:c>
      <x:c r="N900" s="11" t="n">
        <x:f>IF(K900=1,1,0)</x:f>
        <x:v>1</x:v>
      </x:c>
      <x:c r="O900" s="12"/>
      <x:c r="P900" s="11" t="n">
        <x:v>0</x:v>
      </x:c>
      <x:c r="Q900" s="12" t="str">
        <x:v>AF-P51410-F1-model_v6</x:v>
      </x:c>
      <x:c r="R900" s="12" t="str">
        <x:v>ok</x:v>
      </x:c>
      <x:c r="S900" s="11" t="n">
        <x:v>516</x:v>
      </x:c>
      <x:c r="T900" s="11" t="n">
        <x:v>192</x:v>
      </x:c>
    </x:row>
    <x:row r="901" ht="23" customHeight="1">
      <x:c r="A901" s="2" t="str">
        <x:v>P51480</x:v>
      </x:c>
      <x:c r="B901" s="2" t="str">
        <x:v>ED</x:v>
      </x:c>
      <x:c r="C901" s="2"/>
      <x:c r="D901" s="2"/>
      <x:c r="E901" s="10"/>
      <x:c r="F901" s="11"/>
      <x:c r="G901" s="11" t="n">
        <x:v>0</x:v>
      </x:c>
      <x:c r="H901" s="11" t="n">
        <x:v>0</x:v>
      </x:c>
      <x:c r="I901" s="11" t="n">
        <x:v>0</x:v>
      </x:c>
      <x:c r="J901" s="11" t="n">
        <x:v>0</x:v>
      </x:c>
      <x:c r="K901" s="11" t="n">
        <x:v>0</x:v>
      </x:c>
      <x:c r="L901" s="11" t="n">
        <x:f>IF(B901="NED",1,IF(OR(B901="ED",B901="UN"),0,""))</x:f>
        <x:v>0</x:v>
      </x:c>
      <x:c r="M901" s="11" t="n">
        <x:f>IF(AND(K901=1,OR(B901="ED",B901="NED")),1,0)</x:f>
        <x:v>0</x:v>
      </x:c>
      <x:c r="N901" s="11" t="n">
        <x:f>IF(K901=1,1,0)</x:f>
        <x:v>0</x:v>
      </x:c>
      <x:c r="O901" s="12" t="str">
        <x:v>Require exact native accession match</x:v>
      </x:c>
      <x:c r="P901" s="11" t="n">
        <x:v>0</x:v>
      </x:c>
      <x:c r="Q901" s="12"/>
      <x:c r="R901" s="12"/>
      <x:c r="S901" s="11" t="n">
        <x:v>517</x:v>
      </x:c>
      <x:c r="T901" s="11" t="n">
        <x:v>168</x:v>
      </x:c>
    </x:row>
    <x:row r="902" ht="23" customHeight="1">
      <x:c r="A902" s="2" t="str">
        <x:v>P51655</x:v>
      </x:c>
      <x:c r="B902" s="2" t="str">
        <x:v>UN</x:v>
      </x:c>
      <x:c r="C902" s="2" t="n">
        <x:v>1</x:v>
      </x:c>
      <x:c r="D902" s="2" t="n">
        <x:v>1</x:v>
      </x:c>
      <x:c r="E902" s="10"/>
      <x:c r="F902" s="11" t="n">
        <x:v>557</x:v>
      </x:c>
      <x:c r="G902" s="11" t="n">
        <x:v>0</x:v>
      </x:c>
      <x:c r="H902" s="11" t="n">
        <x:v>0</x:v>
      </x:c>
      <x:c r="I902" s="11" t="n">
        <x:v>1</x:v>
      </x:c>
      <x:c r="J902" s="11" t="n">
        <x:v>1</x:v>
      </x:c>
      <x:c r="K902" s="11" t="n">
        <x:v>0</x:v>
      </x:c>
      <x:c r="L902" s="11" t="n">
        <x:f>IF(B902="NED",1,IF(OR(B902="ED",B902="UN"),0,""))</x:f>
        <x:v>0</x:v>
      </x:c>
      <x:c r="M902" s="11" t="n">
        <x:f>IF(AND(K902=1,OR(B902="ED",B902="NED")),1,0)</x:f>
        <x:v>0</x:v>
      </x:c>
      <x:c r="N902" s="11" t="n">
        <x:f>IF(K902=1,1,0)</x:f>
        <x:v>0</x:v>
      </x:c>
      <x:c r="O902" s="12" t="str">
        <x:v>Exclude UniProt Membrane keyword</x:v>
      </x:c>
      <x:c r="P902" s="11" t="n">
        <x:v>0</x:v>
      </x:c>
      <x:c r="Q902" s="12" t="str">
        <x:v>AF-P51655-F1-model_v6</x:v>
      </x:c>
      <x:c r="R902" s="12" t="str">
        <x:v>ok</x:v>
      </x:c>
      <x:c r="S902" s="11" t="n">
        <x:v>518</x:v>
      </x:c>
      <x:c r="T902" s="11" t="n">
        <x:v>557</x:v>
      </x:c>
    </x:row>
    <x:row r="903" ht="23" customHeight="1">
      <x:c r="A903" s="2" t="str">
        <x:v>P51660</x:v>
      </x:c>
      <x:c r="B903" s="2" t="str">
        <x:v>UN</x:v>
      </x:c>
      <x:c r="C903" s="2" t="n">
        <x:v>1</x:v>
      </x:c>
      <x:c r="D903" s="2" t="n">
        <x:v>1</x:v>
      </x:c>
      <x:c r="E903" s="10" t="n">
        <x:v>89.18477551020408</x:v>
      </x:c>
      <x:c r="F903" s="11" t="n">
        <x:v>735</x:v>
      </x:c>
      <x:c r="G903" s="11" t="n">
        <x:v>0</x:v>
      </x:c>
      <x:c r="H903" s="11" t="n">
        <x:v>0</x:v>
      </x:c>
      <x:c r="I903" s="11" t="n">
        <x:v>0</x:v>
      </x:c>
      <x:c r="J903" s="11" t="n">
        <x:v>0</x:v>
      </x:c>
      <x:c r="K903" s="11" t="n">
        <x:v>1</x:v>
      </x:c>
      <x:c r="L903" s="11" t="n">
        <x:f>IF(B903="NED",1,IF(OR(B903="ED",B903="UN"),0,""))</x:f>
        <x:v>0</x:v>
      </x:c>
      <x:c r="M903" s="11" t="n">
        <x:f>IF(AND(K903=1,OR(B903="ED",B903="NED")),1,0)</x:f>
        <x:v>0</x:v>
      </x:c>
      <x:c r="N903" s="11" t="n">
        <x:f>IF(K903=1,1,0)</x:f>
        <x:v>1</x:v>
      </x:c>
      <x:c r="O903" s="12"/>
      <x:c r="P903" s="11" t="n">
        <x:v>0</x:v>
      </x:c>
      <x:c r="Q903" s="12" t="str">
        <x:v>AF-P51660-F1-model_v6</x:v>
      </x:c>
      <x:c r="R903" s="12" t="str">
        <x:v>ok</x:v>
      </x:c>
      <x:c r="S903" s="11" t="n">
        <x:v>519</x:v>
      </x:c>
      <x:c r="T903" s="11" t="n">
        <x:v>735</x:v>
      </x:c>
    </x:row>
    <x:row r="904" ht="23" customHeight="1">
      <x:c r="A904" s="2" t="str">
        <x:v>P51807</x:v>
      </x:c>
      <x:c r="B904" s="2" t="str">
        <x:v>UN</x:v>
      </x:c>
      <x:c r="C904" s="2" t="n">
        <x:v>0</x:v>
      </x:c>
      <x:c r="D904" s="2" t="n">
        <x:v>0</x:v>
      </x:c>
      <x:c r="E904" s="10" t="n">
        <x:v>93.45292035398232</x:v>
      </x:c>
      <x:c r="F904" s="11" t="n">
        <x:v>113</x:v>
      </x:c>
      <x:c r="G904" s="11" t="n">
        <x:v>0</x:v>
      </x:c>
      <x:c r="H904" s="11" t="n">
        <x:v>0</x:v>
      </x:c>
      <x:c r="I904" s="11" t="n">
        <x:v>0</x:v>
      </x:c>
      <x:c r="J904" s="11" t="n">
        <x:v>0</x:v>
      </x:c>
      <x:c r="K904" s="11" t="n">
        <x:v>1</x:v>
      </x:c>
      <x:c r="L904" s="11" t="n">
        <x:f>IF(B904="NED",1,IF(OR(B904="ED",B904="UN"),0,""))</x:f>
        <x:v>0</x:v>
      </x:c>
      <x:c r="M904" s="11" t="n">
        <x:f>IF(AND(K904=1,OR(B904="ED",B904="NED")),1,0)</x:f>
        <x:v>0</x:v>
      </x:c>
      <x:c r="N904" s="11" t="n">
        <x:f>IF(K904=1,1,0)</x:f>
        <x:v>1</x:v>
      </x:c>
      <x:c r="O904" s="12"/>
      <x:c r="P904" s="11" t="n">
        <x:v>0</x:v>
      </x:c>
      <x:c r="Q904" s="12" t="str">
        <x:v>AF-P51807-F1-model_v6</x:v>
      </x:c>
      <x:c r="R904" s="12" t="str">
        <x:v>ok</x:v>
      </x:c>
      <x:c r="S904" s="11" t="n">
        <x:v>520</x:v>
      </x:c>
      <x:c r="T904" s="11" t="n">
        <x:v>113</x:v>
      </x:c>
    </x:row>
    <x:row r="905" ht="23" customHeight="1">
      <x:c r="A905" s="2" t="str">
        <x:v>P51859</x:v>
      </x:c>
      <x:c r="B905" s="2" t="str">
        <x:v>ED</x:v>
      </x:c>
      <x:c r="C905" s="2" t="n">
        <x:v>1</x:v>
      </x:c>
      <x:c r="D905" s="2" t="n">
        <x:v>1</x:v>
      </x:c>
      <x:c r="E905" s="10"/>
      <x:c r="F905" s="11" t="n">
        <x:v>237</x:v>
      </x:c>
      <x:c r="G905" s="11" t="n">
        <x:v>0</x:v>
      </x:c>
      <x:c r="H905" s="11" t="n">
        <x:v>0</x:v>
      </x:c>
      <x:c r="I905" s="11" t="n">
        <x:v>0</x:v>
      </x:c>
      <x:c r="J905" s="11" t="n">
        <x:v>1</x:v>
      </x:c>
      <x:c r="K905" s="11" t="n">
        <x:v>0</x:v>
      </x:c>
      <x:c r="L905" s="11" t="n">
        <x:f>IF(B905="NED",1,IF(OR(B905="ED",B905="UN"),0,""))</x:f>
        <x:v>0</x:v>
      </x:c>
      <x:c r="M905" s="11" t="n">
        <x:f>IF(AND(K905=1,OR(B905="ED",B905="NED")),1,0)</x:f>
        <x:v>0</x:v>
      </x:c>
      <x:c r="N905" s="11" t="n">
        <x:f>IF(K905=1,1,0)</x:f>
        <x:v>0</x:v>
      </x:c>
      <x:c r="O905" s="12" t="str">
        <x:v>Exclude UniProt Secreted keyword</x:v>
      </x:c>
      <x:c r="P905" s="11" t="n">
        <x:v>0</x:v>
      </x:c>
      <x:c r="Q905" s="12" t="str">
        <x:v>AF-P51859-F1-model_v6</x:v>
      </x:c>
      <x:c r="R905" s="12" t="str">
        <x:v>ok</x:v>
      </x:c>
      <x:c r="S905" s="11" t="n">
        <x:v>521</x:v>
      </x:c>
      <x:c r="T905" s="11" t="n">
        <x:v>237</x:v>
      </x:c>
    </x:row>
    <x:row r="906" ht="23" customHeight="1">
      <x:c r="A906" s="2" t="str">
        <x:v>P51881</x:v>
      </x:c>
      <x:c r="B906" s="2" t="str">
        <x:v>UN</x:v>
      </x:c>
      <x:c r="C906" s="2" t="n">
        <x:v>1</x:v>
      </x:c>
      <x:c r="D906" s="2" t="n">
        <x:v>1</x:v>
      </x:c>
      <x:c r="E906" s="10"/>
      <x:c r="F906" s="11" t="n">
        <x:v>298</x:v>
      </x:c>
      <x:c r="G906" s="11" t="n">
        <x:v>0</x:v>
      </x:c>
      <x:c r="H906" s="11" t="n">
        <x:v>0</x:v>
      </x:c>
      <x:c r="I906" s="11" t="n">
        <x:v>1</x:v>
      </x:c>
      <x:c r="J906" s="11" t="n">
        <x:v>0</x:v>
      </x:c>
      <x:c r="K906" s="11" t="n">
        <x:v>0</x:v>
      </x:c>
      <x:c r="L906" s="11" t="n">
        <x:f>IF(B906="NED",1,IF(OR(B906="ED",B906="UN"),0,""))</x:f>
        <x:v>0</x:v>
      </x:c>
      <x:c r="M906" s="11" t="n">
        <x:f>IF(AND(K906=1,OR(B906="ED",B906="NED")),1,0)</x:f>
        <x:v>0</x:v>
      </x:c>
      <x:c r="N906" s="11" t="n">
        <x:f>IF(K906=1,1,0)</x:f>
        <x:v>0</x:v>
      </x:c>
      <x:c r="O906" s="12" t="str">
        <x:v>Exclude UniProt Membrane keyword</x:v>
      </x:c>
      <x:c r="P906" s="11" t="n">
        <x:v>0</x:v>
      </x:c>
      <x:c r="Q906" s="12" t="str">
        <x:v>AF-P51881-F1-model_v6</x:v>
      </x:c>
      <x:c r="R906" s="12" t="str">
        <x:v>ok</x:v>
      </x:c>
      <x:c r="S906" s="11" t="n">
        <x:v>522</x:v>
      </x:c>
      <x:c r="T906" s="11" t="n">
        <x:v>298</x:v>
      </x:c>
    </x:row>
    <x:row r="907" ht="23" customHeight="1">
      <x:c r="A907" s="2" t="str">
        <x:v>P51943</x:v>
      </x:c>
      <x:c r="B907" s="2" t="str">
        <x:v>UN</x:v>
      </x:c>
      <x:c r="C907" s="2" t="n">
        <x:v>0</x:v>
      </x:c>
      <x:c r="D907" s="2" t="n">
        <x:v>0</x:v>
      </x:c>
      <x:c r="E907" s="10" t="n">
        <x:v>73.79689573459716</x:v>
      </x:c>
      <x:c r="F907" s="11" t="n">
        <x:v>422</x:v>
      </x:c>
      <x:c r="G907" s="11" t="n">
        <x:v>0</x:v>
      </x:c>
      <x:c r="H907" s="11" t="n">
        <x:v>0</x:v>
      </x:c>
      <x:c r="I907" s="11" t="n">
        <x:v>0</x:v>
      </x:c>
      <x:c r="J907" s="11" t="n">
        <x:v>0</x:v>
      </x:c>
      <x:c r="K907" s="11" t="n">
        <x:v>1</x:v>
      </x:c>
      <x:c r="L907" s="11" t="n">
        <x:f>IF(B907="NED",1,IF(OR(B907="ED",B907="UN"),0,""))</x:f>
        <x:v>0</x:v>
      </x:c>
      <x:c r="M907" s="11" t="n">
        <x:f>IF(AND(K907=1,OR(B907="ED",B907="NED")),1,0)</x:f>
        <x:v>0</x:v>
      </x:c>
      <x:c r="N907" s="11" t="n">
        <x:f>IF(K907=1,1,0)</x:f>
        <x:v>1</x:v>
      </x:c>
      <x:c r="O907" s="12"/>
      <x:c r="P907" s="11" t="n">
        <x:v>0</x:v>
      </x:c>
      <x:c r="Q907" s="12" t="str">
        <x:v>AF-P51943-F1-model_v6</x:v>
      </x:c>
      <x:c r="R907" s="12" t="str">
        <x:v>ok</x:v>
      </x:c>
      <x:c r="S907" s="11" t="n">
        <x:v>523</x:v>
      </x:c>
      <x:c r="T907" s="11" t="n">
        <x:v>422</x:v>
      </x:c>
    </x:row>
    <x:row r="908" ht="23" customHeight="1">
      <x:c r="A908" s="2" t="str">
        <x:v>P51949</x:v>
      </x:c>
      <x:c r="B908" s="2" t="str">
        <x:v>ED</x:v>
      </x:c>
      <x:c r="C908" s="2" t="n">
        <x:v>1</x:v>
      </x:c>
      <x:c r="D908" s="2" t="n">
        <x:v>1</x:v>
      </x:c>
      <x:c r="E908" s="10" t="n">
        <x:v>85.1494498381877</x:v>
      </x:c>
      <x:c r="F908" s="11" t="n">
        <x:v>309</x:v>
      </x:c>
      <x:c r="G908" s="11" t="n">
        <x:v>0</x:v>
      </x:c>
      <x:c r="H908" s="11" t="n">
        <x:v>0</x:v>
      </x:c>
      <x:c r="I908" s="11" t="n">
        <x:v>0</x:v>
      </x:c>
      <x:c r="J908" s="11" t="n">
        <x:v>0</x:v>
      </x:c>
      <x:c r="K908" s="11" t="n">
        <x:v>1</x:v>
      </x:c>
      <x:c r="L908" s="11" t="n">
        <x:f>IF(B908="NED",1,IF(OR(B908="ED",B908="UN"),0,""))</x:f>
        <x:v>0</x:v>
      </x:c>
      <x:c r="M908" s="11" t="n">
        <x:f>IF(AND(K908=1,OR(B908="ED",B908="NED")),1,0)</x:f>
        <x:v>1</x:v>
      </x:c>
      <x:c r="N908" s="11" t="n">
        <x:f>IF(K908=1,1,0)</x:f>
        <x:v>1</x:v>
      </x:c>
      <x:c r="O908" s="12"/>
      <x:c r="P908" s="11" t="n">
        <x:v>0</x:v>
      </x:c>
      <x:c r="Q908" s="12" t="str">
        <x:v>AF-P51949-F1-model_v6</x:v>
      </x:c>
      <x:c r="R908" s="12" t="str">
        <x:v>ok</x:v>
      </x:c>
      <x:c r="S908" s="11" t="n">
        <x:v>524</x:v>
      </x:c>
      <x:c r="T908" s="11" t="n">
        <x:v>309</x:v>
      </x:c>
    </x:row>
    <x:row r="909" ht="23" customHeight="1">
      <x:c r="A909" s="2" t="str">
        <x:v>P52019</x:v>
      </x:c>
      <x:c r="B909" s="2" t="str">
        <x:v>UN</x:v>
      </x:c>
      <x:c r="C909" s="2" t="n">
        <x:v>1</x:v>
      </x:c>
      <x:c r="D909" s="2" t="n">
        <x:v>1</x:v>
      </x:c>
      <x:c r="E909" s="10"/>
      <x:c r="F909" s="11" t="n">
        <x:v>572</x:v>
      </x:c>
      <x:c r="G909" s="11" t="n">
        <x:v>0</x:v>
      </x:c>
      <x:c r="H909" s="11" t="n">
        <x:v>0</x:v>
      </x:c>
      <x:c r="I909" s="11" t="n">
        <x:v>1</x:v>
      </x:c>
      <x:c r="J909" s="11" t="n">
        <x:v>0</x:v>
      </x:c>
      <x:c r="K909" s="11" t="n">
        <x:v>0</x:v>
      </x:c>
      <x:c r="L909" s="11" t="n">
        <x:f>IF(B909="NED",1,IF(OR(B909="ED",B909="UN"),0,""))</x:f>
        <x:v>0</x:v>
      </x:c>
      <x:c r="M909" s="11" t="n">
        <x:f>IF(AND(K909=1,OR(B909="ED",B909="NED")),1,0)</x:f>
        <x:v>0</x:v>
      </x:c>
      <x:c r="N909" s="11" t="n">
        <x:f>IF(K909=1,1,0)</x:f>
        <x:v>0</x:v>
      </x:c>
      <x:c r="O909" s="12" t="str">
        <x:v>Exclude UniProt Membrane keyword</x:v>
      </x:c>
      <x:c r="P909" s="11" t="n">
        <x:v>0</x:v>
      </x:c>
      <x:c r="Q909" s="12" t="str">
        <x:v>AF-P52019-F1-model_v6</x:v>
      </x:c>
      <x:c r="R909" s="12" t="str">
        <x:v>ok</x:v>
      </x:c>
      <x:c r="S909" s="11" t="n">
        <x:v>525</x:v>
      </x:c>
      <x:c r="T909" s="11" t="n">
        <x:v>572</x:v>
      </x:c>
    </x:row>
    <x:row r="910" ht="23" customHeight="1">
      <x:c r="A910" s="2" t="str">
        <x:v>P52293</x:v>
      </x:c>
      <x:c r="B910" s="2" t="str">
        <x:v>UN</x:v>
      </x:c>
      <x:c r="C910" s="2" t="n">
        <x:v>0</x:v>
      </x:c>
      <x:c r="D910" s="2" t="n">
        <x:v>0</x:v>
      </x:c>
      <x:c r="E910" s="10" t="n">
        <x:v>86.88236294896029</x:v>
      </x:c>
      <x:c r="F910" s="11" t="n">
        <x:v>529</x:v>
      </x:c>
      <x:c r="G910" s="11" t="n">
        <x:v>0</x:v>
      </x:c>
      <x:c r="H910" s="11" t="n">
        <x:v>0</x:v>
      </x:c>
      <x:c r="I910" s="11" t="n">
        <x:v>0</x:v>
      </x:c>
      <x:c r="J910" s="11" t="n">
        <x:v>0</x:v>
      </x:c>
      <x:c r="K910" s="11" t="n">
        <x:v>1</x:v>
      </x:c>
      <x:c r="L910" s="11" t="n">
        <x:f>IF(B910="NED",1,IF(OR(B910="ED",B910="UN"),0,""))</x:f>
        <x:v>0</x:v>
      </x:c>
      <x:c r="M910" s="11" t="n">
        <x:f>IF(AND(K910=1,OR(B910="ED",B910="NED")),1,0)</x:f>
        <x:v>0</x:v>
      </x:c>
      <x:c r="N910" s="11" t="n">
        <x:f>IF(K910=1,1,0)</x:f>
        <x:v>1</x:v>
      </x:c>
      <x:c r="O910" s="12"/>
      <x:c r="P910" s="11" t="n">
        <x:v>0</x:v>
      </x:c>
      <x:c r="Q910" s="12" t="str">
        <x:v>AF-P52293-F1-model_v6</x:v>
      </x:c>
      <x:c r="R910" s="12" t="str">
        <x:v>ok</x:v>
      </x:c>
      <x:c r="S910" s="11" t="n">
        <x:v>526</x:v>
      </x:c>
      <x:c r="T910" s="11" t="n">
        <x:v>529</x:v>
      </x:c>
    </x:row>
    <x:row r="911" ht="23" customHeight="1">
      <x:c r="A911" s="2" t="str">
        <x:v>P52431</x:v>
      </x:c>
      <x:c r="B911" s="2" t="str">
        <x:v>UN</x:v>
      </x:c>
      <x:c r="C911" s="2" t="n">
        <x:v>1</x:v>
      </x:c>
      <x:c r="D911" s="2" t="n">
        <x:v>1</x:v>
      </x:c>
      <x:c r="E911" s="10" t="n">
        <x:v>86.45507692307693</x:v>
      </x:c>
      <x:c r="F911" s="11" t="n">
        <x:v>1105</x:v>
      </x:c>
      <x:c r="G911" s="11" t="n">
        <x:v>0</x:v>
      </x:c>
      <x:c r="H911" s="11" t="n">
        <x:v>0</x:v>
      </x:c>
      <x:c r="I911" s="11" t="n">
        <x:v>0</x:v>
      </x:c>
      <x:c r="J911" s="11" t="n">
        <x:v>0</x:v>
      </x:c>
      <x:c r="K911" s="11" t="n">
        <x:v>1</x:v>
      </x:c>
      <x:c r="L911" s="11" t="n">
        <x:f>IF(B911="NED",1,IF(OR(B911="ED",B911="UN"),0,""))</x:f>
        <x:v>0</x:v>
      </x:c>
      <x:c r="M911" s="11" t="n">
        <x:f>IF(AND(K911=1,OR(B911="ED",B911="NED")),1,0)</x:f>
        <x:v>0</x:v>
      </x:c>
      <x:c r="N911" s="11" t="n">
        <x:f>IF(K911=1,1,0)</x:f>
        <x:v>1</x:v>
      </x:c>
      <x:c r="O911" s="12"/>
      <x:c r="P911" s="11" t="n">
        <x:v>0</x:v>
      </x:c>
      <x:c r="Q911" s="12" t="str">
        <x:v>AF-P52431-F1-model_v6</x:v>
      </x:c>
      <x:c r="R911" s="12" t="str">
        <x:v>ok</x:v>
      </x:c>
      <x:c r="S911" s="11" t="n">
        <x:v>527</x:v>
      </x:c>
      <x:c r="T911" s="11" t="n">
        <x:v>1105</x:v>
      </x:c>
    </x:row>
    <x:row r="912" ht="23" customHeight="1">
      <x:c r="A912" s="2" t="str">
        <x:v>P52432</x:v>
      </x:c>
      <x:c r="B912" s="2" t="str">
        <x:v>UN</x:v>
      </x:c>
      <x:c r="C912" s="2" t="n">
        <x:v>1</x:v>
      </x:c>
      <x:c r="D912" s="2" t="n">
        <x:v>1</x:v>
      </x:c>
      <x:c r="E912" s="10" t="n">
        <x:v>95.25563583815028</x:v>
      </x:c>
      <x:c r="F912" s="11" t="n">
        <x:v>346</x:v>
      </x:c>
      <x:c r="G912" s="11" t="n">
        <x:v>0</x:v>
      </x:c>
      <x:c r="H912" s="11" t="n">
        <x:v>0</x:v>
      </x:c>
      <x:c r="I912" s="11" t="n">
        <x:v>0</x:v>
      </x:c>
      <x:c r="J912" s="11" t="n">
        <x:v>0</x:v>
      </x:c>
      <x:c r="K912" s="11" t="n">
        <x:v>1</x:v>
      </x:c>
      <x:c r="L912" s="11" t="n">
        <x:f>IF(B912="NED",1,IF(OR(B912="ED",B912="UN"),0,""))</x:f>
        <x:v>0</x:v>
      </x:c>
      <x:c r="M912" s="11" t="n">
        <x:f>IF(AND(K912=1,OR(B912="ED",B912="NED")),1,0)</x:f>
        <x:v>0</x:v>
      </x:c>
      <x:c r="N912" s="11" t="n">
        <x:f>IF(K912=1,1,0)</x:f>
        <x:v>1</x:v>
      </x:c>
      <x:c r="O912" s="12"/>
      <x:c r="P912" s="11" t="n">
        <x:v>0</x:v>
      </x:c>
      <x:c r="Q912" s="12" t="str">
        <x:v>AF-P52432-F1-model_v6</x:v>
      </x:c>
      <x:c r="R912" s="12" t="str">
        <x:v>ok</x:v>
      </x:c>
      <x:c r="S912" s="11" t="n">
        <x:v>528</x:v>
      </x:c>
      <x:c r="T912" s="11" t="n">
        <x:v>346</x:v>
      </x:c>
    </x:row>
    <x:row r="913" ht="23" customHeight="1">
      <x:c r="A913" s="2" t="str">
        <x:v>P52479</x:v>
      </x:c>
      <x:c r="B913" s="2" t="str">
        <x:v>UN</x:v>
      </x:c>
      <x:c r="C913" s="2" t="n">
        <x:v>1</x:v>
      </x:c>
      <x:c r="D913" s="2" t="n">
        <x:v>1</x:v>
      </x:c>
      <x:c r="E913" s="10" t="n">
        <x:v>60.86277777777778</x:v>
      </x:c>
      <x:c r="F913" s="11" t="n">
        <x:v>792</x:v>
      </x:c>
      <x:c r="G913" s="11" t="n">
        <x:v>0</x:v>
      </x:c>
      <x:c r="H913" s="11" t="n">
        <x:v>0</x:v>
      </x:c>
      <x:c r="I913" s="11" t="n">
        <x:v>0</x:v>
      </x:c>
      <x:c r="J913" s="11" t="n">
        <x:v>0</x:v>
      </x:c>
      <x:c r="K913" s="11" t="n">
        <x:v>0</x:v>
      </x:c>
      <x:c r="L913" s="11" t="n">
        <x:f>IF(B913="NED",1,IF(OR(B913="ED",B913="UN"),0,""))</x:f>
        <x:v>0</x:v>
      </x:c>
      <x:c r="M913" s="11" t="n">
        <x:f>IF(AND(K913=1,OR(B913="ED",B913="NED")),1,0)</x:f>
        <x:v>0</x:v>
      </x:c>
      <x:c r="N913" s="11" t="n">
        <x:f>IF(K913=1,1,0)</x:f>
        <x:v>0</x:v>
      </x:c>
      <x:c r="O913" s="12" t="str">
        <x:v>Retain protein mean pLDDT &gt;=70</x:v>
      </x:c>
      <x:c r="P913" s="11" t="n">
        <x:v>0</x:v>
      </x:c>
      <x:c r="Q913" s="12" t="str">
        <x:v>AF-P52479-F1-model_v6</x:v>
      </x:c>
      <x:c r="R913" s="12" t="str">
        <x:v>ok</x:v>
      </x:c>
      <x:c r="S913" s="11" t="n">
        <x:v>529</x:v>
      </x:c>
      <x:c r="T913" s="11" t="n">
        <x:v>792</x:v>
      </x:c>
    </x:row>
    <x:row r="914" ht="23" customHeight="1">
      <x:c r="A914" s="2" t="str">
        <x:v>P52480</x:v>
      </x:c>
      <x:c r="B914" s="2" t="str">
        <x:v>ED</x:v>
      </x:c>
      <x:c r="C914" s="2" t="n">
        <x:v>1</x:v>
      </x:c>
      <x:c r="D914" s="2" t="n">
        <x:v>1</x:v>
      </x:c>
      <x:c r="E914" s="10" t="n">
        <x:v>96.58199623352166</x:v>
      </x:c>
      <x:c r="F914" s="11" t="n">
        <x:v>531</x:v>
      </x:c>
      <x:c r="G914" s="11" t="n">
        <x:v>0</x:v>
      </x:c>
      <x:c r="H914" s="11" t="n">
        <x:v>0</x:v>
      </x:c>
      <x:c r="I914" s="11" t="n">
        <x:v>0</x:v>
      </x:c>
      <x:c r="J914" s="11" t="n">
        <x:v>0</x:v>
      </x:c>
      <x:c r="K914" s="11" t="n">
        <x:v>1</x:v>
      </x:c>
      <x:c r="L914" s="11" t="n">
        <x:f>IF(B914="NED",1,IF(OR(B914="ED",B914="UN"),0,""))</x:f>
        <x:v>0</x:v>
      </x:c>
      <x:c r="M914" s="11" t="n">
        <x:f>IF(AND(K914=1,OR(B914="ED",B914="NED")),1,0)</x:f>
        <x:v>1</x:v>
      </x:c>
      <x:c r="N914" s="11" t="n">
        <x:f>IF(K914=1,1,0)</x:f>
        <x:v>1</x:v>
      </x:c>
      <x:c r="O914" s="12"/>
      <x:c r="P914" s="11" t="n">
        <x:v>0</x:v>
      </x:c>
      <x:c r="Q914" s="12" t="str">
        <x:v>AF-P52480-F1-model_v6</x:v>
      </x:c>
      <x:c r="R914" s="12" t="str">
        <x:v>ok</x:v>
      </x:c>
      <x:c r="S914" s="11" t="n">
        <x:v>530</x:v>
      </x:c>
      <x:c r="T914" s="11" t="n">
        <x:v>531</x:v>
      </x:c>
    </x:row>
    <x:row r="915" ht="23" customHeight="1">
      <x:c r="A915" s="2" t="str">
        <x:v>P52480-2</x:v>
      </x:c>
      <x:c r="B915" s="2" t="str">
        <x:v>ED</x:v>
      </x:c>
      <x:c r="C915" s="2"/>
      <x:c r="D915" s="2"/>
      <x:c r="E915" s="10"/>
      <x:c r="F915" s="11"/>
      <x:c r="G915" s="11" t="n">
        <x:v>0</x:v>
      </x:c>
      <x:c r="H915" s="11" t="n">
        <x:v>0</x:v>
      </x:c>
      <x:c r="I915" s="11"/>
      <x:c r="J915" s="11"/>
      <x:c r="K915" s="11" t="n">
        <x:v>0</x:v>
      </x:c>
      <x:c r="L915" s="11" t="n">
        <x:f>IF(B915="NED",1,IF(OR(B915="ED",B915="UN"),0,""))</x:f>
        <x:v>0</x:v>
      </x:c>
      <x:c r="M915" s="11" t="n">
        <x:f>IF(AND(K915=1,OR(B915="ED",B915="NED")),1,0)</x:f>
        <x:v>0</x:v>
      </x:c>
      <x:c r="N915" s="11" t="n">
        <x:f>IF(K915=1,1,0)</x:f>
        <x:v>0</x:v>
      </x:c>
      <x:c r="O915" s="12" t="str">
        <x:v>Require exact native accession match</x:v>
      </x:c>
      <x:c r="P915" s="11" t="n">
        <x:v>0</x:v>
      </x:c>
      <x:c r="Q915" s="12"/>
      <x:c r="R915" s="12"/>
      <x:c r="S915" s="11" t="n">
        <x:v>531</x:v>
      </x:c>
      <x:c r="T915" s="11"/>
    </x:row>
    <x:row r="916" ht="23" customHeight="1">
      <x:c r="A916" s="2" t="str">
        <x:v>P52482</x:v>
      </x:c>
      <x:c r="B916" s="2" t="str">
        <x:v>ED</x:v>
      </x:c>
      <x:c r="C916" s="2" t="n">
        <x:v>0</x:v>
      </x:c>
      <x:c r="D916" s="2" t="n">
        <x:v>0</x:v>
      </x:c>
      <x:c r="E916" s="10" t="n">
        <x:v>86.91347150259067</x:v>
      </x:c>
      <x:c r="F916" s="11" t="n">
        <x:v>193</x:v>
      </x:c>
      <x:c r="G916" s="11" t="n">
        <x:v>0</x:v>
      </x:c>
      <x:c r="H916" s="11" t="n">
        <x:v>0</x:v>
      </x:c>
      <x:c r="I916" s="11" t="n">
        <x:v>0</x:v>
      </x:c>
      <x:c r="J916" s="11" t="n">
        <x:v>0</x:v>
      </x:c>
      <x:c r="K916" s="11" t="n">
        <x:v>1</x:v>
      </x:c>
      <x:c r="L916" s="11" t="n">
        <x:f>IF(B916="NED",1,IF(OR(B916="ED",B916="UN"),0,""))</x:f>
        <x:v>0</x:v>
      </x:c>
      <x:c r="M916" s="11" t="n">
        <x:f>IF(AND(K916=1,OR(B916="ED",B916="NED")),1,0)</x:f>
        <x:v>1</x:v>
      </x:c>
      <x:c r="N916" s="11" t="n">
        <x:f>IF(K916=1,1,0)</x:f>
        <x:v>1</x:v>
      </x:c>
      <x:c r="O916" s="12"/>
      <x:c r="P916" s="11" t="n">
        <x:v>0</x:v>
      </x:c>
      <x:c r="Q916" s="12" t="str">
        <x:v>AF-P52482-F1-model_v6</x:v>
      </x:c>
      <x:c r="R916" s="12" t="str">
        <x:v>ok</x:v>
      </x:c>
      <x:c r="S916" s="11" t="n">
        <x:v>532</x:v>
      </x:c>
      <x:c r="T916" s="11" t="n">
        <x:v>193</x:v>
      </x:c>
    </x:row>
    <x:row r="917" ht="23" customHeight="1">
      <x:c r="A917" s="2" t="str">
        <x:v>P52623</x:v>
      </x:c>
      <x:c r="B917" s="2" t="str">
        <x:v>ED</x:v>
      </x:c>
      <x:c r="C917" s="2" t="n">
        <x:v>1</x:v>
      </x:c>
      <x:c r="D917" s="2" t="n">
        <x:v>1</x:v>
      </x:c>
      <x:c r="E917" s="10" t="n">
        <x:v>83.89628158844765</x:v>
      </x:c>
      <x:c r="F917" s="11" t="n">
        <x:v>277</x:v>
      </x:c>
      <x:c r="G917" s="11" t="n">
        <x:v>0</x:v>
      </x:c>
      <x:c r="H917" s="11" t="n">
        <x:v>0</x:v>
      </x:c>
      <x:c r="I917" s="11" t="n">
        <x:v>0</x:v>
      </x:c>
      <x:c r="J917" s="11" t="n">
        <x:v>0</x:v>
      </x:c>
      <x:c r="K917" s="11" t="n">
        <x:v>1</x:v>
      </x:c>
      <x:c r="L917" s="11" t="n">
        <x:f>IF(B917="NED",1,IF(OR(B917="ED",B917="UN"),0,""))</x:f>
        <x:v>0</x:v>
      </x:c>
      <x:c r="M917" s="11" t="n">
        <x:f>IF(AND(K917=1,OR(B917="ED",B917="NED")),1,0)</x:f>
        <x:v>1</x:v>
      </x:c>
      <x:c r="N917" s="11" t="n">
        <x:f>IF(K917=1,1,0)</x:f>
        <x:v>1</x:v>
      </x:c>
      <x:c r="O917" s="12"/>
      <x:c r="P917" s="11" t="n">
        <x:v>0</x:v>
      </x:c>
      <x:c r="Q917" s="12" t="str">
        <x:v>AF-P52623-F1-model_v6</x:v>
      </x:c>
      <x:c r="R917" s="12" t="str">
        <x:v>ok</x:v>
      </x:c>
      <x:c r="S917" s="11" t="n">
        <x:v>533</x:v>
      </x:c>
      <x:c r="T917" s="11" t="n">
        <x:v>277</x:v>
      </x:c>
    </x:row>
    <x:row r="918" ht="23" customHeight="1">
      <x:c r="A918" s="2" t="str">
        <x:v>P52633</x:v>
      </x:c>
      <x:c r="B918" s="2" t="str">
        <x:v>UN</x:v>
      </x:c>
      <x:c r="C918" s="2" t="n">
        <x:v>1</x:v>
      </x:c>
      <x:c r="D918" s="2" t="n">
        <x:v>1</x:v>
      </x:c>
      <x:c r="E918" s="10" t="n">
        <x:v>76.38997610513739</x:v>
      </x:c>
      <x:c r="F918" s="11" t="n">
        <x:v>837</x:v>
      </x:c>
      <x:c r="G918" s="11" t="n">
        <x:v>0</x:v>
      </x:c>
      <x:c r="H918" s="11" t="n">
        <x:v>0</x:v>
      </x:c>
      <x:c r="I918" s="11" t="n">
        <x:v>0</x:v>
      </x:c>
      <x:c r="J918" s="11" t="n">
        <x:v>0</x:v>
      </x:c>
      <x:c r="K918" s="11" t="n">
        <x:v>1</x:v>
      </x:c>
      <x:c r="L918" s="11" t="n">
        <x:f>IF(B918="NED",1,IF(OR(B918="ED",B918="UN"),0,""))</x:f>
        <x:v>0</x:v>
      </x:c>
      <x:c r="M918" s="11" t="n">
        <x:f>IF(AND(K918=1,OR(B918="ED",B918="NED")),1,0)</x:f>
        <x:v>0</x:v>
      </x:c>
      <x:c r="N918" s="11" t="n">
        <x:f>IF(K918=1,1,0)</x:f>
        <x:v>1</x:v>
      </x:c>
      <x:c r="O918" s="12"/>
      <x:c r="P918" s="11" t="n">
        <x:v>0</x:v>
      </x:c>
      <x:c r="Q918" s="12" t="str">
        <x:v>AF-P52633-F1-model_v6</x:v>
      </x:c>
      <x:c r="R918" s="12" t="str">
        <x:v>ok</x:v>
      </x:c>
      <x:c r="S918" s="11" t="n">
        <x:v>534</x:v>
      </x:c>
      <x:c r="T918" s="11" t="n">
        <x:v>837</x:v>
      </x:c>
    </x:row>
    <x:row r="919" ht="23" customHeight="1">
      <x:c r="A919" s="2" t="str">
        <x:v>P53564-3</x:v>
      </x:c>
      <x:c r="B919" s="2" t="str">
        <x:v>ED</x:v>
      </x:c>
      <x:c r="C919" s="2"/>
      <x:c r="D919" s="2"/>
      <x:c r="E919" s="10"/>
      <x:c r="F919" s="11"/>
      <x:c r="G919" s="11" t="n">
        <x:v>0</x:v>
      </x:c>
      <x:c r="H919" s="11" t="n">
        <x:v>0</x:v>
      </x:c>
      <x:c r="I919" s="11"/>
      <x:c r="J919" s="11"/>
      <x:c r="K919" s="11" t="n">
        <x:v>0</x:v>
      </x:c>
      <x:c r="L919" s="11" t="n">
        <x:f>IF(B919="NED",1,IF(OR(B919="ED",B919="UN"),0,""))</x:f>
        <x:v>0</x:v>
      </x:c>
      <x:c r="M919" s="11" t="n">
        <x:f>IF(AND(K919=1,OR(B919="ED",B919="NED")),1,0)</x:f>
        <x:v>0</x:v>
      </x:c>
      <x:c r="N919" s="11" t="n">
        <x:f>IF(K919=1,1,0)</x:f>
        <x:v>0</x:v>
      </x:c>
      <x:c r="O919" s="12" t="str">
        <x:v>Require exact native accession match</x:v>
      </x:c>
      <x:c r="P919" s="11" t="n">
        <x:v>0</x:v>
      </x:c>
      <x:c r="Q919" s="12"/>
      <x:c r="R919" s="12"/>
      <x:c r="S919" s="11" t="n">
        <x:v>535</x:v>
      </x:c>
      <x:c r="T919" s="11"/>
    </x:row>
    <x:row r="920" ht="23" customHeight="1">
      <x:c r="A920" s="2" t="str">
        <x:v>P53569</x:v>
      </x:c>
      <x:c r="B920" s="2" t="str">
        <x:v>UN</x:v>
      </x:c>
      <x:c r="C920" s="2" t="n">
        <x:v>1</x:v>
      </x:c>
      <x:c r="D920" s="2" t="n">
        <x:v>1</x:v>
      </x:c>
      <x:c r="E920" s="10" t="n">
        <x:v>66.27945817490495</x:v>
      </x:c>
      <x:c r="F920" s="11" t="n">
        <x:v>1052</x:v>
      </x:c>
      <x:c r="G920" s="11" t="n">
        <x:v>0</x:v>
      </x:c>
      <x:c r="H920" s="11" t="n">
        <x:v>0</x:v>
      </x:c>
      <x:c r="I920" s="11" t="n">
        <x:v>0</x:v>
      </x:c>
      <x:c r="J920" s="11" t="n">
        <x:v>0</x:v>
      </x:c>
      <x:c r="K920" s="11" t="n">
        <x:v>0</x:v>
      </x:c>
      <x:c r="L920" s="11" t="n">
        <x:f>IF(B920="NED",1,IF(OR(B920="ED",B920="UN"),0,""))</x:f>
        <x:v>0</x:v>
      </x:c>
      <x:c r="M920" s="11" t="n">
        <x:f>IF(AND(K920=1,OR(B920="ED",B920="NED")),1,0)</x:f>
        <x:v>0</x:v>
      </x:c>
      <x:c r="N920" s="11" t="n">
        <x:f>IF(K920=1,1,0)</x:f>
        <x:v>0</x:v>
      </x:c>
      <x:c r="O920" s="12" t="str">
        <x:v>Retain protein mean pLDDT &gt;=70</x:v>
      </x:c>
      <x:c r="P920" s="11" t="n">
        <x:v>0</x:v>
      </x:c>
      <x:c r="Q920" s="12" t="str">
        <x:v>AF-P53569-F1-model_v6</x:v>
      </x:c>
      <x:c r="R920" s="12" t="str">
        <x:v>ok</x:v>
      </x:c>
      <x:c r="S920" s="11" t="n">
        <x:v>536</x:v>
      </x:c>
      <x:c r="T920" s="11" t="n">
        <x:v>1052</x:v>
      </x:c>
    </x:row>
    <x:row r="921" ht="23" customHeight="1">
      <x:c r="A921" s="2" t="str">
        <x:v>P53702</x:v>
      </x:c>
      <x:c r="B921" s="2" t="str">
        <x:v>ED</x:v>
      </x:c>
      <x:c r="C921" s="2" t="n">
        <x:v>1</x:v>
      </x:c>
      <x:c r="D921" s="2" t="n">
        <x:v>1</x:v>
      </x:c>
      <x:c r="E921" s="10"/>
      <x:c r="F921" s="11" t="n">
        <x:v>272</x:v>
      </x:c>
      <x:c r="G921" s="11" t="n">
        <x:v>0</x:v>
      </x:c>
      <x:c r="H921" s="11" t="n">
        <x:v>0</x:v>
      </x:c>
      <x:c r="I921" s="11" t="n">
        <x:v>1</x:v>
      </x:c>
      <x:c r="J921" s="11" t="n">
        <x:v>0</x:v>
      </x:c>
      <x:c r="K921" s="11" t="n">
        <x:v>0</x:v>
      </x:c>
      <x:c r="L921" s="11" t="n">
        <x:f>IF(B921="NED",1,IF(OR(B921="ED",B921="UN"),0,""))</x:f>
        <x:v>0</x:v>
      </x:c>
      <x:c r="M921" s="11" t="n">
        <x:f>IF(AND(K921=1,OR(B921="ED",B921="NED")),1,0)</x:f>
        <x:v>0</x:v>
      </x:c>
      <x:c r="N921" s="11" t="n">
        <x:f>IF(K921=1,1,0)</x:f>
        <x:v>0</x:v>
      </x:c>
      <x:c r="O921" s="12" t="str">
        <x:v>Exclude UniProt Membrane keyword</x:v>
      </x:c>
      <x:c r="P921" s="11" t="n">
        <x:v>0</x:v>
      </x:c>
      <x:c r="Q921" s="12" t="str">
        <x:v>AF-P53702-F1-model_v6</x:v>
      </x:c>
      <x:c r="R921" s="12" t="str">
        <x:v>ok</x:v>
      </x:c>
      <x:c r="S921" s="11" t="n">
        <x:v>537</x:v>
      </x:c>
      <x:c r="T921" s="11" t="n">
        <x:v>272</x:v>
      </x:c>
    </x:row>
    <x:row r="922" ht="23" customHeight="1">
      <x:c r="A922" s="2" t="str">
        <x:v>P53762-2</x:v>
      </x:c>
      <x:c r="B922" s="2" t="str">
        <x:v>UN</x:v>
      </x:c>
      <x:c r="C922" s="2"/>
      <x:c r="D922" s="2"/>
      <x:c r="E922" s="10"/>
      <x:c r="F922" s="11"/>
      <x:c r="G922" s="11" t="n">
        <x:v>0</x:v>
      </x:c>
      <x:c r="H922" s="11" t="n">
        <x:v>0</x:v>
      </x:c>
      <x:c r="I922" s="11"/>
      <x:c r="J922" s="11"/>
      <x:c r="K922" s="11" t="n">
        <x:v>0</x:v>
      </x:c>
      <x:c r="L922" s="11" t="n">
        <x:f>IF(B922="NED",1,IF(OR(B922="ED",B922="UN"),0,""))</x:f>
        <x:v>0</x:v>
      </x:c>
      <x:c r="M922" s="11" t="n">
        <x:f>IF(AND(K922=1,OR(B922="ED",B922="NED")),1,0)</x:f>
        <x:v>0</x:v>
      </x:c>
      <x:c r="N922" s="11" t="n">
        <x:f>IF(K922=1,1,0)</x:f>
        <x:v>0</x:v>
      </x:c>
      <x:c r="O922" s="12" t="str">
        <x:v>Require exact native accession match</x:v>
      </x:c>
      <x:c r="P922" s="11" t="n">
        <x:v>0</x:v>
      </x:c>
      <x:c r="Q922" s="12"/>
      <x:c r="R922" s="12"/>
      <x:c r="S922" s="11" t="n">
        <x:v>538</x:v>
      </x:c>
      <x:c r="T922" s="11"/>
    </x:row>
    <x:row r="923" ht="23" customHeight="1">
      <x:c r="A923" s="2" t="str">
        <x:v>P53798</x:v>
      </x:c>
      <x:c r="B923" s="2" t="str">
        <x:v>UN</x:v>
      </x:c>
      <x:c r="C923" s="2" t="n">
        <x:v>0</x:v>
      </x:c>
      <x:c r="D923" s="2" t="n">
        <x:v>0</x:v>
      </x:c>
      <x:c r="E923" s="10"/>
      <x:c r="F923" s="11" t="n">
        <x:v>416</x:v>
      </x:c>
      <x:c r="G923" s="11" t="n">
        <x:v>0</x:v>
      </x:c>
      <x:c r="H923" s="11" t="n">
        <x:v>0</x:v>
      </x:c>
      <x:c r="I923" s="11" t="n">
        <x:v>1</x:v>
      </x:c>
      <x:c r="J923" s="11" t="n">
        <x:v>0</x:v>
      </x:c>
      <x:c r="K923" s="11" t="n">
        <x:v>0</x:v>
      </x:c>
      <x:c r="L923" s="11" t="n">
        <x:f>IF(B923="NED",1,IF(OR(B923="ED",B923="UN"),0,""))</x:f>
        <x:v>0</x:v>
      </x:c>
      <x:c r="M923" s="11" t="n">
        <x:f>IF(AND(K923=1,OR(B923="ED",B923="NED")),1,0)</x:f>
        <x:v>0</x:v>
      </x:c>
      <x:c r="N923" s="11" t="n">
        <x:f>IF(K923=1,1,0)</x:f>
        <x:v>0</x:v>
      </x:c>
      <x:c r="O923" s="12" t="str">
        <x:v>Exclude UniProt Membrane keyword</x:v>
      </x:c>
      <x:c r="P923" s="11" t="n">
        <x:v>0</x:v>
      </x:c>
      <x:c r="Q923" s="12" t="str">
        <x:v>AF-P53798-F1-model_v6</x:v>
      </x:c>
      <x:c r="R923" s="12" t="str">
        <x:v>ok</x:v>
      </x:c>
      <x:c r="S923" s="11" t="n">
        <x:v>539</x:v>
      </x:c>
      <x:c r="T923" s="11" t="n">
        <x:v>416</x:v>
      </x:c>
    </x:row>
    <x:row r="924" ht="23" customHeight="1">
      <x:c r="A924" s="2" t="str">
        <x:v>P53810</x:v>
      </x:c>
      <x:c r="B924" s="2" t="str">
        <x:v>UN</x:v>
      </x:c>
      <x:c r="C924" s="2" t="n">
        <x:v>1</x:v>
      </x:c>
      <x:c r="D924" s="2" t="n">
        <x:v>1</x:v>
      </x:c>
      <x:c r="E924" s="10" t="n">
        <x:v>95.08937269372694</x:v>
      </x:c>
      <x:c r="F924" s="11" t="n">
        <x:v>271</x:v>
      </x:c>
      <x:c r="G924" s="11" t="n">
        <x:v>0</x:v>
      </x:c>
      <x:c r="H924" s="11" t="n">
        <x:v>0</x:v>
      </x:c>
      <x:c r="I924" s="11" t="n">
        <x:v>0</x:v>
      </x:c>
      <x:c r="J924" s="11" t="n">
        <x:v>0</x:v>
      </x:c>
      <x:c r="K924" s="11" t="n">
        <x:v>1</x:v>
      </x:c>
      <x:c r="L924" s="11" t="n">
        <x:f>IF(B924="NED",1,IF(OR(B924="ED",B924="UN"),0,""))</x:f>
        <x:v>0</x:v>
      </x:c>
      <x:c r="M924" s="11" t="n">
        <x:f>IF(AND(K924=1,OR(B924="ED",B924="NED")),1,0)</x:f>
        <x:v>0</x:v>
      </x:c>
      <x:c r="N924" s="11" t="n">
        <x:f>IF(K924=1,1,0)</x:f>
        <x:v>1</x:v>
      </x:c>
      <x:c r="O924" s="12"/>
      <x:c r="P924" s="11" t="n">
        <x:v>0</x:v>
      </x:c>
      <x:c r="Q924" s="12" t="str">
        <x:v>AF-P53810-F1-model_v6</x:v>
      </x:c>
      <x:c r="R924" s="12" t="str">
        <x:v>ok</x:v>
      </x:c>
      <x:c r="S924" s="11" t="n">
        <x:v>540</x:v>
      </x:c>
      <x:c r="T924" s="11" t="n">
        <x:v>271</x:v>
      </x:c>
    </x:row>
    <x:row r="925" ht="23" customHeight="1">
      <x:c r="A925" s="2" t="str">
        <x:v>P53811</x:v>
      </x:c>
      <x:c r="B925" s="2" t="str">
        <x:v>UN</x:v>
      </x:c>
      <x:c r="C925" s="2" t="n">
        <x:v>1</x:v>
      </x:c>
      <x:c r="D925" s="2" t="n">
        <x:v>1</x:v>
      </x:c>
      <x:c r="E925" s="10"/>
      <x:c r="F925" s="11" t="n">
        <x:v>271</x:v>
      </x:c>
      <x:c r="G925" s="11" t="n">
        <x:v>0</x:v>
      </x:c>
      <x:c r="H925" s="11" t="n">
        <x:v>0</x:v>
      </x:c>
      <x:c r="I925" s="11" t="n">
        <x:v>1</x:v>
      </x:c>
      <x:c r="J925" s="11" t="n">
        <x:v>0</x:v>
      </x:c>
      <x:c r="K925" s="11" t="n">
        <x:v>0</x:v>
      </x:c>
      <x:c r="L925" s="11" t="n">
        <x:f>IF(B925="NED",1,IF(OR(B925="ED",B925="UN"),0,""))</x:f>
        <x:v>0</x:v>
      </x:c>
      <x:c r="M925" s="11" t="n">
        <x:f>IF(AND(K925=1,OR(B925="ED",B925="NED")),1,0)</x:f>
        <x:v>0</x:v>
      </x:c>
      <x:c r="N925" s="11" t="n">
        <x:f>IF(K925=1,1,0)</x:f>
        <x:v>0</x:v>
      </x:c>
      <x:c r="O925" s="12" t="str">
        <x:v>Exclude UniProt Membrane keyword</x:v>
      </x:c>
      <x:c r="P925" s="11" t="n">
        <x:v>0</x:v>
      </x:c>
      <x:c r="Q925" s="12" t="str">
        <x:v>AF-P53811-F1-model_v6</x:v>
      </x:c>
      <x:c r="R925" s="12" t="str">
        <x:v>ok</x:v>
      </x:c>
      <x:c r="S925" s="11" t="n">
        <x:v>541</x:v>
      </x:c>
      <x:c r="T925" s="11" t="n">
        <x:v>271</x:v>
      </x:c>
    </x:row>
    <x:row r="926" ht="23" customHeight="1">
      <x:c r="A926" s="2" t="str">
        <x:v>P53986</x:v>
      </x:c>
      <x:c r="B926" s="2" t="str">
        <x:v>ED</x:v>
      </x:c>
      <x:c r="C926" s="2" t="n">
        <x:v>1</x:v>
      </x:c>
      <x:c r="D926" s="2" t="n">
        <x:v>1</x:v>
      </x:c>
      <x:c r="E926" s="10"/>
      <x:c r="F926" s="11" t="n">
        <x:v>493</x:v>
      </x:c>
      <x:c r="G926" s="11" t="n">
        <x:v>0</x:v>
      </x:c>
      <x:c r="H926" s="11" t="n">
        <x:v>0</x:v>
      </x:c>
      <x:c r="I926" s="11" t="n">
        <x:v>1</x:v>
      </x:c>
      <x:c r="J926" s="11" t="n">
        <x:v>0</x:v>
      </x:c>
      <x:c r="K926" s="11" t="n">
        <x:v>0</x:v>
      </x:c>
      <x:c r="L926" s="11" t="n">
        <x:f>IF(B926="NED",1,IF(OR(B926="ED",B926="UN"),0,""))</x:f>
        <x:v>0</x:v>
      </x:c>
      <x:c r="M926" s="11" t="n">
        <x:f>IF(AND(K926=1,OR(B926="ED",B926="NED")),1,0)</x:f>
        <x:v>0</x:v>
      </x:c>
      <x:c r="N926" s="11" t="n">
        <x:f>IF(K926=1,1,0)</x:f>
        <x:v>0</x:v>
      </x:c>
      <x:c r="O926" s="12" t="str">
        <x:v>Exclude UniProt Membrane keyword</x:v>
      </x:c>
      <x:c r="P926" s="11" t="n">
        <x:v>0</x:v>
      </x:c>
      <x:c r="Q926" s="12" t="str">
        <x:v>AF-P53986-F1-model_v6</x:v>
      </x:c>
      <x:c r="R926" s="12" t="str">
        <x:v>ok</x:v>
      </x:c>
      <x:c r="S926" s="11" t="n">
        <x:v>542</x:v>
      </x:c>
      <x:c r="T926" s="11" t="n">
        <x:v>493</x:v>
      </x:c>
    </x:row>
    <x:row r="927" ht="23" customHeight="1">
      <x:c r="A927" s="2" t="str">
        <x:v>P53994</x:v>
      </x:c>
      <x:c r="B927" s="2" t="str">
        <x:v>UN</x:v>
      </x:c>
      <x:c r="C927" s="2" t="n">
        <x:v>1</x:v>
      </x:c>
      <x:c r="D927" s="2" t="n">
        <x:v>1</x:v>
      </x:c>
      <x:c r="E927" s="10"/>
      <x:c r="F927" s="11" t="n">
        <x:v>212</x:v>
      </x:c>
      <x:c r="G927" s="11" t="n">
        <x:v>0</x:v>
      </x:c>
      <x:c r="H927" s="11" t="n">
        <x:v>0</x:v>
      </x:c>
      <x:c r="I927" s="11" t="n">
        <x:v>1</x:v>
      </x:c>
      <x:c r="J927" s="11" t="n">
        <x:v>0</x:v>
      </x:c>
      <x:c r="K927" s="11" t="n">
        <x:v>0</x:v>
      </x:c>
      <x:c r="L927" s="11" t="n">
        <x:f>IF(B927="NED",1,IF(OR(B927="ED",B927="UN"),0,""))</x:f>
        <x:v>0</x:v>
      </x:c>
      <x:c r="M927" s="11" t="n">
        <x:f>IF(AND(K927=1,OR(B927="ED",B927="NED")),1,0)</x:f>
        <x:v>0</x:v>
      </x:c>
      <x:c r="N927" s="11" t="n">
        <x:f>IF(K927=1,1,0)</x:f>
        <x:v>0</x:v>
      </x:c>
      <x:c r="O927" s="12" t="str">
        <x:v>Exclude UniProt Membrane keyword</x:v>
      </x:c>
      <x:c r="P927" s="11" t="n">
        <x:v>0</x:v>
      </x:c>
      <x:c r="Q927" s="12" t="str">
        <x:v>AF-P53994-F1-model_v6</x:v>
      </x:c>
      <x:c r="R927" s="12" t="str">
        <x:v>ok</x:v>
      </x:c>
      <x:c r="S927" s="11" t="n">
        <x:v>543</x:v>
      </x:c>
      <x:c r="T927" s="11" t="n">
        <x:v>212</x:v>
      </x:c>
    </x:row>
    <x:row r="928" ht="23" customHeight="1">
      <x:c r="A928" s="2" t="str">
        <x:v>P53995</x:v>
      </x:c>
      <x:c r="B928" s="2" t="str">
        <x:v>UN</x:v>
      </x:c>
      <x:c r="C928" s="2" t="n">
        <x:v>1</x:v>
      </x:c>
      <x:c r="D928" s="2" t="n">
        <x:v>1</x:v>
      </x:c>
      <x:c r="E928" s="10" t="n">
        <x:v>76.40655349794238</x:v>
      </x:c>
      <x:c r="F928" s="11" t="n">
        <x:v>1944</x:v>
      </x:c>
      <x:c r="G928" s="11" t="n">
        <x:v>0</x:v>
      </x:c>
      <x:c r="H928" s="11" t="n">
        <x:v>0</x:v>
      </x:c>
      <x:c r="I928" s="11" t="n">
        <x:v>0</x:v>
      </x:c>
      <x:c r="J928" s="11" t="n">
        <x:v>0</x:v>
      </x:c>
      <x:c r="K928" s="11" t="n">
        <x:v>1</x:v>
      </x:c>
      <x:c r="L928" s="11" t="n">
        <x:f>IF(B928="NED",1,IF(OR(B928="ED",B928="UN"),0,""))</x:f>
        <x:v>0</x:v>
      </x:c>
      <x:c r="M928" s="11" t="n">
        <x:f>IF(AND(K928=1,OR(B928="ED",B928="NED")),1,0)</x:f>
        <x:v>0</x:v>
      </x:c>
      <x:c r="N928" s="11" t="n">
        <x:f>IF(K928=1,1,0)</x:f>
        <x:v>1</x:v>
      </x:c>
      <x:c r="O928" s="12"/>
      <x:c r="P928" s="11" t="n">
        <x:v>0</x:v>
      </x:c>
      <x:c r="Q928" s="12" t="str">
        <x:v>AF-P53995-F1-model_v6</x:v>
      </x:c>
      <x:c r="R928" s="12" t="str">
        <x:v>ok</x:v>
      </x:c>
      <x:c r="S928" s="11" t="n">
        <x:v>544</x:v>
      </x:c>
      <x:c r="T928" s="11" t="n">
        <x:v>1944</x:v>
      </x:c>
    </x:row>
    <x:row r="929" ht="23" customHeight="1">
      <x:c r="A929" s="2" t="str">
        <x:v>P53996</x:v>
      </x:c>
      <x:c r="B929" s="2" t="str">
        <x:v>ED</x:v>
      </x:c>
      <x:c r="C929" s="2" t="n">
        <x:v>0</x:v>
      </x:c>
      <x:c r="D929" s="2" t="n">
        <x:v>0</x:v>
      </x:c>
      <x:c r="E929" s="10" t="n">
        <x:v>68.34466292134832</x:v>
      </x:c>
      <x:c r="F929" s="11" t="n">
        <x:v>178</x:v>
      </x:c>
      <x:c r="G929" s="11" t="n">
        <x:v>0</x:v>
      </x:c>
      <x:c r="H929" s="11" t="n">
        <x:v>0</x:v>
      </x:c>
      <x:c r="I929" s="11" t="n">
        <x:v>0</x:v>
      </x:c>
      <x:c r="J929" s="11" t="n">
        <x:v>0</x:v>
      </x:c>
      <x:c r="K929" s="11" t="n">
        <x:v>0</x:v>
      </x:c>
      <x:c r="L929" s="11" t="n">
        <x:f>IF(B929="NED",1,IF(OR(B929="ED",B929="UN"),0,""))</x:f>
        <x:v>0</x:v>
      </x:c>
      <x:c r="M929" s="11" t="n">
        <x:f>IF(AND(K929=1,OR(B929="ED",B929="NED")),1,0)</x:f>
        <x:v>0</x:v>
      </x:c>
      <x:c r="N929" s="11" t="n">
        <x:f>IF(K929=1,1,0)</x:f>
        <x:v>0</x:v>
      </x:c>
      <x:c r="O929" s="12" t="str">
        <x:v>Retain protein mean pLDDT &gt;=70</x:v>
      </x:c>
      <x:c r="P929" s="11" t="n">
        <x:v>0</x:v>
      </x:c>
      <x:c r="Q929" s="12" t="str">
        <x:v>AF-P53996-F1-model_v6</x:v>
      </x:c>
      <x:c r="R929" s="12" t="str">
        <x:v>ok</x:v>
      </x:c>
      <x:c r="S929" s="11" t="n">
        <x:v>545</x:v>
      </x:c>
      <x:c r="T929" s="11" t="n">
        <x:v>178</x:v>
      </x:c>
    </x:row>
    <x:row r="930" ht="23" customHeight="1">
      <x:c r="A930" s="2" t="str">
        <x:v>P53996-2</x:v>
      </x:c>
      <x:c r="B930" s="2" t="str">
        <x:v>UN</x:v>
      </x:c>
      <x:c r="C930" s="2"/>
      <x:c r="D930" s="2"/>
      <x:c r="E930" s="10"/>
      <x:c r="F930" s="11"/>
      <x:c r="G930" s="11" t="n">
        <x:v>0</x:v>
      </x:c>
      <x:c r="H930" s="11" t="n">
        <x:v>0</x:v>
      </x:c>
      <x:c r="I930" s="11"/>
      <x:c r="J930" s="11"/>
      <x:c r="K930" s="11" t="n">
        <x:v>0</x:v>
      </x:c>
      <x:c r="L930" s="11" t="n">
        <x:f>IF(B930="NED",1,IF(OR(B930="ED",B930="UN"),0,""))</x:f>
        <x:v>0</x:v>
      </x:c>
      <x:c r="M930" s="11" t="n">
        <x:f>IF(AND(K930=1,OR(B930="ED",B930="NED")),1,0)</x:f>
        <x:v>0</x:v>
      </x:c>
      <x:c r="N930" s="11" t="n">
        <x:f>IF(K930=1,1,0)</x:f>
        <x:v>0</x:v>
      </x:c>
      <x:c r="O930" s="12" t="str">
        <x:v>Require exact native accession match</x:v>
      </x:c>
      <x:c r="P930" s="11" t="n">
        <x:v>0</x:v>
      </x:c>
      <x:c r="Q930" s="12"/>
      <x:c r="R930" s="12"/>
      <x:c r="S930" s="11" t="n">
        <x:v>546</x:v>
      </x:c>
      <x:c r="T930" s="11"/>
    </x:row>
    <x:row r="931" ht="23" customHeight="1">
      <x:c r="A931" s="2" t="str">
        <x:v>P54071</x:v>
      </x:c>
      <x:c r="B931" s="2" t="str">
        <x:v>ED</x:v>
      </x:c>
      <x:c r="C931" s="2" t="n">
        <x:v>1</x:v>
      </x:c>
      <x:c r="D931" s="2" t="n">
        <x:v>1</x:v>
      </x:c>
      <x:c r="E931" s="10" t="n">
        <x:v>91.28283185840708</x:v>
      </x:c>
      <x:c r="F931" s="11" t="n">
        <x:v>452</x:v>
      </x:c>
      <x:c r="G931" s="11" t="n">
        <x:v>0</x:v>
      </x:c>
      <x:c r="H931" s="11" t="n">
        <x:v>0</x:v>
      </x:c>
      <x:c r="I931" s="11" t="n">
        <x:v>0</x:v>
      </x:c>
      <x:c r="J931" s="11" t="n">
        <x:v>0</x:v>
      </x:c>
      <x:c r="K931" s="11" t="n">
        <x:v>1</x:v>
      </x:c>
      <x:c r="L931" s="11" t="n">
        <x:f>IF(B931="NED",1,IF(OR(B931="ED",B931="UN"),0,""))</x:f>
        <x:v>0</x:v>
      </x:c>
      <x:c r="M931" s="11" t="n">
        <x:f>IF(AND(K931=1,OR(B931="ED",B931="NED")),1,0)</x:f>
        <x:v>1</x:v>
      </x:c>
      <x:c r="N931" s="11" t="n">
        <x:f>IF(K931=1,1,0)</x:f>
        <x:v>1</x:v>
      </x:c>
      <x:c r="O931" s="12"/>
      <x:c r="P931" s="11" t="n">
        <x:v>0</x:v>
      </x:c>
      <x:c r="Q931" s="12" t="str">
        <x:v>AF-P54071-F1-model_v6</x:v>
      </x:c>
      <x:c r="R931" s="12" t="str">
        <x:v>ok</x:v>
      </x:c>
      <x:c r="S931" s="11" t="n">
        <x:v>547</x:v>
      </x:c>
      <x:c r="T931" s="11" t="n">
        <x:v>452</x:v>
      </x:c>
    </x:row>
    <x:row r="932" ht="23" customHeight="1">
      <x:c r="A932" s="2" t="str">
        <x:v>P54103</x:v>
      </x:c>
      <x:c r="B932" s="2" t="str">
        <x:v>ED</x:v>
      </x:c>
      <x:c r="C932" s="2" t="n">
        <x:v>0</x:v>
      </x:c>
      <x:c r="D932" s="2" t="n">
        <x:v>0</x:v>
      </x:c>
      <x:c r="E932" s="10" t="n">
        <x:v>83.46231884057971</x:v>
      </x:c>
      <x:c r="F932" s="11" t="n">
        <x:v>621</x:v>
      </x:c>
      <x:c r="G932" s="11" t="n">
        <x:v>0</x:v>
      </x:c>
      <x:c r="H932" s="11" t="n">
        <x:v>0</x:v>
      </x:c>
      <x:c r="I932" s="11" t="n">
        <x:v>0</x:v>
      </x:c>
      <x:c r="J932" s="11" t="n">
        <x:v>0</x:v>
      </x:c>
      <x:c r="K932" s="11" t="n">
        <x:v>1</x:v>
      </x:c>
      <x:c r="L932" s="11" t="n">
        <x:f>IF(B932="NED",1,IF(OR(B932="ED",B932="UN"),0,""))</x:f>
        <x:v>0</x:v>
      </x:c>
      <x:c r="M932" s="11" t="n">
        <x:f>IF(AND(K932=1,OR(B932="ED",B932="NED")),1,0)</x:f>
        <x:v>1</x:v>
      </x:c>
      <x:c r="N932" s="11" t="n">
        <x:f>IF(K932=1,1,0)</x:f>
        <x:v>1</x:v>
      </x:c>
      <x:c r="O932" s="12"/>
      <x:c r="P932" s="11" t="n">
        <x:v>0</x:v>
      </x:c>
      <x:c r="Q932" s="12" t="str">
        <x:v>AF-P54103-F1-model_v6</x:v>
      </x:c>
      <x:c r="R932" s="12" t="str">
        <x:v>ok</x:v>
      </x:c>
      <x:c r="S932" s="11" t="n">
        <x:v>548</x:v>
      </x:c>
      <x:c r="T932" s="11" t="n">
        <x:v>621</x:v>
      </x:c>
    </x:row>
    <x:row r="933" ht="23" customHeight="1">
      <x:c r="A933" s="2" t="str">
        <x:v>P54276</x:v>
      </x:c>
      <x:c r="B933" s="2" t="str">
        <x:v>NED</x:v>
      </x:c>
      <x:c r="C933" s="2" t="n">
        <x:v>1</x:v>
      </x:c>
      <x:c r="D933" s="2" t="n">
        <x:v>1</x:v>
      </x:c>
      <x:c r="E933" s="10" t="n">
        <x:v>75.70756995581738</x:v>
      </x:c>
      <x:c r="F933" s="11" t="n">
        <x:v>1358</x:v>
      </x:c>
      <x:c r="G933" s="11" t="n">
        <x:v>0</x:v>
      </x:c>
      <x:c r="H933" s="11" t="n">
        <x:v>0</x:v>
      </x:c>
      <x:c r="I933" s="11" t="n">
        <x:v>0</x:v>
      </x:c>
      <x:c r="J933" s="11" t="n">
        <x:v>0</x:v>
      </x:c>
      <x:c r="K933" s="11" t="n">
        <x:v>1</x:v>
      </x:c>
      <x:c r="L933" s="11" t="n">
        <x:f>IF(B933="NED",1,IF(OR(B933="ED",B933="UN"),0,""))</x:f>
        <x:v>1</x:v>
      </x:c>
      <x:c r="M933" s="11" t="n">
        <x:f>IF(AND(K933=1,OR(B933="ED",B933="NED")),1,0)</x:f>
        <x:v>1</x:v>
      </x:c>
      <x:c r="N933" s="11" t="n">
        <x:f>IF(K933=1,1,0)</x:f>
        <x:v>1</x:v>
      </x:c>
      <x:c r="O933" s="12"/>
      <x:c r="P933" s="11" t="n">
        <x:v>0</x:v>
      </x:c>
      <x:c r="Q933" s="12" t="str">
        <x:v>AF-P54276-F1-model_v6</x:v>
      </x:c>
      <x:c r="R933" s="12" t="str">
        <x:v>ok</x:v>
      </x:c>
      <x:c r="S933" s="11" t="n">
        <x:v>549</x:v>
      </x:c>
      <x:c r="T933" s="11" t="n">
        <x:v>1358</x:v>
      </x:c>
    </x:row>
    <x:row r="934" ht="23" customHeight="1">
      <x:c r="A934" s="2" t="str">
        <x:v>P54728</x:v>
      </x:c>
      <x:c r="B934" s="2" t="str">
        <x:v>ED</x:v>
      </x:c>
      <x:c r="C934" s="2" t="n">
        <x:v>0</x:v>
      </x:c>
      <x:c r="D934" s="2" t="n">
        <x:v>0</x:v>
      </x:c>
      <x:c r="E934" s="10" t="n">
        <x:v>67.29668269230768</x:v>
      </x:c>
      <x:c r="F934" s="11" t="n">
        <x:v>416</x:v>
      </x:c>
      <x:c r="G934" s="11" t="n">
        <x:v>0</x:v>
      </x:c>
      <x:c r="H934" s="11" t="n">
        <x:v>0</x:v>
      </x:c>
      <x:c r="I934" s="11" t="n">
        <x:v>0</x:v>
      </x:c>
      <x:c r="J934" s="11" t="n">
        <x:v>0</x:v>
      </x:c>
      <x:c r="K934" s="11" t="n">
        <x:v>0</x:v>
      </x:c>
      <x:c r="L934" s="11" t="n">
        <x:f>IF(B934="NED",1,IF(OR(B934="ED",B934="UN"),0,""))</x:f>
        <x:v>0</x:v>
      </x:c>
      <x:c r="M934" s="11" t="n">
        <x:f>IF(AND(K934=1,OR(B934="ED",B934="NED")),1,0)</x:f>
        <x:v>0</x:v>
      </x:c>
      <x:c r="N934" s="11" t="n">
        <x:f>IF(K934=1,1,0)</x:f>
        <x:v>0</x:v>
      </x:c>
      <x:c r="O934" s="12" t="str">
        <x:v>Retain protein mean pLDDT &gt;=70</x:v>
      </x:c>
      <x:c r="P934" s="11" t="n">
        <x:v>0</x:v>
      </x:c>
      <x:c r="Q934" s="12" t="str">
        <x:v>AF-P54728-F1-model_v6</x:v>
      </x:c>
      <x:c r="R934" s="12" t="str">
        <x:v>ok</x:v>
      </x:c>
      <x:c r="S934" s="11" t="n">
        <x:v>550</x:v>
      </x:c>
      <x:c r="T934" s="11" t="n">
        <x:v>416</x:v>
      </x:c>
    </x:row>
    <x:row r="935" ht="23" customHeight="1">
      <x:c r="A935" s="2" t="str">
        <x:v>P54729</x:v>
      </x:c>
      <x:c r="B935" s="2" t="str">
        <x:v>ED</x:v>
      </x:c>
      <x:c r="C935" s="2" t="n">
        <x:v>1</x:v>
      </x:c>
      <x:c r="D935" s="2" t="n">
        <x:v>1</x:v>
      </x:c>
      <x:c r="E935" s="10" t="n">
        <x:v>83.72058631921824</x:v>
      </x:c>
      <x:c r="F935" s="11" t="n">
        <x:v>614</x:v>
      </x:c>
      <x:c r="G935" s="11" t="n">
        <x:v>0</x:v>
      </x:c>
      <x:c r="H935" s="11" t="n">
        <x:v>0</x:v>
      </x:c>
      <x:c r="I935" s="11" t="n">
        <x:v>0</x:v>
      </x:c>
      <x:c r="J935" s="11" t="n">
        <x:v>0</x:v>
      </x:c>
      <x:c r="K935" s="11" t="n">
        <x:v>1</x:v>
      </x:c>
      <x:c r="L935" s="11" t="n">
        <x:f>IF(B935="NED",1,IF(OR(B935="ED",B935="UN"),0,""))</x:f>
        <x:v>0</x:v>
      </x:c>
      <x:c r="M935" s="11" t="n">
        <x:f>IF(AND(K935=1,OR(B935="ED",B935="NED")),1,0)</x:f>
        <x:v>1</x:v>
      </x:c>
      <x:c r="N935" s="11" t="n">
        <x:f>IF(K935=1,1,0)</x:f>
        <x:v>1</x:v>
      </x:c>
      <x:c r="O935" s="12"/>
      <x:c r="P935" s="11" t="n">
        <x:v>0</x:v>
      </x:c>
      <x:c r="Q935" s="12" t="str">
        <x:v>AF-P54729-F1-model_v6</x:v>
      </x:c>
      <x:c r="R935" s="12" t="str">
        <x:v>ok</x:v>
      </x:c>
      <x:c r="S935" s="11" t="n">
        <x:v>551</x:v>
      </x:c>
      <x:c r="T935" s="11" t="n">
        <x:v>614</x:v>
      </x:c>
    </x:row>
    <x:row r="936" ht="23" customHeight="1">
      <x:c r="A936" s="2" t="str">
        <x:v>P54731</x:v>
      </x:c>
      <x:c r="B936" s="2" t="str">
        <x:v>ED</x:v>
      </x:c>
      <x:c r="C936" s="2" t="n">
        <x:v>1</x:v>
      </x:c>
      <x:c r="D936" s="2" t="n">
        <x:v>1</x:v>
      </x:c>
      <x:c r="E936" s="10" t="n">
        <x:v>77.67625577812018</x:v>
      </x:c>
      <x:c r="F936" s="11" t="n">
        <x:v>649</x:v>
      </x:c>
      <x:c r="G936" s="11" t="n">
        <x:v>0</x:v>
      </x:c>
      <x:c r="H936" s="11" t="n">
        <x:v>0</x:v>
      </x:c>
      <x:c r="I936" s="11" t="n">
        <x:v>0</x:v>
      </x:c>
      <x:c r="J936" s="11" t="n">
        <x:v>0</x:v>
      </x:c>
      <x:c r="K936" s="11" t="n">
        <x:v>1</x:v>
      </x:c>
      <x:c r="L936" s="11" t="n">
        <x:f>IF(B936="NED",1,IF(OR(B936="ED",B936="UN"),0,""))</x:f>
        <x:v>0</x:v>
      </x:c>
      <x:c r="M936" s="11" t="n">
        <x:f>IF(AND(K936=1,OR(B936="ED",B936="NED")),1,0)</x:f>
        <x:v>1</x:v>
      </x:c>
      <x:c r="N936" s="11" t="n">
        <x:f>IF(K936=1,1,0)</x:f>
        <x:v>1</x:v>
      </x:c>
      <x:c r="O936" s="12"/>
      <x:c r="P936" s="11" t="n">
        <x:v>0</x:v>
      </x:c>
      <x:c r="Q936" s="12" t="str">
        <x:v>AF-P54731-F1-model_v6</x:v>
      </x:c>
      <x:c r="R936" s="12" t="str">
        <x:v>ok</x:v>
      </x:c>
      <x:c r="S936" s="11" t="n">
        <x:v>552</x:v>
      </x:c>
      <x:c r="T936" s="11" t="n">
        <x:v>649</x:v>
      </x:c>
    </x:row>
    <x:row r="937" ht="23" customHeight="1">
      <x:c r="A937" s="2" t="str">
        <x:v>P54775</x:v>
      </x:c>
      <x:c r="B937" s="2" t="str">
        <x:v>UN</x:v>
      </x:c>
      <x:c r="C937" s="2" t="n">
        <x:v>1</x:v>
      </x:c>
      <x:c r="D937" s="2" t="n">
        <x:v>1</x:v>
      </x:c>
      <x:c r="E937" s="10" t="n">
        <x:v>81.78232057416268</x:v>
      </x:c>
      <x:c r="F937" s="11" t="n">
        <x:v>418</x:v>
      </x:c>
      <x:c r="G937" s="11" t="n">
        <x:v>0</x:v>
      </x:c>
      <x:c r="H937" s="11" t="n">
        <x:v>0</x:v>
      </x:c>
      <x:c r="I937" s="11" t="n">
        <x:v>0</x:v>
      </x:c>
      <x:c r="J937" s="11" t="n">
        <x:v>0</x:v>
      </x:c>
      <x:c r="K937" s="11" t="n">
        <x:v>1</x:v>
      </x:c>
      <x:c r="L937" s="11" t="n">
        <x:f>IF(B937="NED",1,IF(OR(B937="ED",B937="UN"),0,""))</x:f>
        <x:v>0</x:v>
      </x:c>
      <x:c r="M937" s="11" t="n">
        <x:f>IF(AND(K937=1,OR(B937="ED",B937="NED")),1,0)</x:f>
        <x:v>0</x:v>
      </x:c>
      <x:c r="N937" s="11" t="n">
        <x:f>IF(K937=1,1,0)</x:f>
        <x:v>1</x:v>
      </x:c>
      <x:c r="O937" s="12"/>
      <x:c r="P937" s="11" t="n">
        <x:v>0</x:v>
      </x:c>
      <x:c r="Q937" s="12" t="str">
        <x:v>AF-P54775-F1-model_v6</x:v>
      </x:c>
      <x:c r="R937" s="12" t="str">
        <x:v>ok</x:v>
      </x:c>
      <x:c r="S937" s="11" t="n">
        <x:v>553</x:v>
      </x:c>
      <x:c r="T937" s="11" t="n">
        <x:v>418</x:v>
      </x:c>
    </x:row>
    <x:row r="938" ht="23" customHeight="1">
      <x:c r="A938" s="2" t="str">
        <x:v>P54822</x:v>
      </x:c>
      <x:c r="B938" s="2" t="str">
        <x:v>ED</x:v>
      </x:c>
      <x:c r="C938" s="2" t="n">
        <x:v>1</x:v>
      </x:c>
      <x:c r="D938" s="2" t="n">
        <x:v>1</x:v>
      </x:c>
      <x:c r="E938" s="10" t="n">
        <x:v>96.30723140495869</x:v>
      </x:c>
      <x:c r="F938" s="11" t="n">
        <x:v>484</x:v>
      </x:c>
      <x:c r="G938" s="11" t="n">
        <x:v>0</x:v>
      </x:c>
      <x:c r="H938" s="11" t="n">
        <x:v>0</x:v>
      </x:c>
      <x:c r="I938" s="11" t="n">
        <x:v>0</x:v>
      </x:c>
      <x:c r="J938" s="11" t="n">
        <x:v>0</x:v>
      </x:c>
      <x:c r="K938" s="11" t="n">
        <x:v>1</x:v>
      </x:c>
      <x:c r="L938" s="11" t="n">
        <x:f>IF(B938="NED",1,IF(OR(B938="ED",B938="UN"),0,""))</x:f>
        <x:v>0</x:v>
      </x:c>
      <x:c r="M938" s="11" t="n">
        <x:f>IF(AND(K938=1,OR(B938="ED",B938="NED")),1,0)</x:f>
        <x:v>1</x:v>
      </x:c>
      <x:c r="N938" s="11" t="n">
        <x:f>IF(K938=1,1,0)</x:f>
        <x:v>1</x:v>
      </x:c>
      <x:c r="O938" s="12"/>
      <x:c r="P938" s="11" t="n">
        <x:v>0</x:v>
      </x:c>
      <x:c r="Q938" s="12" t="str">
        <x:v>AF-P54822-F1-model_v6</x:v>
      </x:c>
      <x:c r="R938" s="12" t="str">
        <x:v>ok</x:v>
      </x:c>
      <x:c r="S938" s="11" t="n">
        <x:v>554</x:v>
      </x:c>
      <x:c r="T938" s="11" t="n">
        <x:v>484</x:v>
      </x:c>
    </x:row>
    <x:row r="939" ht="23" customHeight="1">
      <x:c r="A939" s="2" t="str">
        <x:v>P54823</x:v>
      </x:c>
      <x:c r="B939" s="2" t="str">
        <x:v>ED</x:v>
      </x:c>
      <x:c r="C939" s="2" t="n">
        <x:v>1</x:v>
      </x:c>
      <x:c r="D939" s="2" t="n">
        <x:v>1</x:v>
      </x:c>
      <x:c r="E939" s="10" t="n">
        <x:v>83.54581780538302</x:v>
      </x:c>
      <x:c r="F939" s="11" t="n">
        <x:v>483</x:v>
      </x:c>
      <x:c r="G939" s="11" t="n">
        <x:v>0</x:v>
      </x:c>
      <x:c r="H939" s="11" t="n">
        <x:v>0</x:v>
      </x:c>
      <x:c r="I939" s="11" t="n">
        <x:v>0</x:v>
      </x:c>
      <x:c r="J939" s="11" t="n">
        <x:v>0</x:v>
      </x:c>
      <x:c r="K939" s="11" t="n">
        <x:v>1</x:v>
      </x:c>
      <x:c r="L939" s="11" t="n">
        <x:f>IF(B939="NED",1,IF(OR(B939="ED",B939="UN"),0,""))</x:f>
        <x:v>0</x:v>
      </x:c>
      <x:c r="M939" s="11" t="n">
        <x:f>IF(AND(K939=1,OR(B939="ED",B939="NED")),1,0)</x:f>
        <x:v>1</x:v>
      </x:c>
      <x:c r="N939" s="11" t="n">
        <x:f>IF(K939=1,1,0)</x:f>
        <x:v>1</x:v>
      </x:c>
      <x:c r="O939" s="12"/>
      <x:c r="P939" s="11" t="n">
        <x:v>0</x:v>
      </x:c>
      <x:c r="Q939" s="12" t="str">
        <x:v>AF-P54823-F1-model_v6</x:v>
      </x:c>
      <x:c r="R939" s="12" t="str">
        <x:v>ok</x:v>
      </x:c>
      <x:c r="S939" s="11" t="n">
        <x:v>555</x:v>
      </x:c>
      <x:c r="T939" s="11" t="n">
        <x:v>483</x:v>
      </x:c>
    </x:row>
    <x:row r="940" ht="23" customHeight="1">
      <x:c r="A940" s="2" t="str">
        <x:v>P55096</x:v>
      </x:c>
      <x:c r="B940" s="2" t="str">
        <x:v>UN</x:v>
      </x:c>
      <x:c r="C940" s="2" t="n">
        <x:v>1</x:v>
      </x:c>
      <x:c r="D940" s="2" t="n">
        <x:v>1</x:v>
      </x:c>
      <x:c r="E940" s="10"/>
      <x:c r="F940" s="11" t="n">
        <x:v>659</x:v>
      </x:c>
      <x:c r="G940" s="11" t="n">
        <x:v>0</x:v>
      </x:c>
      <x:c r="H940" s="11" t="n">
        <x:v>0</x:v>
      </x:c>
      <x:c r="I940" s="11" t="n">
        <x:v>1</x:v>
      </x:c>
      <x:c r="J940" s="11" t="n">
        <x:v>0</x:v>
      </x:c>
      <x:c r="K940" s="11" t="n">
        <x:v>0</x:v>
      </x:c>
      <x:c r="L940" s="11" t="n">
        <x:f>IF(B940="NED",1,IF(OR(B940="ED",B940="UN"),0,""))</x:f>
        <x:v>0</x:v>
      </x:c>
      <x:c r="M940" s="11" t="n">
        <x:f>IF(AND(K940=1,OR(B940="ED",B940="NED")),1,0)</x:f>
        <x:v>0</x:v>
      </x:c>
      <x:c r="N940" s="11" t="n">
        <x:f>IF(K940=1,1,0)</x:f>
        <x:v>0</x:v>
      </x:c>
      <x:c r="O940" s="12" t="str">
        <x:v>Exclude UniProt Membrane keyword</x:v>
      </x:c>
      <x:c r="P940" s="11" t="n">
        <x:v>0</x:v>
      </x:c>
      <x:c r="Q940" s="12" t="str">
        <x:v>AF-P55096-F1-model_v6</x:v>
      </x:c>
      <x:c r="R940" s="12" t="str">
        <x:v>ok</x:v>
      </x:c>
      <x:c r="S940" s="11" t="n">
        <x:v>556</x:v>
      </x:c>
      <x:c r="T940" s="11" t="n">
        <x:v>659</x:v>
      </x:c>
    </x:row>
    <x:row r="941" ht="23" customHeight="1">
      <x:c r="A941" s="2" t="str">
        <x:v>P55200-2</x:v>
      </x:c>
      <x:c r="B941" s="2" t="str">
        <x:v>ED</x:v>
      </x:c>
      <x:c r="C941" s="2"/>
      <x:c r="D941" s="2"/>
      <x:c r="E941" s="10"/>
      <x:c r="F941" s="11"/>
      <x:c r="G941" s="11" t="n">
        <x:v>0</x:v>
      </x:c>
      <x:c r="H941" s="11" t="n">
        <x:v>0</x:v>
      </x:c>
      <x:c r="I941" s="11"/>
      <x:c r="J941" s="11"/>
      <x:c r="K941" s="11" t="n">
        <x:v>0</x:v>
      </x:c>
      <x:c r="L941" s="11" t="n">
        <x:f>IF(B941="NED",1,IF(OR(B941="ED",B941="UN"),0,""))</x:f>
        <x:v>0</x:v>
      </x:c>
      <x:c r="M941" s="11" t="n">
        <x:f>IF(AND(K941=1,OR(B941="ED",B941="NED")),1,0)</x:f>
        <x:v>0</x:v>
      </x:c>
      <x:c r="N941" s="11" t="n">
        <x:f>IF(K941=1,1,0)</x:f>
        <x:v>0</x:v>
      </x:c>
      <x:c r="O941" s="12" t="str">
        <x:v>Require exact native accession match</x:v>
      </x:c>
      <x:c r="P941" s="11" t="n">
        <x:v>0</x:v>
      </x:c>
      <x:c r="Q941" s="12"/>
      <x:c r="R941" s="12"/>
      <x:c r="S941" s="11" t="n">
        <x:v>557</x:v>
      </x:c>
      <x:c r="T941" s="11"/>
    </x:row>
    <x:row r="942" ht="23" customHeight="1">
      <x:c r="A942" s="2" t="str">
        <x:v>P55258</x:v>
      </x:c>
      <x:c r="B942" s="2" t="str">
        <x:v>ED</x:v>
      </x:c>
      <x:c r="C942" s="2" t="n">
        <x:v>1</x:v>
      </x:c>
      <x:c r="D942" s="2" t="n">
        <x:v>1</x:v>
      </x:c>
      <x:c r="E942" s="10"/>
      <x:c r="F942" s="11" t="n">
        <x:v>207</x:v>
      </x:c>
      <x:c r="G942" s="11" t="n">
        <x:v>0</x:v>
      </x:c>
      <x:c r="H942" s="11" t="n">
        <x:v>0</x:v>
      </x:c>
      <x:c r="I942" s="11" t="n">
        <x:v>1</x:v>
      </x:c>
      <x:c r="J942" s="11" t="n">
        <x:v>0</x:v>
      </x:c>
      <x:c r="K942" s="11" t="n">
        <x:v>0</x:v>
      </x:c>
      <x:c r="L942" s="11" t="n">
        <x:f>IF(B942="NED",1,IF(OR(B942="ED",B942="UN"),0,""))</x:f>
        <x:v>0</x:v>
      </x:c>
      <x:c r="M942" s="11" t="n">
        <x:f>IF(AND(K942=1,OR(B942="ED",B942="NED")),1,0)</x:f>
        <x:v>0</x:v>
      </x:c>
      <x:c r="N942" s="11" t="n">
        <x:f>IF(K942=1,1,0)</x:f>
        <x:v>0</x:v>
      </x:c>
      <x:c r="O942" s="12" t="str">
        <x:v>Exclude UniProt Membrane keyword</x:v>
      </x:c>
      <x:c r="P942" s="11" t="n">
        <x:v>0</x:v>
      </x:c>
      <x:c r="Q942" s="12" t="str">
        <x:v>AF-P55258-F1-model_v6</x:v>
      </x:c>
      <x:c r="R942" s="12" t="str">
        <x:v>ok</x:v>
      </x:c>
      <x:c r="S942" s="11" t="n">
        <x:v>558</x:v>
      </x:c>
      <x:c r="T942" s="11" t="n">
        <x:v>207</x:v>
      </x:c>
    </x:row>
    <x:row r="943" ht="23" customHeight="1">
      <x:c r="A943" s="2" t="str">
        <x:v>P55264-2</x:v>
      </x:c>
      <x:c r="B943" s="2" t="str">
        <x:v>UN</x:v>
      </x:c>
      <x:c r="C943" s="2"/>
      <x:c r="D943" s="2"/>
      <x:c r="E943" s="10"/>
      <x:c r="F943" s="11"/>
      <x:c r="G943" s="11" t="n">
        <x:v>0</x:v>
      </x:c>
      <x:c r="H943" s="11" t="n">
        <x:v>0</x:v>
      </x:c>
      <x:c r="I943" s="11"/>
      <x:c r="J943" s="11"/>
      <x:c r="K943" s="11" t="n">
        <x:v>0</x:v>
      </x:c>
      <x:c r="L943" s="11" t="n">
        <x:f>IF(B943="NED",1,IF(OR(B943="ED",B943="UN"),0,""))</x:f>
        <x:v>0</x:v>
      </x:c>
      <x:c r="M943" s="11" t="n">
        <x:f>IF(AND(K943=1,OR(B943="ED",B943="NED")),1,0)</x:f>
        <x:v>0</x:v>
      </x:c>
      <x:c r="N943" s="11" t="n">
        <x:f>IF(K943=1,1,0)</x:f>
        <x:v>0</x:v>
      </x:c>
      <x:c r="O943" s="12" t="str">
        <x:v>Require exact native accession match</x:v>
      </x:c>
      <x:c r="P943" s="11" t="n">
        <x:v>0</x:v>
      </x:c>
      <x:c r="Q943" s="12"/>
      <x:c r="R943" s="12"/>
      <x:c r="S943" s="11" t="n">
        <x:v>559</x:v>
      </x:c>
      <x:c r="T943" s="11"/>
    </x:row>
    <x:row r="944" ht="23" customHeight="1">
      <x:c r="A944" s="2" t="str">
        <x:v>P55271</x:v>
      </x:c>
      <x:c r="B944" s="2" t="str">
        <x:v>ED</x:v>
      </x:c>
      <x:c r="C944" s="2" t="n">
        <x:v>0</x:v>
      </x:c>
      <x:c r="D944" s="2" t="n">
        <x:v>0</x:v>
      </x:c>
      <x:c r="E944" s="10" t="n">
        <x:v>91.58046153846152</x:v>
      </x:c>
      <x:c r="F944" s="11" t="n">
        <x:v>130</x:v>
      </x:c>
      <x:c r="G944" s="11" t="n">
        <x:v>0</x:v>
      </x:c>
      <x:c r="H944" s="11" t="n">
        <x:v>0</x:v>
      </x:c>
      <x:c r="I944" s="11" t="n">
        <x:v>0</x:v>
      </x:c>
      <x:c r="J944" s="11" t="n">
        <x:v>0</x:v>
      </x:c>
      <x:c r="K944" s="11" t="n">
        <x:v>1</x:v>
      </x:c>
      <x:c r="L944" s="11" t="n">
        <x:f>IF(B944="NED",1,IF(OR(B944="ED",B944="UN"),0,""))</x:f>
        <x:v>0</x:v>
      </x:c>
      <x:c r="M944" s="11" t="n">
        <x:f>IF(AND(K944=1,OR(B944="ED",B944="NED")),1,0)</x:f>
        <x:v>1</x:v>
      </x:c>
      <x:c r="N944" s="11" t="n">
        <x:f>IF(K944=1,1,0)</x:f>
        <x:v>1</x:v>
      </x:c>
      <x:c r="O944" s="12"/>
      <x:c r="P944" s="11" t="n">
        <x:v>0</x:v>
      </x:c>
      <x:c r="Q944" s="12" t="str">
        <x:v>AF-P55271-F1-model_v6</x:v>
      </x:c>
      <x:c r="R944" s="12" t="str">
        <x:v>ok</x:v>
      </x:c>
      <x:c r="S944" s="11" t="n">
        <x:v>560</x:v>
      </x:c>
      <x:c r="T944" s="11" t="n">
        <x:v>130</x:v>
      </x:c>
    </x:row>
    <x:row r="945" ht="23" customHeight="1">
      <x:c r="A945" s="2" t="str">
        <x:v>P55302</x:v>
      </x:c>
      <x:c r="B945" s="2" t="str">
        <x:v>UN</x:v>
      </x:c>
      <x:c r="C945" s="2" t="n">
        <x:v>0</x:v>
      </x:c>
      <x:c r="D945" s="2" t="n">
        <x:v>0</x:v>
      </x:c>
      <x:c r="E945" s="10" t="n">
        <x:v>75.02908333333333</x:v>
      </x:c>
      <x:c r="F945" s="11" t="n">
        <x:v>360</x:v>
      </x:c>
      <x:c r="G945" s="11" t="n">
        <x:v>0</x:v>
      </x:c>
      <x:c r="H945" s="11" t="n">
        <x:v>0</x:v>
      </x:c>
      <x:c r="I945" s="11" t="n">
        <x:v>0</x:v>
      </x:c>
      <x:c r="J945" s="11" t="n">
        <x:v>0</x:v>
      </x:c>
      <x:c r="K945" s="11" t="n">
        <x:v>1</x:v>
      </x:c>
      <x:c r="L945" s="11" t="n">
        <x:f>IF(B945="NED",1,IF(OR(B945="ED",B945="UN"),0,""))</x:f>
        <x:v>0</x:v>
      </x:c>
      <x:c r="M945" s="11" t="n">
        <x:f>IF(AND(K945=1,OR(B945="ED",B945="NED")),1,0)</x:f>
        <x:v>0</x:v>
      </x:c>
      <x:c r="N945" s="11" t="n">
        <x:f>IF(K945=1,1,0)</x:f>
        <x:v>1</x:v>
      </x:c>
      <x:c r="O945" s="12"/>
      <x:c r="P945" s="11" t="n">
        <x:v>0</x:v>
      </x:c>
      <x:c r="Q945" s="12" t="str">
        <x:v>AF-P55302-F1-model_v6</x:v>
      </x:c>
      <x:c r="R945" s="12" t="str">
        <x:v>ok</x:v>
      </x:c>
      <x:c r="S945" s="11" t="n">
        <x:v>561</x:v>
      </x:c>
      <x:c r="T945" s="11" t="n">
        <x:v>360</x:v>
      </x:c>
    </x:row>
    <x:row r="946" ht="23" customHeight="1">
      <x:c r="A946" s="2" t="str">
        <x:v>P55937-1</x:v>
      </x:c>
      <x:c r="B946" s="2" t="str">
        <x:v>ED</x:v>
      </x:c>
      <x:c r="C946" s="2"/>
      <x:c r="D946" s="2"/>
      <x:c r="E946" s="10"/>
      <x:c r="F946" s="11"/>
      <x:c r="G946" s="11" t="n">
        <x:v>0</x:v>
      </x:c>
      <x:c r="H946" s="11" t="n">
        <x:v>0</x:v>
      </x:c>
      <x:c r="I946" s="11"/>
      <x:c r="J946" s="11"/>
      <x:c r="K946" s="11" t="n">
        <x:v>0</x:v>
      </x:c>
      <x:c r="L946" s="11" t="n">
        <x:f>IF(B946="NED",1,IF(OR(B946="ED",B946="UN"),0,""))</x:f>
        <x:v>0</x:v>
      </x:c>
      <x:c r="M946" s="11" t="n">
        <x:f>IF(AND(K946=1,OR(B946="ED",B946="NED")),1,0)</x:f>
        <x:v>0</x:v>
      </x:c>
      <x:c r="N946" s="11" t="n">
        <x:f>IF(K946=1,1,0)</x:f>
        <x:v>0</x:v>
      </x:c>
      <x:c r="O946" s="12" t="str">
        <x:v>Require exact native accession match</x:v>
      </x:c>
      <x:c r="P946" s="11" t="n">
        <x:v>0</x:v>
      </x:c>
      <x:c r="Q946" s="12"/>
      <x:c r="R946" s="12"/>
      <x:c r="S946" s="11" t="n">
        <x:v>562</x:v>
      </x:c>
      <x:c r="T946" s="11"/>
    </x:row>
    <x:row r="947" ht="23" customHeight="1">
      <x:c r="A947" s="2" t="str">
        <x:v>P56135</x:v>
      </x:c>
      <x:c r="B947" s="2" t="str">
        <x:v>NED</x:v>
      </x:c>
      <x:c r="C947" s="2" t="n">
        <x:v>0</x:v>
      </x:c>
      <x:c r="D947" s="2" t="n">
        <x:v>0</x:v>
      </x:c>
      <x:c r="E947" s="10"/>
      <x:c r="F947" s="11" t="n">
        <x:v>88</x:v>
      </x:c>
      <x:c r="G947" s="11" t="n">
        <x:v>0</x:v>
      </x:c>
      <x:c r="H947" s="11" t="n">
        <x:v>0</x:v>
      </x:c>
      <x:c r="I947" s="11" t="n">
        <x:v>1</x:v>
      </x:c>
      <x:c r="J947" s="11" t="n">
        <x:v>0</x:v>
      </x:c>
      <x:c r="K947" s="11" t="n">
        <x:v>0</x:v>
      </x:c>
      <x:c r="L947" s="11" t="n">
        <x:f>IF(B947="NED",1,IF(OR(B947="ED",B947="UN"),0,""))</x:f>
        <x:v>1</x:v>
      </x:c>
      <x:c r="M947" s="11" t="n">
        <x:f>IF(AND(K947=1,OR(B947="ED",B947="NED")),1,0)</x:f>
        <x:v>0</x:v>
      </x:c>
      <x:c r="N947" s="11" t="n">
        <x:f>IF(K947=1,1,0)</x:f>
        <x:v>0</x:v>
      </x:c>
      <x:c r="O947" s="12" t="str">
        <x:v>Exclude UniProt Membrane keyword</x:v>
      </x:c>
      <x:c r="P947" s="11" t="n">
        <x:v>0</x:v>
      </x:c>
      <x:c r="Q947" s="12" t="str">
        <x:v>AF-P56135-F1-model_v6</x:v>
      </x:c>
      <x:c r="R947" s="12" t="str">
        <x:v>ok</x:v>
      </x:c>
      <x:c r="S947" s="11" t="n">
        <x:v>563</x:v>
      </x:c>
      <x:c r="T947" s="11" t="n">
        <x:v>88</x:v>
      </x:c>
    </x:row>
    <x:row r="948" ht="23" customHeight="1">
      <x:c r="A948" s="2" t="str">
        <x:v>P56183-3</x:v>
      </x:c>
      <x:c r="B948" s="2" t="str">
        <x:v>ED</x:v>
      </x:c>
      <x:c r="C948" s="2"/>
      <x:c r="D948" s="2"/>
      <x:c r="E948" s="10"/>
      <x:c r="F948" s="11"/>
      <x:c r="G948" s="11" t="n">
        <x:v>0</x:v>
      </x:c>
      <x:c r="H948" s="11" t="n">
        <x:v>0</x:v>
      </x:c>
      <x:c r="I948" s="11"/>
      <x:c r="J948" s="11"/>
      <x:c r="K948" s="11" t="n">
        <x:v>0</x:v>
      </x:c>
      <x:c r="L948" s="11" t="n">
        <x:f>IF(B948="NED",1,IF(OR(B948="ED",B948="UN"),0,""))</x:f>
        <x:v>0</x:v>
      </x:c>
      <x:c r="M948" s="11" t="n">
        <x:f>IF(AND(K948=1,OR(B948="ED",B948="NED")),1,0)</x:f>
        <x:v>0</x:v>
      </x:c>
      <x:c r="N948" s="11" t="n">
        <x:f>IF(K948=1,1,0)</x:f>
        <x:v>0</x:v>
      </x:c>
      <x:c r="O948" s="12" t="str">
        <x:v>Require exact native accession match</x:v>
      </x:c>
      <x:c r="P948" s="11" t="n">
        <x:v>0</x:v>
      </x:c>
      <x:c r="Q948" s="12"/>
      <x:c r="R948" s="12"/>
      <x:c r="S948" s="11" t="n">
        <x:v>564</x:v>
      </x:c>
      <x:c r="T948" s="11"/>
    </x:row>
    <x:row r="949" ht="23" customHeight="1">
      <x:c r="A949" s="2" t="str">
        <x:v>P56212-2</x:v>
      </x:c>
      <x:c r="B949" s="2" t="str">
        <x:v>ED</x:v>
      </x:c>
      <x:c r="C949" s="2"/>
      <x:c r="D949" s="2"/>
      <x:c r="E949" s="10"/>
      <x:c r="F949" s="11"/>
      <x:c r="G949" s="11" t="n">
        <x:v>0</x:v>
      </x:c>
      <x:c r="H949" s="11" t="n">
        <x:v>0</x:v>
      </x:c>
      <x:c r="I949" s="11"/>
      <x:c r="J949" s="11"/>
      <x:c r="K949" s="11" t="n">
        <x:v>0</x:v>
      </x:c>
      <x:c r="L949" s="11" t="n">
        <x:f>IF(B949="NED",1,IF(OR(B949="ED",B949="UN"),0,""))</x:f>
        <x:v>0</x:v>
      </x:c>
      <x:c r="M949" s="11" t="n">
        <x:f>IF(AND(K949=1,OR(B949="ED",B949="NED")),1,0)</x:f>
        <x:v>0</x:v>
      </x:c>
      <x:c r="N949" s="11" t="n">
        <x:f>IF(K949=1,1,0)</x:f>
        <x:v>0</x:v>
      </x:c>
      <x:c r="O949" s="12" t="str">
        <x:v>Require exact native accession match</x:v>
      </x:c>
      <x:c r="P949" s="11" t="n">
        <x:v>0</x:v>
      </x:c>
      <x:c r="Q949" s="12"/>
      <x:c r="R949" s="12"/>
      <x:c r="S949" s="11" t="n">
        <x:v>565</x:v>
      </x:c>
      <x:c r="T949" s="11"/>
    </x:row>
    <x:row r="950" ht="23" customHeight="1">
      <x:c r="A950" s="2" t="str">
        <x:v>P56213</x:v>
      </x:c>
      <x:c r="B950" s="2" t="str">
        <x:v>UN</x:v>
      </x:c>
      <x:c r="C950" s="2" t="n">
        <x:v>0</x:v>
      </x:c>
      <x:c r="D950" s="2" t="n">
        <x:v>0</x:v>
      </x:c>
      <x:c r="E950" s="10" t="n">
        <x:v>77.70681818181818</x:v>
      </x:c>
      <x:c r="F950" s="11" t="n">
        <x:v>198</x:v>
      </x:c>
      <x:c r="G950" s="11" t="n">
        <x:v>0</x:v>
      </x:c>
      <x:c r="H950" s="11" t="n">
        <x:v>0</x:v>
      </x:c>
      <x:c r="I950" s="11" t="n">
        <x:v>0</x:v>
      </x:c>
      <x:c r="J950" s="11" t="n">
        <x:v>0</x:v>
      </x:c>
      <x:c r="K950" s="11" t="n">
        <x:v>1</x:v>
      </x:c>
      <x:c r="L950" s="11" t="n">
        <x:f>IF(B950="NED",1,IF(OR(B950="ED",B950="UN"),0,""))</x:f>
        <x:v>0</x:v>
      </x:c>
      <x:c r="M950" s="11" t="n">
        <x:f>IF(AND(K950=1,OR(B950="ED",B950="NED")),1,0)</x:f>
        <x:v>0</x:v>
      </x:c>
      <x:c r="N950" s="11" t="n">
        <x:f>IF(K950=1,1,0)</x:f>
        <x:v>1</x:v>
      </x:c>
      <x:c r="O950" s="12"/>
      <x:c r="P950" s="11" t="n">
        <x:v>0</x:v>
      </x:c>
      <x:c r="Q950" s="12" t="str">
        <x:v>AF-P56213-F1-model_v6</x:v>
      </x:c>
      <x:c r="R950" s="12" t="str">
        <x:v>ok</x:v>
      </x:c>
      <x:c r="S950" s="11" t="n">
        <x:v>566</x:v>
      </x:c>
      <x:c r="T950" s="11" t="n">
        <x:v>198</x:v>
      </x:c>
    </x:row>
    <x:row r="951" ht="23" customHeight="1">
      <x:c r="A951" s="2" t="str">
        <x:v>P56390</x:v>
      </x:c>
      <x:c r="B951" s="2" t="str">
        <x:v>NED</x:v>
      </x:c>
      <x:c r="C951" s="2" t="n">
        <x:v>0</x:v>
      </x:c>
      <x:c r="D951" s="2" t="n">
        <x:v>0</x:v>
      </x:c>
      <x:c r="E951" s="10" t="n">
        <x:v>92.4293670886076</x:v>
      </x:c>
      <x:c r="F951" s="11" t="n">
        <x:v>79</x:v>
      </x:c>
      <x:c r="G951" s="11" t="n">
        <x:v>0</x:v>
      </x:c>
      <x:c r="H951" s="11" t="n">
        <x:v>0</x:v>
      </x:c>
      <x:c r="I951" s="11" t="n">
        <x:v>0</x:v>
      </x:c>
      <x:c r="J951" s="11" t="n">
        <x:v>0</x:v>
      </x:c>
      <x:c r="K951" s="11" t="n">
        <x:v>1</x:v>
      </x:c>
      <x:c r="L951" s="11" t="n">
        <x:f>IF(B951="NED",1,IF(OR(B951="ED",B951="UN"),0,""))</x:f>
        <x:v>1</x:v>
      </x:c>
      <x:c r="M951" s="11" t="n">
        <x:f>IF(AND(K951=1,OR(B951="ED",B951="NED")),1,0)</x:f>
        <x:v>1</x:v>
      </x:c>
      <x:c r="N951" s="11" t="n">
        <x:f>IF(K951=1,1,0)</x:f>
        <x:v>1</x:v>
      </x:c>
      <x:c r="O951" s="12"/>
      <x:c r="P951" s="11" t="n">
        <x:v>0</x:v>
      </x:c>
      <x:c r="Q951" s="12" t="str">
        <x:v>AF-P56390-F1-model_v6</x:v>
      </x:c>
      <x:c r="R951" s="12" t="str">
        <x:v>ok</x:v>
      </x:c>
      <x:c r="S951" s="11" t="n">
        <x:v>567</x:v>
      </x:c>
      <x:c r="T951" s="11" t="n">
        <x:v>79</x:v>
      </x:c>
    </x:row>
    <x:row r="952" ht="23" customHeight="1">
      <x:c r="A952" s="2" t="str">
        <x:v>P56391</x:v>
      </x:c>
      <x:c r="B952" s="2" t="str">
        <x:v>NED</x:v>
      </x:c>
      <x:c r="C952" s="2" t="n">
        <x:v>0</x:v>
      </x:c>
      <x:c r="D952" s="2" t="n">
        <x:v>0</x:v>
      </x:c>
      <x:c r="E952" s="10"/>
      <x:c r="F952" s="11" t="n">
        <x:v>86</x:v>
      </x:c>
      <x:c r="G952" s="11" t="n">
        <x:v>0</x:v>
      </x:c>
      <x:c r="H952" s="11" t="n">
        <x:v>0</x:v>
      </x:c>
      <x:c r="I952" s="11" t="n">
        <x:v>1</x:v>
      </x:c>
      <x:c r="J952" s="11" t="n">
        <x:v>0</x:v>
      </x:c>
      <x:c r="K952" s="11" t="n">
        <x:v>0</x:v>
      </x:c>
      <x:c r="L952" s="11" t="n">
        <x:f>IF(B952="NED",1,IF(OR(B952="ED",B952="UN"),0,""))</x:f>
        <x:v>1</x:v>
      </x:c>
      <x:c r="M952" s="11" t="n">
        <x:f>IF(AND(K952=1,OR(B952="ED",B952="NED")),1,0)</x:f>
        <x:v>0</x:v>
      </x:c>
      <x:c r="N952" s="11" t="n">
        <x:f>IF(K952=1,1,0)</x:f>
        <x:v>0</x:v>
      </x:c>
      <x:c r="O952" s="12" t="str">
        <x:v>Exclude UniProt Membrane keyword</x:v>
      </x:c>
      <x:c r="P952" s="11" t="n">
        <x:v>0</x:v>
      </x:c>
      <x:c r="Q952" s="12" t="str">
        <x:v>AF-P56391-F1-model_v6</x:v>
      </x:c>
      <x:c r="R952" s="12" t="str">
        <x:v>ok</x:v>
      </x:c>
      <x:c r="S952" s="11" t="n">
        <x:v>568</x:v>
      </x:c>
      <x:c r="T952" s="11" t="n">
        <x:v>86</x:v>
      </x:c>
    </x:row>
    <x:row r="953" ht="23" customHeight="1">
      <x:c r="A953" s="2" t="str">
        <x:v>P56480</x:v>
      </x:c>
      <x:c r="B953" s="2" t="str">
        <x:v>NED</x:v>
      </x:c>
      <x:c r="C953" s="2" t="n">
        <x:v>1</x:v>
      </x:c>
      <x:c r="D953" s="2" t="n">
        <x:v>1</x:v>
      </x:c>
      <x:c r="E953" s="10"/>
      <x:c r="F953" s="11" t="n">
        <x:v>529</x:v>
      </x:c>
      <x:c r="G953" s="11" t="n">
        <x:v>0</x:v>
      </x:c>
      <x:c r="H953" s="11" t="n">
        <x:v>0</x:v>
      </x:c>
      <x:c r="I953" s="11" t="n">
        <x:v>1</x:v>
      </x:c>
      <x:c r="J953" s="11" t="n">
        <x:v>0</x:v>
      </x:c>
      <x:c r="K953" s="11" t="n">
        <x:v>0</x:v>
      </x:c>
      <x:c r="L953" s="11" t="n">
        <x:f>IF(B953="NED",1,IF(OR(B953="ED",B953="UN"),0,""))</x:f>
        <x:v>1</x:v>
      </x:c>
      <x:c r="M953" s="11" t="n">
        <x:f>IF(AND(K953=1,OR(B953="ED",B953="NED")),1,0)</x:f>
        <x:v>0</x:v>
      </x:c>
      <x:c r="N953" s="11" t="n">
        <x:f>IF(K953=1,1,0)</x:f>
        <x:v>0</x:v>
      </x:c>
      <x:c r="O953" s="12" t="str">
        <x:v>Exclude UniProt Membrane keyword</x:v>
      </x:c>
      <x:c r="P953" s="11" t="n">
        <x:v>0</x:v>
      </x:c>
      <x:c r="Q953" s="12" t="str">
        <x:v>AF-P56480-F1-model_v6</x:v>
      </x:c>
      <x:c r="R953" s="12" t="str">
        <x:v>ok</x:v>
      </x:c>
      <x:c r="S953" s="11" t="n">
        <x:v>569</x:v>
      </x:c>
      <x:c r="T953" s="11" t="n">
        <x:v>529</x:v>
      </x:c>
    </x:row>
    <x:row r="954" ht="23" customHeight="1">
      <x:c r="A954" s="2" t="str">
        <x:v>P56671</x:v>
      </x:c>
      <x:c r="B954" s="2" t="str">
        <x:v>ED</x:v>
      </x:c>
      <x:c r="C954" s="2" t="n">
        <x:v>0</x:v>
      </x:c>
      <x:c r="D954" s="2" t="n">
        <x:v>0</x:v>
      </x:c>
      <x:c r="E954" s="10" t="n">
        <x:v>58.35234800838575</x:v>
      </x:c>
      <x:c r="F954" s="11" t="n">
        <x:v>477</x:v>
      </x:c>
      <x:c r="G954" s="11" t="n">
        <x:v>0</x:v>
      </x:c>
      <x:c r="H954" s="11" t="n">
        <x:v>0</x:v>
      </x:c>
      <x:c r="I954" s="11" t="n">
        <x:v>0</x:v>
      </x:c>
      <x:c r="J954" s="11" t="n">
        <x:v>0</x:v>
      </x:c>
      <x:c r="K954" s="11" t="n">
        <x:v>0</x:v>
      </x:c>
      <x:c r="L954" s="11" t="n">
        <x:f>IF(B954="NED",1,IF(OR(B954="ED",B954="UN"),0,""))</x:f>
        <x:v>0</x:v>
      </x:c>
      <x:c r="M954" s="11" t="n">
        <x:f>IF(AND(K954=1,OR(B954="ED",B954="NED")),1,0)</x:f>
        <x:v>0</x:v>
      </x:c>
      <x:c r="N954" s="11" t="n">
        <x:f>IF(K954=1,1,0)</x:f>
        <x:v>0</x:v>
      </x:c>
      <x:c r="O954" s="12" t="str">
        <x:v>Retain protein mean pLDDT &gt;=70</x:v>
      </x:c>
      <x:c r="P954" s="11" t="n">
        <x:v>0</x:v>
      </x:c>
      <x:c r="Q954" s="12" t="str">
        <x:v>AF-P56671-F1-model_v6</x:v>
      </x:c>
      <x:c r="R954" s="12" t="str">
        <x:v>ok</x:v>
      </x:c>
      <x:c r="S954" s="11" t="n">
        <x:v>570</x:v>
      </x:c>
      <x:c r="T954" s="11" t="n">
        <x:v>477</x:v>
      </x:c>
    </x:row>
    <x:row r="955" ht="23" customHeight="1">
      <x:c r="A955" s="2" t="str">
        <x:v>P56960</x:v>
      </x:c>
      <x:c r="B955" s="2" t="str">
        <x:v>UN</x:v>
      </x:c>
      <x:c r="C955" s="2" t="n">
        <x:v>1</x:v>
      </x:c>
      <x:c r="D955" s="2" t="n">
        <x:v>1</x:v>
      </x:c>
      <x:c r="E955" s="10" t="n">
        <x:v>68.32789177001128</x:v>
      </x:c>
      <x:c r="F955" s="11" t="n">
        <x:v>887</x:v>
      </x:c>
      <x:c r="G955" s="11" t="n">
        <x:v>0</x:v>
      </x:c>
      <x:c r="H955" s="11" t="n">
        <x:v>0</x:v>
      </x:c>
      <x:c r="I955" s="11" t="n">
        <x:v>0</x:v>
      </x:c>
      <x:c r="J955" s="11" t="n">
        <x:v>0</x:v>
      </x:c>
      <x:c r="K955" s="11" t="n">
        <x:v>0</x:v>
      </x:c>
      <x:c r="L955" s="11" t="n">
        <x:f>IF(B955="NED",1,IF(OR(B955="ED",B955="UN"),0,""))</x:f>
        <x:v>0</x:v>
      </x:c>
      <x:c r="M955" s="11" t="n">
        <x:f>IF(AND(K955=1,OR(B955="ED",B955="NED")),1,0)</x:f>
        <x:v>0</x:v>
      </x:c>
      <x:c r="N955" s="11" t="n">
        <x:f>IF(K955=1,1,0)</x:f>
        <x:v>0</x:v>
      </x:c>
      <x:c r="O955" s="12" t="str">
        <x:v>Retain protein mean pLDDT &gt;=70</x:v>
      </x:c>
      <x:c r="P955" s="11" t="n">
        <x:v>0</x:v>
      </x:c>
      <x:c r="Q955" s="12" t="str">
        <x:v>AF-P56960-F1-model_v6</x:v>
      </x:c>
      <x:c r="R955" s="12" t="str">
        <x:v>ok</x:v>
      </x:c>
      <x:c r="S955" s="11" t="n">
        <x:v>571</x:v>
      </x:c>
      <x:c r="T955" s="11" t="n">
        <x:v>887</x:v>
      </x:c>
    </x:row>
    <x:row r="956" ht="23" customHeight="1">
      <x:c r="A956" s="2" t="str">
        <x:v>P57722</x:v>
      </x:c>
      <x:c r="B956" s="2" t="str">
        <x:v>ED</x:v>
      </x:c>
      <x:c r="C956" s="2" t="n">
        <x:v>1</x:v>
      </x:c>
      <x:c r="D956" s="2" t="n">
        <x:v>1</x:v>
      </x:c>
      <x:c r="E956" s="10" t="n">
        <x:v>66.93064690026954</x:v>
      </x:c>
      <x:c r="F956" s="11" t="n">
        <x:v>371</x:v>
      </x:c>
      <x:c r="G956" s="11" t="n">
        <x:v>0</x:v>
      </x:c>
      <x:c r="H956" s="11" t="n">
        <x:v>0</x:v>
      </x:c>
      <x:c r="I956" s="11" t="n">
        <x:v>0</x:v>
      </x:c>
      <x:c r="J956" s="11" t="n">
        <x:v>0</x:v>
      </x:c>
      <x:c r="K956" s="11" t="n">
        <x:v>0</x:v>
      </x:c>
      <x:c r="L956" s="11" t="n">
        <x:f>IF(B956="NED",1,IF(OR(B956="ED",B956="UN"),0,""))</x:f>
        <x:v>0</x:v>
      </x:c>
      <x:c r="M956" s="11" t="n">
        <x:f>IF(AND(K956=1,OR(B956="ED",B956="NED")),1,0)</x:f>
        <x:v>0</x:v>
      </x:c>
      <x:c r="N956" s="11" t="n">
        <x:f>IF(K956=1,1,0)</x:f>
        <x:v>0</x:v>
      </x:c>
      <x:c r="O956" s="12" t="str">
        <x:v>Retain protein mean pLDDT &gt;=70</x:v>
      </x:c>
      <x:c r="P956" s="11" t="n">
        <x:v>0</x:v>
      </x:c>
      <x:c r="Q956" s="12" t="str">
        <x:v>AF-P57722-F1-model_v6</x:v>
      </x:c>
      <x:c r="R956" s="12" t="str">
        <x:v>ok</x:v>
      </x:c>
      <x:c r="S956" s="11" t="n">
        <x:v>572</x:v>
      </x:c>
      <x:c r="T956" s="11" t="n">
        <x:v>371</x:v>
      </x:c>
    </x:row>
    <x:row r="957" ht="23" customHeight="1">
      <x:c r="A957" s="2" t="str">
        <x:v>P57724</x:v>
      </x:c>
      <x:c r="B957" s="2" t="str">
        <x:v>ED</x:v>
      </x:c>
      <x:c r="C957" s="2" t="n">
        <x:v>1</x:v>
      </x:c>
      <x:c r="D957" s="2" t="n">
        <x:v>1</x:v>
      </x:c>
      <x:c r="E957" s="10" t="n">
        <x:v>66.48632754342432</x:v>
      </x:c>
      <x:c r="F957" s="11" t="n">
        <x:v>403</x:v>
      </x:c>
      <x:c r="G957" s="11" t="n">
        <x:v>0</x:v>
      </x:c>
      <x:c r="H957" s="11" t="n">
        <x:v>0</x:v>
      </x:c>
      <x:c r="I957" s="11" t="n">
        <x:v>0</x:v>
      </x:c>
      <x:c r="J957" s="11" t="n">
        <x:v>0</x:v>
      </x:c>
      <x:c r="K957" s="11" t="n">
        <x:v>0</x:v>
      </x:c>
      <x:c r="L957" s="11" t="n">
        <x:f>IF(B957="NED",1,IF(OR(B957="ED",B957="UN"),0,""))</x:f>
        <x:v>0</x:v>
      </x:c>
      <x:c r="M957" s="11" t="n">
        <x:f>IF(AND(K957=1,OR(B957="ED",B957="NED")),1,0)</x:f>
        <x:v>0</x:v>
      </x:c>
      <x:c r="N957" s="11" t="n">
        <x:f>IF(K957=1,1,0)</x:f>
        <x:v>0</x:v>
      </x:c>
      <x:c r="O957" s="12" t="str">
        <x:v>Retain protein mean pLDDT &gt;=70</x:v>
      </x:c>
      <x:c r="P957" s="11" t="n">
        <x:v>0</x:v>
      </x:c>
      <x:c r="Q957" s="12" t="str">
        <x:v>AF-P57724-F1-model_v6</x:v>
      </x:c>
      <x:c r="R957" s="12" t="str">
        <x:v>ok</x:v>
      </x:c>
      <x:c r="S957" s="11" t="n">
        <x:v>573</x:v>
      </x:c>
      <x:c r="T957" s="11" t="n">
        <x:v>403</x:v>
      </x:c>
    </x:row>
    <x:row r="958" ht="23" customHeight="1">
      <x:c r="A958" s="2" t="str">
        <x:v>P57746</x:v>
      </x:c>
      <x:c r="B958" s="2" t="str">
        <x:v>ED</x:v>
      </x:c>
      <x:c r="C958" s="2" t="n">
        <x:v>0</x:v>
      </x:c>
      <x:c r="D958" s="2" t="n">
        <x:v>0</x:v>
      </x:c>
      <x:c r="E958" s="10"/>
      <x:c r="F958" s="11" t="n">
        <x:v>247</x:v>
      </x:c>
      <x:c r="G958" s="11" t="n">
        <x:v>0</x:v>
      </x:c>
      <x:c r="H958" s="11" t="n">
        <x:v>0</x:v>
      </x:c>
      <x:c r="I958" s="11" t="n">
        <x:v>1</x:v>
      </x:c>
      <x:c r="J958" s="11" t="n">
        <x:v>0</x:v>
      </x:c>
      <x:c r="K958" s="11" t="n">
        <x:v>0</x:v>
      </x:c>
      <x:c r="L958" s="11" t="n">
        <x:f>IF(B958="NED",1,IF(OR(B958="ED",B958="UN"),0,""))</x:f>
        <x:v>0</x:v>
      </x:c>
      <x:c r="M958" s="11" t="n">
        <x:f>IF(AND(K958=1,OR(B958="ED",B958="NED")),1,0)</x:f>
        <x:v>0</x:v>
      </x:c>
      <x:c r="N958" s="11" t="n">
        <x:f>IF(K958=1,1,0)</x:f>
        <x:v>0</x:v>
      </x:c>
      <x:c r="O958" s="12" t="str">
        <x:v>Exclude UniProt Membrane keyword</x:v>
      </x:c>
      <x:c r="P958" s="11" t="n">
        <x:v>0</x:v>
      </x:c>
      <x:c r="Q958" s="12" t="str">
        <x:v>AF-P57746-F1-model_v6</x:v>
      </x:c>
      <x:c r="R958" s="12" t="str">
        <x:v>ok</x:v>
      </x:c>
      <x:c r="S958" s="11" t="n">
        <x:v>574</x:v>
      </x:c>
      <x:c r="T958" s="11" t="n">
        <x:v>247</x:v>
      </x:c>
    </x:row>
    <x:row r="959" ht="23" customHeight="1">
      <x:c r="A959" s="2" t="str">
        <x:v>P57780</x:v>
      </x:c>
      <x:c r="B959" s="2" t="str">
        <x:v>UN</x:v>
      </x:c>
      <x:c r="C959" s="2" t="n">
        <x:v>1</x:v>
      </x:c>
      <x:c r="D959" s="2" t="n">
        <x:v>1</x:v>
      </x:c>
      <x:c r="E959" s="10" t="n">
        <x:v>84.14398026315789</x:v>
      </x:c>
      <x:c r="F959" s="11" t="n">
        <x:v>912</x:v>
      </x:c>
      <x:c r="G959" s="11" t="n">
        <x:v>0</x:v>
      </x:c>
      <x:c r="H959" s="11" t="n">
        <x:v>0</x:v>
      </x:c>
      <x:c r="I959" s="11" t="n">
        <x:v>0</x:v>
      </x:c>
      <x:c r="J959" s="11" t="n">
        <x:v>0</x:v>
      </x:c>
      <x:c r="K959" s="11" t="n">
        <x:v>1</x:v>
      </x:c>
      <x:c r="L959" s="11" t="n">
        <x:f>IF(B959="NED",1,IF(OR(B959="ED",B959="UN"),0,""))</x:f>
        <x:v>0</x:v>
      </x:c>
      <x:c r="M959" s="11" t="n">
        <x:f>IF(AND(K959=1,OR(B959="ED",B959="NED")),1,0)</x:f>
        <x:v>0</x:v>
      </x:c>
      <x:c r="N959" s="11" t="n">
        <x:f>IF(K959=1,1,0)</x:f>
        <x:v>1</x:v>
      </x:c>
      <x:c r="O959" s="12"/>
      <x:c r="P959" s="11" t="n">
        <x:v>0</x:v>
      </x:c>
      <x:c r="Q959" s="12" t="str">
        <x:v>AF-P57780-F1-model_v6</x:v>
      </x:c>
      <x:c r="R959" s="12" t="str">
        <x:v>ok</x:v>
      </x:c>
      <x:c r="S959" s="11" t="n">
        <x:v>575</x:v>
      </x:c>
      <x:c r="T959" s="11" t="n">
        <x:v>912</x:v>
      </x:c>
    </x:row>
    <x:row r="960" ht="23" customHeight="1">
      <x:c r="A960" s="2" t="str">
        <x:v>P57784</x:v>
      </x:c>
      <x:c r="B960" s="2" t="str">
        <x:v>ED</x:v>
      </x:c>
      <x:c r="C960" s="2" t="n">
        <x:v>0</x:v>
      </x:c>
      <x:c r="D960" s="2" t="n">
        <x:v>0</x:v>
      </x:c>
      <x:c r="E960" s="10" t="n">
        <x:v>87.76984313725491</x:v>
      </x:c>
      <x:c r="F960" s="11" t="n">
        <x:v>255</x:v>
      </x:c>
      <x:c r="G960" s="11" t="n">
        <x:v>0</x:v>
      </x:c>
      <x:c r="H960" s="11" t="n">
        <x:v>0</x:v>
      </x:c>
      <x:c r="I960" s="11" t="n">
        <x:v>0</x:v>
      </x:c>
      <x:c r="J960" s="11" t="n">
        <x:v>0</x:v>
      </x:c>
      <x:c r="K960" s="11" t="n">
        <x:v>1</x:v>
      </x:c>
      <x:c r="L960" s="11" t="n">
        <x:f>IF(B960="NED",1,IF(OR(B960="ED",B960="UN"),0,""))</x:f>
        <x:v>0</x:v>
      </x:c>
      <x:c r="M960" s="11" t="n">
        <x:f>IF(AND(K960=1,OR(B960="ED",B960="NED")),1,0)</x:f>
        <x:v>1</x:v>
      </x:c>
      <x:c r="N960" s="11" t="n">
        <x:f>IF(K960=1,1,0)</x:f>
        <x:v>1</x:v>
      </x:c>
      <x:c r="O960" s="12"/>
      <x:c r="P960" s="11" t="n">
        <x:v>0</x:v>
      </x:c>
      <x:c r="Q960" s="12" t="str">
        <x:v>AF-P57784-F1-model_v6</x:v>
      </x:c>
      <x:c r="R960" s="12" t="str">
        <x:v>ok</x:v>
      </x:c>
      <x:c r="S960" s="11" t="n">
        <x:v>576</x:v>
      </x:c>
      <x:c r="T960" s="11" t="n">
        <x:v>255</x:v>
      </x:c>
    </x:row>
    <x:row r="961" ht="23" customHeight="1">
      <x:c r="A961" s="2" t="str">
        <x:v>P58021</x:v>
      </x:c>
      <x:c r="B961" s="2" t="str">
        <x:v>UN</x:v>
      </x:c>
      <x:c r="C961" s="2"/>
      <x:c r="D961" s="2"/>
      <x:c r="E961" s="10"/>
      <x:c r="F961" s="11" t="n">
        <x:v>662</x:v>
      </x:c>
      <x:c r="G961" s="11" t="n">
        <x:v>0</x:v>
      </x:c>
      <x:c r="H961" s="11" t="n">
        <x:v>1</x:v>
      </x:c>
      <x:c r="I961" s="11" t="n">
        <x:v>1</x:v>
      </x:c>
      <x:c r="J961" s="11" t="n">
        <x:v>0</x:v>
      </x:c>
      <x:c r="K961" s="11" t="n">
        <x:v>0</x:v>
      </x:c>
      <x:c r="L961" s="11" t="n">
        <x:f>IF(B961="NED",1,IF(OR(B961="ED",B961="UN"),0,""))</x:f>
        <x:v>0</x:v>
      </x:c>
      <x:c r="M961" s="11" t="n">
        <x:f>IF(AND(K961=1,OR(B961="ED",B961="NED")),1,0)</x:f>
        <x:v>0</x:v>
      </x:c>
      <x:c r="N961" s="11" t="n">
        <x:f>IF(K961=1,1,0)</x:f>
        <x:v>0</x:v>
      </x:c>
      <x:c r="O961" s="12" t="str">
        <x:v>Require binary native NCLE status</x:v>
      </x:c>
      <x:c r="P961" s="11" t="n">
        <x:v>0</x:v>
      </x:c>
      <x:c r="Q961" s="12" t="str">
        <x:v>AF-P58021-F1-model_v6</x:v>
      </x:c>
      <x:c r="R961" s="12" t="str">
        <x:v>ok</x:v>
      </x:c>
      <x:c r="S961" s="11" t="n">
        <x:v>577</x:v>
      </x:c>
      <x:c r="T961" s="11" t="n">
        <x:v>662</x:v>
      </x:c>
    </x:row>
    <x:row r="962" ht="23" customHeight="1">
      <x:c r="A962" s="2" t="str">
        <x:v>P58044</x:v>
      </x:c>
      <x:c r="B962" s="2" t="str">
        <x:v>UN</x:v>
      </x:c>
      <x:c r="C962" s="2" t="n">
        <x:v>1</x:v>
      </x:c>
      <x:c r="D962" s="2" t="n">
        <x:v>1</x:v>
      </x:c>
      <x:c r="E962" s="10" t="n">
        <x:v>97.03563876651982</x:v>
      </x:c>
      <x:c r="F962" s="11" t="n">
        <x:v>227</x:v>
      </x:c>
      <x:c r="G962" s="11" t="n">
        <x:v>0</x:v>
      </x:c>
      <x:c r="H962" s="11" t="n">
        <x:v>0</x:v>
      </x:c>
      <x:c r="I962" s="11" t="n">
        <x:v>0</x:v>
      </x:c>
      <x:c r="J962" s="11" t="n">
        <x:v>0</x:v>
      </x:c>
      <x:c r="K962" s="11" t="n">
        <x:v>1</x:v>
      </x:c>
      <x:c r="L962" s="11" t="n">
        <x:f>IF(B962="NED",1,IF(OR(B962="ED",B962="UN"),0,""))</x:f>
        <x:v>0</x:v>
      </x:c>
      <x:c r="M962" s="11" t="n">
        <x:f>IF(AND(K962=1,OR(B962="ED",B962="NED")),1,0)</x:f>
        <x:v>0</x:v>
      </x:c>
      <x:c r="N962" s="11" t="n">
        <x:f>IF(K962=1,1,0)</x:f>
        <x:v>1</x:v>
      </x:c>
      <x:c r="O962" s="12"/>
      <x:c r="P962" s="11" t="n">
        <x:v>0</x:v>
      </x:c>
      <x:c r="Q962" s="12" t="str">
        <x:v>AF-P58044-F1-model_v6</x:v>
      </x:c>
      <x:c r="R962" s="12" t="str">
        <x:v>ok</x:v>
      </x:c>
      <x:c r="S962" s="11" t="n">
        <x:v>578</x:v>
      </x:c>
      <x:c r="T962" s="11" t="n">
        <x:v>227</x:v>
      </x:c>
    </x:row>
    <x:row r="963" ht="23" customHeight="1">
      <x:c r="A963" s="2" t="str">
        <x:v>P58252</x:v>
      </x:c>
      <x:c r="B963" s="2" t="str">
        <x:v>UN</x:v>
      </x:c>
      <x:c r="C963" s="2" t="n">
        <x:v>1</x:v>
      </x:c>
      <x:c r="D963" s="2" t="n">
        <x:v>1</x:v>
      </x:c>
      <x:c r="E963" s="10" t="n">
        <x:v>89.81980186480186</x:v>
      </x:c>
      <x:c r="F963" s="11" t="n">
        <x:v>858</x:v>
      </x:c>
      <x:c r="G963" s="11" t="n">
        <x:v>0</x:v>
      </x:c>
      <x:c r="H963" s="11" t="n">
        <x:v>0</x:v>
      </x:c>
      <x:c r="I963" s="11" t="n">
        <x:v>0</x:v>
      </x:c>
      <x:c r="J963" s="11" t="n">
        <x:v>0</x:v>
      </x:c>
      <x:c r="K963" s="11" t="n">
        <x:v>1</x:v>
      </x:c>
      <x:c r="L963" s="11" t="n">
        <x:f>IF(B963="NED",1,IF(OR(B963="ED",B963="UN"),0,""))</x:f>
        <x:v>0</x:v>
      </x:c>
      <x:c r="M963" s="11" t="n">
        <x:f>IF(AND(K963=1,OR(B963="ED",B963="NED")),1,0)</x:f>
        <x:v>0</x:v>
      </x:c>
      <x:c r="N963" s="11" t="n">
        <x:f>IF(K963=1,1,0)</x:f>
        <x:v>1</x:v>
      </x:c>
      <x:c r="O963" s="12"/>
      <x:c r="P963" s="11" t="n">
        <x:v>0</x:v>
      </x:c>
      <x:c r="Q963" s="12" t="str">
        <x:v>AF-P58252-F1-model_v6</x:v>
      </x:c>
      <x:c r="R963" s="12" t="str">
        <x:v>ok</x:v>
      </x:c>
      <x:c r="S963" s="11" t="n">
        <x:v>579</x:v>
      </x:c>
      <x:c r="T963" s="11" t="n">
        <x:v>858</x:v>
      </x:c>
    </x:row>
    <x:row r="964" ht="23" customHeight="1">
      <x:c r="A964" s="2" t="str">
        <x:v>P58281</x:v>
      </x:c>
      <x:c r="B964" s="2" t="str">
        <x:v>NED</x:v>
      </x:c>
      <x:c r="C964" s="2" t="n">
        <x:v>1</x:v>
      </x:c>
      <x:c r="D964" s="2" t="n">
        <x:v>1</x:v>
      </x:c>
      <x:c r="E964" s="10"/>
      <x:c r="F964" s="11" t="n">
        <x:v>960</x:v>
      </x:c>
      <x:c r="G964" s="11" t="n">
        <x:v>0</x:v>
      </x:c>
      <x:c r="H964" s="11" t="n">
        <x:v>0</x:v>
      </x:c>
      <x:c r="I964" s="11" t="n">
        <x:v>1</x:v>
      </x:c>
      <x:c r="J964" s="11" t="n">
        <x:v>0</x:v>
      </x:c>
      <x:c r="K964" s="11" t="n">
        <x:v>0</x:v>
      </x:c>
      <x:c r="L964" s="11" t="n">
        <x:f>IF(B964="NED",1,IF(OR(B964="ED",B964="UN"),0,""))</x:f>
        <x:v>1</x:v>
      </x:c>
      <x:c r="M964" s="11" t="n">
        <x:f>IF(AND(K964=1,OR(B964="ED",B964="NED")),1,0)</x:f>
        <x:v>0</x:v>
      </x:c>
      <x:c r="N964" s="11" t="n">
        <x:f>IF(K964=1,1,0)</x:f>
        <x:v>0</x:v>
      </x:c>
      <x:c r="O964" s="12" t="str">
        <x:v>Exclude UniProt Membrane keyword</x:v>
      </x:c>
      <x:c r="P964" s="11" t="n">
        <x:v>0</x:v>
      </x:c>
      <x:c r="Q964" s="12" t="str">
        <x:v>AF-P58281-F1-model_v6</x:v>
      </x:c>
      <x:c r="R964" s="12" t="str">
        <x:v>ok</x:v>
      </x:c>
      <x:c r="S964" s="11" t="n">
        <x:v>580</x:v>
      </x:c>
      <x:c r="T964" s="11" t="n">
        <x:v>960</x:v>
      </x:c>
    </x:row>
    <x:row r="965" ht="23" customHeight="1">
      <x:c r="A965" s="2" t="str">
        <x:v>P58389</x:v>
      </x:c>
      <x:c r="B965" s="2" t="str">
        <x:v>ED</x:v>
      </x:c>
      <x:c r="C965" s="2" t="n">
        <x:v>1</x:v>
      </x:c>
      <x:c r="D965" s="2" t="n">
        <x:v>1</x:v>
      </x:c>
      <x:c r="E965" s="10" t="n">
        <x:v>93.6029411764706</x:v>
      </x:c>
      <x:c r="F965" s="11" t="n">
        <x:v>323</x:v>
      </x:c>
      <x:c r="G965" s="11" t="n">
        <x:v>0</x:v>
      </x:c>
      <x:c r="H965" s="11" t="n">
        <x:v>0</x:v>
      </x:c>
      <x:c r="I965" s="11" t="n">
        <x:v>0</x:v>
      </x:c>
      <x:c r="J965" s="11" t="n">
        <x:v>0</x:v>
      </x:c>
      <x:c r="K965" s="11" t="n">
        <x:v>1</x:v>
      </x:c>
      <x:c r="L965" s="11" t="n">
        <x:f>IF(B965="NED",1,IF(OR(B965="ED",B965="UN"),0,""))</x:f>
        <x:v>0</x:v>
      </x:c>
      <x:c r="M965" s="11" t="n">
        <x:f>IF(AND(K965=1,OR(B965="ED",B965="NED")),1,0)</x:f>
        <x:v>1</x:v>
      </x:c>
      <x:c r="N965" s="11" t="n">
        <x:f>IF(K965=1,1,0)</x:f>
        <x:v>1</x:v>
      </x:c>
      <x:c r="O965" s="12"/>
      <x:c r="P965" s="11" t="n">
        <x:v>0</x:v>
      </x:c>
      <x:c r="Q965" s="12" t="str">
        <x:v>AF-P58389-F1-model_v6</x:v>
      </x:c>
      <x:c r="R965" s="12" t="str">
        <x:v>ok</x:v>
      </x:c>
      <x:c r="S965" s="11" t="n">
        <x:v>581</x:v>
      </x:c>
      <x:c r="T965" s="11" t="n">
        <x:v>323</x:v>
      </x:c>
    </x:row>
    <x:row r="966" ht="23" customHeight="1">
      <x:c r="A966" s="2" t="str">
        <x:v>P58404-2</x:v>
      </x:c>
      <x:c r="B966" s="2" t="str">
        <x:v>UN</x:v>
      </x:c>
      <x:c r="C966" s="2"/>
      <x:c r="D966" s="2"/>
      <x:c r="E966" s="10"/>
      <x:c r="F966" s="11"/>
      <x:c r="G966" s="11" t="n">
        <x:v>0</x:v>
      </x:c>
      <x:c r="H966" s="11" t="n">
        <x:v>0</x:v>
      </x:c>
      <x:c r="I966" s="11"/>
      <x:c r="J966" s="11"/>
      <x:c r="K966" s="11" t="n">
        <x:v>0</x:v>
      </x:c>
      <x:c r="L966" s="11" t="n">
        <x:f>IF(B966="NED",1,IF(OR(B966="ED",B966="UN"),0,""))</x:f>
        <x:v>0</x:v>
      </x:c>
      <x:c r="M966" s="11" t="n">
        <x:f>IF(AND(K966=1,OR(B966="ED",B966="NED")),1,0)</x:f>
        <x:v>0</x:v>
      </x:c>
      <x:c r="N966" s="11" t="n">
        <x:f>IF(K966=1,1,0)</x:f>
        <x:v>0</x:v>
      </x:c>
      <x:c r="O966" s="12" t="str">
        <x:v>Require exact native accession match</x:v>
      </x:c>
      <x:c r="P966" s="11" t="n">
        <x:v>0</x:v>
      </x:c>
      <x:c r="Q966" s="12"/>
      <x:c r="R966" s="12"/>
      <x:c r="S966" s="11" t="n">
        <x:v>582</x:v>
      </x:c>
      <x:c r="T966" s="11"/>
    </x:row>
    <x:row r="967" ht="23" customHeight="1">
      <x:c r="A967" s="2" t="str">
        <x:v>P58468</x:v>
      </x:c>
      <x:c r="B967" s="2" t="str">
        <x:v>ED</x:v>
      </x:c>
      <x:c r="C967" s="2" t="n">
        <x:v>0</x:v>
      </x:c>
      <x:c r="D967" s="2" t="n">
        <x:v>0</x:v>
      </x:c>
      <x:c r="E967" s="10" t="n">
        <x:v>74.7124200913242</x:v>
      </x:c>
      <x:c r="F967" s="11" t="n">
        <x:v>219</x:v>
      </x:c>
      <x:c r="G967" s="11" t="n">
        <x:v>0</x:v>
      </x:c>
      <x:c r="H967" s="11" t="n">
        <x:v>0</x:v>
      </x:c>
      <x:c r="I967" s="11" t="n">
        <x:v>0</x:v>
      </x:c>
      <x:c r="J967" s="11" t="n">
        <x:v>0</x:v>
      </x:c>
      <x:c r="K967" s="11" t="n">
        <x:v>1</x:v>
      </x:c>
      <x:c r="L967" s="11" t="n">
        <x:f>IF(B967="NED",1,IF(OR(B967="ED",B967="UN"),0,""))</x:f>
        <x:v>0</x:v>
      </x:c>
      <x:c r="M967" s="11" t="n">
        <x:f>IF(AND(K967=1,OR(B967="ED",B967="NED")),1,0)</x:f>
        <x:v>1</x:v>
      </x:c>
      <x:c r="N967" s="11" t="n">
        <x:f>IF(K967=1,1,0)</x:f>
        <x:v>1</x:v>
      </x:c>
      <x:c r="O967" s="12"/>
      <x:c r="P967" s="11" t="n">
        <x:v>0</x:v>
      </x:c>
      <x:c r="Q967" s="12" t="str">
        <x:v>AF-P58468-F1-model_v6</x:v>
      </x:c>
      <x:c r="R967" s="12" t="str">
        <x:v>ok</x:v>
      </x:c>
      <x:c r="S967" s="11" t="n">
        <x:v>583</x:v>
      </x:c>
      <x:c r="T967" s="11" t="n">
        <x:v>219</x:v>
      </x:c>
    </x:row>
    <x:row r="968" ht="23" customHeight="1">
      <x:c r="A968" s="2" t="str">
        <x:v>P58742</x:v>
      </x:c>
      <x:c r="B968" s="2" t="str">
        <x:v>UN</x:v>
      </x:c>
      <x:c r="C968" s="2" t="n">
        <x:v>1</x:v>
      </x:c>
      <x:c r="D968" s="2" t="n">
        <x:v>1</x:v>
      </x:c>
      <x:c r="E968" s="10" t="n">
        <x:v>76.41824175824176</x:v>
      </x:c>
      <x:c r="F968" s="11" t="n">
        <x:v>546</x:v>
      </x:c>
      <x:c r="G968" s="11" t="n">
        <x:v>0</x:v>
      </x:c>
      <x:c r="H968" s="11" t="n">
        <x:v>0</x:v>
      </x:c>
      <x:c r="I968" s="11" t="n">
        <x:v>0</x:v>
      </x:c>
      <x:c r="J968" s="11" t="n">
        <x:v>0</x:v>
      </x:c>
      <x:c r="K968" s="11" t="n">
        <x:v>1</x:v>
      </x:c>
      <x:c r="L968" s="11" t="n">
        <x:f>IF(B968="NED",1,IF(OR(B968="ED",B968="UN"),0,""))</x:f>
        <x:v>0</x:v>
      </x:c>
      <x:c r="M968" s="11" t="n">
        <x:f>IF(AND(K968=1,OR(B968="ED",B968="NED")),1,0)</x:f>
        <x:v>0</x:v>
      </x:c>
      <x:c r="N968" s="11" t="n">
        <x:f>IF(K968=1,1,0)</x:f>
        <x:v>1</x:v>
      </x:c>
      <x:c r="O968" s="12"/>
      <x:c r="P968" s="11" t="n">
        <x:v>0</x:v>
      </x:c>
      <x:c r="Q968" s="12" t="str">
        <x:v>AF-P58742-F1-model_v6</x:v>
      </x:c>
      <x:c r="R968" s="12" t="str">
        <x:v>ok</x:v>
      </x:c>
      <x:c r="S968" s="11" t="n">
        <x:v>584</x:v>
      </x:c>
      <x:c r="T968" s="11" t="n">
        <x:v>546</x:v>
      </x:c>
    </x:row>
    <x:row r="969" ht="23" customHeight="1">
      <x:c r="A969" s="2" t="str">
        <x:v>P58774</x:v>
      </x:c>
      <x:c r="B969" s="2" t="str">
        <x:v>UN</x:v>
      </x:c>
      <x:c r="C969" s="2" t="n">
        <x:v>0</x:v>
      </x:c>
      <x:c r="D969" s="2" t="n">
        <x:v>0</x:v>
      </x:c>
      <x:c r="E969" s="10" t="n">
        <x:v>91.43471830985916</x:v>
      </x:c>
      <x:c r="F969" s="11" t="n">
        <x:v>284</x:v>
      </x:c>
      <x:c r="G969" s="11" t="n">
        <x:v>0</x:v>
      </x:c>
      <x:c r="H969" s="11" t="n">
        <x:v>0</x:v>
      </x:c>
      <x:c r="I969" s="11" t="n">
        <x:v>0</x:v>
      </x:c>
      <x:c r="J969" s="11" t="n">
        <x:v>0</x:v>
      </x:c>
      <x:c r="K969" s="11" t="n">
        <x:v>1</x:v>
      </x:c>
      <x:c r="L969" s="11" t="n">
        <x:f>IF(B969="NED",1,IF(OR(B969="ED",B969="UN"),0,""))</x:f>
        <x:v>0</x:v>
      </x:c>
      <x:c r="M969" s="11" t="n">
        <x:f>IF(AND(K969=1,OR(B969="ED",B969="NED")),1,0)</x:f>
        <x:v>0</x:v>
      </x:c>
      <x:c r="N969" s="11" t="n">
        <x:f>IF(K969=1,1,0)</x:f>
        <x:v>1</x:v>
      </x:c>
      <x:c r="O969" s="12"/>
      <x:c r="P969" s="11" t="n">
        <x:v>0</x:v>
      </x:c>
      <x:c r="Q969" s="12" t="str">
        <x:v>AF-P58774-F1-model_v6</x:v>
      </x:c>
      <x:c r="R969" s="12" t="str">
        <x:v>ok</x:v>
      </x:c>
      <x:c r="S969" s="11" t="n">
        <x:v>585</x:v>
      </x:c>
      <x:c r="T969" s="11" t="n">
        <x:v>284</x:v>
      </x:c>
    </x:row>
    <x:row r="970" ht="23" customHeight="1">
      <x:c r="A970" s="2" t="str">
        <x:v>P58774-2</x:v>
      </x:c>
      <x:c r="B970" s="2" t="str">
        <x:v>UN</x:v>
      </x:c>
      <x:c r="C970" s="2"/>
      <x:c r="D970" s="2"/>
      <x:c r="E970" s="10"/>
      <x:c r="F970" s="11"/>
      <x:c r="G970" s="11" t="n">
        <x:v>0</x:v>
      </x:c>
      <x:c r="H970" s="11" t="n">
        <x:v>0</x:v>
      </x:c>
      <x:c r="I970" s="11"/>
      <x:c r="J970" s="11"/>
      <x:c r="K970" s="11" t="n">
        <x:v>0</x:v>
      </x:c>
      <x:c r="L970" s="11" t="n">
        <x:f>IF(B970="NED",1,IF(OR(B970="ED",B970="UN"),0,""))</x:f>
        <x:v>0</x:v>
      </x:c>
      <x:c r="M970" s="11" t="n">
        <x:f>IF(AND(K970=1,OR(B970="ED",B970="NED")),1,0)</x:f>
        <x:v>0</x:v>
      </x:c>
      <x:c r="N970" s="11" t="n">
        <x:f>IF(K970=1,1,0)</x:f>
        <x:v>0</x:v>
      </x:c>
      <x:c r="O970" s="12" t="str">
        <x:v>Require exact native accession match</x:v>
      </x:c>
      <x:c r="P970" s="11" t="n">
        <x:v>0</x:v>
      </x:c>
      <x:c r="Q970" s="12"/>
      <x:c r="R970" s="12"/>
      <x:c r="S970" s="11" t="n">
        <x:v>586</x:v>
      </x:c>
      <x:c r="T970" s="11"/>
    </x:row>
    <x:row r="971" ht="23" customHeight="1">
      <x:c r="A971" s="2" t="str">
        <x:v>P58854</x:v>
      </x:c>
      <x:c r="B971" s="2" t="str">
        <x:v>ED</x:v>
      </x:c>
      <x:c r="C971" s="2" t="n">
        <x:v>0</x:v>
      </x:c>
      <x:c r="D971" s="2" t="n">
        <x:v>0</x:v>
      </x:c>
      <x:c r="E971" s="10" t="n">
        <x:v>75.31214364640884</x:v>
      </x:c>
      <x:c r="F971" s="11" t="n">
        <x:v>905</x:v>
      </x:c>
      <x:c r="G971" s="11" t="n">
        <x:v>0</x:v>
      </x:c>
      <x:c r="H971" s="11" t="n">
        <x:v>0</x:v>
      </x:c>
      <x:c r="I971" s="11" t="n">
        <x:v>0</x:v>
      </x:c>
      <x:c r="J971" s="11" t="n">
        <x:v>0</x:v>
      </x:c>
      <x:c r="K971" s="11" t="n">
        <x:v>1</x:v>
      </x:c>
      <x:c r="L971" s="11" t="n">
        <x:f>IF(B971="NED",1,IF(OR(B971="ED",B971="UN"),0,""))</x:f>
        <x:v>0</x:v>
      </x:c>
      <x:c r="M971" s="11" t="n">
        <x:f>IF(AND(K971=1,OR(B971="ED",B971="NED")),1,0)</x:f>
        <x:v>1</x:v>
      </x:c>
      <x:c r="N971" s="11" t="n">
        <x:f>IF(K971=1,1,0)</x:f>
        <x:v>1</x:v>
      </x:c>
      <x:c r="O971" s="12"/>
      <x:c r="P971" s="11" t="n">
        <x:v>0</x:v>
      </x:c>
      <x:c r="Q971" s="12" t="str">
        <x:v>AF-P58854-F1-model_v6</x:v>
      </x:c>
      <x:c r="R971" s="12" t="str">
        <x:v>ok</x:v>
      </x:c>
      <x:c r="S971" s="11" t="n">
        <x:v>587</x:v>
      </x:c>
      <x:c r="T971" s="11" t="n">
        <x:v>905</x:v>
      </x:c>
    </x:row>
    <x:row r="972" ht="23" customHeight="1">
      <x:c r="A972" s="2" t="str">
        <x:v>P58871</x:v>
      </x:c>
      <x:c r="B972" s="2" t="str">
        <x:v>ED</x:v>
      </x:c>
      <x:c r="C972" s="2" t="n">
        <x:v>1</x:v>
      </x:c>
      <x:c r="D972" s="2"/>
      <x:c r="E972" s="10" t="n">
        <x:v>37.824122093023256</x:v>
      </x:c>
      <x:c r="F972" s="11" t="n">
        <x:v>1720</x:v>
      </x:c>
      <x:c r="G972" s="11" t="n">
        <x:v>0</x:v>
      </x:c>
      <x:c r="H972" s="11" t="n">
        <x:v>0</x:v>
      </x:c>
      <x:c r="I972" s="11" t="n">
        <x:v>0</x:v>
      </x:c>
      <x:c r="J972" s="11" t="n">
        <x:v>0</x:v>
      </x:c>
      <x:c r="K972" s="11" t="n">
        <x:v>0</x:v>
      </x:c>
      <x:c r="L972" s="11" t="n">
        <x:f>IF(B972="NED",1,IF(OR(B972="ED",B972="UN"),0,""))</x:f>
        <x:v>0</x:v>
      </x:c>
      <x:c r="M972" s="11" t="n">
        <x:f>IF(AND(K972=1,OR(B972="ED",B972="NED")),1,0)</x:f>
        <x:v>0</x:v>
      </x:c>
      <x:c r="N972" s="11" t="n">
        <x:f>IF(K972=1,1,0)</x:f>
        <x:v>0</x:v>
      </x:c>
      <x:c r="O972" s="12" t="str">
        <x:v>Retain protein mean pLDDT &gt;=70</x:v>
      </x:c>
      <x:c r="P972" s="11" t="n">
        <x:v>0</x:v>
      </x:c>
      <x:c r="Q972" s="12" t="str">
        <x:v>AF-P58871-F1-model_v6</x:v>
      </x:c>
      <x:c r="R972" s="12" t="str">
        <x:v>ok</x:v>
      </x:c>
      <x:c r="S972" s="11" t="n">
        <x:v>588</x:v>
      </x:c>
      <x:c r="T972" s="11" t="n">
        <x:v>1720</x:v>
      </x:c>
    </x:row>
    <x:row r="973" ht="23" customHeight="1">
      <x:c r="A973" s="2" t="str">
        <x:v>P59016</x:v>
      </x:c>
      <x:c r="B973" s="2" t="str">
        <x:v>ED</x:v>
      </x:c>
      <x:c r="C973" s="2" t="n">
        <x:v>1</x:v>
      </x:c>
      <x:c r="D973" s="2" t="n">
        <x:v>1</x:v>
      </x:c>
      <x:c r="E973" s="10"/>
      <x:c r="F973" s="11" t="n">
        <x:v>617</x:v>
      </x:c>
      <x:c r="G973" s="11" t="n">
        <x:v>0</x:v>
      </x:c>
      <x:c r="H973" s="11" t="n">
        <x:v>0</x:v>
      </x:c>
      <x:c r="I973" s="11" t="n">
        <x:v>1</x:v>
      </x:c>
      <x:c r="J973" s="11" t="n">
        <x:v>0</x:v>
      </x:c>
      <x:c r="K973" s="11" t="n">
        <x:v>0</x:v>
      </x:c>
      <x:c r="L973" s="11" t="n">
        <x:f>IF(B973="NED",1,IF(OR(B973="ED",B973="UN"),0,""))</x:f>
        <x:v>0</x:v>
      </x:c>
      <x:c r="M973" s="11" t="n">
        <x:f>IF(AND(K973=1,OR(B973="ED",B973="NED")),1,0)</x:f>
        <x:v>0</x:v>
      </x:c>
      <x:c r="N973" s="11" t="n">
        <x:f>IF(K973=1,1,0)</x:f>
        <x:v>0</x:v>
      </x:c>
      <x:c r="O973" s="12" t="str">
        <x:v>Exclude UniProt Membrane keyword</x:v>
      </x:c>
      <x:c r="P973" s="11" t="n">
        <x:v>0</x:v>
      </x:c>
      <x:c r="Q973" s="12" t="str">
        <x:v>AF-P59016-F1-model_v6</x:v>
      </x:c>
      <x:c r="R973" s="12" t="str">
        <x:v>ok</x:v>
      </x:c>
      <x:c r="S973" s="11" t="n">
        <x:v>589</x:v>
      </x:c>
      <x:c r="T973" s="11" t="n">
        <x:v>617</x:v>
      </x:c>
    </x:row>
    <x:row r="974" ht="23" customHeight="1">
      <x:c r="A974" s="2" t="str">
        <x:v>P59108</x:v>
      </x:c>
      <x:c r="B974" s="2" t="str">
        <x:v>ED</x:v>
      </x:c>
      <x:c r="C974" s="2" t="n">
        <x:v>1</x:v>
      </x:c>
      <x:c r="D974" s="2" t="n">
        <x:v>1</x:v>
      </x:c>
      <x:c r="E974" s="10"/>
      <x:c r="F974" s="11" t="n">
        <x:v>548</x:v>
      </x:c>
      <x:c r="G974" s="11" t="n">
        <x:v>0</x:v>
      </x:c>
      <x:c r="H974" s="11" t="n">
        <x:v>0</x:v>
      </x:c>
      <x:c r="I974" s="11" t="n">
        <x:v>1</x:v>
      </x:c>
      <x:c r="J974" s="11" t="n">
        <x:v>0</x:v>
      </x:c>
      <x:c r="K974" s="11" t="n">
        <x:v>0</x:v>
      </x:c>
      <x:c r="L974" s="11" t="n">
        <x:f>IF(B974="NED",1,IF(OR(B974="ED",B974="UN"),0,""))</x:f>
        <x:v>0</x:v>
      </x:c>
      <x:c r="M974" s="11" t="n">
        <x:f>IF(AND(K974=1,OR(B974="ED",B974="NED")),1,0)</x:f>
        <x:v>0</x:v>
      </x:c>
      <x:c r="N974" s="11" t="n">
        <x:f>IF(K974=1,1,0)</x:f>
        <x:v>0</x:v>
      </x:c>
      <x:c r="O974" s="12" t="str">
        <x:v>Exclude UniProt Membrane keyword</x:v>
      </x:c>
      <x:c r="P974" s="11" t="n">
        <x:v>0</x:v>
      </x:c>
      <x:c r="Q974" s="12" t="str">
        <x:v>AF-P59108-F1-model_v6</x:v>
      </x:c>
      <x:c r="R974" s="12" t="str">
        <x:v>ok</x:v>
      </x:c>
      <x:c r="S974" s="11" t="n">
        <x:v>590</x:v>
      </x:c>
      <x:c r="T974" s="11" t="n">
        <x:v>548</x:v>
      </x:c>
    </x:row>
    <x:row r="975" ht="23" customHeight="1">
      <x:c r="A975" s="2" t="str">
        <x:v>P59235</x:v>
      </x:c>
      <x:c r="B975" s="2" t="str">
        <x:v>ED</x:v>
      </x:c>
      <x:c r="C975" s="2" t="n">
        <x:v>1</x:v>
      </x:c>
      <x:c r="D975" s="2" t="n">
        <x:v>1</x:v>
      </x:c>
      <x:c r="E975" s="10" t="n">
        <x:v>86.70063157894737</x:v>
      </x:c>
      <x:c r="F975" s="11" t="n">
        <x:v>380</x:v>
      </x:c>
      <x:c r="G975" s="11" t="n">
        <x:v>0</x:v>
      </x:c>
      <x:c r="H975" s="11" t="n">
        <x:v>0</x:v>
      </x:c>
      <x:c r="I975" s="11" t="n">
        <x:v>0</x:v>
      </x:c>
      <x:c r="J975" s="11" t="n">
        <x:v>0</x:v>
      </x:c>
      <x:c r="K975" s="11" t="n">
        <x:v>1</x:v>
      </x:c>
      <x:c r="L975" s="11" t="n">
        <x:f>IF(B975="NED",1,IF(OR(B975="ED",B975="UN"),0,""))</x:f>
        <x:v>0</x:v>
      </x:c>
      <x:c r="M975" s="11" t="n">
        <x:f>IF(AND(K975=1,OR(B975="ED",B975="NED")),1,0)</x:f>
        <x:v>1</x:v>
      </x:c>
      <x:c r="N975" s="11" t="n">
        <x:f>IF(K975=1,1,0)</x:f>
        <x:v>1</x:v>
      </x:c>
      <x:c r="O975" s="12"/>
      <x:c r="P975" s="11" t="n">
        <x:v>0</x:v>
      </x:c>
      <x:c r="Q975" s="12" t="str">
        <x:v>AF-P59235-F1-model_v6</x:v>
      </x:c>
      <x:c r="R975" s="12" t="str">
        <x:v>ok</x:v>
      </x:c>
      <x:c r="S975" s="11" t="n">
        <x:v>591</x:v>
      </x:c>
      <x:c r="T975" s="11" t="n">
        <x:v>380</x:v>
      </x:c>
    </x:row>
    <x:row r="976" ht="23" customHeight="1">
      <x:c r="A976" s="2" t="str">
        <x:v>P59325</x:v>
      </x:c>
      <x:c r="B976" s="2" t="str">
        <x:v>ED</x:v>
      </x:c>
      <x:c r="C976" s="2" t="n">
        <x:v>1</x:v>
      </x:c>
      <x:c r="D976" s="2" t="n">
        <x:v>1</x:v>
      </x:c>
      <x:c r="E976" s="10" t="n">
        <x:v>73.52916083916084</x:v>
      </x:c>
      <x:c r="F976" s="11" t="n">
        <x:v>429</x:v>
      </x:c>
      <x:c r="G976" s="11" t="n">
        <x:v>0</x:v>
      </x:c>
      <x:c r="H976" s="11" t="n">
        <x:v>0</x:v>
      </x:c>
      <x:c r="I976" s="11" t="n">
        <x:v>0</x:v>
      </x:c>
      <x:c r="J976" s="11" t="n">
        <x:v>0</x:v>
      </x:c>
      <x:c r="K976" s="11" t="n">
        <x:v>1</x:v>
      </x:c>
      <x:c r="L976" s="11" t="n">
        <x:f>IF(B976="NED",1,IF(OR(B976="ED",B976="UN"),0,""))</x:f>
        <x:v>0</x:v>
      </x:c>
      <x:c r="M976" s="11" t="n">
        <x:f>IF(AND(K976=1,OR(B976="ED",B976="NED")),1,0)</x:f>
        <x:v>1</x:v>
      </x:c>
      <x:c r="N976" s="11" t="n">
        <x:f>IF(K976=1,1,0)</x:f>
        <x:v>1</x:v>
      </x:c>
      <x:c r="O976" s="12"/>
      <x:c r="P976" s="11" t="n">
        <x:v>0</x:v>
      </x:c>
      <x:c r="Q976" s="12" t="str">
        <x:v>AF-P59325-F1-model_v6</x:v>
      </x:c>
      <x:c r="R976" s="12" t="str">
        <x:v>ok</x:v>
      </x:c>
      <x:c r="S976" s="11" t="n">
        <x:v>592</x:v>
      </x:c>
      <x:c r="T976" s="11" t="n">
        <x:v>429</x:v>
      </x:c>
    </x:row>
    <x:row r="977" ht="23" customHeight="1">
      <x:c r="A977" s="2" t="str">
        <x:v>P59326</x:v>
      </x:c>
      <x:c r="B977" s="2" t="str">
        <x:v>ED</x:v>
      </x:c>
      <x:c r="C977" s="2" t="n">
        <x:v>1</x:v>
      </x:c>
      <x:c r="D977" s="2" t="n">
        <x:v>1</x:v>
      </x:c>
      <x:c r="E977" s="10" t="n">
        <x:v>61.38561717352415</x:v>
      </x:c>
      <x:c r="F977" s="11" t="n">
        <x:v>559</x:v>
      </x:c>
      <x:c r="G977" s="11" t="n">
        <x:v>0</x:v>
      </x:c>
      <x:c r="H977" s="11" t="n">
        <x:v>0</x:v>
      </x:c>
      <x:c r="I977" s="11" t="n">
        <x:v>0</x:v>
      </x:c>
      <x:c r="J977" s="11" t="n">
        <x:v>0</x:v>
      </x:c>
      <x:c r="K977" s="11" t="n">
        <x:v>0</x:v>
      </x:c>
      <x:c r="L977" s="11" t="n">
        <x:f>IF(B977="NED",1,IF(OR(B977="ED",B977="UN"),0,""))</x:f>
        <x:v>0</x:v>
      </x:c>
      <x:c r="M977" s="11" t="n">
        <x:f>IF(AND(K977=1,OR(B977="ED",B977="NED")),1,0)</x:f>
        <x:v>0</x:v>
      </x:c>
      <x:c r="N977" s="11" t="n">
        <x:f>IF(K977=1,1,0)</x:f>
        <x:v>0</x:v>
      </x:c>
      <x:c r="O977" s="12" t="str">
        <x:v>Retain protein mean pLDDT &gt;=70</x:v>
      </x:c>
      <x:c r="P977" s="11" t="n">
        <x:v>0</x:v>
      </x:c>
      <x:c r="Q977" s="12" t="str">
        <x:v>AF-P59326-F1-model_v6</x:v>
      </x:c>
      <x:c r="R977" s="12" t="str">
        <x:v>ok</x:v>
      </x:c>
      <x:c r="S977" s="11" t="n">
        <x:v>593</x:v>
      </x:c>
      <x:c r="T977" s="11" t="n">
        <x:v>559</x:v>
      </x:c>
    </x:row>
    <x:row r="978" ht="23" customHeight="1">
      <x:c r="A978" s="2" t="str">
        <x:v>P59328-3</x:v>
      </x:c>
      <x:c r="B978" s="2" t="str">
        <x:v>UN</x:v>
      </x:c>
      <x:c r="C978" s="2"/>
      <x:c r="D978" s="2"/>
      <x:c r="E978" s="10"/>
      <x:c r="F978" s="11"/>
      <x:c r="G978" s="11" t="n">
        <x:v>0</x:v>
      </x:c>
      <x:c r="H978" s="11" t="n">
        <x:v>0</x:v>
      </x:c>
      <x:c r="I978" s="11"/>
      <x:c r="J978" s="11"/>
      <x:c r="K978" s="11" t="n">
        <x:v>0</x:v>
      </x:c>
      <x:c r="L978" s="11" t="n">
        <x:f>IF(B978="NED",1,IF(OR(B978="ED",B978="UN"),0,""))</x:f>
        <x:v>0</x:v>
      </x:c>
      <x:c r="M978" s="11" t="n">
        <x:f>IF(AND(K978=1,OR(B978="ED",B978="NED")),1,0)</x:f>
        <x:v>0</x:v>
      </x:c>
      <x:c r="N978" s="11" t="n">
        <x:f>IF(K978=1,1,0)</x:f>
        <x:v>0</x:v>
      </x:c>
      <x:c r="O978" s="12" t="str">
        <x:v>Require exact native accession match</x:v>
      </x:c>
      <x:c r="P978" s="11" t="n">
        <x:v>0</x:v>
      </x:c>
      <x:c r="Q978" s="12"/>
      <x:c r="R978" s="12"/>
      <x:c r="S978" s="11" t="n">
        <x:v>594</x:v>
      </x:c>
      <x:c r="T978" s="11"/>
    </x:row>
    <x:row r="979" ht="23" customHeight="1">
      <x:c r="A979" s="2" t="str">
        <x:v>P59470</x:v>
      </x:c>
      <x:c r="B979" s="2" t="str">
        <x:v>UN</x:v>
      </x:c>
      <x:c r="C979" s="2" t="n">
        <x:v>1</x:v>
      </x:c>
      <x:c r="D979" s="2" t="n">
        <x:v>1</x:v>
      </x:c>
      <x:c r="E979" s="10" t="n">
        <x:v>91.5527096204766</x:v>
      </x:c>
      <x:c r="F979" s="11" t="n">
        <x:v>1133</x:v>
      </x:c>
      <x:c r="G979" s="11" t="n">
        <x:v>0</x:v>
      </x:c>
      <x:c r="H979" s="11" t="n">
        <x:v>0</x:v>
      </x:c>
      <x:c r="I979" s="11" t="n">
        <x:v>0</x:v>
      </x:c>
      <x:c r="J979" s="11" t="n">
        <x:v>0</x:v>
      </x:c>
      <x:c r="K979" s="11" t="n">
        <x:v>1</x:v>
      </x:c>
      <x:c r="L979" s="11" t="n">
        <x:f>IF(B979="NED",1,IF(OR(B979="ED",B979="UN"),0,""))</x:f>
        <x:v>0</x:v>
      </x:c>
      <x:c r="M979" s="11" t="n">
        <x:f>IF(AND(K979=1,OR(B979="ED",B979="NED")),1,0)</x:f>
        <x:v>0</x:v>
      </x:c>
      <x:c r="N979" s="11" t="n">
        <x:f>IF(K979=1,1,0)</x:f>
        <x:v>1</x:v>
      </x:c>
      <x:c r="O979" s="12"/>
      <x:c r="P979" s="11" t="n">
        <x:v>0</x:v>
      </x:c>
      <x:c r="Q979" s="12" t="str">
        <x:v>AF-P59470-F1-model_v6</x:v>
      </x:c>
      <x:c r="R979" s="12" t="str">
        <x:v>ok</x:v>
      </x:c>
      <x:c r="S979" s="11" t="n">
        <x:v>595</x:v>
      </x:c>
      <x:c r="T979" s="11" t="n">
        <x:v>1133</x:v>
      </x:c>
    </x:row>
    <x:row r="980" ht="23" customHeight="1">
      <x:c r="A980" s="2" t="str">
        <x:v>P59997</x:v>
      </x:c>
      <x:c r="B980" s="2" t="str">
        <x:v>ED</x:v>
      </x:c>
      <x:c r="C980" s="2" t="n">
        <x:v>1</x:v>
      </x:c>
      <x:c r="D980" s="2" t="n">
        <x:v>1</x:v>
      </x:c>
      <x:c r="E980" s="10" t="n">
        <x:v>73.33546942291127</x:v>
      </x:c>
      <x:c r="F980" s="11" t="n">
        <x:v>1161</x:v>
      </x:c>
      <x:c r="G980" s="11" t="n">
        <x:v>0</x:v>
      </x:c>
      <x:c r="H980" s="11" t="n">
        <x:v>0</x:v>
      </x:c>
      <x:c r="I980" s="11" t="n">
        <x:v>0</x:v>
      </x:c>
      <x:c r="J980" s="11" t="n">
        <x:v>0</x:v>
      </x:c>
      <x:c r="K980" s="11" t="n">
        <x:v>1</x:v>
      </x:c>
      <x:c r="L980" s="11" t="n">
        <x:f>IF(B980="NED",1,IF(OR(B980="ED",B980="UN"),0,""))</x:f>
        <x:v>0</x:v>
      </x:c>
      <x:c r="M980" s="11" t="n">
        <x:f>IF(AND(K980=1,OR(B980="ED",B980="NED")),1,0)</x:f>
        <x:v>1</x:v>
      </x:c>
      <x:c r="N980" s="11" t="n">
        <x:f>IF(K980=1,1,0)</x:f>
        <x:v>1</x:v>
      </x:c>
      <x:c r="O980" s="12"/>
      <x:c r="P980" s="11" t="n">
        <x:v>0</x:v>
      </x:c>
      <x:c r="Q980" s="12" t="str">
        <x:v>AF-P59997-F1-model_v6</x:v>
      </x:c>
      <x:c r="R980" s="12" t="str">
        <x:v>ok</x:v>
      </x:c>
      <x:c r="S980" s="11" t="n">
        <x:v>596</x:v>
      </x:c>
      <x:c r="T980" s="11" t="n">
        <x:v>1161</x:v>
      </x:c>
    </x:row>
    <x:row r="981" ht="23" customHeight="1">
      <x:c r="A981" s="2" t="str">
        <x:v>P59999</x:v>
      </x:c>
      <x:c r="B981" s="2" t="str">
        <x:v>UN</x:v>
      </x:c>
      <x:c r="C981" s="2" t="n">
        <x:v>1</x:v>
      </x:c>
      <x:c r="D981" s="2" t="n">
        <x:v>1</x:v>
      </x:c>
      <x:c r="E981" s="10" t="n">
        <x:v>93.95065476190476</x:v>
      </x:c>
      <x:c r="F981" s="11" t="n">
        <x:v>168</x:v>
      </x:c>
      <x:c r="G981" s="11" t="n">
        <x:v>0</x:v>
      </x:c>
      <x:c r="H981" s="11" t="n">
        <x:v>0</x:v>
      </x:c>
      <x:c r="I981" s="11" t="n">
        <x:v>0</x:v>
      </x:c>
      <x:c r="J981" s="11" t="n">
        <x:v>0</x:v>
      </x:c>
      <x:c r="K981" s="11" t="n">
        <x:v>1</x:v>
      </x:c>
      <x:c r="L981" s="11" t="n">
        <x:f>IF(B981="NED",1,IF(OR(B981="ED",B981="UN"),0,""))</x:f>
        <x:v>0</x:v>
      </x:c>
      <x:c r="M981" s="11" t="n">
        <x:f>IF(AND(K981=1,OR(B981="ED",B981="NED")),1,0)</x:f>
        <x:v>0</x:v>
      </x:c>
      <x:c r="N981" s="11" t="n">
        <x:f>IF(K981=1,1,0)</x:f>
        <x:v>1</x:v>
      </x:c>
      <x:c r="O981" s="12"/>
      <x:c r="P981" s="11" t="n">
        <x:v>0</x:v>
      </x:c>
      <x:c r="Q981" s="12" t="str">
        <x:v>AF-P59999-F1-model_v6</x:v>
      </x:c>
      <x:c r="R981" s="12" t="str">
        <x:v>ok</x:v>
      </x:c>
      <x:c r="S981" s="11" t="n">
        <x:v>597</x:v>
      </x:c>
      <x:c r="T981" s="11" t="n">
        <x:v>168</x:v>
      </x:c>
    </x:row>
    <x:row r="982" ht="23" customHeight="1">
      <x:c r="A982" s="2" t="str">
        <x:v>P60122</x:v>
      </x:c>
      <x:c r="B982" s="2" t="str">
        <x:v>UN</x:v>
      </x:c>
      <x:c r="C982" s="2" t="n">
        <x:v>1</x:v>
      </x:c>
      <x:c r="D982" s="2" t="n">
        <x:v>1</x:v>
      </x:c>
      <x:c r="E982" s="10"/>
      <x:c r="F982" s="11" t="n">
        <x:v>456</x:v>
      </x:c>
      <x:c r="G982" s="11" t="n">
        <x:v>0</x:v>
      </x:c>
      <x:c r="H982" s="11" t="n">
        <x:v>0</x:v>
      </x:c>
      <x:c r="I982" s="11" t="n">
        <x:v>1</x:v>
      </x:c>
      <x:c r="J982" s="11" t="n">
        <x:v>0</x:v>
      </x:c>
      <x:c r="K982" s="11" t="n">
        <x:v>0</x:v>
      </x:c>
      <x:c r="L982" s="11" t="n">
        <x:f>IF(B982="NED",1,IF(OR(B982="ED",B982="UN"),0,""))</x:f>
        <x:v>0</x:v>
      </x:c>
      <x:c r="M982" s="11" t="n">
        <x:f>IF(AND(K982=1,OR(B982="ED",B982="NED")),1,0)</x:f>
        <x:v>0</x:v>
      </x:c>
      <x:c r="N982" s="11" t="n">
        <x:f>IF(K982=1,1,0)</x:f>
        <x:v>0</x:v>
      </x:c>
      <x:c r="O982" s="12" t="str">
        <x:v>Exclude UniProt Membrane keyword</x:v>
      </x:c>
      <x:c r="P982" s="11" t="n">
        <x:v>0</x:v>
      </x:c>
      <x:c r="Q982" s="12" t="str">
        <x:v>AF-P60122-F1-model_v6</x:v>
      </x:c>
      <x:c r="R982" s="12" t="str">
        <x:v>ok</x:v>
      </x:c>
      <x:c r="S982" s="11" t="n">
        <x:v>598</x:v>
      </x:c>
      <x:c r="T982" s="11" t="n">
        <x:v>456</x:v>
      </x:c>
    </x:row>
    <x:row r="983" ht="23" customHeight="1">
      <x:c r="A983" s="2" t="str">
        <x:v>P60229</x:v>
      </x:c>
      <x:c r="B983" s="2" t="str">
        <x:v>UN</x:v>
      </x:c>
      <x:c r="C983" s="2" t="n">
        <x:v>0</x:v>
      </x:c>
      <x:c r="D983" s="2" t="n">
        <x:v>0</x:v>
      </x:c>
      <x:c r="E983" s="10" t="n">
        <x:v>64.65377528089888</x:v>
      </x:c>
      <x:c r="F983" s="11" t="n">
        <x:v>445</x:v>
      </x:c>
      <x:c r="G983" s="11" t="n">
        <x:v>0</x:v>
      </x:c>
      <x:c r="H983" s="11" t="n">
        <x:v>0</x:v>
      </x:c>
      <x:c r="I983" s="11" t="n">
        <x:v>0</x:v>
      </x:c>
      <x:c r="J983" s="11" t="n">
        <x:v>0</x:v>
      </x:c>
      <x:c r="K983" s="11" t="n">
        <x:v>0</x:v>
      </x:c>
      <x:c r="L983" s="11" t="n">
        <x:f>IF(B983="NED",1,IF(OR(B983="ED",B983="UN"),0,""))</x:f>
        <x:v>0</x:v>
      </x:c>
      <x:c r="M983" s="11" t="n">
        <x:f>IF(AND(K983=1,OR(B983="ED",B983="NED")),1,0)</x:f>
        <x:v>0</x:v>
      </x:c>
      <x:c r="N983" s="11" t="n">
        <x:f>IF(K983=1,1,0)</x:f>
        <x:v>0</x:v>
      </x:c>
      <x:c r="O983" s="12" t="str">
        <x:v>Retain protein mean pLDDT &gt;=70</x:v>
      </x:c>
      <x:c r="P983" s="11" t="n">
        <x:v>0</x:v>
      </x:c>
      <x:c r="Q983" s="12" t="str">
        <x:v>AF-P60229-F1-model_v6</x:v>
      </x:c>
      <x:c r="R983" s="12" t="str">
        <x:v>ok</x:v>
      </x:c>
      <x:c r="S983" s="11" t="n">
        <x:v>599</x:v>
      </x:c>
      <x:c r="T983" s="11" t="n">
        <x:v>445</x:v>
      </x:c>
    </x:row>
    <x:row r="984" ht="23" customHeight="1">
      <x:c r="A984" s="2" t="str">
        <x:v>P60330</x:v>
      </x:c>
      <x:c r="B984" s="2" t="str">
        <x:v>ED</x:v>
      </x:c>
      <x:c r="C984" s="2" t="n">
        <x:v>1</x:v>
      </x:c>
      <x:c r="D984" s="2" t="n">
        <x:v>1</x:v>
      </x:c>
      <x:c r="E984" s="10" t="n">
        <x:v>75.68166666666666</x:v>
      </x:c>
      <x:c r="F984" s="11" t="n">
        <x:v>2118</x:v>
      </x:c>
      <x:c r="G984" s="11" t="n">
        <x:v>0</x:v>
      </x:c>
      <x:c r="H984" s="11" t="n">
        <x:v>0</x:v>
      </x:c>
      <x:c r="I984" s="11" t="n">
        <x:v>0</x:v>
      </x:c>
      <x:c r="J984" s="11" t="n">
        <x:v>0</x:v>
      </x:c>
      <x:c r="K984" s="11" t="n">
        <x:v>1</x:v>
      </x:c>
      <x:c r="L984" s="11" t="n">
        <x:f>IF(B984="NED",1,IF(OR(B984="ED",B984="UN"),0,""))</x:f>
        <x:v>0</x:v>
      </x:c>
      <x:c r="M984" s="11" t="n">
        <x:f>IF(AND(K984=1,OR(B984="ED",B984="NED")),1,0)</x:f>
        <x:v>1</x:v>
      </x:c>
      <x:c r="N984" s="11" t="n">
        <x:f>IF(K984=1,1,0)</x:f>
        <x:v>1</x:v>
      </x:c>
      <x:c r="O984" s="12"/>
      <x:c r="P984" s="11" t="n">
        <x:v>0</x:v>
      </x:c>
      <x:c r="Q984" s="12" t="str">
        <x:v>AF-P60330-F1-model_v6</x:v>
      </x:c>
      <x:c r="R984" s="12" t="str">
        <x:v>ok</x:v>
      </x:c>
      <x:c r="S984" s="11" t="n">
        <x:v>600</x:v>
      </x:c>
      <x:c r="T984" s="11" t="n">
        <x:v>2118</x:v>
      </x:c>
    </x:row>
    <x:row r="985" ht="23" customHeight="1">
      <x:c r="A985" s="2" t="str">
        <x:v>P60335</x:v>
      </x:c>
      <x:c r="B985" s="2" t="str">
        <x:v>ED</x:v>
      </x:c>
      <x:c r="C985" s="2" t="n">
        <x:v>1</x:v>
      </x:c>
      <x:c r="D985" s="2" t="n">
        <x:v>1</x:v>
      </x:c>
      <x:c r="E985" s="10" t="n">
        <x:v>68.72157303370787</x:v>
      </x:c>
      <x:c r="F985" s="11" t="n">
        <x:v>356</x:v>
      </x:c>
      <x:c r="G985" s="11" t="n">
        <x:v>0</x:v>
      </x:c>
      <x:c r="H985" s="11" t="n">
        <x:v>0</x:v>
      </x:c>
      <x:c r="I985" s="11" t="n">
        <x:v>0</x:v>
      </x:c>
      <x:c r="J985" s="11" t="n">
        <x:v>0</x:v>
      </x:c>
      <x:c r="K985" s="11" t="n">
        <x:v>0</x:v>
      </x:c>
      <x:c r="L985" s="11" t="n">
        <x:f>IF(B985="NED",1,IF(OR(B985="ED",B985="UN"),0,""))</x:f>
        <x:v>0</x:v>
      </x:c>
      <x:c r="M985" s="11" t="n">
        <x:f>IF(AND(K985=1,OR(B985="ED",B985="NED")),1,0)</x:f>
        <x:v>0</x:v>
      </x:c>
      <x:c r="N985" s="11" t="n">
        <x:f>IF(K985=1,1,0)</x:f>
        <x:v>0</x:v>
      </x:c>
      <x:c r="O985" s="12" t="str">
        <x:v>Retain protein mean pLDDT &gt;=70</x:v>
      </x:c>
      <x:c r="P985" s="11" t="n">
        <x:v>0</x:v>
      </x:c>
      <x:c r="Q985" s="12" t="str">
        <x:v>AF-P60335-F1-model_v6</x:v>
      </x:c>
      <x:c r="R985" s="12" t="str">
        <x:v>ok</x:v>
      </x:c>
      <x:c r="S985" s="11" t="n">
        <x:v>601</x:v>
      </x:c>
      <x:c r="T985" s="11" t="n">
        <x:v>356</x:v>
      </x:c>
    </x:row>
    <x:row r="986" ht="23" customHeight="1">
      <x:c r="A986" s="2" t="str">
        <x:v>P60521</x:v>
      </x:c>
      <x:c r="B986" s="2" t="str">
        <x:v>ED</x:v>
      </x:c>
      <x:c r="C986" s="2" t="n">
        <x:v>1</x:v>
      </x:c>
      <x:c r="D986" s="2" t="n">
        <x:v>1</x:v>
      </x:c>
      <x:c r="E986" s="10"/>
      <x:c r="F986" s="11" t="n">
        <x:v>117</x:v>
      </x:c>
      <x:c r="G986" s="11" t="n">
        <x:v>0</x:v>
      </x:c>
      <x:c r="H986" s="11" t="n">
        <x:v>0</x:v>
      </x:c>
      <x:c r="I986" s="11" t="n">
        <x:v>1</x:v>
      </x:c>
      <x:c r="J986" s="11" t="n">
        <x:v>0</x:v>
      </x:c>
      <x:c r="K986" s="11" t="n">
        <x:v>0</x:v>
      </x:c>
      <x:c r="L986" s="11" t="n">
        <x:f>IF(B986="NED",1,IF(OR(B986="ED",B986="UN"),0,""))</x:f>
        <x:v>0</x:v>
      </x:c>
      <x:c r="M986" s="11" t="n">
        <x:f>IF(AND(K986=1,OR(B986="ED",B986="NED")),1,0)</x:f>
        <x:v>0</x:v>
      </x:c>
      <x:c r="N986" s="11" t="n">
        <x:f>IF(K986=1,1,0)</x:f>
        <x:v>0</x:v>
      </x:c>
      <x:c r="O986" s="12" t="str">
        <x:v>Exclude UniProt Membrane keyword</x:v>
      </x:c>
      <x:c r="P986" s="11" t="n">
        <x:v>0</x:v>
      </x:c>
      <x:c r="Q986" s="12" t="str">
        <x:v>AF-P60521-F1-model_v6</x:v>
      </x:c>
      <x:c r="R986" s="12" t="str">
        <x:v>ok</x:v>
      </x:c>
      <x:c r="S986" s="11" t="n">
        <x:v>602</x:v>
      </x:c>
      <x:c r="T986" s="11" t="n">
        <x:v>117</x:v>
      </x:c>
    </x:row>
    <x:row r="987" ht="23" customHeight="1">
      <x:c r="A987" s="2" t="str">
        <x:v>P60603</x:v>
      </x:c>
      <x:c r="B987" s="2" t="str">
        <x:v>UN</x:v>
      </x:c>
      <x:c r="C987" s="2" t="n">
        <x:v>0</x:v>
      </x:c>
      <x:c r="D987" s="2" t="n">
        <x:v>0</x:v>
      </x:c>
      <x:c r="E987" s="10"/>
      <x:c r="F987" s="11" t="n">
        <x:v>79</x:v>
      </x:c>
      <x:c r="G987" s="11" t="n">
        <x:v>0</x:v>
      </x:c>
      <x:c r="H987" s="11" t="n">
        <x:v>0</x:v>
      </x:c>
      <x:c r="I987" s="11" t="n">
        <x:v>1</x:v>
      </x:c>
      <x:c r="J987" s="11" t="n">
        <x:v>0</x:v>
      </x:c>
      <x:c r="K987" s="11" t="n">
        <x:v>0</x:v>
      </x:c>
      <x:c r="L987" s="11" t="n">
        <x:f>IF(B987="NED",1,IF(OR(B987="ED",B987="UN"),0,""))</x:f>
        <x:v>0</x:v>
      </x:c>
      <x:c r="M987" s="11" t="n">
        <x:f>IF(AND(K987=1,OR(B987="ED",B987="NED")),1,0)</x:f>
        <x:v>0</x:v>
      </x:c>
      <x:c r="N987" s="11" t="n">
        <x:f>IF(K987=1,1,0)</x:f>
        <x:v>0</x:v>
      </x:c>
      <x:c r="O987" s="12" t="str">
        <x:v>Exclude UniProt Membrane keyword</x:v>
      </x:c>
      <x:c r="P987" s="11" t="n">
        <x:v>0</x:v>
      </x:c>
      <x:c r="Q987" s="12" t="str">
        <x:v>AF-P60603-F1-model_v6</x:v>
      </x:c>
      <x:c r="R987" s="12" t="str">
        <x:v>ok</x:v>
      </x:c>
      <x:c r="S987" s="11" t="n">
        <x:v>603</x:v>
      </x:c>
      <x:c r="T987" s="11" t="n">
        <x:v>79</x:v>
      </x:c>
    </x:row>
    <x:row r="988" ht="23" customHeight="1">
      <x:c r="A988" s="2" t="str">
        <x:v>P60670</x:v>
      </x:c>
      <x:c r="B988" s="2" t="str">
        <x:v>ED</x:v>
      </x:c>
      <x:c r="C988" s="2" t="n">
        <x:v>1</x:v>
      </x:c>
      <x:c r="D988" s="2" t="n">
        <x:v>1</x:v>
      </x:c>
      <x:c r="E988" s="10" t="n">
        <x:v>87.7896052631579</x:v>
      </x:c>
      <x:c r="F988" s="11" t="n">
        <x:v>608</x:v>
      </x:c>
      <x:c r="G988" s="11" t="n">
        <x:v>0</x:v>
      </x:c>
      <x:c r="H988" s="11" t="n">
        <x:v>0</x:v>
      </x:c>
      <x:c r="I988" s="11" t="n">
        <x:v>0</x:v>
      </x:c>
      <x:c r="J988" s="11" t="n">
        <x:v>0</x:v>
      </x:c>
      <x:c r="K988" s="11" t="n">
        <x:v>1</x:v>
      </x:c>
      <x:c r="L988" s="11" t="n">
        <x:f>IF(B988="NED",1,IF(OR(B988="ED",B988="UN"),0,""))</x:f>
        <x:v>0</x:v>
      </x:c>
      <x:c r="M988" s="11" t="n">
        <x:f>IF(AND(K988=1,OR(B988="ED",B988="NED")),1,0)</x:f>
        <x:v>1</x:v>
      </x:c>
      <x:c r="N988" s="11" t="n">
        <x:f>IF(K988=1,1,0)</x:f>
        <x:v>1</x:v>
      </x:c>
      <x:c r="O988" s="12"/>
      <x:c r="P988" s="11" t="n">
        <x:v>0</x:v>
      </x:c>
      <x:c r="Q988" s="12" t="str">
        <x:v>AF-P60670-F1-model_v6</x:v>
      </x:c>
      <x:c r="R988" s="12" t="str">
        <x:v>ok</x:v>
      </x:c>
      <x:c r="S988" s="11" t="n">
        <x:v>604</x:v>
      </x:c>
      <x:c r="T988" s="11" t="n">
        <x:v>608</x:v>
      </x:c>
    </x:row>
    <x:row r="989" ht="23" customHeight="1">
      <x:c r="A989" s="2" t="str">
        <x:v>P60710</x:v>
      </x:c>
      <x:c r="B989" s="2" t="str">
        <x:v>ED</x:v>
      </x:c>
      <x:c r="C989" s="2" t="n">
        <x:v>1</x:v>
      </x:c>
      <x:c r="D989" s="2" t="n">
        <x:v>1</x:v>
      </x:c>
      <x:c r="E989" s="10" t="n">
        <x:v>95.09146666666668</x:v>
      </x:c>
      <x:c r="F989" s="11" t="n">
        <x:v>375</x:v>
      </x:c>
      <x:c r="G989" s="11" t="n">
        <x:v>0</x:v>
      </x:c>
      <x:c r="H989" s="11" t="n">
        <x:v>0</x:v>
      </x:c>
      <x:c r="I989" s="11" t="n">
        <x:v>0</x:v>
      </x:c>
      <x:c r="J989" s="11" t="n">
        <x:v>0</x:v>
      </x:c>
      <x:c r="K989" s="11" t="n">
        <x:v>1</x:v>
      </x:c>
      <x:c r="L989" s="11" t="n">
        <x:f>IF(B989="NED",1,IF(OR(B989="ED",B989="UN"),0,""))</x:f>
        <x:v>0</x:v>
      </x:c>
      <x:c r="M989" s="11" t="n">
        <x:f>IF(AND(K989=1,OR(B989="ED",B989="NED")),1,0)</x:f>
        <x:v>1</x:v>
      </x:c>
      <x:c r="N989" s="11" t="n">
        <x:f>IF(K989=1,1,0)</x:f>
        <x:v>1</x:v>
      </x:c>
      <x:c r="O989" s="12"/>
      <x:c r="P989" s="11" t="n">
        <x:v>0</x:v>
      </x:c>
      <x:c r="Q989" s="12" t="str">
        <x:v>AF-P60710-F1-model_v6</x:v>
      </x:c>
      <x:c r="R989" s="12" t="str">
        <x:v>ok</x:v>
      </x:c>
      <x:c r="S989" s="11" t="n">
        <x:v>605</x:v>
      </x:c>
      <x:c r="T989" s="11" t="n">
        <x:v>375</x:v>
      </x:c>
    </x:row>
    <x:row r="990" ht="23" customHeight="1">
      <x:c r="A990" s="2" t="str">
        <x:v>P60766</x:v>
      </x:c>
      <x:c r="B990" s="2" t="str">
        <x:v>ED</x:v>
      </x:c>
      <x:c r="C990" s="2" t="n">
        <x:v>1</x:v>
      </x:c>
      <x:c r="D990" s="2" t="n">
        <x:v>1</x:v>
      </x:c>
      <x:c r="E990" s="10"/>
      <x:c r="F990" s="11" t="n">
        <x:v>191</x:v>
      </x:c>
      <x:c r="G990" s="11" t="n">
        <x:v>0</x:v>
      </x:c>
      <x:c r="H990" s="11" t="n">
        <x:v>0</x:v>
      </x:c>
      <x:c r="I990" s="11" t="n">
        <x:v>1</x:v>
      </x:c>
      <x:c r="J990" s="11" t="n">
        <x:v>0</x:v>
      </x:c>
      <x:c r="K990" s="11" t="n">
        <x:v>0</x:v>
      </x:c>
      <x:c r="L990" s="11" t="n">
        <x:f>IF(B990="NED",1,IF(OR(B990="ED",B990="UN"),0,""))</x:f>
        <x:v>0</x:v>
      </x:c>
      <x:c r="M990" s="11" t="n">
        <x:f>IF(AND(K990=1,OR(B990="ED",B990="NED")),1,0)</x:f>
        <x:v>0</x:v>
      </x:c>
      <x:c r="N990" s="11" t="n">
        <x:f>IF(K990=1,1,0)</x:f>
        <x:v>0</x:v>
      </x:c>
      <x:c r="O990" s="12" t="str">
        <x:v>Exclude UniProt Membrane keyword</x:v>
      </x:c>
      <x:c r="P990" s="11" t="n">
        <x:v>0</x:v>
      </x:c>
      <x:c r="Q990" s="12" t="str">
        <x:v>AF-P60766-F1-model_v6</x:v>
      </x:c>
      <x:c r="R990" s="12" t="str">
        <x:v>ok</x:v>
      </x:c>
      <x:c r="S990" s="11" t="n">
        <x:v>606</x:v>
      </x:c>
      <x:c r="T990" s="11" t="n">
        <x:v>191</x:v>
      </x:c>
    </x:row>
    <x:row r="991" ht="23" customHeight="1">
      <x:c r="A991" s="2" t="str">
        <x:v>P60843</x:v>
      </x:c>
      <x:c r="B991" s="2" t="str">
        <x:v>UN</x:v>
      </x:c>
      <x:c r="C991" s="2" t="n">
        <x:v>1</x:v>
      </x:c>
      <x:c r="D991" s="2" t="n">
        <x:v>1</x:v>
      </x:c>
      <x:c r="E991" s="10"/>
      <x:c r="F991" s="11" t="n">
        <x:v>406</x:v>
      </x:c>
      <x:c r="G991" s="11" t="n">
        <x:v>0</x:v>
      </x:c>
      <x:c r="H991" s="11" t="n">
        <x:v>0</x:v>
      </x:c>
      <x:c r="I991" s="11" t="n">
        <x:v>1</x:v>
      </x:c>
      <x:c r="J991" s="11" t="n">
        <x:v>0</x:v>
      </x:c>
      <x:c r="K991" s="11" t="n">
        <x:v>0</x:v>
      </x:c>
      <x:c r="L991" s="11" t="n">
        <x:f>IF(B991="NED",1,IF(OR(B991="ED",B991="UN"),0,""))</x:f>
        <x:v>0</x:v>
      </x:c>
      <x:c r="M991" s="11" t="n">
        <x:f>IF(AND(K991=1,OR(B991="ED",B991="NED")),1,0)</x:f>
        <x:v>0</x:v>
      </x:c>
      <x:c r="N991" s="11" t="n">
        <x:f>IF(K991=1,1,0)</x:f>
        <x:v>0</x:v>
      </x:c>
      <x:c r="O991" s="12" t="str">
        <x:v>Exclude UniProt Membrane keyword</x:v>
      </x:c>
      <x:c r="P991" s="11" t="n">
        <x:v>0</x:v>
      </x:c>
      <x:c r="Q991" s="12" t="str">
        <x:v>AF-P60843-F1-model_v6</x:v>
      </x:c>
      <x:c r="R991" s="12" t="str">
        <x:v>ok</x:v>
      </x:c>
      <x:c r="S991" s="11" t="n">
        <x:v>607</x:v>
      </x:c>
      <x:c r="T991" s="11" t="n">
        <x:v>406</x:v>
      </x:c>
    </x:row>
    <x:row r="992" ht="23" customHeight="1">
      <x:c r="A992" s="2" t="str">
        <x:v>P60867</x:v>
      </x:c>
      <x:c r="B992" s="2" t="str">
        <x:v>NED</x:v>
      </x:c>
      <x:c r="C992" s="2" t="n">
        <x:v>0</x:v>
      </x:c>
      <x:c r="D992" s="2" t="n">
        <x:v>0</x:v>
      </x:c>
      <x:c r="E992" s="10" t="n">
        <x:v>85.3435294117647</x:v>
      </x:c>
      <x:c r="F992" s="11" t="n">
        <x:v>119</x:v>
      </x:c>
      <x:c r="G992" s="11" t="n">
        <x:v>0</x:v>
      </x:c>
      <x:c r="H992" s="11" t="n">
        <x:v>0</x:v>
      </x:c>
      <x:c r="I992" s="11" t="n">
        <x:v>0</x:v>
      </x:c>
      <x:c r="J992" s="11" t="n">
        <x:v>0</x:v>
      </x:c>
      <x:c r="K992" s="11" t="n">
        <x:v>1</x:v>
      </x:c>
      <x:c r="L992" s="11" t="n">
        <x:f>IF(B992="NED",1,IF(OR(B992="ED",B992="UN"),0,""))</x:f>
        <x:v>1</x:v>
      </x:c>
      <x:c r="M992" s="11" t="n">
        <x:f>IF(AND(K992=1,OR(B992="ED",B992="NED")),1,0)</x:f>
        <x:v>1</x:v>
      </x:c>
      <x:c r="N992" s="11" t="n">
        <x:f>IF(K992=1,1,0)</x:f>
        <x:v>1</x:v>
      </x:c>
      <x:c r="O992" s="12"/>
      <x:c r="P992" s="11" t="n">
        <x:v>0</x:v>
      </x:c>
      <x:c r="Q992" s="12" t="str">
        <x:v>AF-P60867-F1-model_v6</x:v>
      </x:c>
      <x:c r="R992" s="12" t="str">
        <x:v>ok</x:v>
      </x:c>
      <x:c r="S992" s="11" t="n">
        <x:v>608</x:v>
      </x:c>
      <x:c r="T992" s="11" t="n">
        <x:v>119</x:v>
      </x:c>
    </x:row>
    <x:row r="993" ht="23" customHeight="1">
      <x:c r="A993" s="2" t="str">
        <x:v>P61021</x:v>
      </x:c>
      <x:c r="B993" s="2" t="str">
        <x:v>UN</x:v>
      </x:c>
      <x:c r="C993" s="2" t="n">
        <x:v>1</x:v>
      </x:c>
      <x:c r="D993" s="2" t="n">
        <x:v>1</x:v>
      </x:c>
      <x:c r="E993" s="10"/>
      <x:c r="F993" s="11" t="n">
        <x:v>215</x:v>
      </x:c>
      <x:c r="G993" s="11" t="n">
        <x:v>0</x:v>
      </x:c>
      <x:c r="H993" s="11" t="n">
        <x:v>0</x:v>
      </x:c>
      <x:c r="I993" s="11" t="n">
        <x:v>1</x:v>
      </x:c>
      <x:c r="J993" s="11" t="n">
        <x:v>0</x:v>
      </x:c>
      <x:c r="K993" s="11" t="n">
        <x:v>0</x:v>
      </x:c>
      <x:c r="L993" s="11" t="n">
        <x:f>IF(B993="NED",1,IF(OR(B993="ED",B993="UN"),0,""))</x:f>
        <x:v>0</x:v>
      </x:c>
      <x:c r="M993" s="11" t="n">
        <x:f>IF(AND(K993=1,OR(B993="ED",B993="NED")),1,0)</x:f>
        <x:v>0</x:v>
      </x:c>
      <x:c r="N993" s="11" t="n">
        <x:f>IF(K993=1,1,0)</x:f>
        <x:v>0</x:v>
      </x:c>
      <x:c r="O993" s="12" t="str">
        <x:v>Exclude UniProt Membrane keyword</x:v>
      </x:c>
      <x:c r="P993" s="11" t="n">
        <x:v>0</x:v>
      </x:c>
      <x:c r="Q993" s="12" t="str">
        <x:v>AF-P61021-F1-model_v6</x:v>
      </x:c>
      <x:c r="R993" s="12" t="str">
        <x:v>ok</x:v>
      </x:c>
      <x:c r="S993" s="11" t="n">
        <x:v>609</x:v>
      </x:c>
      <x:c r="T993" s="11" t="n">
        <x:v>215</x:v>
      </x:c>
    </x:row>
    <x:row r="994" ht="23" customHeight="1">
      <x:c r="A994" s="2" t="str">
        <x:v>P61027</x:v>
      </x:c>
      <x:c r="B994" s="2" t="str">
        <x:v>ED</x:v>
      </x:c>
      <x:c r="C994" s="2" t="n">
        <x:v>1</x:v>
      </x:c>
      <x:c r="D994" s="2" t="n">
        <x:v>1</x:v>
      </x:c>
      <x:c r="E994" s="10"/>
      <x:c r="F994" s="11" t="n">
        <x:v>200</x:v>
      </x:c>
      <x:c r="G994" s="11" t="n">
        <x:v>0</x:v>
      </x:c>
      <x:c r="H994" s="11" t="n">
        <x:v>0</x:v>
      </x:c>
      <x:c r="I994" s="11" t="n">
        <x:v>1</x:v>
      </x:c>
      <x:c r="J994" s="11" t="n">
        <x:v>0</x:v>
      </x:c>
      <x:c r="K994" s="11" t="n">
        <x:v>0</x:v>
      </x:c>
      <x:c r="L994" s="11" t="n">
        <x:f>IF(B994="NED",1,IF(OR(B994="ED",B994="UN"),0,""))</x:f>
        <x:v>0</x:v>
      </x:c>
      <x:c r="M994" s="11" t="n">
        <x:f>IF(AND(K994=1,OR(B994="ED",B994="NED")),1,0)</x:f>
        <x:v>0</x:v>
      </x:c>
      <x:c r="N994" s="11" t="n">
        <x:f>IF(K994=1,1,0)</x:f>
        <x:v>0</x:v>
      </x:c>
      <x:c r="O994" s="12" t="str">
        <x:v>Exclude UniProt Membrane keyword</x:v>
      </x:c>
      <x:c r="P994" s="11" t="n">
        <x:v>0</x:v>
      </x:c>
      <x:c r="Q994" s="12" t="str">
        <x:v>AF-P61027-F1-model_v6</x:v>
      </x:c>
      <x:c r="R994" s="12" t="str">
        <x:v>ok</x:v>
      </x:c>
      <x:c r="S994" s="11" t="n">
        <x:v>610</x:v>
      </x:c>
      <x:c r="T994" s="11" t="n">
        <x:v>200</x:v>
      </x:c>
    </x:row>
    <x:row r="995" ht="23" customHeight="1">
      <x:c r="A995" s="2" t="str">
        <x:v>P61079</x:v>
      </x:c>
      <x:c r="B995" s="2" t="str">
        <x:v>ED</x:v>
      </x:c>
      <x:c r="C995" s="2" t="n">
        <x:v>0</x:v>
      </x:c>
      <x:c r="D995" s="2" t="n">
        <x:v>0</x:v>
      </x:c>
      <x:c r="E995" s="10"/>
      <x:c r="F995" s="11" t="n">
        <x:v>147</x:v>
      </x:c>
      <x:c r="G995" s="11" t="n">
        <x:v>0</x:v>
      </x:c>
      <x:c r="H995" s="11" t="n">
        <x:v>0</x:v>
      </x:c>
      <x:c r="I995" s="11" t="n">
        <x:v>1</x:v>
      </x:c>
      <x:c r="J995" s="11" t="n">
        <x:v>0</x:v>
      </x:c>
      <x:c r="K995" s="11" t="n">
        <x:v>0</x:v>
      </x:c>
      <x:c r="L995" s="11" t="n">
        <x:f>IF(B995="NED",1,IF(OR(B995="ED",B995="UN"),0,""))</x:f>
        <x:v>0</x:v>
      </x:c>
      <x:c r="M995" s="11" t="n">
        <x:f>IF(AND(K995=1,OR(B995="ED",B995="NED")),1,0)</x:f>
        <x:v>0</x:v>
      </x:c>
      <x:c r="N995" s="11" t="n">
        <x:f>IF(K995=1,1,0)</x:f>
        <x:v>0</x:v>
      </x:c>
      <x:c r="O995" s="12" t="str">
        <x:v>Exclude UniProt Membrane keyword</x:v>
      </x:c>
      <x:c r="P995" s="11" t="n">
        <x:v>0</x:v>
      </x:c>
      <x:c r="Q995" s="12" t="str">
        <x:v>AF-P61079-F1-model_v6</x:v>
      </x:c>
      <x:c r="R995" s="12" t="str">
        <x:v>ok</x:v>
      </x:c>
      <x:c r="S995" s="11" t="n">
        <x:v>611</x:v>
      </x:c>
      <x:c r="T995" s="11" t="n">
        <x:v>147</x:v>
      </x:c>
    </x:row>
    <x:row r="996" ht="23" customHeight="1">
      <x:c r="A996" s="2" t="str">
        <x:v>P61082</x:v>
      </x:c>
      <x:c r="B996" s="2" t="str">
        <x:v>UN</x:v>
      </x:c>
      <x:c r="C996" s="2" t="n">
        <x:v>0</x:v>
      </x:c>
      <x:c r="D996" s="2" t="n">
        <x:v>0</x:v>
      </x:c>
      <x:c r="E996" s="10" t="n">
        <x:v>91.65551912568306</x:v>
      </x:c>
      <x:c r="F996" s="11" t="n">
        <x:v>183</x:v>
      </x:c>
      <x:c r="G996" s="11" t="n">
        <x:v>0</x:v>
      </x:c>
      <x:c r="H996" s="11" t="n">
        <x:v>0</x:v>
      </x:c>
      <x:c r="I996" s="11" t="n">
        <x:v>0</x:v>
      </x:c>
      <x:c r="J996" s="11" t="n">
        <x:v>0</x:v>
      </x:c>
      <x:c r="K996" s="11" t="n">
        <x:v>1</x:v>
      </x:c>
      <x:c r="L996" s="11" t="n">
        <x:f>IF(B996="NED",1,IF(OR(B996="ED",B996="UN"),0,""))</x:f>
        <x:v>0</x:v>
      </x:c>
      <x:c r="M996" s="11" t="n">
        <x:f>IF(AND(K996=1,OR(B996="ED",B996="NED")),1,0)</x:f>
        <x:v>0</x:v>
      </x:c>
      <x:c r="N996" s="11" t="n">
        <x:f>IF(K996=1,1,0)</x:f>
        <x:v>1</x:v>
      </x:c>
      <x:c r="O996" s="12"/>
      <x:c r="P996" s="11" t="n">
        <x:v>0</x:v>
      </x:c>
      <x:c r="Q996" s="12" t="str">
        <x:v>AF-P61082-F1-model_v6</x:v>
      </x:c>
      <x:c r="R996" s="12" t="str">
        <x:v>ok</x:v>
      </x:c>
      <x:c r="S996" s="11" t="n">
        <x:v>612</x:v>
      </x:c>
      <x:c r="T996" s="11" t="n">
        <x:v>183</x:v>
      </x:c>
    </x:row>
    <x:row r="997" ht="23" customHeight="1">
      <x:c r="A997" s="2" t="str">
        <x:v>P61087</x:v>
      </x:c>
      <x:c r="B997" s="2" t="str">
        <x:v>ED</x:v>
      </x:c>
      <x:c r="C997" s="2" t="n">
        <x:v>0</x:v>
      </x:c>
      <x:c r="D997" s="2" t="n">
        <x:v>0</x:v>
      </x:c>
      <x:c r="E997" s="10" t="n">
        <x:v>96.7283</x:v>
      </x:c>
      <x:c r="F997" s="11" t="n">
        <x:v>200</x:v>
      </x:c>
      <x:c r="G997" s="11" t="n">
        <x:v>0</x:v>
      </x:c>
      <x:c r="H997" s="11" t="n">
        <x:v>0</x:v>
      </x:c>
      <x:c r="I997" s="11" t="n">
        <x:v>0</x:v>
      </x:c>
      <x:c r="J997" s="11" t="n">
        <x:v>0</x:v>
      </x:c>
      <x:c r="K997" s="11" t="n">
        <x:v>1</x:v>
      </x:c>
      <x:c r="L997" s="11" t="n">
        <x:f>IF(B997="NED",1,IF(OR(B997="ED",B997="UN"),0,""))</x:f>
        <x:v>0</x:v>
      </x:c>
      <x:c r="M997" s="11" t="n">
        <x:f>IF(AND(K997=1,OR(B997="ED",B997="NED")),1,0)</x:f>
        <x:v>1</x:v>
      </x:c>
      <x:c r="N997" s="11" t="n">
        <x:f>IF(K997=1,1,0)</x:f>
        <x:v>1</x:v>
      </x:c>
      <x:c r="O997" s="12"/>
      <x:c r="P997" s="11" t="n">
        <x:v>0</x:v>
      </x:c>
      <x:c r="Q997" s="12" t="str">
        <x:v>AF-P61087-F1-model_v6</x:v>
      </x:c>
      <x:c r="R997" s="12" t="str">
        <x:v>ok</x:v>
      </x:c>
      <x:c r="S997" s="11" t="n">
        <x:v>613</x:v>
      </x:c>
      <x:c r="T997" s="11" t="n">
        <x:v>200</x:v>
      </x:c>
    </x:row>
    <x:row r="998" ht="23" customHeight="1">
      <x:c r="A998" s="2" t="str">
        <x:v>P61089</x:v>
      </x:c>
      <x:c r="B998" s="2" t="str">
        <x:v>ED</x:v>
      </x:c>
      <x:c r="C998" s="2" t="n">
        <x:v>0</x:v>
      </x:c>
      <x:c r="D998" s="2" t="n">
        <x:v>0</x:v>
      </x:c>
      <x:c r="E998" s="10" t="n">
        <x:v>95.87782894736844</x:v>
      </x:c>
      <x:c r="F998" s="11" t="n">
        <x:v>152</x:v>
      </x:c>
      <x:c r="G998" s="11" t="n">
        <x:v>0</x:v>
      </x:c>
      <x:c r="H998" s="11" t="n">
        <x:v>0</x:v>
      </x:c>
      <x:c r="I998" s="11" t="n">
        <x:v>0</x:v>
      </x:c>
      <x:c r="J998" s="11" t="n">
        <x:v>0</x:v>
      </x:c>
      <x:c r="K998" s="11" t="n">
        <x:v>1</x:v>
      </x:c>
      <x:c r="L998" s="11" t="n">
        <x:f>IF(B998="NED",1,IF(OR(B998="ED",B998="UN"),0,""))</x:f>
        <x:v>0</x:v>
      </x:c>
      <x:c r="M998" s="11" t="n">
        <x:f>IF(AND(K998=1,OR(B998="ED",B998="NED")),1,0)</x:f>
        <x:v>1</x:v>
      </x:c>
      <x:c r="N998" s="11" t="n">
        <x:f>IF(K998=1,1,0)</x:f>
        <x:v>1</x:v>
      </x:c>
      <x:c r="O998" s="12"/>
      <x:c r="P998" s="11" t="n">
        <x:v>0</x:v>
      </x:c>
      <x:c r="Q998" s="12" t="str">
        <x:v>AF-P61089-F1-model_v6</x:v>
      </x:c>
      <x:c r="R998" s="12" t="str">
        <x:v>ok</x:v>
      </x:c>
      <x:c r="S998" s="11" t="n">
        <x:v>614</x:v>
      </x:c>
      <x:c r="T998" s="11" t="n">
        <x:v>152</x:v>
      </x:c>
    </x:row>
    <x:row r="999" ht="23" customHeight="1">
      <x:c r="A999" s="2" t="str">
        <x:v>P61161</x:v>
      </x:c>
      <x:c r="B999" s="2" t="str">
        <x:v>ED</x:v>
      </x:c>
      <x:c r="C999" s="2" t="n">
        <x:v>1</x:v>
      </x:c>
      <x:c r="D999" s="2" t="n">
        <x:v>1</x:v>
      </x:c>
      <x:c r="E999" s="10" t="n">
        <x:v>94.25304568527918</x:v>
      </x:c>
      <x:c r="F999" s="11" t="n">
        <x:v>394</x:v>
      </x:c>
      <x:c r="G999" s="11" t="n">
        <x:v>0</x:v>
      </x:c>
      <x:c r="H999" s="11" t="n">
        <x:v>0</x:v>
      </x:c>
      <x:c r="I999" s="11" t="n">
        <x:v>0</x:v>
      </x:c>
      <x:c r="J999" s="11" t="n">
        <x:v>0</x:v>
      </x:c>
      <x:c r="K999" s="11" t="n">
        <x:v>1</x:v>
      </x:c>
      <x:c r="L999" s="11" t="n">
        <x:f>IF(B999="NED",1,IF(OR(B999="ED",B999="UN"),0,""))</x:f>
        <x:v>0</x:v>
      </x:c>
      <x:c r="M999" s="11" t="n">
        <x:f>IF(AND(K999=1,OR(B999="ED",B999="NED")),1,0)</x:f>
        <x:v>1</x:v>
      </x:c>
      <x:c r="N999" s="11" t="n">
        <x:f>IF(K999=1,1,0)</x:f>
        <x:v>1</x:v>
      </x:c>
      <x:c r="O999" s="12"/>
      <x:c r="P999" s="11" t="n">
        <x:v>0</x:v>
      </x:c>
      <x:c r="Q999" s="12" t="str">
        <x:v>AF-P61161-F1-model_v6</x:v>
      </x:c>
      <x:c r="R999" s="12" t="str">
        <x:v>ok</x:v>
      </x:c>
      <x:c r="S999" s="11" t="n">
        <x:v>615</x:v>
      </x:c>
      <x:c r="T999" s="11" t="n">
        <x:v>394</x:v>
      </x:c>
    </x:row>
    <x:row r="1000" ht="23" customHeight="1">
      <x:c r="A1000" s="2" t="str">
        <x:v>P61164</x:v>
      </x:c>
      <x:c r="B1000" s="2" t="str">
        <x:v>UN</x:v>
      </x:c>
      <x:c r="C1000" s="2" t="n">
        <x:v>1</x:v>
      </x:c>
      <x:c r="D1000" s="2" t="n">
        <x:v>1</x:v>
      </x:c>
      <x:c r="E1000" s="10" t="n">
        <x:v>92.87061170212766</x:v>
      </x:c>
      <x:c r="F1000" s="11" t="n">
        <x:v>376</x:v>
      </x:c>
      <x:c r="G1000" s="11" t="n">
        <x:v>0</x:v>
      </x:c>
      <x:c r="H1000" s="11" t="n">
        <x:v>0</x:v>
      </x:c>
      <x:c r="I1000" s="11" t="n">
        <x:v>0</x:v>
      </x:c>
      <x:c r="J1000" s="11" t="n">
        <x:v>0</x:v>
      </x:c>
      <x:c r="K1000" s="11" t="n">
        <x:v>1</x:v>
      </x:c>
      <x:c r="L1000" s="11" t="n">
        <x:f>IF(B1000="NED",1,IF(OR(B1000="ED",B1000="UN"),0,""))</x:f>
        <x:v>0</x:v>
      </x:c>
      <x:c r="M1000" s="11" t="n">
        <x:f>IF(AND(K1000=1,OR(B1000="ED",B1000="NED")),1,0)</x:f>
        <x:v>0</x:v>
      </x:c>
      <x:c r="N1000" s="11" t="n">
        <x:f>IF(K1000=1,1,0)</x:f>
        <x:v>1</x:v>
      </x:c>
      <x:c r="O1000" s="12"/>
      <x:c r="P1000" s="11" t="n">
        <x:v>0</x:v>
      </x:c>
      <x:c r="Q1000" s="12" t="str">
        <x:v>AF-P61164-F1-model_v6</x:v>
      </x:c>
      <x:c r="R1000" s="12" t="str">
        <x:v>ok</x:v>
      </x:c>
      <x:c r="S1000" s="11" t="n">
        <x:v>616</x:v>
      </x:c>
      <x:c r="T1000" s="11" t="n">
        <x:v>376</x:v>
      </x:c>
    </x:row>
    <x:row r="1001" ht="23" customHeight="1">
      <x:c r="A1001" s="2" t="str">
        <x:v>P61202</x:v>
      </x:c>
      <x:c r="B1001" s="2" t="str">
        <x:v>UN</x:v>
      </x:c>
      <x:c r="C1001" s="2" t="n">
        <x:v>0</x:v>
      </x:c>
      <x:c r="D1001" s="2" t="n">
        <x:v>0</x:v>
      </x:c>
      <x:c r="E1001" s="10" t="n">
        <x:v>83.52722347629796</x:v>
      </x:c>
      <x:c r="F1001" s="11" t="n">
        <x:v>443</x:v>
      </x:c>
      <x:c r="G1001" s="11" t="n">
        <x:v>0</x:v>
      </x:c>
      <x:c r="H1001" s="11" t="n">
        <x:v>0</x:v>
      </x:c>
      <x:c r="I1001" s="11" t="n">
        <x:v>0</x:v>
      </x:c>
      <x:c r="J1001" s="11" t="n">
        <x:v>0</x:v>
      </x:c>
      <x:c r="K1001" s="11" t="n">
        <x:v>1</x:v>
      </x:c>
      <x:c r="L1001" s="11" t="n">
        <x:f>IF(B1001="NED",1,IF(OR(B1001="ED",B1001="UN"),0,""))</x:f>
        <x:v>0</x:v>
      </x:c>
      <x:c r="M1001" s="11" t="n">
        <x:f>IF(AND(K1001=1,OR(B1001="ED",B1001="NED")),1,0)</x:f>
        <x:v>0</x:v>
      </x:c>
      <x:c r="N1001" s="11" t="n">
        <x:f>IF(K1001=1,1,0)</x:f>
        <x:v>1</x:v>
      </x:c>
      <x:c r="O1001" s="12"/>
      <x:c r="P1001" s="11" t="n">
        <x:v>0</x:v>
      </x:c>
      <x:c r="Q1001" s="12" t="str">
        <x:v>AF-P61202-F1-model_v6</x:v>
      </x:c>
      <x:c r="R1001" s="12" t="str">
        <x:v>ok</x:v>
      </x:c>
      <x:c r="S1001" s="11" t="n">
        <x:v>617</x:v>
      </x:c>
      <x:c r="T1001" s="11" t="n">
        <x:v>443</x:v>
      </x:c>
    </x:row>
    <x:row r="1002" ht="23" customHeight="1">
      <x:c r="A1002" s="2" t="str">
        <x:v>P61211</x:v>
      </x:c>
      <x:c r="B1002" s="2" t="str">
        <x:v>UN</x:v>
      </x:c>
      <x:c r="C1002" s="2" t="n">
        <x:v>1</x:v>
      </x:c>
      <x:c r="D1002" s="2" t="n">
        <x:v>1</x:v>
      </x:c>
      <x:c r="E1002" s="10"/>
      <x:c r="F1002" s="11" t="n">
        <x:v>181</x:v>
      </x:c>
      <x:c r="G1002" s="11" t="n">
        <x:v>0</x:v>
      </x:c>
      <x:c r="H1002" s="11" t="n">
        <x:v>0</x:v>
      </x:c>
      <x:c r="I1002" s="11" t="n">
        <x:v>1</x:v>
      </x:c>
      <x:c r="J1002" s="11" t="n">
        <x:v>0</x:v>
      </x:c>
      <x:c r="K1002" s="11" t="n">
        <x:v>0</x:v>
      </x:c>
      <x:c r="L1002" s="11" t="n">
        <x:f>IF(B1002="NED",1,IF(OR(B1002="ED",B1002="UN"),0,""))</x:f>
        <x:v>0</x:v>
      </x:c>
      <x:c r="M1002" s="11" t="n">
        <x:f>IF(AND(K1002=1,OR(B1002="ED",B1002="NED")),1,0)</x:f>
        <x:v>0</x:v>
      </x:c>
      <x:c r="N1002" s="11" t="n">
        <x:f>IF(K1002=1,1,0)</x:f>
        <x:v>0</x:v>
      </x:c>
      <x:c r="O1002" s="12" t="str">
        <x:v>Exclude UniProt Membrane keyword</x:v>
      </x:c>
      <x:c r="P1002" s="11" t="n">
        <x:v>0</x:v>
      </x:c>
      <x:c r="Q1002" s="12" t="str">
        <x:v>AF-P61211-F1-model_v6</x:v>
      </x:c>
      <x:c r="R1002" s="12" t="str">
        <x:v>ok</x:v>
      </x:c>
      <x:c r="S1002" s="11" t="n">
        <x:v>618</x:v>
      </x:c>
      <x:c r="T1002" s="11" t="n">
        <x:v>181</x:v>
      </x:c>
    </x:row>
    <x:row r="1003" ht="23" customHeight="1">
      <x:c r="A1003" s="2" t="str">
        <x:v>P61222</x:v>
      </x:c>
      <x:c r="B1003" s="2" t="str">
        <x:v>ED</x:v>
      </x:c>
      <x:c r="C1003" s="2" t="n">
        <x:v>1</x:v>
      </x:c>
      <x:c r="D1003" s="2" t="n">
        <x:v>1</x:v>
      </x:c>
      <x:c r="E1003" s="10" t="n">
        <x:v>87.27974958263773</x:v>
      </x:c>
      <x:c r="F1003" s="11" t="n">
        <x:v>599</x:v>
      </x:c>
      <x:c r="G1003" s="11" t="n">
        <x:v>0</x:v>
      </x:c>
      <x:c r="H1003" s="11" t="n">
        <x:v>0</x:v>
      </x:c>
      <x:c r="I1003" s="11" t="n">
        <x:v>0</x:v>
      </x:c>
      <x:c r="J1003" s="11" t="n">
        <x:v>0</x:v>
      </x:c>
      <x:c r="K1003" s="11" t="n">
        <x:v>1</x:v>
      </x:c>
      <x:c r="L1003" s="11" t="n">
        <x:f>IF(B1003="NED",1,IF(OR(B1003="ED",B1003="UN"),0,""))</x:f>
        <x:v>0</x:v>
      </x:c>
      <x:c r="M1003" s="11" t="n">
        <x:f>IF(AND(K1003=1,OR(B1003="ED",B1003="NED")),1,0)</x:f>
        <x:v>1</x:v>
      </x:c>
      <x:c r="N1003" s="11" t="n">
        <x:f>IF(K1003=1,1,0)</x:f>
        <x:v>1</x:v>
      </x:c>
      <x:c r="O1003" s="12"/>
      <x:c r="P1003" s="11" t="n">
        <x:v>0</x:v>
      </x:c>
      <x:c r="Q1003" s="12" t="str">
        <x:v>AF-P61222-F1-model_v6</x:v>
      </x:c>
      <x:c r="R1003" s="12" t="str">
        <x:v>ok</x:v>
      </x:c>
      <x:c r="S1003" s="11" t="n">
        <x:v>619</x:v>
      </x:c>
      <x:c r="T1003" s="11" t="n">
        <x:v>599</x:v>
      </x:c>
    </x:row>
    <x:row r="1004" ht="23" customHeight="1">
      <x:c r="A1004" s="2" t="str">
        <x:v>P61255</x:v>
      </x:c>
      <x:c r="B1004" s="2" t="str">
        <x:v>NED</x:v>
      </x:c>
      <x:c r="C1004" s="2" t="n">
        <x:v>1</x:v>
      </x:c>
      <x:c r="D1004" s="2" t="n">
        <x:v>1</x:v>
      </x:c>
      <x:c r="E1004" s="10" t="n">
        <x:v>92.78255172413792</x:v>
      </x:c>
      <x:c r="F1004" s="11" t="n">
        <x:v>145</x:v>
      </x:c>
      <x:c r="G1004" s="11" t="n">
        <x:v>0</x:v>
      </x:c>
      <x:c r="H1004" s="11" t="n">
        <x:v>0</x:v>
      </x:c>
      <x:c r="I1004" s="11" t="n">
        <x:v>0</x:v>
      </x:c>
      <x:c r="J1004" s="11" t="n">
        <x:v>0</x:v>
      </x:c>
      <x:c r="K1004" s="11" t="n">
        <x:v>1</x:v>
      </x:c>
      <x:c r="L1004" s="11" t="n">
        <x:f>IF(B1004="NED",1,IF(OR(B1004="ED",B1004="UN"),0,""))</x:f>
        <x:v>1</x:v>
      </x:c>
      <x:c r="M1004" s="11" t="n">
        <x:f>IF(AND(K1004=1,OR(B1004="ED",B1004="NED")),1,0)</x:f>
        <x:v>1</x:v>
      </x:c>
      <x:c r="N1004" s="11" t="n">
        <x:f>IF(K1004=1,1,0)</x:f>
        <x:v>1</x:v>
      </x:c>
      <x:c r="O1004" s="12"/>
      <x:c r="P1004" s="11" t="n">
        <x:v>0</x:v>
      </x:c>
      <x:c r="Q1004" s="12" t="str">
        <x:v>AF-P61255-F1-model_v6</x:v>
      </x:c>
      <x:c r="R1004" s="12" t="str">
        <x:v>ok</x:v>
      </x:c>
      <x:c r="S1004" s="11" t="n">
        <x:v>620</x:v>
      </x:c>
      <x:c r="T1004" s="11" t="n">
        <x:v>145</x:v>
      </x:c>
    </x:row>
    <x:row r="1005" ht="23" customHeight="1">
      <x:c r="A1005" s="2" t="str">
        <x:v>P61290</x:v>
      </x:c>
      <x:c r="B1005" s="2" t="str">
        <x:v>ED</x:v>
      </x:c>
      <x:c r="C1005" s="2" t="n">
        <x:v>0</x:v>
      </x:c>
      <x:c r="D1005" s="2" t="n">
        <x:v>0</x:v>
      </x:c>
      <x:c r="E1005" s="10" t="n">
        <x:v>86.68362204724409</x:v>
      </x:c>
      <x:c r="F1005" s="11" t="n">
        <x:v>254</x:v>
      </x:c>
      <x:c r="G1005" s="11" t="n">
        <x:v>0</x:v>
      </x:c>
      <x:c r="H1005" s="11" t="n">
        <x:v>0</x:v>
      </x:c>
      <x:c r="I1005" s="11" t="n">
        <x:v>0</x:v>
      </x:c>
      <x:c r="J1005" s="11" t="n">
        <x:v>0</x:v>
      </x:c>
      <x:c r="K1005" s="11" t="n">
        <x:v>1</x:v>
      </x:c>
      <x:c r="L1005" s="11" t="n">
        <x:f>IF(B1005="NED",1,IF(OR(B1005="ED",B1005="UN"),0,""))</x:f>
        <x:v>0</x:v>
      </x:c>
      <x:c r="M1005" s="11" t="n">
        <x:f>IF(AND(K1005=1,OR(B1005="ED",B1005="NED")),1,0)</x:f>
        <x:v>1</x:v>
      </x:c>
      <x:c r="N1005" s="11" t="n">
        <x:f>IF(K1005=1,1,0)</x:f>
        <x:v>1</x:v>
      </x:c>
      <x:c r="O1005" s="12"/>
      <x:c r="P1005" s="11" t="n">
        <x:v>0</x:v>
      </x:c>
      <x:c r="Q1005" s="12" t="str">
        <x:v>AF-P61290-F1-model_v6</x:v>
      </x:c>
      <x:c r="R1005" s="12" t="str">
        <x:v>ok</x:v>
      </x:c>
      <x:c r="S1005" s="11" t="n">
        <x:v>621</x:v>
      </x:c>
      <x:c r="T1005" s="11" t="n">
        <x:v>254</x:v>
      </x:c>
    </x:row>
    <x:row r="1006" ht="23" customHeight="1">
      <x:c r="A1006" s="2" t="str">
        <x:v>P61327</x:v>
      </x:c>
      <x:c r="B1006" s="2" t="str">
        <x:v>UN</x:v>
      </x:c>
      <x:c r="C1006" s="2" t="n">
        <x:v>1</x:v>
      </x:c>
      <x:c r="D1006" s="2" t="n">
        <x:v>1</x:v>
      </x:c>
      <x:c r="E1006" s="10" t="n">
        <x:v>93.81294520547944</x:v>
      </x:c>
      <x:c r="F1006" s="11" t="n">
        <x:v>146</x:v>
      </x:c>
      <x:c r="G1006" s="11" t="n">
        <x:v>0</x:v>
      </x:c>
      <x:c r="H1006" s="11" t="n">
        <x:v>0</x:v>
      </x:c>
      <x:c r="I1006" s="11" t="n">
        <x:v>0</x:v>
      </x:c>
      <x:c r="J1006" s="11" t="n">
        <x:v>0</x:v>
      </x:c>
      <x:c r="K1006" s="11" t="n">
        <x:v>1</x:v>
      </x:c>
      <x:c r="L1006" s="11" t="n">
        <x:f>IF(B1006="NED",1,IF(OR(B1006="ED",B1006="UN"),0,""))</x:f>
        <x:v>0</x:v>
      </x:c>
      <x:c r="M1006" s="11" t="n">
        <x:f>IF(AND(K1006=1,OR(B1006="ED",B1006="NED")),1,0)</x:f>
        <x:v>0</x:v>
      </x:c>
      <x:c r="N1006" s="11" t="n">
        <x:f>IF(K1006=1,1,0)</x:f>
        <x:v>1</x:v>
      </x:c>
      <x:c r="O1006" s="12"/>
      <x:c r="P1006" s="11" t="n">
        <x:v>0</x:v>
      </x:c>
      <x:c r="Q1006" s="12" t="str">
        <x:v>AF-P61327-F1-model_v6</x:v>
      </x:c>
      <x:c r="R1006" s="12" t="str">
        <x:v>ok</x:v>
      </x:c>
      <x:c r="S1006" s="11" t="n">
        <x:v>622</x:v>
      </x:c>
      <x:c r="T1006" s="11" t="n">
        <x:v>146</x:v>
      </x:c>
    </x:row>
    <x:row r="1007" ht="23" customHeight="1">
      <x:c r="A1007" s="2" t="str">
        <x:v>P61406</x:v>
      </x:c>
      <x:c r="B1007" s="2" t="str">
        <x:v>ED</x:v>
      </x:c>
      <x:c r="C1007" s="2" t="n">
        <x:v>1</x:v>
      </x:c>
      <x:c r="D1007" s="2" t="n">
        <x:v>1</x:v>
      </x:c>
      <x:c r="E1007" s="10" t="n">
        <x:v>63.952299012693935</x:v>
      </x:c>
      <x:c r="F1007" s="11" t="n">
        <x:v>1418</x:v>
      </x:c>
      <x:c r="G1007" s="11" t="n">
        <x:v>0</x:v>
      </x:c>
      <x:c r="H1007" s="11" t="n">
        <x:v>0</x:v>
      </x:c>
      <x:c r="I1007" s="11" t="n">
        <x:v>0</x:v>
      </x:c>
      <x:c r="J1007" s="11" t="n">
        <x:v>0</x:v>
      </x:c>
      <x:c r="K1007" s="11" t="n">
        <x:v>0</x:v>
      </x:c>
      <x:c r="L1007" s="11" t="n">
        <x:f>IF(B1007="NED",1,IF(OR(B1007="ED",B1007="UN"),0,""))</x:f>
        <x:v>0</x:v>
      </x:c>
      <x:c r="M1007" s="11" t="n">
        <x:f>IF(AND(K1007=1,OR(B1007="ED",B1007="NED")),1,0)</x:f>
        <x:v>0</x:v>
      </x:c>
      <x:c r="N1007" s="11" t="n">
        <x:f>IF(K1007=1,1,0)</x:f>
        <x:v>0</x:v>
      </x:c>
      <x:c r="O1007" s="12" t="str">
        <x:v>Retain protein mean pLDDT &gt;=70</x:v>
      </x:c>
      <x:c r="P1007" s="11" t="n">
        <x:v>0</x:v>
      </x:c>
      <x:c r="Q1007" s="12" t="str">
        <x:v>AF-P61406-F1-model_v6</x:v>
      </x:c>
      <x:c r="R1007" s="12" t="str">
        <x:v>ok</x:v>
      </x:c>
      <x:c r="S1007" s="11" t="n">
        <x:v>623</x:v>
      </x:c>
      <x:c r="T1007" s="11" t="n">
        <x:v>1418</x:v>
      </x:c>
    </x:row>
    <x:row r="1008" ht="23" customHeight="1">
      <x:c r="A1008" s="2" t="str">
        <x:v>P61514</x:v>
      </x:c>
      <x:c r="B1008" s="2" t="str">
        <x:v>UN</x:v>
      </x:c>
      <x:c r="C1008" s="2" t="n">
        <x:v>0</x:v>
      </x:c>
      <x:c r="D1008" s="2" t="n">
        <x:v>0</x:v>
      </x:c>
      <x:c r="E1008" s="10" t="n">
        <x:v>96.35271739130437</x:v>
      </x:c>
      <x:c r="F1008" s="11" t="n">
        <x:v>92</x:v>
      </x:c>
      <x:c r="G1008" s="11" t="n">
        <x:v>0</x:v>
      </x:c>
      <x:c r="H1008" s="11" t="n">
        <x:v>0</x:v>
      </x:c>
      <x:c r="I1008" s="11" t="n">
        <x:v>0</x:v>
      </x:c>
      <x:c r="J1008" s="11" t="n">
        <x:v>0</x:v>
      </x:c>
      <x:c r="K1008" s="11" t="n">
        <x:v>1</x:v>
      </x:c>
      <x:c r="L1008" s="11" t="n">
        <x:f>IF(B1008="NED",1,IF(OR(B1008="ED",B1008="UN"),0,""))</x:f>
        <x:v>0</x:v>
      </x:c>
      <x:c r="M1008" s="11" t="n">
        <x:f>IF(AND(K1008=1,OR(B1008="ED",B1008="NED")),1,0)</x:f>
        <x:v>0</x:v>
      </x:c>
      <x:c r="N1008" s="11" t="n">
        <x:f>IF(K1008=1,1,0)</x:f>
        <x:v>1</x:v>
      </x:c>
      <x:c r="O1008" s="12"/>
      <x:c r="P1008" s="11" t="n">
        <x:v>0</x:v>
      </x:c>
      <x:c r="Q1008" s="12" t="str">
        <x:v>AF-P61514-F1-model_v6</x:v>
      </x:c>
      <x:c r="R1008" s="12" t="str">
        <x:v>ok</x:v>
      </x:c>
      <x:c r="S1008" s="11" t="n">
        <x:v>624</x:v>
      </x:c>
      <x:c r="T1008" s="11" t="n">
        <x:v>92</x:v>
      </x:c>
    </x:row>
    <x:row r="1009" ht="23" customHeight="1">
      <x:c r="A1009" s="2" t="str">
        <x:v>P61588</x:v>
      </x:c>
      <x:c r="B1009" s="2" t="str">
        <x:v>UN</x:v>
      </x:c>
      <x:c r="C1009" s="2" t="n">
        <x:v>1</x:v>
      </x:c>
      <x:c r="D1009" s="2" t="n">
        <x:v>1</x:v>
      </x:c>
      <x:c r="E1009" s="10"/>
      <x:c r="F1009" s="11" t="n">
        <x:v>244</x:v>
      </x:c>
      <x:c r="G1009" s="11" t="n">
        <x:v>0</x:v>
      </x:c>
      <x:c r="H1009" s="11" t="n">
        <x:v>0</x:v>
      </x:c>
      <x:c r="I1009" s="11" t="n">
        <x:v>1</x:v>
      </x:c>
      <x:c r="J1009" s="11" t="n">
        <x:v>0</x:v>
      </x:c>
      <x:c r="K1009" s="11" t="n">
        <x:v>0</x:v>
      </x:c>
      <x:c r="L1009" s="11" t="n">
        <x:f>IF(B1009="NED",1,IF(OR(B1009="ED",B1009="UN"),0,""))</x:f>
        <x:v>0</x:v>
      </x:c>
      <x:c r="M1009" s="11" t="n">
        <x:f>IF(AND(K1009=1,OR(B1009="ED",B1009="NED")),1,0)</x:f>
        <x:v>0</x:v>
      </x:c>
      <x:c r="N1009" s="11" t="n">
        <x:f>IF(K1009=1,1,0)</x:f>
        <x:v>0</x:v>
      </x:c>
      <x:c r="O1009" s="12" t="str">
        <x:v>Exclude UniProt Membrane keyword</x:v>
      </x:c>
      <x:c r="P1009" s="11" t="n">
        <x:v>0</x:v>
      </x:c>
      <x:c r="Q1009" s="12" t="str">
        <x:v>AF-P61588-F1-model_v6</x:v>
      </x:c>
      <x:c r="R1009" s="12" t="str">
        <x:v>ok</x:v>
      </x:c>
      <x:c r="S1009" s="11" t="n">
        <x:v>625</x:v>
      </x:c>
      <x:c r="T1009" s="11" t="n">
        <x:v>244</x:v>
      </x:c>
    </x:row>
    <x:row r="1010" ht="23" customHeight="1">
      <x:c r="A1010" s="2" t="str">
        <x:v>P61620</x:v>
      </x:c>
      <x:c r="B1010" s="2" t="str">
        <x:v>UN</x:v>
      </x:c>
      <x:c r="C1010" s="2" t="n">
        <x:v>1</x:v>
      </x:c>
      <x:c r="D1010" s="2" t="n">
        <x:v>1</x:v>
      </x:c>
      <x:c r="E1010" s="10"/>
      <x:c r="F1010" s="11" t="n">
        <x:v>476</x:v>
      </x:c>
      <x:c r="G1010" s="11" t="n">
        <x:v>0</x:v>
      </x:c>
      <x:c r="H1010" s="11" t="n">
        <x:v>0</x:v>
      </x:c>
      <x:c r="I1010" s="11" t="n">
        <x:v>1</x:v>
      </x:c>
      <x:c r="J1010" s="11" t="n">
        <x:v>0</x:v>
      </x:c>
      <x:c r="K1010" s="11" t="n">
        <x:v>0</x:v>
      </x:c>
      <x:c r="L1010" s="11" t="n">
        <x:f>IF(B1010="NED",1,IF(OR(B1010="ED",B1010="UN"),0,""))</x:f>
        <x:v>0</x:v>
      </x:c>
      <x:c r="M1010" s="11" t="n">
        <x:f>IF(AND(K1010=1,OR(B1010="ED",B1010="NED")),1,0)</x:f>
        <x:v>0</x:v>
      </x:c>
      <x:c r="N1010" s="11" t="n">
        <x:f>IF(K1010=1,1,0)</x:f>
        <x:v>0</x:v>
      </x:c>
      <x:c r="O1010" s="12" t="str">
        <x:v>Exclude UniProt Membrane keyword</x:v>
      </x:c>
      <x:c r="P1010" s="11" t="n">
        <x:v>0</x:v>
      </x:c>
      <x:c r="Q1010" s="12" t="str">
        <x:v>AF-P61620-F1-model_v6</x:v>
      </x:c>
      <x:c r="R1010" s="12" t="str">
        <x:v>ok</x:v>
      </x:c>
      <x:c r="S1010" s="11" t="n">
        <x:v>626</x:v>
      </x:c>
      <x:c r="T1010" s="11" t="n">
        <x:v>476</x:v>
      </x:c>
    </x:row>
    <x:row r="1011" ht="23" customHeight="1">
      <x:c r="A1011" s="2" t="str">
        <x:v>P61622</x:v>
      </x:c>
      <x:c r="B1011" s="2" t="str">
        <x:v>ED</x:v>
      </x:c>
      <x:c r="C1011" s="2" t="n">
        <x:v>1</x:v>
      </x:c>
      <x:c r="D1011" s="2" t="n">
        <x:v>1</x:v>
      </x:c>
      <x:c r="E1011" s="10"/>
      <x:c r="F1011" s="11" t="n">
        <x:v>1188</x:v>
      </x:c>
      <x:c r="G1011" s="11" t="n">
        <x:v>0</x:v>
      </x:c>
      <x:c r="H1011" s="11" t="n">
        <x:v>0</x:v>
      </x:c>
      <x:c r="I1011" s="11" t="n">
        <x:v>1</x:v>
      </x:c>
      <x:c r="J1011" s="11" t="n">
        <x:v>0</x:v>
      </x:c>
      <x:c r="K1011" s="11" t="n">
        <x:v>0</x:v>
      </x:c>
      <x:c r="L1011" s="11" t="n">
        <x:f>IF(B1011="NED",1,IF(OR(B1011="ED",B1011="UN"),0,""))</x:f>
        <x:v>0</x:v>
      </x:c>
      <x:c r="M1011" s="11" t="n">
        <x:f>IF(AND(K1011=1,OR(B1011="ED",B1011="NED")),1,0)</x:f>
        <x:v>0</x:v>
      </x:c>
      <x:c r="N1011" s="11" t="n">
        <x:f>IF(K1011=1,1,0)</x:f>
        <x:v>0</x:v>
      </x:c>
      <x:c r="O1011" s="12" t="str">
        <x:v>Exclude UniProt Membrane keyword</x:v>
      </x:c>
      <x:c r="P1011" s="11" t="n">
        <x:v>0</x:v>
      </x:c>
      <x:c r="Q1011" s="12" t="str">
        <x:v>AF-P61622-F1-model_v6</x:v>
      </x:c>
      <x:c r="R1011" s="12" t="str">
        <x:v>ok</x:v>
      </x:c>
      <x:c r="S1011" s="11" t="n">
        <x:v>627</x:v>
      </x:c>
      <x:c r="T1011" s="11" t="n">
        <x:v>1188</x:v>
      </x:c>
    </x:row>
    <x:row r="1012" ht="23" customHeight="1">
      <x:c r="A1012" s="2" t="str">
        <x:v>P61924</x:v>
      </x:c>
      <x:c r="B1012" s="2" t="str">
        <x:v>NED</x:v>
      </x:c>
      <x:c r="C1012" s="2" t="n">
        <x:v>1</x:v>
      </x:c>
      <x:c r="D1012" s="2" t="n">
        <x:v>1</x:v>
      </x:c>
      <x:c r="E1012" s="10"/>
      <x:c r="F1012" s="11" t="n">
        <x:v>177</x:v>
      </x:c>
      <x:c r="G1012" s="11" t="n">
        <x:v>0</x:v>
      </x:c>
      <x:c r="H1012" s="11" t="n">
        <x:v>0</x:v>
      </x:c>
      <x:c r="I1012" s="11" t="n">
        <x:v>1</x:v>
      </x:c>
      <x:c r="J1012" s="11" t="n">
        <x:v>0</x:v>
      </x:c>
      <x:c r="K1012" s="11" t="n">
        <x:v>0</x:v>
      </x:c>
      <x:c r="L1012" s="11" t="n">
        <x:f>IF(B1012="NED",1,IF(OR(B1012="ED",B1012="UN"),0,""))</x:f>
        <x:v>1</x:v>
      </x:c>
      <x:c r="M1012" s="11" t="n">
        <x:f>IF(AND(K1012=1,OR(B1012="ED",B1012="NED")),1,0)</x:f>
        <x:v>0</x:v>
      </x:c>
      <x:c r="N1012" s="11" t="n">
        <x:f>IF(K1012=1,1,0)</x:f>
        <x:v>0</x:v>
      </x:c>
      <x:c r="O1012" s="12" t="str">
        <x:v>Exclude UniProt Membrane keyword</x:v>
      </x:c>
      <x:c r="P1012" s="11" t="n">
        <x:v>0</x:v>
      </x:c>
      <x:c r="Q1012" s="12" t="str">
        <x:v>AF-P61924-F1-model_v6</x:v>
      </x:c>
      <x:c r="R1012" s="12" t="str">
        <x:v>ok</x:v>
      </x:c>
      <x:c r="S1012" s="11" t="n">
        <x:v>628</x:v>
      </x:c>
      <x:c r="T1012" s="11" t="n">
        <x:v>177</x:v>
      </x:c>
    </x:row>
    <x:row r="1013" ht="23" customHeight="1">
      <x:c r="A1013" s="2" t="str">
        <x:v>P61961</x:v>
      </x:c>
      <x:c r="B1013" s="2" t="str">
        <x:v>ED</x:v>
      </x:c>
      <x:c r="C1013" s="2" t="n">
        <x:v>0</x:v>
      </x:c>
      <x:c r="D1013" s="2" t="n">
        <x:v>0</x:v>
      </x:c>
      <x:c r="E1013" s="10" t="n">
        <x:v>92.1170588235294</x:v>
      </x:c>
      <x:c r="F1013" s="11" t="n">
        <x:v>85</x:v>
      </x:c>
      <x:c r="G1013" s="11" t="n">
        <x:v>0</x:v>
      </x:c>
      <x:c r="H1013" s="11" t="n">
        <x:v>0</x:v>
      </x:c>
      <x:c r="I1013" s="11" t="n">
        <x:v>0</x:v>
      </x:c>
      <x:c r="J1013" s="11" t="n">
        <x:v>0</x:v>
      </x:c>
      <x:c r="K1013" s="11" t="n">
        <x:v>1</x:v>
      </x:c>
      <x:c r="L1013" s="11" t="n">
        <x:f>IF(B1013="NED",1,IF(OR(B1013="ED",B1013="UN"),0,""))</x:f>
        <x:v>0</x:v>
      </x:c>
      <x:c r="M1013" s="11" t="n">
        <x:f>IF(AND(K1013=1,OR(B1013="ED",B1013="NED")),1,0)</x:f>
        <x:v>1</x:v>
      </x:c>
      <x:c r="N1013" s="11" t="n">
        <x:f>IF(K1013=1,1,0)</x:f>
        <x:v>1</x:v>
      </x:c>
      <x:c r="O1013" s="12"/>
      <x:c r="P1013" s="11" t="n">
        <x:v>0</x:v>
      </x:c>
      <x:c r="Q1013" s="12" t="str">
        <x:v>AF-P61961-F1-model_v6</x:v>
      </x:c>
      <x:c r="R1013" s="12" t="str">
        <x:v>ok</x:v>
      </x:c>
      <x:c r="S1013" s="11" t="n">
        <x:v>629</x:v>
      </x:c>
      <x:c r="T1013" s="11" t="n">
        <x:v>85</x:v>
      </x:c>
    </x:row>
    <x:row r="1014" ht="23" customHeight="1">
      <x:c r="A1014" s="2" t="str">
        <x:v>P61963</x:v>
      </x:c>
      <x:c r="B1014" s="2" t="str">
        <x:v>NED</x:v>
      </x:c>
      <x:c r="C1014" s="2" t="n">
        <x:v>1</x:v>
      </x:c>
      <x:c r="D1014" s="2" t="n">
        <x:v>1</x:v>
      </x:c>
      <x:c r="E1014" s="10" t="n">
        <x:v>93.08590643274854</x:v>
      </x:c>
      <x:c r="F1014" s="11" t="n">
        <x:v>342</x:v>
      </x:c>
      <x:c r="G1014" s="11" t="n">
        <x:v>0</x:v>
      </x:c>
      <x:c r="H1014" s="11" t="n">
        <x:v>0</x:v>
      </x:c>
      <x:c r="I1014" s="11" t="n">
        <x:v>0</x:v>
      </x:c>
      <x:c r="J1014" s="11" t="n">
        <x:v>0</x:v>
      </x:c>
      <x:c r="K1014" s="11" t="n">
        <x:v>1</x:v>
      </x:c>
      <x:c r="L1014" s="11" t="n">
        <x:f>IF(B1014="NED",1,IF(OR(B1014="ED",B1014="UN"),0,""))</x:f>
        <x:v>1</x:v>
      </x:c>
      <x:c r="M1014" s="11" t="n">
        <x:f>IF(AND(K1014=1,OR(B1014="ED",B1014="NED")),1,0)</x:f>
        <x:v>1</x:v>
      </x:c>
      <x:c r="N1014" s="11" t="n">
        <x:f>IF(K1014=1,1,0)</x:f>
        <x:v>1</x:v>
      </x:c>
      <x:c r="O1014" s="12"/>
      <x:c r="P1014" s="11" t="n">
        <x:v>0</x:v>
      </x:c>
      <x:c r="Q1014" s="12" t="str">
        <x:v>AF-P61963-F1-model_v6</x:v>
      </x:c>
      <x:c r="R1014" s="12" t="str">
        <x:v>ok</x:v>
      </x:c>
      <x:c r="S1014" s="11" t="n">
        <x:v>630</x:v>
      </x:c>
      <x:c r="T1014" s="11" t="n">
        <x:v>342</x:v>
      </x:c>
    </x:row>
    <x:row r="1015" ht="23" customHeight="1">
      <x:c r="A1015" s="2" t="str">
        <x:v>P61967</x:v>
      </x:c>
      <x:c r="B1015" s="2" t="str">
        <x:v>UN</x:v>
      </x:c>
      <x:c r="C1015" s="2" t="n">
        <x:v>0</x:v>
      </x:c>
      <x:c r="D1015" s="2" t="n">
        <x:v>0</x:v>
      </x:c>
      <x:c r="E1015" s="10"/>
      <x:c r="F1015" s="11" t="n">
        <x:v>158</x:v>
      </x:c>
      <x:c r="G1015" s="11" t="n">
        <x:v>0</x:v>
      </x:c>
      <x:c r="H1015" s="11" t="n">
        <x:v>0</x:v>
      </x:c>
      <x:c r="I1015" s="11" t="n">
        <x:v>1</x:v>
      </x:c>
      <x:c r="J1015" s="11" t="n">
        <x:v>0</x:v>
      </x:c>
      <x:c r="K1015" s="11" t="n">
        <x:v>0</x:v>
      </x:c>
      <x:c r="L1015" s="11" t="n">
        <x:f>IF(B1015="NED",1,IF(OR(B1015="ED",B1015="UN"),0,""))</x:f>
        <x:v>0</x:v>
      </x:c>
      <x:c r="M1015" s="11" t="n">
        <x:f>IF(AND(K1015=1,OR(B1015="ED",B1015="NED")),1,0)</x:f>
        <x:v>0</x:v>
      </x:c>
      <x:c r="N1015" s="11" t="n">
        <x:f>IF(K1015=1,1,0)</x:f>
        <x:v>0</x:v>
      </x:c>
      <x:c r="O1015" s="12" t="str">
        <x:v>Exclude UniProt Membrane keyword</x:v>
      </x:c>
      <x:c r="P1015" s="11" t="n">
        <x:v>0</x:v>
      </x:c>
      <x:c r="Q1015" s="12" t="str">
        <x:v>AF-P61967-F1-model_v6</x:v>
      </x:c>
      <x:c r="R1015" s="12" t="str">
        <x:v>ok</x:v>
      </x:c>
      <x:c r="S1015" s="11" t="n">
        <x:v>631</x:v>
      </x:c>
      <x:c r="T1015" s="11" t="n">
        <x:v>158</x:v>
      </x:c>
    </x:row>
    <x:row r="1016" ht="23" customHeight="1">
      <x:c r="A1016" s="2" t="str">
        <x:v>P61979-2</x:v>
      </x:c>
      <x:c r="B1016" s="2" t="str">
        <x:v>ED</x:v>
      </x:c>
      <x:c r="C1016" s="2"/>
      <x:c r="D1016" s="2"/>
      <x:c r="E1016" s="10"/>
      <x:c r="F1016" s="11"/>
      <x:c r="G1016" s="11" t="n">
        <x:v>0</x:v>
      </x:c>
      <x:c r="H1016" s="11" t="n">
        <x:v>0</x:v>
      </x:c>
      <x:c r="I1016" s="11"/>
      <x:c r="J1016" s="11"/>
      <x:c r="K1016" s="11" t="n">
        <x:v>0</x:v>
      </x:c>
      <x:c r="L1016" s="11" t="n">
        <x:f>IF(B1016="NED",1,IF(OR(B1016="ED",B1016="UN"),0,""))</x:f>
        <x:v>0</x:v>
      </x:c>
      <x:c r="M1016" s="11" t="n">
        <x:f>IF(AND(K1016=1,OR(B1016="ED",B1016="NED")),1,0)</x:f>
        <x:v>0</x:v>
      </x:c>
      <x:c r="N1016" s="11" t="n">
        <x:f>IF(K1016=1,1,0)</x:f>
        <x:v>0</x:v>
      </x:c>
      <x:c r="O1016" s="12" t="str">
        <x:v>Require exact native accession match</x:v>
      </x:c>
      <x:c r="P1016" s="11" t="n">
        <x:v>0</x:v>
      </x:c>
      <x:c r="Q1016" s="12"/>
      <x:c r="R1016" s="12"/>
      <x:c r="S1016" s="11" t="n">
        <x:v>632</x:v>
      </x:c>
      <x:c r="T1016" s="11"/>
    </x:row>
    <x:row r="1017" ht="23" customHeight="1">
      <x:c r="A1017" s="2" t="str">
        <x:v>P61982</x:v>
      </x:c>
      <x:c r="B1017" s="2" t="str">
        <x:v>ED</x:v>
      </x:c>
      <x:c r="C1017" s="2" t="n">
        <x:v>0</x:v>
      </x:c>
      <x:c r="D1017" s="2" t="n">
        <x:v>0</x:v>
      </x:c>
      <x:c r="E1017" s="10" t="n">
        <x:v>94.25242914979756</x:v>
      </x:c>
      <x:c r="F1017" s="11" t="n">
        <x:v>247</x:v>
      </x:c>
      <x:c r="G1017" s="11" t="n">
        <x:v>0</x:v>
      </x:c>
      <x:c r="H1017" s="11" t="n">
        <x:v>0</x:v>
      </x:c>
      <x:c r="I1017" s="11" t="n">
        <x:v>0</x:v>
      </x:c>
      <x:c r="J1017" s="11" t="n">
        <x:v>0</x:v>
      </x:c>
      <x:c r="K1017" s="11" t="n">
        <x:v>1</x:v>
      </x:c>
      <x:c r="L1017" s="11" t="n">
        <x:f>IF(B1017="NED",1,IF(OR(B1017="ED",B1017="UN"),0,""))</x:f>
        <x:v>0</x:v>
      </x:c>
      <x:c r="M1017" s="11" t="n">
        <x:f>IF(AND(K1017=1,OR(B1017="ED",B1017="NED")),1,0)</x:f>
        <x:v>1</x:v>
      </x:c>
      <x:c r="N1017" s="11" t="n">
        <x:f>IF(K1017=1,1,0)</x:f>
        <x:v>1</x:v>
      </x:c>
      <x:c r="O1017" s="12"/>
      <x:c r="P1017" s="11" t="n">
        <x:v>0</x:v>
      </x:c>
      <x:c r="Q1017" s="12" t="str">
        <x:v>AF-P61982-F1-model_v6</x:v>
      </x:c>
      <x:c r="R1017" s="12" t="str">
        <x:v>ok</x:v>
      </x:c>
      <x:c r="S1017" s="11" t="n">
        <x:v>633</x:v>
      </x:c>
      <x:c r="T1017" s="11" t="n">
        <x:v>247</x:v>
      </x:c>
    </x:row>
    <x:row r="1018" ht="23" customHeight="1">
      <x:c r="A1018" s="2" t="str">
        <x:v>P62071</x:v>
      </x:c>
      <x:c r="B1018" s="2" t="str">
        <x:v>UN</x:v>
      </x:c>
      <x:c r="C1018" s="2" t="n">
        <x:v>1</x:v>
      </x:c>
      <x:c r="D1018" s="2" t="n">
        <x:v>1</x:v>
      </x:c>
      <x:c r="E1018" s="10"/>
      <x:c r="F1018" s="11" t="n">
        <x:v>204</x:v>
      </x:c>
      <x:c r="G1018" s="11" t="n">
        <x:v>0</x:v>
      </x:c>
      <x:c r="H1018" s="11" t="n">
        <x:v>0</x:v>
      </x:c>
      <x:c r="I1018" s="11" t="n">
        <x:v>1</x:v>
      </x:c>
      <x:c r="J1018" s="11" t="n">
        <x:v>0</x:v>
      </x:c>
      <x:c r="K1018" s="11" t="n">
        <x:v>0</x:v>
      </x:c>
      <x:c r="L1018" s="11" t="n">
        <x:f>IF(B1018="NED",1,IF(OR(B1018="ED",B1018="UN"),0,""))</x:f>
        <x:v>0</x:v>
      </x:c>
      <x:c r="M1018" s="11" t="n">
        <x:f>IF(AND(K1018=1,OR(B1018="ED",B1018="NED")),1,0)</x:f>
        <x:v>0</x:v>
      </x:c>
      <x:c r="N1018" s="11" t="n">
        <x:f>IF(K1018=1,1,0)</x:f>
        <x:v>0</x:v>
      </x:c>
      <x:c r="O1018" s="12" t="str">
        <x:v>Exclude UniProt Membrane keyword</x:v>
      </x:c>
      <x:c r="P1018" s="11" t="n">
        <x:v>0</x:v>
      </x:c>
      <x:c r="Q1018" s="12" t="str">
        <x:v>AF-P62071-F1-model_v6</x:v>
      </x:c>
      <x:c r="R1018" s="12" t="str">
        <x:v>ok</x:v>
      </x:c>
      <x:c r="S1018" s="11" t="n">
        <x:v>634</x:v>
      </x:c>
      <x:c r="T1018" s="11" t="n">
        <x:v>204</x:v>
      </x:c>
    </x:row>
    <x:row r="1019" ht="23" customHeight="1">
      <x:c r="A1019" s="2" t="str">
        <x:v>P62075</x:v>
      </x:c>
      <x:c r="B1019" s="2" t="str">
        <x:v>ED</x:v>
      </x:c>
      <x:c r="C1019" s="2" t="n">
        <x:v>0</x:v>
      </x:c>
      <x:c r="D1019" s="2" t="n">
        <x:v>0</x:v>
      </x:c>
      <x:c r="E1019" s="10"/>
      <x:c r="F1019" s="11" t="n">
        <x:v>95</x:v>
      </x:c>
      <x:c r="G1019" s="11" t="n">
        <x:v>0</x:v>
      </x:c>
      <x:c r="H1019" s="11" t="n">
        <x:v>0</x:v>
      </x:c>
      <x:c r="I1019" s="11" t="n">
        <x:v>1</x:v>
      </x:c>
      <x:c r="J1019" s="11" t="n">
        <x:v>0</x:v>
      </x:c>
      <x:c r="K1019" s="11" t="n">
        <x:v>0</x:v>
      </x:c>
      <x:c r="L1019" s="11" t="n">
        <x:f>IF(B1019="NED",1,IF(OR(B1019="ED",B1019="UN"),0,""))</x:f>
        <x:v>0</x:v>
      </x:c>
      <x:c r="M1019" s="11" t="n">
        <x:f>IF(AND(K1019=1,OR(B1019="ED",B1019="NED")),1,0)</x:f>
        <x:v>0</x:v>
      </x:c>
      <x:c r="N1019" s="11" t="n">
        <x:f>IF(K1019=1,1,0)</x:f>
        <x:v>0</x:v>
      </x:c>
      <x:c r="O1019" s="12" t="str">
        <x:v>Exclude UniProt Membrane keyword</x:v>
      </x:c>
      <x:c r="P1019" s="11" t="n">
        <x:v>0</x:v>
      </x:c>
      <x:c r="Q1019" s="12" t="str">
        <x:v>AF-P62075-F1-model_v6</x:v>
      </x:c>
      <x:c r="R1019" s="12" t="str">
        <x:v>ok</x:v>
      </x:c>
      <x:c r="S1019" s="11" t="n">
        <x:v>635</x:v>
      </x:c>
      <x:c r="T1019" s="11" t="n">
        <x:v>95</x:v>
      </x:c>
    </x:row>
    <x:row r="1020" ht="23" customHeight="1">
      <x:c r="A1020" s="2" t="str">
        <x:v>P62082</x:v>
      </x:c>
      <x:c r="B1020" s="2" t="str">
        <x:v>NED</x:v>
      </x:c>
      <x:c r="C1020" s="2" t="n">
        <x:v>0</x:v>
      </x:c>
      <x:c r="D1020" s="2" t="n">
        <x:v>0</x:v>
      </x:c>
      <x:c r="E1020" s="10" t="n">
        <x:v>86.91056701030928</x:v>
      </x:c>
      <x:c r="F1020" s="11" t="n">
        <x:v>194</x:v>
      </x:c>
      <x:c r="G1020" s="11" t="n">
        <x:v>0</x:v>
      </x:c>
      <x:c r="H1020" s="11" t="n">
        <x:v>0</x:v>
      </x:c>
      <x:c r="I1020" s="11" t="n">
        <x:v>0</x:v>
      </x:c>
      <x:c r="J1020" s="11" t="n">
        <x:v>0</x:v>
      </x:c>
      <x:c r="K1020" s="11" t="n">
        <x:v>1</x:v>
      </x:c>
      <x:c r="L1020" s="11" t="n">
        <x:f>IF(B1020="NED",1,IF(OR(B1020="ED",B1020="UN"),0,""))</x:f>
        <x:v>1</x:v>
      </x:c>
      <x:c r="M1020" s="11" t="n">
        <x:f>IF(AND(K1020=1,OR(B1020="ED",B1020="NED")),1,0)</x:f>
        <x:v>1</x:v>
      </x:c>
      <x:c r="N1020" s="11" t="n">
        <x:f>IF(K1020=1,1,0)</x:f>
        <x:v>1</x:v>
      </x:c>
      <x:c r="O1020" s="12"/>
      <x:c r="P1020" s="11" t="n">
        <x:v>0</x:v>
      </x:c>
      <x:c r="Q1020" s="12" t="str">
        <x:v>AF-P62082-F1-model_v6</x:v>
      </x:c>
      <x:c r="R1020" s="12" t="str">
        <x:v>ok</x:v>
      </x:c>
      <x:c r="S1020" s="11" t="n">
        <x:v>636</x:v>
      </x:c>
      <x:c r="T1020" s="11" t="n">
        <x:v>194</x:v>
      </x:c>
    </x:row>
    <x:row r="1021" ht="23" customHeight="1">
      <x:c r="A1021" s="2" t="str">
        <x:v>P62137</x:v>
      </x:c>
      <x:c r="B1021" s="2" t="str">
        <x:v>ED</x:v>
      </x:c>
      <x:c r="C1021" s="2" t="n">
        <x:v>1</x:v>
      </x:c>
      <x:c r="D1021" s="2" t="n">
        <x:v>1</x:v>
      </x:c>
      <x:c r="E1021" s="10" t="n">
        <x:v>91.07942424242424</x:v>
      </x:c>
      <x:c r="F1021" s="11" t="n">
        <x:v>330</x:v>
      </x:c>
      <x:c r="G1021" s="11" t="n">
        <x:v>0</x:v>
      </x:c>
      <x:c r="H1021" s="11" t="n">
        <x:v>0</x:v>
      </x:c>
      <x:c r="I1021" s="11" t="n">
        <x:v>0</x:v>
      </x:c>
      <x:c r="J1021" s="11" t="n">
        <x:v>0</x:v>
      </x:c>
      <x:c r="K1021" s="11" t="n">
        <x:v>1</x:v>
      </x:c>
      <x:c r="L1021" s="11" t="n">
        <x:f>IF(B1021="NED",1,IF(OR(B1021="ED",B1021="UN"),0,""))</x:f>
        <x:v>0</x:v>
      </x:c>
      <x:c r="M1021" s="11" t="n">
        <x:f>IF(AND(K1021=1,OR(B1021="ED",B1021="NED")),1,0)</x:f>
        <x:v>1</x:v>
      </x:c>
      <x:c r="N1021" s="11" t="n">
        <x:f>IF(K1021=1,1,0)</x:f>
        <x:v>1</x:v>
      </x:c>
      <x:c r="O1021" s="12"/>
      <x:c r="P1021" s="11" t="n">
        <x:v>0</x:v>
      </x:c>
      <x:c r="Q1021" s="12" t="str">
        <x:v>AF-P62137-F1-model_v6</x:v>
      </x:c>
      <x:c r="R1021" s="12" t="str">
        <x:v>ok</x:v>
      </x:c>
      <x:c r="S1021" s="11" t="n">
        <x:v>637</x:v>
      </x:c>
      <x:c r="T1021" s="11" t="n">
        <x:v>330</x:v>
      </x:c>
    </x:row>
    <x:row r="1022" ht="23" customHeight="1">
      <x:c r="A1022" s="2" t="str">
        <x:v>P62141</x:v>
      </x:c>
      <x:c r="B1022" s="2" t="str">
        <x:v>ED</x:v>
      </x:c>
      <x:c r="C1022" s="2" t="n">
        <x:v>1</x:v>
      </x:c>
      <x:c r="D1022" s="2" t="n">
        <x:v>1</x:v>
      </x:c>
      <x:c r="E1022" s="10" t="n">
        <x:v>91.62840978593272</x:v>
      </x:c>
      <x:c r="F1022" s="11" t="n">
        <x:v>327</x:v>
      </x:c>
      <x:c r="G1022" s="11" t="n">
        <x:v>0</x:v>
      </x:c>
      <x:c r="H1022" s="11" t="n">
        <x:v>0</x:v>
      </x:c>
      <x:c r="I1022" s="11" t="n">
        <x:v>0</x:v>
      </x:c>
      <x:c r="J1022" s="11" t="n">
        <x:v>0</x:v>
      </x:c>
      <x:c r="K1022" s="11" t="n">
        <x:v>1</x:v>
      </x:c>
      <x:c r="L1022" s="11" t="n">
        <x:f>IF(B1022="NED",1,IF(OR(B1022="ED",B1022="UN"),0,""))</x:f>
        <x:v>0</x:v>
      </x:c>
      <x:c r="M1022" s="11" t="n">
        <x:f>IF(AND(K1022=1,OR(B1022="ED",B1022="NED")),1,0)</x:f>
        <x:v>1</x:v>
      </x:c>
      <x:c r="N1022" s="11" t="n">
        <x:f>IF(K1022=1,1,0)</x:f>
        <x:v>1</x:v>
      </x:c>
      <x:c r="O1022" s="12"/>
      <x:c r="P1022" s="11" t="n">
        <x:v>0</x:v>
      </x:c>
      <x:c r="Q1022" s="12" t="str">
        <x:v>AF-P62141-F1-model_v6</x:v>
      </x:c>
      <x:c r="R1022" s="12" t="str">
        <x:v>ok</x:v>
      </x:c>
      <x:c r="S1022" s="11" t="n">
        <x:v>638</x:v>
      </x:c>
      <x:c r="T1022" s="11" t="n">
        <x:v>327</x:v>
      </x:c>
    </x:row>
    <x:row r="1023" ht="23" customHeight="1">
      <x:c r="A1023" s="2" t="str">
        <x:v>P62192</x:v>
      </x:c>
      <x:c r="B1023" s="2" t="str">
        <x:v>ED</x:v>
      </x:c>
      <x:c r="C1023" s="2" t="n">
        <x:v>1</x:v>
      </x:c>
      <x:c r="D1023" s="2" t="n">
        <x:v>1</x:v>
      </x:c>
      <x:c r="E1023" s="10"/>
      <x:c r="F1023" s="11" t="n">
        <x:v>440</x:v>
      </x:c>
      <x:c r="G1023" s="11" t="n">
        <x:v>0</x:v>
      </x:c>
      <x:c r="H1023" s="11" t="n">
        <x:v>0</x:v>
      </x:c>
      <x:c r="I1023" s="11" t="n">
        <x:v>1</x:v>
      </x:c>
      <x:c r="J1023" s="11" t="n">
        <x:v>0</x:v>
      </x:c>
      <x:c r="K1023" s="11" t="n">
        <x:v>0</x:v>
      </x:c>
      <x:c r="L1023" s="11" t="n">
        <x:f>IF(B1023="NED",1,IF(OR(B1023="ED",B1023="UN"),0,""))</x:f>
        <x:v>0</x:v>
      </x:c>
      <x:c r="M1023" s="11" t="n">
        <x:f>IF(AND(K1023=1,OR(B1023="ED",B1023="NED")),1,0)</x:f>
        <x:v>0</x:v>
      </x:c>
      <x:c r="N1023" s="11" t="n">
        <x:f>IF(K1023=1,1,0)</x:f>
        <x:v>0</x:v>
      </x:c>
      <x:c r="O1023" s="12" t="str">
        <x:v>Exclude UniProt Membrane keyword</x:v>
      </x:c>
      <x:c r="P1023" s="11" t="n">
        <x:v>0</x:v>
      </x:c>
      <x:c r="Q1023" s="12" t="str">
        <x:v>AF-P62192-F1-model_v6</x:v>
      </x:c>
      <x:c r="R1023" s="12" t="str">
        <x:v>ok</x:v>
      </x:c>
      <x:c r="S1023" s="11" t="n">
        <x:v>639</x:v>
      </x:c>
      <x:c r="T1023" s="11" t="n">
        <x:v>440</x:v>
      </x:c>
    </x:row>
    <x:row r="1024" ht="23" customHeight="1">
      <x:c r="A1024" s="2" t="str">
        <x:v>P62196</x:v>
      </x:c>
      <x:c r="B1024" s="2" t="str">
        <x:v>NED</x:v>
      </x:c>
      <x:c r="C1024" s="2" t="n">
        <x:v>1</x:v>
      </x:c>
      <x:c r="D1024" s="2" t="n">
        <x:v>1</x:v>
      </x:c>
      <x:c r="E1024" s="10" t="n">
        <x:v>82.46793103448276</x:v>
      </x:c>
      <x:c r="F1024" s="11" t="n">
        <x:v>406</x:v>
      </x:c>
      <x:c r="G1024" s="11" t="n">
        <x:v>0</x:v>
      </x:c>
      <x:c r="H1024" s="11" t="n">
        <x:v>0</x:v>
      </x:c>
      <x:c r="I1024" s="11" t="n">
        <x:v>0</x:v>
      </x:c>
      <x:c r="J1024" s="11" t="n">
        <x:v>0</x:v>
      </x:c>
      <x:c r="K1024" s="11" t="n">
        <x:v>1</x:v>
      </x:c>
      <x:c r="L1024" s="11" t="n">
        <x:f>IF(B1024="NED",1,IF(OR(B1024="ED",B1024="UN"),0,""))</x:f>
        <x:v>1</x:v>
      </x:c>
      <x:c r="M1024" s="11" t="n">
        <x:f>IF(AND(K1024=1,OR(B1024="ED",B1024="NED")),1,0)</x:f>
        <x:v>1</x:v>
      </x:c>
      <x:c r="N1024" s="11" t="n">
        <x:f>IF(K1024=1,1,0)</x:f>
        <x:v>1</x:v>
      </x:c>
      <x:c r="O1024" s="12"/>
      <x:c r="P1024" s="11" t="n">
        <x:v>0</x:v>
      </x:c>
      <x:c r="Q1024" s="12" t="str">
        <x:v>AF-P62196-F1-model_v6</x:v>
      </x:c>
      <x:c r="R1024" s="12" t="str">
        <x:v>ok</x:v>
      </x:c>
      <x:c r="S1024" s="11" t="n">
        <x:v>640</x:v>
      </x:c>
      <x:c r="T1024" s="11" t="n">
        <x:v>406</x:v>
      </x:c>
    </x:row>
    <x:row r="1025" ht="23" customHeight="1">
      <x:c r="A1025" s="2" t="str">
        <x:v>P62204</x:v>
      </x:c>
      <x:c r="B1025" s="2" t="str">
        <x:v>ED</x:v>
      </x:c>
      <x:c r="C1025" s="2"/>
      <x:c r="D1025" s="2"/>
      <x:c r="E1025" s="10"/>
      <x:c r="F1025" s="11"/>
      <x:c r="G1025" s="11" t="n">
        <x:v>0</x:v>
      </x:c>
      <x:c r="H1025" s="11" t="n">
        <x:v>0</x:v>
      </x:c>
      <x:c r="I1025" s="11"/>
      <x:c r="J1025" s="11"/>
      <x:c r="K1025" s="11" t="n">
        <x:v>0</x:v>
      </x:c>
      <x:c r="L1025" s="11" t="n">
        <x:f>IF(B1025="NED",1,IF(OR(B1025="ED",B1025="UN"),0,""))</x:f>
        <x:v>0</x:v>
      </x:c>
      <x:c r="M1025" s="11" t="n">
        <x:f>IF(AND(K1025=1,OR(B1025="ED",B1025="NED")),1,0)</x:f>
        <x:v>0</x:v>
      </x:c>
      <x:c r="N1025" s="11" t="n">
        <x:f>IF(K1025=1,1,0)</x:f>
        <x:v>0</x:v>
      </x:c>
      <x:c r="O1025" s="12" t="str">
        <x:v>Require exact native accession match</x:v>
      </x:c>
      <x:c r="P1025" s="11" t="n">
        <x:v>0</x:v>
      </x:c>
      <x:c r="Q1025" s="12"/>
      <x:c r="R1025" s="12"/>
      <x:c r="S1025" s="11" t="n">
        <x:v>641</x:v>
      </x:c>
      <x:c r="T1025" s="11"/>
    </x:row>
    <x:row r="1026" ht="23" customHeight="1">
      <x:c r="A1026" s="2" t="str">
        <x:v>P62245</x:v>
      </x:c>
      <x:c r="B1026" s="2" t="str">
        <x:v>NED</x:v>
      </x:c>
      <x:c r="C1026" s="2" t="n">
        <x:v>0</x:v>
      </x:c>
      <x:c r="D1026" s="2" t="n">
        <x:v>0</x:v>
      </x:c>
      <x:c r="E1026" s="10" t="n">
        <x:v>93.07123076923077</x:v>
      </x:c>
      <x:c r="F1026" s="11" t="n">
        <x:v>130</x:v>
      </x:c>
      <x:c r="G1026" s="11" t="n">
        <x:v>0</x:v>
      </x:c>
      <x:c r="H1026" s="11" t="n">
        <x:v>0</x:v>
      </x:c>
      <x:c r="I1026" s="11" t="n">
        <x:v>0</x:v>
      </x:c>
      <x:c r="J1026" s="11" t="n">
        <x:v>0</x:v>
      </x:c>
      <x:c r="K1026" s="11" t="n">
        <x:v>1</x:v>
      </x:c>
      <x:c r="L1026" s="11" t="n">
        <x:f>IF(B1026="NED",1,IF(OR(B1026="ED",B1026="UN"),0,""))</x:f>
        <x:v>1</x:v>
      </x:c>
      <x:c r="M1026" s="11" t="n">
        <x:f>IF(AND(K1026=1,OR(B1026="ED",B1026="NED")),1,0)</x:f>
        <x:v>1</x:v>
      </x:c>
      <x:c r="N1026" s="11" t="n">
        <x:f>IF(K1026=1,1,0)</x:f>
        <x:v>1</x:v>
      </x:c>
      <x:c r="O1026" s="12"/>
      <x:c r="P1026" s="11" t="n">
        <x:v>0</x:v>
      </x:c>
      <x:c r="Q1026" s="12" t="str">
        <x:v>AF-P62245-F1-model_v6</x:v>
      </x:c>
      <x:c r="R1026" s="12" t="str">
        <x:v>ok</x:v>
      </x:c>
      <x:c r="S1026" s="11" t="n">
        <x:v>642</x:v>
      </x:c>
      <x:c r="T1026" s="11" t="n">
        <x:v>130</x:v>
      </x:c>
    </x:row>
    <x:row r="1027" ht="23" customHeight="1">
      <x:c r="A1027" s="2" t="str">
        <x:v>P62259</x:v>
      </x:c>
      <x:c r="B1027" s="2" t="str">
        <x:v>ED</x:v>
      </x:c>
      <x:c r="C1027" s="2" t="n">
        <x:v>0</x:v>
      </x:c>
      <x:c r="D1027" s="2" t="n">
        <x:v>0</x:v>
      </x:c>
      <x:c r="E1027" s="10" t="n">
        <x:v>92.69560784313724</x:v>
      </x:c>
      <x:c r="F1027" s="11" t="n">
        <x:v>255</x:v>
      </x:c>
      <x:c r="G1027" s="11" t="n">
        <x:v>0</x:v>
      </x:c>
      <x:c r="H1027" s="11" t="n">
        <x:v>0</x:v>
      </x:c>
      <x:c r="I1027" s="11" t="n">
        <x:v>0</x:v>
      </x:c>
      <x:c r="J1027" s="11" t="n">
        <x:v>0</x:v>
      </x:c>
      <x:c r="K1027" s="11" t="n">
        <x:v>1</x:v>
      </x:c>
      <x:c r="L1027" s="11" t="n">
        <x:f>IF(B1027="NED",1,IF(OR(B1027="ED",B1027="UN"),0,""))</x:f>
        <x:v>0</x:v>
      </x:c>
      <x:c r="M1027" s="11" t="n">
        <x:f>IF(AND(K1027=1,OR(B1027="ED",B1027="NED")),1,0)</x:f>
        <x:v>1</x:v>
      </x:c>
      <x:c r="N1027" s="11" t="n">
        <x:f>IF(K1027=1,1,0)</x:f>
        <x:v>1</x:v>
      </x:c>
      <x:c r="O1027" s="12"/>
      <x:c r="P1027" s="11" t="n">
        <x:v>0</x:v>
      </x:c>
      <x:c r="Q1027" s="12" t="str">
        <x:v>AF-P62259-F1-model_v6</x:v>
      </x:c>
      <x:c r="R1027" s="12" t="str">
        <x:v>ok</x:v>
      </x:c>
      <x:c r="S1027" s="11" t="n">
        <x:v>643</x:v>
      </x:c>
      <x:c r="T1027" s="11" t="n">
        <x:v>255</x:v>
      </x:c>
    </x:row>
    <x:row r="1028" ht="23" customHeight="1">
      <x:c r="A1028" s="2" t="str">
        <x:v>P62264</x:v>
      </x:c>
      <x:c r="B1028" s="2" t="str">
        <x:v>NED</x:v>
      </x:c>
      <x:c r="C1028" s="2" t="n">
        <x:v>0</x:v>
      </x:c>
      <x:c r="D1028" s="2" t="n">
        <x:v>0</x:v>
      </x:c>
      <x:c r="E1028" s="10" t="n">
        <x:v>90.55781456953642</x:v>
      </x:c>
      <x:c r="F1028" s="11" t="n">
        <x:v>151</x:v>
      </x:c>
      <x:c r="G1028" s="11" t="n">
        <x:v>0</x:v>
      </x:c>
      <x:c r="H1028" s="11" t="n">
        <x:v>0</x:v>
      </x:c>
      <x:c r="I1028" s="11" t="n">
        <x:v>0</x:v>
      </x:c>
      <x:c r="J1028" s="11" t="n">
        <x:v>0</x:v>
      </x:c>
      <x:c r="K1028" s="11" t="n">
        <x:v>1</x:v>
      </x:c>
      <x:c r="L1028" s="11" t="n">
        <x:f>IF(B1028="NED",1,IF(OR(B1028="ED",B1028="UN"),0,""))</x:f>
        <x:v>1</x:v>
      </x:c>
      <x:c r="M1028" s="11" t="n">
        <x:f>IF(AND(K1028=1,OR(B1028="ED",B1028="NED")),1,0)</x:f>
        <x:v>1</x:v>
      </x:c>
      <x:c r="N1028" s="11" t="n">
        <x:f>IF(K1028=1,1,0)</x:f>
        <x:v>1</x:v>
      </x:c>
      <x:c r="O1028" s="12"/>
      <x:c r="P1028" s="11" t="n">
        <x:v>0</x:v>
      </x:c>
      <x:c r="Q1028" s="12" t="str">
        <x:v>AF-P62264-F1-model_v6</x:v>
      </x:c>
      <x:c r="R1028" s="12" t="str">
        <x:v>ok</x:v>
      </x:c>
      <x:c r="S1028" s="11" t="n">
        <x:v>644</x:v>
      </x:c>
      <x:c r="T1028" s="11" t="n">
        <x:v>151</x:v>
      </x:c>
    </x:row>
    <x:row r="1029" ht="23" customHeight="1">
      <x:c r="A1029" s="2" t="str">
        <x:v>P62267</x:v>
      </x:c>
      <x:c r="B1029" s="2" t="str">
        <x:v>UN</x:v>
      </x:c>
      <x:c r="C1029" s="2" t="n">
        <x:v>1</x:v>
      </x:c>
      <x:c r="D1029" s="2" t="n">
        <x:v>1</x:v>
      </x:c>
      <x:c r="E1029" s="10" t="n">
        <x:v>95.07916083916083</x:v>
      </x:c>
      <x:c r="F1029" s="11" t="n">
        <x:v>143</x:v>
      </x:c>
      <x:c r="G1029" s="11" t="n">
        <x:v>0</x:v>
      </x:c>
      <x:c r="H1029" s="11" t="n">
        <x:v>0</x:v>
      </x:c>
      <x:c r="I1029" s="11" t="n">
        <x:v>0</x:v>
      </x:c>
      <x:c r="J1029" s="11" t="n">
        <x:v>0</x:v>
      </x:c>
      <x:c r="K1029" s="11" t="n">
        <x:v>1</x:v>
      </x:c>
      <x:c r="L1029" s="11" t="n">
        <x:f>IF(B1029="NED",1,IF(OR(B1029="ED",B1029="UN"),0,""))</x:f>
        <x:v>0</x:v>
      </x:c>
      <x:c r="M1029" s="11" t="n">
        <x:f>IF(AND(K1029=1,OR(B1029="ED",B1029="NED")),1,0)</x:f>
        <x:v>0</x:v>
      </x:c>
      <x:c r="N1029" s="11" t="n">
        <x:f>IF(K1029=1,1,0)</x:f>
        <x:v>1</x:v>
      </x:c>
      <x:c r="O1029" s="12"/>
      <x:c r="P1029" s="11" t="n">
        <x:v>0</x:v>
      </x:c>
      <x:c r="Q1029" s="12" t="str">
        <x:v>AF-P62267-F1-model_v6</x:v>
      </x:c>
      <x:c r="R1029" s="12" t="str">
        <x:v>ok</x:v>
      </x:c>
      <x:c r="S1029" s="11" t="n">
        <x:v>645</x:v>
      </x:c>
      <x:c r="T1029" s="11" t="n">
        <x:v>143</x:v>
      </x:c>
    </x:row>
    <x:row r="1030" ht="23" customHeight="1">
      <x:c r="A1030" s="2" t="str">
        <x:v>P62301</x:v>
      </x:c>
      <x:c r="B1030" s="2" t="str">
        <x:v>NED</x:v>
      </x:c>
      <x:c r="C1030" s="2" t="n">
        <x:v>0</x:v>
      </x:c>
      <x:c r="D1030" s="2" t="n">
        <x:v>0</x:v>
      </x:c>
      <x:c r="E1030" s="10" t="n">
        <x:v>93.50596026490066</x:v>
      </x:c>
      <x:c r="F1030" s="11" t="n">
        <x:v>151</x:v>
      </x:c>
      <x:c r="G1030" s="11" t="n">
        <x:v>0</x:v>
      </x:c>
      <x:c r="H1030" s="11" t="n">
        <x:v>0</x:v>
      </x:c>
      <x:c r="I1030" s="11" t="n">
        <x:v>0</x:v>
      </x:c>
      <x:c r="J1030" s="11" t="n">
        <x:v>0</x:v>
      </x:c>
      <x:c r="K1030" s="11" t="n">
        <x:v>1</x:v>
      </x:c>
      <x:c r="L1030" s="11" t="n">
        <x:f>IF(B1030="NED",1,IF(OR(B1030="ED",B1030="UN"),0,""))</x:f>
        <x:v>1</x:v>
      </x:c>
      <x:c r="M1030" s="11" t="n">
        <x:f>IF(AND(K1030=1,OR(B1030="ED",B1030="NED")),1,0)</x:f>
        <x:v>1</x:v>
      </x:c>
      <x:c r="N1030" s="11" t="n">
        <x:f>IF(K1030=1,1,0)</x:f>
        <x:v>1</x:v>
      </x:c>
      <x:c r="O1030" s="12"/>
      <x:c r="P1030" s="11" t="n">
        <x:v>0</x:v>
      </x:c>
      <x:c r="Q1030" s="12" t="str">
        <x:v>AF-P62301-F1-model_v6</x:v>
      </x:c>
      <x:c r="R1030" s="12" t="str">
        <x:v>ok</x:v>
      </x:c>
      <x:c r="S1030" s="11" t="n">
        <x:v>646</x:v>
      </x:c>
      <x:c r="T1030" s="11" t="n">
        <x:v>151</x:v>
      </x:c>
    </x:row>
    <x:row r="1031" ht="23" customHeight="1">
      <x:c r="A1031" s="2" t="str">
        <x:v>P62305</x:v>
      </x:c>
      <x:c r="B1031" s="2" t="str">
        <x:v>ED</x:v>
      </x:c>
      <x:c r="C1031" s="2" t="n">
        <x:v>1</x:v>
      </x:c>
      <x:c r="D1031" s="2" t="n">
        <x:v>1</x:v>
      </x:c>
      <x:c r="E1031" s="10" t="n">
        <x:v>90.95815217391304</x:v>
      </x:c>
      <x:c r="F1031" s="11" t="n">
        <x:v>92</x:v>
      </x:c>
      <x:c r="G1031" s="11" t="n">
        <x:v>0</x:v>
      </x:c>
      <x:c r="H1031" s="11" t="n">
        <x:v>0</x:v>
      </x:c>
      <x:c r="I1031" s="11" t="n">
        <x:v>0</x:v>
      </x:c>
      <x:c r="J1031" s="11" t="n">
        <x:v>0</x:v>
      </x:c>
      <x:c r="K1031" s="11" t="n">
        <x:v>1</x:v>
      </x:c>
      <x:c r="L1031" s="11" t="n">
        <x:f>IF(B1031="NED",1,IF(OR(B1031="ED",B1031="UN"),0,""))</x:f>
        <x:v>0</x:v>
      </x:c>
      <x:c r="M1031" s="11" t="n">
        <x:f>IF(AND(K1031=1,OR(B1031="ED",B1031="NED")),1,0)</x:f>
        <x:v>1</x:v>
      </x:c>
      <x:c r="N1031" s="11" t="n">
        <x:f>IF(K1031=1,1,0)</x:f>
        <x:v>1</x:v>
      </x:c>
      <x:c r="O1031" s="12"/>
      <x:c r="P1031" s="11" t="n">
        <x:v>0</x:v>
      </x:c>
      <x:c r="Q1031" s="12" t="str">
        <x:v>AF-P62305-F1-model_v6</x:v>
      </x:c>
      <x:c r="R1031" s="12" t="str">
        <x:v>ok</x:v>
      </x:c>
      <x:c r="S1031" s="11" t="n">
        <x:v>647</x:v>
      </x:c>
      <x:c r="T1031" s="11" t="n">
        <x:v>92</x:v>
      </x:c>
    </x:row>
    <x:row r="1032" ht="23" customHeight="1">
      <x:c r="A1032" s="2" t="str">
        <x:v>P62311</x:v>
      </x:c>
      <x:c r="B1032" s="2" t="str">
        <x:v>ED</x:v>
      </x:c>
      <x:c r="C1032" s="2" t="n">
        <x:v>0</x:v>
      </x:c>
      <x:c r="D1032" s="2" t="n">
        <x:v>0</x:v>
      </x:c>
      <x:c r="E1032" s="10" t="n">
        <x:v>89.31509803921568</x:v>
      </x:c>
      <x:c r="F1032" s="11" t="n">
        <x:v>102</x:v>
      </x:c>
      <x:c r="G1032" s="11" t="n">
        <x:v>0</x:v>
      </x:c>
      <x:c r="H1032" s="11" t="n">
        <x:v>0</x:v>
      </x:c>
      <x:c r="I1032" s="11" t="n">
        <x:v>0</x:v>
      </x:c>
      <x:c r="J1032" s="11" t="n">
        <x:v>0</x:v>
      </x:c>
      <x:c r="K1032" s="11" t="n">
        <x:v>1</x:v>
      </x:c>
      <x:c r="L1032" s="11" t="n">
        <x:f>IF(B1032="NED",1,IF(OR(B1032="ED",B1032="UN"),0,""))</x:f>
        <x:v>0</x:v>
      </x:c>
      <x:c r="M1032" s="11" t="n">
        <x:f>IF(AND(K1032=1,OR(B1032="ED",B1032="NED")),1,0)</x:f>
        <x:v>1</x:v>
      </x:c>
      <x:c r="N1032" s="11" t="n">
        <x:f>IF(K1032=1,1,0)</x:f>
        <x:v>1</x:v>
      </x:c>
      <x:c r="O1032" s="12"/>
      <x:c r="P1032" s="11" t="n">
        <x:v>0</x:v>
      </x:c>
      <x:c r="Q1032" s="12" t="str">
        <x:v>AF-P62311-F1-model_v6</x:v>
      </x:c>
      <x:c r="R1032" s="12" t="str">
        <x:v>ok</x:v>
      </x:c>
      <x:c r="S1032" s="11" t="n">
        <x:v>648</x:v>
      </x:c>
      <x:c r="T1032" s="11" t="n">
        <x:v>102</x:v>
      </x:c>
    </x:row>
    <x:row r="1033" ht="23" customHeight="1">
      <x:c r="A1033" s="2" t="str">
        <x:v>P62317</x:v>
      </x:c>
      <x:c r="B1033" s="2" t="str">
        <x:v>UN</x:v>
      </x:c>
      <x:c r="C1033" s="2" t="n">
        <x:v>0</x:v>
      </x:c>
      <x:c r="D1033" s="2" t="n">
        <x:v>0</x:v>
      </x:c>
      <x:c r="E1033" s="10" t="n">
        <x:v>90.59593220338982</x:v>
      </x:c>
      <x:c r="F1033" s="11" t="n">
        <x:v>118</x:v>
      </x:c>
      <x:c r="G1033" s="11" t="n">
        <x:v>0</x:v>
      </x:c>
      <x:c r="H1033" s="11" t="n">
        <x:v>0</x:v>
      </x:c>
      <x:c r="I1033" s="11" t="n">
        <x:v>0</x:v>
      </x:c>
      <x:c r="J1033" s="11" t="n">
        <x:v>0</x:v>
      </x:c>
      <x:c r="K1033" s="11" t="n">
        <x:v>1</x:v>
      </x:c>
      <x:c r="L1033" s="11" t="n">
        <x:f>IF(B1033="NED",1,IF(OR(B1033="ED",B1033="UN"),0,""))</x:f>
        <x:v>0</x:v>
      </x:c>
      <x:c r="M1033" s="11" t="n">
        <x:f>IF(AND(K1033=1,OR(B1033="ED",B1033="NED")),1,0)</x:f>
        <x:v>0</x:v>
      </x:c>
      <x:c r="N1033" s="11" t="n">
        <x:f>IF(K1033=1,1,0)</x:f>
        <x:v>1</x:v>
      </x:c>
      <x:c r="O1033" s="12"/>
      <x:c r="P1033" s="11" t="n">
        <x:v>0</x:v>
      </x:c>
      <x:c r="Q1033" s="12" t="str">
        <x:v>AF-P62317-F1-model_v6</x:v>
      </x:c>
      <x:c r="R1033" s="12" t="str">
        <x:v>ok</x:v>
      </x:c>
      <x:c r="S1033" s="11" t="n">
        <x:v>649</x:v>
      </x:c>
      <x:c r="T1033" s="11" t="n">
        <x:v>118</x:v>
      </x:c>
    </x:row>
    <x:row r="1034" ht="23" customHeight="1">
      <x:c r="A1034" s="2" t="str">
        <x:v>P62320</x:v>
      </x:c>
      <x:c r="B1034" s="2" t="str">
        <x:v>NED</x:v>
      </x:c>
      <x:c r="C1034" s="2" t="n">
        <x:v>0</x:v>
      </x:c>
      <x:c r="D1034" s="2" t="n">
        <x:v>0</x:v>
      </x:c>
      <x:c r="E1034" s="10" t="n">
        <x:v>83.16714285714285</x:v>
      </x:c>
      <x:c r="F1034" s="11" t="n">
        <x:v>126</x:v>
      </x:c>
      <x:c r="G1034" s="11" t="n">
        <x:v>0</x:v>
      </x:c>
      <x:c r="H1034" s="11" t="n">
        <x:v>0</x:v>
      </x:c>
      <x:c r="I1034" s="11" t="n">
        <x:v>0</x:v>
      </x:c>
      <x:c r="J1034" s="11" t="n">
        <x:v>0</x:v>
      </x:c>
      <x:c r="K1034" s="11" t="n">
        <x:v>1</x:v>
      </x:c>
      <x:c r="L1034" s="11" t="n">
        <x:f>IF(B1034="NED",1,IF(OR(B1034="ED",B1034="UN"),0,""))</x:f>
        <x:v>1</x:v>
      </x:c>
      <x:c r="M1034" s="11" t="n">
        <x:f>IF(AND(K1034=1,OR(B1034="ED",B1034="NED")),1,0)</x:f>
        <x:v>1</x:v>
      </x:c>
      <x:c r="N1034" s="11" t="n">
        <x:f>IF(K1034=1,1,0)</x:f>
        <x:v>1</x:v>
      </x:c>
      <x:c r="O1034" s="12"/>
      <x:c r="P1034" s="11" t="n">
        <x:v>0</x:v>
      </x:c>
      <x:c r="Q1034" s="12" t="str">
        <x:v>AF-P62320-F1-model_v6</x:v>
      </x:c>
      <x:c r="R1034" s="12" t="str">
        <x:v>ok</x:v>
      </x:c>
      <x:c r="S1034" s="11" t="n">
        <x:v>650</x:v>
      </x:c>
      <x:c r="T1034" s="11" t="n">
        <x:v>126</x:v>
      </x:c>
    </x:row>
    <x:row r="1035" ht="23" customHeight="1">
      <x:c r="A1035" s="2" t="str">
        <x:v>P62331</x:v>
      </x:c>
      <x:c r="B1035" s="2" t="str">
        <x:v>ED</x:v>
      </x:c>
      <x:c r="C1035" s="2" t="n">
        <x:v>1</x:v>
      </x:c>
      <x:c r="D1035" s="2" t="n">
        <x:v>1</x:v>
      </x:c>
      <x:c r="E1035" s="10"/>
      <x:c r="F1035" s="11" t="n">
        <x:v>175</x:v>
      </x:c>
      <x:c r="G1035" s="11" t="n">
        <x:v>0</x:v>
      </x:c>
      <x:c r="H1035" s="11" t="n">
        <x:v>0</x:v>
      </x:c>
      <x:c r="I1035" s="11" t="n">
        <x:v>1</x:v>
      </x:c>
      <x:c r="J1035" s="11" t="n">
        <x:v>0</x:v>
      </x:c>
      <x:c r="K1035" s="11" t="n">
        <x:v>0</x:v>
      </x:c>
      <x:c r="L1035" s="11" t="n">
        <x:f>IF(B1035="NED",1,IF(OR(B1035="ED",B1035="UN"),0,""))</x:f>
        <x:v>0</x:v>
      </x:c>
      <x:c r="M1035" s="11" t="n">
        <x:f>IF(AND(K1035=1,OR(B1035="ED",B1035="NED")),1,0)</x:f>
        <x:v>0</x:v>
      </x:c>
      <x:c r="N1035" s="11" t="n">
        <x:f>IF(K1035=1,1,0)</x:f>
        <x:v>0</x:v>
      </x:c>
      <x:c r="O1035" s="12" t="str">
        <x:v>Exclude UniProt Membrane keyword</x:v>
      </x:c>
      <x:c r="P1035" s="11" t="n">
        <x:v>0</x:v>
      </x:c>
      <x:c r="Q1035" s="12" t="str">
        <x:v>AF-P62331-F1-model_v6</x:v>
      </x:c>
      <x:c r="R1035" s="12" t="str">
        <x:v>ok</x:v>
      </x:c>
      <x:c r="S1035" s="11" t="n">
        <x:v>651</x:v>
      </x:c>
      <x:c r="T1035" s="11" t="n">
        <x:v>175</x:v>
      </x:c>
    </x:row>
    <x:row r="1036" ht="23" customHeight="1">
      <x:c r="A1036" s="2" t="str">
        <x:v>P62334</x:v>
      </x:c>
      <x:c r="B1036" s="2" t="str">
        <x:v>NED</x:v>
      </x:c>
      <x:c r="C1036" s="2" t="n">
        <x:v>1</x:v>
      </x:c>
      <x:c r="D1036" s="2" t="n">
        <x:v>1</x:v>
      </x:c>
      <x:c r="E1036" s="10" t="n">
        <x:v>86.79131105398457</x:v>
      </x:c>
      <x:c r="F1036" s="11" t="n">
        <x:v>389</x:v>
      </x:c>
      <x:c r="G1036" s="11" t="n">
        <x:v>0</x:v>
      </x:c>
      <x:c r="H1036" s="11" t="n">
        <x:v>0</x:v>
      </x:c>
      <x:c r="I1036" s="11" t="n">
        <x:v>0</x:v>
      </x:c>
      <x:c r="J1036" s="11" t="n">
        <x:v>0</x:v>
      </x:c>
      <x:c r="K1036" s="11" t="n">
        <x:v>1</x:v>
      </x:c>
      <x:c r="L1036" s="11" t="n">
        <x:f>IF(B1036="NED",1,IF(OR(B1036="ED",B1036="UN"),0,""))</x:f>
        <x:v>1</x:v>
      </x:c>
      <x:c r="M1036" s="11" t="n">
        <x:f>IF(AND(K1036=1,OR(B1036="ED",B1036="NED")),1,0)</x:f>
        <x:v>1</x:v>
      </x:c>
      <x:c r="N1036" s="11" t="n">
        <x:f>IF(K1036=1,1,0)</x:f>
        <x:v>1</x:v>
      </x:c>
      <x:c r="O1036" s="12"/>
      <x:c r="P1036" s="11" t="n">
        <x:v>0</x:v>
      </x:c>
      <x:c r="Q1036" s="12" t="str">
        <x:v>AF-P62334-F1-model_v6</x:v>
      </x:c>
      <x:c r="R1036" s="12" t="str">
        <x:v>ok</x:v>
      </x:c>
      <x:c r="S1036" s="11" t="n">
        <x:v>652</x:v>
      </x:c>
      <x:c r="T1036" s="11" t="n">
        <x:v>389</x:v>
      </x:c>
    </x:row>
    <x:row r="1037" ht="23" customHeight="1">
      <x:c r="A1037" s="2" t="str">
        <x:v>P62488</x:v>
      </x:c>
      <x:c r="B1037" s="2" t="str">
        <x:v>UN</x:v>
      </x:c>
      <x:c r="C1037" s="2" t="n">
        <x:v>1</x:v>
      </x:c>
      <x:c r="D1037" s="2" t="n">
        <x:v>1</x:v>
      </x:c>
      <x:c r="E1037" s="10" t="n">
        <x:v>95.05372093023256</x:v>
      </x:c>
      <x:c r="F1037" s="11" t="n">
        <x:v>172</x:v>
      </x:c>
      <x:c r="G1037" s="11" t="n">
        <x:v>0</x:v>
      </x:c>
      <x:c r="H1037" s="11" t="n">
        <x:v>0</x:v>
      </x:c>
      <x:c r="I1037" s="11" t="n">
        <x:v>0</x:v>
      </x:c>
      <x:c r="J1037" s="11" t="n">
        <x:v>0</x:v>
      </x:c>
      <x:c r="K1037" s="11" t="n">
        <x:v>1</x:v>
      </x:c>
      <x:c r="L1037" s="11" t="n">
        <x:f>IF(B1037="NED",1,IF(OR(B1037="ED",B1037="UN"),0,""))</x:f>
        <x:v>0</x:v>
      </x:c>
      <x:c r="M1037" s="11" t="n">
        <x:f>IF(AND(K1037=1,OR(B1037="ED",B1037="NED")),1,0)</x:f>
        <x:v>0</x:v>
      </x:c>
      <x:c r="N1037" s="11" t="n">
        <x:f>IF(K1037=1,1,0)</x:f>
        <x:v>1</x:v>
      </x:c>
      <x:c r="O1037" s="12"/>
      <x:c r="P1037" s="11" t="n">
        <x:v>0</x:v>
      </x:c>
      <x:c r="Q1037" s="12" t="str">
        <x:v>AF-P62488-F1-model_v6</x:v>
      </x:c>
      <x:c r="R1037" s="12" t="str">
        <x:v>ok</x:v>
      </x:c>
      <x:c r="S1037" s="11" t="n">
        <x:v>653</x:v>
      </x:c>
      <x:c r="T1037" s="11" t="n">
        <x:v>172</x:v>
      </x:c>
    </x:row>
    <x:row r="1038" ht="23" customHeight="1">
      <x:c r="A1038" s="2" t="str">
        <x:v>P62627</x:v>
      </x:c>
      <x:c r="B1038" s="2" t="str">
        <x:v>UN</x:v>
      </x:c>
      <x:c r="C1038" s="2" t="n">
        <x:v>0</x:v>
      </x:c>
      <x:c r="D1038" s="2" t="n">
        <x:v>0</x:v>
      </x:c>
      <x:c r="E1038" s="10" t="n">
        <x:v>93.87291666666664</x:v>
      </x:c>
      <x:c r="F1038" s="11" t="n">
        <x:v>96</x:v>
      </x:c>
      <x:c r="G1038" s="11" t="n">
        <x:v>0</x:v>
      </x:c>
      <x:c r="H1038" s="11" t="n">
        <x:v>0</x:v>
      </x:c>
      <x:c r="I1038" s="11" t="n">
        <x:v>0</x:v>
      </x:c>
      <x:c r="J1038" s="11" t="n">
        <x:v>0</x:v>
      </x:c>
      <x:c r="K1038" s="11" t="n">
        <x:v>1</x:v>
      </x:c>
      <x:c r="L1038" s="11" t="n">
        <x:f>IF(B1038="NED",1,IF(OR(B1038="ED",B1038="UN"),0,""))</x:f>
        <x:v>0</x:v>
      </x:c>
      <x:c r="M1038" s="11" t="n">
        <x:f>IF(AND(K1038=1,OR(B1038="ED",B1038="NED")),1,0)</x:f>
        <x:v>0</x:v>
      </x:c>
      <x:c r="N1038" s="11" t="n">
        <x:f>IF(K1038=1,1,0)</x:f>
        <x:v>1</x:v>
      </x:c>
      <x:c r="O1038" s="12"/>
      <x:c r="P1038" s="11" t="n">
        <x:v>0</x:v>
      </x:c>
      <x:c r="Q1038" s="12" t="str">
        <x:v>AF-P62627-F1-model_v6</x:v>
      </x:c>
      <x:c r="R1038" s="12" t="str">
        <x:v>ok</x:v>
      </x:c>
      <x:c r="S1038" s="11" t="n">
        <x:v>654</x:v>
      </x:c>
      <x:c r="T1038" s="11" t="n">
        <x:v>96</x:v>
      </x:c>
    </x:row>
    <x:row r="1039" ht="23" customHeight="1">
      <x:c r="A1039" s="2" t="str">
        <x:v>P62717</x:v>
      </x:c>
      <x:c r="B1039" s="2" t="str">
        <x:v>NED</x:v>
      </x:c>
      <x:c r="C1039" s="2" t="n">
        <x:v>1</x:v>
      </x:c>
      <x:c r="D1039" s="2" t="n">
        <x:v>1</x:v>
      </x:c>
      <x:c r="E1039" s="10" t="n">
        <x:v>96.68278409090908</x:v>
      </x:c>
      <x:c r="F1039" s="11" t="n">
        <x:v>176</x:v>
      </x:c>
      <x:c r="G1039" s="11" t="n">
        <x:v>0</x:v>
      </x:c>
      <x:c r="H1039" s="11" t="n">
        <x:v>0</x:v>
      </x:c>
      <x:c r="I1039" s="11" t="n">
        <x:v>0</x:v>
      </x:c>
      <x:c r="J1039" s="11" t="n">
        <x:v>0</x:v>
      </x:c>
      <x:c r="K1039" s="11" t="n">
        <x:v>1</x:v>
      </x:c>
      <x:c r="L1039" s="11" t="n">
        <x:f>IF(B1039="NED",1,IF(OR(B1039="ED",B1039="UN"),0,""))</x:f>
        <x:v>1</x:v>
      </x:c>
      <x:c r="M1039" s="11" t="n">
        <x:f>IF(AND(K1039=1,OR(B1039="ED",B1039="NED")),1,0)</x:f>
        <x:v>1</x:v>
      </x:c>
      <x:c r="N1039" s="11" t="n">
        <x:f>IF(K1039=1,1,0)</x:f>
        <x:v>1</x:v>
      </x:c>
      <x:c r="O1039" s="12"/>
      <x:c r="P1039" s="11" t="n">
        <x:v>0</x:v>
      </x:c>
      <x:c r="Q1039" s="12" t="str">
        <x:v>AF-P62717-F1-model_v6</x:v>
      </x:c>
      <x:c r="R1039" s="12" t="str">
        <x:v>ok</x:v>
      </x:c>
      <x:c r="S1039" s="11" t="n">
        <x:v>655</x:v>
      </x:c>
      <x:c r="T1039" s="11" t="n">
        <x:v>176</x:v>
      </x:c>
    </x:row>
    <x:row r="1040" ht="23" customHeight="1">
      <x:c r="A1040" s="2" t="str">
        <x:v>P62737</x:v>
      </x:c>
      <x:c r="B1040" s="2" t="str">
        <x:v>UN</x:v>
      </x:c>
      <x:c r="C1040" s="2" t="n">
        <x:v>1</x:v>
      </x:c>
      <x:c r="D1040" s="2" t="n">
        <x:v>1</x:v>
      </x:c>
      <x:c r="E1040" s="10" t="n">
        <x:v>95.30161803713528</x:v>
      </x:c>
      <x:c r="F1040" s="11" t="n">
        <x:v>377</x:v>
      </x:c>
      <x:c r="G1040" s="11" t="n">
        <x:v>0</x:v>
      </x:c>
      <x:c r="H1040" s="11" t="n">
        <x:v>0</x:v>
      </x:c>
      <x:c r="I1040" s="11" t="n">
        <x:v>0</x:v>
      </x:c>
      <x:c r="J1040" s="11" t="n">
        <x:v>0</x:v>
      </x:c>
      <x:c r="K1040" s="11" t="n">
        <x:v>1</x:v>
      </x:c>
      <x:c r="L1040" s="11" t="n">
        <x:f>IF(B1040="NED",1,IF(OR(B1040="ED",B1040="UN"),0,""))</x:f>
        <x:v>0</x:v>
      </x:c>
      <x:c r="M1040" s="11" t="n">
        <x:f>IF(AND(K1040=1,OR(B1040="ED",B1040="NED")),1,0)</x:f>
        <x:v>0</x:v>
      </x:c>
      <x:c r="N1040" s="11" t="n">
        <x:f>IF(K1040=1,1,0)</x:f>
        <x:v>1</x:v>
      </x:c>
      <x:c r="O1040" s="12"/>
      <x:c r="P1040" s="11" t="n">
        <x:v>0</x:v>
      </x:c>
      <x:c r="Q1040" s="12" t="str">
        <x:v>AF-P62737-F1-model_v6</x:v>
      </x:c>
      <x:c r="R1040" s="12" t="str">
        <x:v>ok</x:v>
      </x:c>
      <x:c r="S1040" s="11" t="n">
        <x:v>656</x:v>
      </x:c>
      <x:c r="T1040" s="11" t="n">
        <x:v>377</x:v>
      </x:c>
    </x:row>
    <x:row r="1041" ht="23" customHeight="1">
      <x:c r="A1041" s="2" t="str">
        <x:v>P62746</x:v>
      </x:c>
      <x:c r="B1041" s="2" t="str">
        <x:v>UN</x:v>
      </x:c>
      <x:c r="C1041" s="2" t="n">
        <x:v>1</x:v>
      </x:c>
      <x:c r="D1041" s="2" t="n">
        <x:v>1</x:v>
      </x:c>
      <x:c r="E1041" s="10"/>
      <x:c r="F1041" s="11" t="n">
        <x:v>196</x:v>
      </x:c>
      <x:c r="G1041" s="11" t="n">
        <x:v>0</x:v>
      </x:c>
      <x:c r="H1041" s="11" t="n">
        <x:v>0</x:v>
      </x:c>
      <x:c r="I1041" s="11" t="n">
        <x:v>1</x:v>
      </x:c>
      <x:c r="J1041" s="11" t="n">
        <x:v>0</x:v>
      </x:c>
      <x:c r="K1041" s="11" t="n">
        <x:v>0</x:v>
      </x:c>
      <x:c r="L1041" s="11" t="n">
        <x:f>IF(B1041="NED",1,IF(OR(B1041="ED",B1041="UN"),0,""))</x:f>
        <x:v>0</x:v>
      </x:c>
      <x:c r="M1041" s="11" t="n">
        <x:f>IF(AND(K1041=1,OR(B1041="ED",B1041="NED")),1,0)</x:f>
        <x:v>0</x:v>
      </x:c>
      <x:c r="N1041" s="11" t="n">
        <x:f>IF(K1041=1,1,0)</x:f>
        <x:v>0</x:v>
      </x:c>
      <x:c r="O1041" s="12" t="str">
        <x:v>Exclude UniProt Membrane keyword</x:v>
      </x:c>
      <x:c r="P1041" s="11" t="n">
        <x:v>0</x:v>
      </x:c>
      <x:c r="Q1041" s="12" t="str">
        <x:v>AF-P62746-F1-model_v6</x:v>
      </x:c>
      <x:c r="R1041" s="12" t="str">
        <x:v>ok</x:v>
      </x:c>
      <x:c r="S1041" s="11" t="n">
        <x:v>657</x:v>
      </x:c>
      <x:c r="T1041" s="11" t="n">
        <x:v>196</x:v>
      </x:c>
    </x:row>
    <x:row r="1042" ht="23" customHeight="1">
      <x:c r="A1042" s="2" t="str">
        <x:v>P62748</x:v>
      </x:c>
      <x:c r="B1042" s="2" t="str">
        <x:v>UN</x:v>
      </x:c>
      <x:c r="C1042" s="2" t="n">
        <x:v>0</x:v>
      </x:c>
      <x:c r="D1042" s="2" t="n">
        <x:v>0</x:v>
      </x:c>
      <x:c r="E1042" s="10"/>
      <x:c r="F1042" s="11" t="n">
        <x:v>193</x:v>
      </x:c>
      <x:c r="G1042" s="11" t="n">
        <x:v>0</x:v>
      </x:c>
      <x:c r="H1042" s="11" t="n">
        <x:v>0</x:v>
      </x:c>
      <x:c r="I1042" s="11" t="n">
        <x:v>1</x:v>
      </x:c>
      <x:c r="J1042" s="11" t="n">
        <x:v>0</x:v>
      </x:c>
      <x:c r="K1042" s="11" t="n">
        <x:v>0</x:v>
      </x:c>
      <x:c r="L1042" s="11" t="n">
        <x:f>IF(B1042="NED",1,IF(OR(B1042="ED",B1042="UN"),0,""))</x:f>
        <x:v>0</x:v>
      </x:c>
      <x:c r="M1042" s="11" t="n">
        <x:f>IF(AND(K1042=1,OR(B1042="ED",B1042="NED")),1,0)</x:f>
        <x:v>0</x:v>
      </x:c>
      <x:c r="N1042" s="11" t="n">
        <x:f>IF(K1042=1,1,0)</x:f>
        <x:v>0</x:v>
      </x:c>
      <x:c r="O1042" s="12" t="str">
        <x:v>Exclude UniProt Membrane keyword</x:v>
      </x:c>
      <x:c r="P1042" s="11" t="n">
        <x:v>0</x:v>
      </x:c>
      <x:c r="Q1042" s="12" t="str">
        <x:v>AF-P62748-F1-model_v6</x:v>
      </x:c>
      <x:c r="R1042" s="12" t="str">
        <x:v>ok</x:v>
      </x:c>
      <x:c r="S1042" s="11" t="n">
        <x:v>658</x:v>
      </x:c>
      <x:c r="T1042" s="11" t="n">
        <x:v>193</x:v>
      </x:c>
    </x:row>
    <x:row r="1043" ht="23" customHeight="1">
      <x:c r="A1043" s="2" t="str">
        <x:v>P62774</x:v>
      </x:c>
      <x:c r="B1043" s="2" t="str">
        <x:v>ED</x:v>
      </x:c>
      <x:c r="C1043" s="2" t="n">
        <x:v>0</x:v>
      </x:c>
      <x:c r="D1043" s="2" t="n">
        <x:v>0</x:v>
      </x:c>
      <x:c r="E1043" s="10" t="n">
        <x:v>88.26966101694914</x:v>
      </x:c>
      <x:c r="F1043" s="11" t="n">
        <x:v>118</x:v>
      </x:c>
      <x:c r="G1043" s="11" t="n">
        <x:v>0</x:v>
      </x:c>
      <x:c r="H1043" s="11" t="n">
        <x:v>0</x:v>
      </x:c>
      <x:c r="I1043" s="11" t="n">
        <x:v>0</x:v>
      </x:c>
      <x:c r="J1043" s="11" t="n">
        <x:v>0</x:v>
      </x:c>
      <x:c r="K1043" s="11" t="n">
        <x:v>1</x:v>
      </x:c>
      <x:c r="L1043" s="11" t="n">
        <x:f>IF(B1043="NED",1,IF(OR(B1043="ED",B1043="UN"),0,""))</x:f>
        <x:v>0</x:v>
      </x:c>
      <x:c r="M1043" s="11" t="n">
        <x:f>IF(AND(K1043=1,OR(B1043="ED",B1043="NED")),1,0)</x:f>
        <x:v>1</x:v>
      </x:c>
      <x:c r="N1043" s="11" t="n">
        <x:f>IF(K1043=1,1,0)</x:f>
        <x:v>1</x:v>
      </x:c>
      <x:c r="O1043" s="12"/>
      <x:c r="P1043" s="11" t="n">
        <x:v>0</x:v>
      </x:c>
      <x:c r="Q1043" s="12" t="str">
        <x:v>AF-P62774-F1-model_v6</x:v>
      </x:c>
      <x:c r="R1043" s="12" t="str">
        <x:v>ok</x:v>
      </x:c>
      <x:c r="S1043" s="11" t="n">
        <x:v>659</x:v>
      </x:c>
      <x:c r="T1043" s="11" t="n">
        <x:v>118</x:v>
      </x:c>
    </x:row>
    <x:row r="1044" ht="23" customHeight="1">
      <x:c r="A1044" s="2" t="str">
        <x:v>P62814</x:v>
      </x:c>
      <x:c r="B1044" s="2" t="str">
        <x:v>UN</x:v>
      </x:c>
      <x:c r="C1044" s="2" t="n">
        <x:v>1</x:v>
      </x:c>
      <x:c r="D1044" s="2" t="n">
        <x:v>1</x:v>
      </x:c>
      <x:c r="E1044" s="10"/>
      <x:c r="F1044" s="11" t="n">
        <x:v>511</x:v>
      </x:c>
      <x:c r="G1044" s="11" t="n">
        <x:v>0</x:v>
      </x:c>
      <x:c r="H1044" s="11" t="n">
        <x:v>0</x:v>
      </x:c>
      <x:c r="I1044" s="11" t="n">
        <x:v>1</x:v>
      </x:c>
      <x:c r="J1044" s="11" t="n">
        <x:v>0</x:v>
      </x:c>
      <x:c r="K1044" s="11" t="n">
        <x:v>0</x:v>
      </x:c>
      <x:c r="L1044" s="11" t="n">
        <x:f>IF(B1044="NED",1,IF(OR(B1044="ED",B1044="UN"),0,""))</x:f>
        <x:v>0</x:v>
      </x:c>
      <x:c r="M1044" s="11" t="n">
        <x:f>IF(AND(K1044=1,OR(B1044="ED",B1044="NED")),1,0)</x:f>
        <x:v>0</x:v>
      </x:c>
      <x:c r="N1044" s="11" t="n">
        <x:f>IF(K1044=1,1,0)</x:f>
        <x:v>0</x:v>
      </x:c>
      <x:c r="O1044" s="12" t="str">
        <x:v>Exclude UniProt Membrane keyword</x:v>
      </x:c>
      <x:c r="P1044" s="11" t="n">
        <x:v>0</x:v>
      </x:c>
      <x:c r="Q1044" s="12" t="str">
        <x:v>AF-P62814-F1-model_v6</x:v>
      </x:c>
      <x:c r="R1044" s="12" t="str">
        <x:v>ok</x:v>
      </x:c>
      <x:c r="S1044" s="11" t="n">
        <x:v>660</x:v>
      </x:c>
      <x:c r="T1044" s="11" t="n">
        <x:v>511</x:v>
      </x:c>
    </x:row>
    <x:row r="1045" ht="23" customHeight="1">
      <x:c r="A1045" s="2" t="str">
        <x:v>P62827</x:v>
      </x:c>
      <x:c r="B1045" s="2" t="str">
        <x:v>ED</x:v>
      </x:c>
      <x:c r="C1045" s="2" t="n">
        <x:v>1</x:v>
      </x:c>
      <x:c r="D1045" s="2" t="n">
        <x:v>1</x:v>
      </x:c>
      <x:c r="E1045" s="10" t="n">
        <x:v>88.54736111111112</x:v>
      </x:c>
      <x:c r="F1045" s="11" t="n">
        <x:v>216</x:v>
      </x:c>
      <x:c r="G1045" s="11" t="n">
        <x:v>0</x:v>
      </x:c>
      <x:c r="H1045" s="11" t="n">
        <x:v>0</x:v>
      </x:c>
      <x:c r="I1045" s="11" t="n">
        <x:v>0</x:v>
      </x:c>
      <x:c r="J1045" s="11" t="n">
        <x:v>0</x:v>
      </x:c>
      <x:c r="K1045" s="11" t="n">
        <x:v>1</x:v>
      </x:c>
      <x:c r="L1045" s="11" t="n">
        <x:f>IF(B1045="NED",1,IF(OR(B1045="ED",B1045="UN"),0,""))</x:f>
        <x:v>0</x:v>
      </x:c>
      <x:c r="M1045" s="11" t="n">
        <x:f>IF(AND(K1045=1,OR(B1045="ED",B1045="NED")),1,0)</x:f>
        <x:v>1</x:v>
      </x:c>
      <x:c r="N1045" s="11" t="n">
        <x:f>IF(K1045=1,1,0)</x:f>
        <x:v>1</x:v>
      </x:c>
      <x:c r="O1045" s="12"/>
      <x:c r="P1045" s="11" t="n">
        <x:v>0</x:v>
      </x:c>
      <x:c r="Q1045" s="12" t="str">
        <x:v>AF-P62827-F1-model_v6</x:v>
      </x:c>
      <x:c r="R1045" s="12" t="str">
        <x:v>ok</x:v>
      </x:c>
      <x:c r="S1045" s="11" t="n">
        <x:v>661</x:v>
      </x:c>
      <x:c r="T1045" s="11" t="n">
        <x:v>216</x:v>
      </x:c>
    </x:row>
    <x:row r="1046" ht="23" customHeight="1">
      <x:c r="A1046" s="2" t="str">
        <x:v>P62830</x:v>
      </x:c>
      <x:c r="B1046" s="2" t="str">
        <x:v>NED</x:v>
      </x:c>
      <x:c r="C1046" s="2" t="n">
        <x:v>1</x:v>
      </x:c>
      <x:c r="D1046" s="2" t="n">
        <x:v>1</x:v>
      </x:c>
      <x:c r="E1046" s="10" t="n">
        <x:v>92.58842857142857</x:v>
      </x:c>
      <x:c r="F1046" s="11" t="n">
        <x:v>140</x:v>
      </x:c>
      <x:c r="G1046" s="11" t="n">
        <x:v>0</x:v>
      </x:c>
      <x:c r="H1046" s="11" t="n">
        <x:v>0</x:v>
      </x:c>
      <x:c r="I1046" s="11" t="n">
        <x:v>0</x:v>
      </x:c>
      <x:c r="J1046" s="11" t="n">
        <x:v>0</x:v>
      </x:c>
      <x:c r="K1046" s="11" t="n">
        <x:v>1</x:v>
      </x:c>
      <x:c r="L1046" s="11" t="n">
        <x:f>IF(B1046="NED",1,IF(OR(B1046="ED",B1046="UN"),0,""))</x:f>
        <x:v>1</x:v>
      </x:c>
      <x:c r="M1046" s="11" t="n">
        <x:f>IF(AND(K1046=1,OR(B1046="ED",B1046="NED")),1,0)</x:f>
        <x:v>1</x:v>
      </x:c>
      <x:c r="N1046" s="11" t="n">
        <x:f>IF(K1046=1,1,0)</x:f>
        <x:v>1</x:v>
      </x:c>
      <x:c r="O1046" s="12"/>
      <x:c r="P1046" s="11" t="n">
        <x:v>0</x:v>
      </x:c>
      <x:c r="Q1046" s="12" t="str">
        <x:v>AF-P62830-F1-model_v6</x:v>
      </x:c>
      <x:c r="R1046" s="12" t="str">
        <x:v>ok</x:v>
      </x:c>
      <x:c r="S1046" s="11" t="n">
        <x:v>662</x:v>
      </x:c>
      <x:c r="T1046" s="11" t="n">
        <x:v>140</x:v>
      </x:c>
    </x:row>
    <x:row r="1047" ht="23" customHeight="1">
      <x:c r="A1047" s="2" t="str">
        <x:v>P62849-2</x:v>
      </x:c>
      <x:c r="B1047" s="2" t="str">
        <x:v>UN</x:v>
      </x:c>
      <x:c r="C1047" s="2"/>
      <x:c r="D1047" s="2"/>
      <x:c r="E1047" s="10"/>
      <x:c r="F1047" s="11"/>
      <x:c r="G1047" s="11" t="n">
        <x:v>0</x:v>
      </x:c>
      <x:c r="H1047" s="11" t="n">
        <x:v>0</x:v>
      </x:c>
      <x:c r="I1047" s="11"/>
      <x:c r="J1047" s="11"/>
      <x:c r="K1047" s="11" t="n">
        <x:v>0</x:v>
      </x:c>
      <x:c r="L1047" s="11" t="n">
        <x:f>IF(B1047="NED",1,IF(OR(B1047="ED",B1047="UN"),0,""))</x:f>
        <x:v>0</x:v>
      </x:c>
      <x:c r="M1047" s="11" t="n">
        <x:f>IF(AND(K1047=1,OR(B1047="ED",B1047="NED")),1,0)</x:f>
        <x:v>0</x:v>
      </x:c>
      <x:c r="N1047" s="11" t="n">
        <x:f>IF(K1047=1,1,0)</x:f>
        <x:v>0</x:v>
      </x:c>
      <x:c r="O1047" s="12" t="str">
        <x:v>Require exact native accession match</x:v>
      </x:c>
      <x:c r="P1047" s="11" t="n">
        <x:v>0</x:v>
      </x:c>
      <x:c r="Q1047" s="12"/>
      <x:c r="R1047" s="12"/>
      <x:c r="S1047" s="11" t="n">
        <x:v>663</x:v>
      </x:c>
      <x:c r="T1047" s="11"/>
    </x:row>
    <x:row r="1048" ht="23" customHeight="1">
      <x:c r="A1048" s="2" t="str">
        <x:v>P62852</x:v>
      </x:c>
      <x:c r="B1048" s="2" t="str">
        <x:v>NED</x:v>
      </x:c>
      <x:c r="C1048" s="2" t="n">
        <x:v>0</x:v>
      </x:c>
      <x:c r="D1048" s="2" t="n">
        <x:v>0</x:v>
      </x:c>
      <x:c r="E1048" s="10" t="n">
        <x:v>73.42912</x:v>
      </x:c>
      <x:c r="F1048" s="11" t="n">
        <x:v>125</x:v>
      </x:c>
      <x:c r="G1048" s="11" t="n">
        <x:v>0</x:v>
      </x:c>
      <x:c r="H1048" s="11" t="n">
        <x:v>0</x:v>
      </x:c>
      <x:c r="I1048" s="11" t="n">
        <x:v>0</x:v>
      </x:c>
      <x:c r="J1048" s="11" t="n">
        <x:v>0</x:v>
      </x:c>
      <x:c r="K1048" s="11" t="n">
        <x:v>1</x:v>
      </x:c>
      <x:c r="L1048" s="11" t="n">
        <x:f>IF(B1048="NED",1,IF(OR(B1048="ED",B1048="UN"),0,""))</x:f>
        <x:v>1</x:v>
      </x:c>
      <x:c r="M1048" s="11" t="n">
        <x:f>IF(AND(K1048=1,OR(B1048="ED",B1048="NED")),1,0)</x:f>
        <x:v>1</x:v>
      </x:c>
      <x:c r="N1048" s="11" t="n">
        <x:f>IF(K1048=1,1,0)</x:f>
        <x:v>1</x:v>
      </x:c>
      <x:c r="O1048" s="12"/>
      <x:c r="P1048" s="11" t="n">
        <x:v>0</x:v>
      </x:c>
      <x:c r="Q1048" s="12" t="str">
        <x:v>AF-P62852-F1-model_v6</x:v>
      </x:c>
      <x:c r="R1048" s="12" t="str">
        <x:v>ok</x:v>
      </x:c>
      <x:c r="S1048" s="11" t="n">
        <x:v>664</x:v>
      </x:c>
      <x:c r="T1048" s="11" t="n">
        <x:v>125</x:v>
      </x:c>
    </x:row>
    <x:row r="1049" ht="23" customHeight="1">
      <x:c r="A1049" s="2" t="str">
        <x:v>P62855</x:v>
      </x:c>
      <x:c r="B1049" s="2" t="str">
        <x:v>NED</x:v>
      </x:c>
      <x:c r="C1049" s="2" t="n">
        <x:v>0</x:v>
      </x:c>
      <x:c r="D1049" s="2" t="n">
        <x:v>0</x:v>
      </x:c>
      <x:c r="E1049" s="10" t="n">
        <x:v>85.80226086956522</x:v>
      </x:c>
      <x:c r="F1049" s="11" t="n">
        <x:v>115</x:v>
      </x:c>
      <x:c r="G1049" s="11" t="n">
        <x:v>0</x:v>
      </x:c>
      <x:c r="H1049" s="11" t="n">
        <x:v>0</x:v>
      </x:c>
      <x:c r="I1049" s="11" t="n">
        <x:v>0</x:v>
      </x:c>
      <x:c r="J1049" s="11" t="n">
        <x:v>0</x:v>
      </x:c>
      <x:c r="K1049" s="11" t="n">
        <x:v>1</x:v>
      </x:c>
      <x:c r="L1049" s="11" t="n">
        <x:f>IF(B1049="NED",1,IF(OR(B1049="ED",B1049="UN"),0,""))</x:f>
        <x:v>1</x:v>
      </x:c>
      <x:c r="M1049" s="11" t="n">
        <x:f>IF(AND(K1049=1,OR(B1049="ED",B1049="NED")),1,0)</x:f>
        <x:v>1</x:v>
      </x:c>
      <x:c r="N1049" s="11" t="n">
        <x:f>IF(K1049=1,1,0)</x:f>
        <x:v>1</x:v>
      </x:c>
      <x:c r="O1049" s="12"/>
      <x:c r="P1049" s="11" t="n">
        <x:v>0</x:v>
      </x:c>
      <x:c r="Q1049" s="12" t="str">
        <x:v>AF-P62855-F1-model_v6</x:v>
      </x:c>
      <x:c r="R1049" s="12" t="str">
        <x:v>ok</x:v>
      </x:c>
      <x:c r="S1049" s="11" t="n">
        <x:v>665</x:v>
      </x:c>
      <x:c r="T1049" s="11" t="n">
        <x:v>115</x:v>
      </x:c>
    </x:row>
    <x:row r="1050" ht="23" customHeight="1">
      <x:c r="A1050" s="2" t="str">
        <x:v>P62869</x:v>
      </x:c>
      <x:c r="B1050" s="2" t="str">
        <x:v>ED</x:v>
      </x:c>
      <x:c r="C1050" s="2" t="n">
        <x:v>0</x:v>
      </x:c>
      <x:c r="D1050" s="2" t="n">
        <x:v>0</x:v>
      </x:c>
      <x:c r="E1050" s="10" t="n">
        <x:v>92.5756779661017</x:v>
      </x:c>
      <x:c r="F1050" s="11" t="n">
        <x:v>118</x:v>
      </x:c>
      <x:c r="G1050" s="11" t="n">
        <x:v>0</x:v>
      </x:c>
      <x:c r="H1050" s="11" t="n">
        <x:v>0</x:v>
      </x:c>
      <x:c r="I1050" s="11" t="n">
        <x:v>0</x:v>
      </x:c>
      <x:c r="J1050" s="11" t="n">
        <x:v>0</x:v>
      </x:c>
      <x:c r="K1050" s="11" t="n">
        <x:v>1</x:v>
      </x:c>
      <x:c r="L1050" s="11" t="n">
        <x:f>IF(B1050="NED",1,IF(OR(B1050="ED",B1050="UN"),0,""))</x:f>
        <x:v>0</x:v>
      </x:c>
      <x:c r="M1050" s="11" t="n">
        <x:f>IF(AND(K1050=1,OR(B1050="ED",B1050="NED")),1,0)</x:f>
        <x:v>1</x:v>
      </x:c>
      <x:c r="N1050" s="11" t="n">
        <x:f>IF(K1050=1,1,0)</x:f>
        <x:v>1</x:v>
      </x:c>
      <x:c r="O1050" s="12"/>
      <x:c r="P1050" s="11" t="n">
        <x:v>0</x:v>
      </x:c>
      <x:c r="Q1050" s="12" t="str">
        <x:v>AF-P62869-F1-model_v6</x:v>
      </x:c>
      <x:c r="R1050" s="12" t="str">
        <x:v>ok</x:v>
      </x:c>
      <x:c r="S1050" s="11" t="n">
        <x:v>666</x:v>
      </x:c>
      <x:c r="T1050" s="11" t="n">
        <x:v>118</x:v>
      </x:c>
    </x:row>
    <x:row r="1051" ht="23" customHeight="1">
      <x:c r="A1051" s="2" t="str">
        <x:v>P62874</x:v>
      </x:c>
      <x:c r="B1051" s="2" t="str">
        <x:v>UN</x:v>
      </x:c>
      <x:c r="C1051" s="2" t="n">
        <x:v>0</x:v>
      </x:c>
      <x:c r="D1051" s="2" t="n">
        <x:v>0</x:v>
      </x:c>
      <x:c r="E1051" s="10" t="n">
        <x:v>97.07267647058823</x:v>
      </x:c>
      <x:c r="F1051" s="11" t="n">
        <x:v>340</x:v>
      </x:c>
      <x:c r="G1051" s="11" t="n">
        <x:v>0</x:v>
      </x:c>
      <x:c r="H1051" s="11" t="n">
        <x:v>0</x:v>
      </x:c>
      <x:c r="I1051" s="11" t="n">
        <x:v>0</x:v>
      </x:c>
      <x:c r="J1051" s="11" t="n">
        <x:v>0</x:v>
      </x:c>
      <x:c r="K1051" s="11" t="n">
        <x:v>1</x:v>
      </x:c>
      <x:c r="L1051" s="11" t="n">
        <x:f>IF(B1051="NED",1,IF(OR(B1051="ED",B1051="UN"),0,""))</x:f>
        <x:v>0</x:v>
      </x:c>
      <x:c r="M1051" s="11" t="n">
        <x:f>IF(AND(K1051=1,OR(B1051="ED",B1051="NED")),1,0)</x:f>
        <x:v>0</x:v>
      </x:c>
      <x:c r="N1051" s="11" t="n">
        <x:f>IF(K1051=1,1,0)</x:f>
        <x:v>1</x:v>
      </x:c>
      <x:c r="O1051" s="12"/>
      <x:c r="P1051" s="11" t="n">
        <x:v>0</x:v>
      </x:c>
      <x:c r="Q1051" s="12" t="str">
        <x:v>AF-P62874-F1-model_v6</x:v>
      </x:c>
      <x:c r="R1051" s="12" t="str">
        <x:v>ok</x:v>
      </x:c>
      <x:c r="S1051" s="11" t="n">
        <x:v>667</x:v>
      </x:c>
      <x:c r="T1051" s="11" t="n">
        <x:v>340</x:v>
      </x:c>
    </x:row>
    <x:row r="1052" ht="23" customHeight="1">
      <x:c r="A1052" s="2" t="str">
        <x:v>P62880</x:v>
      </x:c>
      <x:c r="B1052" s="2" t="str">
        <x:v>UN</x:v>
      </x:c>
      <x:c r="C1052" s="2" t="n">
        <x:v>0</x:v>
      </x:c>
      <x:c r="D1052" s="2" t="n">
        <x:v>0</x:v>
      </x:c>
      <x:c r="E1052" s="10"/>
      <x:c r="F1052" s="11" t="n">
        <x:v>340</x:v>
      </x:c>
      <x:c r="G1052" s="11" t="n">
        <x:v>0</x:v>
      </x:c>
      <x:c r="H1052" s="11" t="n">
        <x:v>0</x:v>
      </x:c>
      <x:c r="I1052" s="11" t="n">
        <x:v>1</x:v>
      </x:c>
      <x:c r="J1052" s="11" t="n">
        <x:v>0</x:v>
      </x:c>
      <x:c r="K1052" s="11" t="n">
        <x:v>0</x:v>
      </x:c>
      <x:c r="L1052" s="11" t="n">
        <x:f>IF(B1052="NED",1,IF(OR(B1052="ED",B1052="UN"),0,""))</x:f>
        <x:v>0</x:v>
      </x:c>
      <x:c r="M1052" s="11" t="n">
        <x:f>IF(AND(K1052=1,OR(B1052="ED",B1052="NED")),1,0)</x:f>
        <x:v>0</x:v>
      </x:c>
      <x:c r="N1052" s="11" t="n">
        <x:f>IF(K1052=1,1,0)</x:f>
        <x:v>0</x:v>
      </x:c>
      <x:c r="O1052" s="12" t="str">
        <x:v>Exclude UniProt Membrane keyword</x:v>
      </x:c>
      <x:c r="P1052" s="11" t="n">
        <x:v>0</x:v>
      </x:c>
      <x:c r="Q1052" s="12" t="str">
        <x:v>AF-P62880-F1-model_v6</x:v>
      </x:c>
      <x:c r="R1052" s="12" t="str">
        <x:v>ok</x:v>
      </x:c>
      <x:c r="S1052" s="11" t="n">
        <x:v>668</x:v>
      </x:c>
      <x:c r="T1052" s="11" t="n">
        <x:v>340</x:v>
      </x:c>
    </x:row>
    <x:row r="1053" ht="23" customHeight="1">
      <x:c r="A1053" s="2" t="str">
        <x:v>P62889</x:v>
      </x:c>
      <x:c r="B1053" s="2" t="str">
        <x:v>NED</x:v>
      </x:c>
      <x:c r="C1053" s="2" t="n">
        <x:v>1</x:v>
      </x:c>
      <x:c r="D1053" s="2" t="n">
        <x:v>1</x:v>
      </x:c>
      <x:c r="E1053" s="10" t="n">
        <x:v>87.55495652173913</x:v>
      </x:c>
      <x:c r="F1053" s="11" t="n">
        <x:v>115</x:v>
      </x:c>
      <x:c r="G1053" s="11" t="n">
        <x:v>0</x:v>
      </x:c>
      <x:c r="H1053" s="11" t="n">
        <x:v>0</x:v>
      </x:c>
      <x:c r="I1053" s="11" t="n">
        <x:v>0</x:v>
      </x:c>
      <x:c r="J1053" s="11" t="n">
        <x:v>0</x:v>
      </x:c>
      <x:c r="K1053" s="11" t="n">
        <x:v>1</x:v>
      </x:c>
      <x:c r="L1053" s="11" t="n">
        <x:f>IF(B1053="NED",1,IF(OR(B1053="ED",B1053="UN"),0,""))</x:f>
        <x:v>1</x:v>
      </x:c>
      <x:c r="M1053" s="11" t="n">
        <x:f>IF(AND(K1053=1,OR(B1053="ED",B1053="NED")),1,0)</x:f>
        <x:v>1</x:v>
      </x:c>
      <x:c r="N1053" s="11" t="n">
        <x:f>IF(K1053=1,1,0)</x:f>
        <x:v>1</x:v>
      </x:c>
      <x:c r="O1053" s="12"/>
      <x:c r="P1053" s="11" t="n">
        <x:v>0</x:v>
      </x:c>
      <x:c r="Q1053" s="12" t="str">
        <x:v>AF-P62889-F1-model_v6</x:v>
      </x:c>
      <x:c r="R1053" s="12" t="str">
        <x:v>ok</x:v>
      </x:c>
      <x:c r="S1053" s="11" t="n">
        <x:v>669</x:v>
      </x:c>
      <x:c r="T1053" s="11" t="n">
        <x:v>115</x:v>
      </x:c>
    </x:row>
    <x:row r="1054" ht="23" customHeight="1">
      <x:c r="A1054" s="2" t="str">
        <x:v>P62908</x:v>
      </x:c>
      <x:c r="B1054" s="2" t="str">
        <x:v>NED</x:v>
      </x:c>
      <x:c r="C1054" s="2" t="n">
        <x:v>1</x:v>
      </x:c>
      <x:c r="D1054" s="2" t="n">
        <x:v>1</x:v>
      </x:c>
      <x:c r="E1054" s="10"/>
      <x:c r="F1054" s="11" t="n">
        <x:v>243</x:v>
      </x:c>
      <x:c r="G1054" s="11" t="n">
        <x:v>0</x:v>
      </x:c>
      <x:c r="H1054" s="11" t="n">
        <x:v>0</x:v>
      </x:c>
      <x:c r="I1054" s="11" t="n">
        <x:v>1</x:v>
      </x:c>
      <x:c r="J1054" s="11" t="n">
        <x:v>0</x:v>
      </x:c>
      <x:c r="K1054" s="11" t="n">
        <x:v>0</x:v>
      </x:c>
      <x:c r="L1054" s="11" t="n">
        <x:f>IF(B1054="NED",1,IF(OR(B1054="ED",B1054="UN"),0,""))</x:f>
        <x:v>1</x:v>
      </x:c>
      <x:c r="M1054" s="11" t="n">
        <x:f>IF(AND(K1054=1,OR(B1054="ED",B1054="NED")),1,0)</x:f>
        <x:v>0</x:v>
      </x:c>
      <x:c r="N1054" s="11" t="n">
        <x:f>IF(K1054=1,1,0)</x:f>
        <x:v>0</x:v>
      </x:c>
      <x:c r="O1054" s="12" t="str">
        <x:v>Exclude UniProt Membrane keyword</x:v>
      </x:c>
      <x:c r="P1054" s="11" t="n">
        <x:v>0</x:v>
      </x:c>
      <x:c r="Q1054" s="12" t="str">
        <x:v>AF-P62908-F1-model_v6</x:v>
      </x:c>
      <x:c r="R1054" s="12" t="str">
        <x:v>ok</x:v>
      </x:c>
      <x:c r="S1054" s="11" t="n">
        <x:v>670</x:v>
      </x:c>
      <x:c r="T1054" s="11" t="n">
        <x:v>243</x:v>
      </x:c>
    </x:row>
    <x:row r="1055" ht="23" customHeight="1">
      <x:c r="A1055" s="2" t="str">
        <x:v>P62915</x:v>
      </x:c>
      <x:c r="B1055" s="2" t="str">
        <x:v>ED</x:v>
      </x:c>
      <x:c r="C1055" s="2" t="n">
        <x:v>0</x:v>
      </x:c>
      <x:c r="D1055" s="2" t="n">
        <x:v>0</x:v>
      </x:c>
      <x:c r="E1055" s="10" t="n">
        <x:v>86.84104430379747</x:v>
      </x:c>
      <x:c r="F1055" s="11" t="n">
        <x:v>316</x:v>
      </x:c>
      <x:c r="G1055" s="11" t="n">
        <x:v>0</x:v>
      </x:c>
      <x:c r="H1055" s="11" t="n">
        <x:v>0</x:v>
      </x:c>
      <x:c r="I1055" s="11" t="n">
        <x:v>0</x:v>
      </x:c>
      <x:c r="J1055" s="11" t="n">
        <x:v>0</x:v>
      </x:c>
      <x:c r="K1055" s="11" t="n">
        <x:v>1</x:v>
      </x:c>
      <x:c r="L1055" s="11" t="n">
        <x:f>IF(B1055="NED",1,IF(OR(B1055="ED",B1055="UN"),0,""))</x:f>
        <x:v>0</x:v>
      </x:c>
      <x:c r="M1055" s="11" t="n">
        <x:f>IF(AND(K1055=1,OR(B1055="ED",B1055="NED")),1,0)</x:f>
        <x:v>1</x:v>
      </x:c>
      <x:c r="N1055" s="11" t="n">
        <x:f>IF(K1055=1,1,0)</x:f>
        <x:v>1</x:v>
      </x:c>
      <x:c r="O1055" s="12"/>
      <x:c r="P1055" s="11" t="n">
        <x:v>0</x:v>
      </x:c>
      <x:c r="Q1055" s="12" t="str">
        <x:v>AF-P62915-F1-model_v6</x:v>
      </x:c>
      <x:c r="R1055" s="12" t="str">
        <x:v>ok</x:v>
      </x:c>
      <x:c r="S1055" s="11" t="n">
        <x:v>671</x:v>
      </x:c>
      <x:c r="T1055" s="11" t="n">
        <x:v>316</x:v>
      </x:c>
    </x:row>
    <x:row r="1056" ht="23" customHeight="1">
      <x:c r="A1056" s="2" t="str">
        <x:v>P62962</x:v>
      </x:c>
      <x:c r="B1056" s="2" t="str">
        <x:v>ED</x:v>
      </x:c>
      <x:c r="C1056" s="2" t="n">
        <x:v>0</x:v>
      </x:c>
      <x:c r="D1056" s="2" t="n">
        <x:v>0</x:v>
      </x:c>
      <x:c r="E1056" s="10" t="n">
        <x:v>96.15014285714284</x:v>
      </x:c>
      <x:c r="F1056" s="11" t="n">
        <x:v>140</x:v>
      </x:c>
      <x:c r="G1056" s="11" t="n">
        <x:v>0</x:v>
      </x:c>
      <x:c r="H1056" s="11" t="n">
        <x:v>0</x:v>
      </x:c>
      <x:c r="I1056" s="11" t="n">
        <x:v>0</x:v>
      </x:c>
      <x:c r="J1056" s="11" t="n">
        <x:v>0</x:v>
      </x:c>
      <x:c r="K1056" s="11" t="n">
        <x:v>1</x:v>
      </x:c>
      <x:c r="L1056" s="11" t="n">
        <x:f>IF(B1056="NED",1,IF(OR(B1056="ED",B1056="UN"),0,""))</x:f>
        <x:v>0</x:v>
      </x:c>
      <x:c r="M1056" s="11" t="n">
        <x:f>IF(AND(K1056=1,OR(B1056="ED",B1056="NED")),1,0)</x:f>
        <x:v>1</x:v>
      </x:c>
      <x:c r="N1056" s="11" t="n">
        <x:f>IF(K1056=1,1,0)</x:f>
        <x:v>1</x:v>
      </x:c>
      <x:c r="O1056" s="12"/>
      <x:c r="P1056" s="11" t="n">
        <x:v>0</x:v>
      </x:c>
      <x:c r="Q1056" s="12" t="str">
        <x:v>AF-P62962-F1-model_v6</x:v>
      </x:c>
      <x:c r="R1056" s="12" t="str">
        <x:v>ok</x:v>
      </x:c>
      <x:c r="S1056" s="11" t="n">
        <x:v>672</x:v>
      </x:c>
      <x:c r="T1056" s="11" t="n">
        <x:v>140</x:v>
      </x:c>
    </x:row>
    <x:row r="1057" ht="23" customHeight="1">
      <x:c r="A1057" s="2" t="str">
        <x:v>P62983</x:v>
      </x:c>
      <x:c r="B1057" s="2" t="str">
        <x:v>UN</x:v>
      </x:c>
      <x:c r="C1057" s="2" t="n">
        <x:v>1</x:v>
      </x:c>
      <x:c r="D1057" s="2" t="n">
        <x:v>1</x:v>
      </x:c>
      <x:c r="E1057" s="10" t="n">
        <x:v>89.3176923076923</x:v>
      </x:c>
      <x:c r="F1057" s="11" t="n">
        <x:v>156</x:v>
      </x:c>
      <x:c r="G1057" s="11" t="n">
        <x:v>0</x:v>
      </x:c>
      <x:c r="H1057" s="11" t="n">
        <x:v>0</x:v>
      </x:c>
      <x:c r="I1057" s="11" t="n">
        <x:v>0</x:v>
      </x:c>
      <x:c r="J1057" s="11" t="n">
        <x:v>0</x:v>
      </x:c>
      <x:c r="K1057" s="11" t="n">
        <x:v>1</x:v>
      </x:c>
      <x:c r="L1057" s="11" t="n">
        <x:f>IF(B1057="NED",1,IF(OR(B1057="ED",B1057="UN"),0,""))</x:f>
        <x:v>0</x:v>
      </x:c>
      <x:c r="M1057" s="11" t="n">
        <x:f>IF(AND(K1057=1,OR(B1057="ED",B1057="NED")),1,0)</x:f>
        <x:v>0</x:v>
      </x:c>
      <x:c r="N1057" s="11" t="n">
        <x:f>IF(K1057=1,1,0)</x:f>
        <x:v>1</x:v>
      </x:c>
      <x:c r="O1057" s="12"/>
      <x:c r="P1057" s="11" t="n">
        <x:v>0</x:v>
      </x:c>
      <x:c r="Q1057" s="12" t="str">
        <x:v>AF-P62983-F1-model_v6</x:v>
      </x:c>
      <x:c r="R1057" s="12" t="str">
        <x:v>ok</x:v>
      </x:c>
      <x:c r="S1057" s="11" t="n">
        <x:v>673</x:v>
      </x:c>
      <x:c r="T1057" s="11" t="n">
        <x:v>156</x:v>
      </x:c>
    </x:row>
    <x:row r="1058" ht="23" customHeight="1">
      <x:c r="A1058" s="2" t="str">
        <x:v>P63017</x:v>
      </x:c>
      <x:c r="B1058" s="2" t="str">
        <x:v>NED</x:v>
      </x:c>
      <x:c r="C1058" s="2" t="n">
        <x:v>1</x:v>
      </x:c>
      <x:c r="D1058" s="2" t="n">
        <x:v>1</x:v>
      </x:c>
      <x:c r="E1058" s="10"/>
      <x:c r="F1058" s="11" t="n">
        <x:v>646</x:v>
      </x:c>
      <x:c r="G1058" s="11" t="n">
        <x:v>0</x:v>
      </x:c>
      <x:c r="H1058" s="11" t="n">
        <x:v>0</x:v>
      </x:c>
      <x:c r="I1058" s="11" t="n">
        <x:v>1</x:v>
      </x:c>
      <x:c r="J1058" s="11" t="n">
        <x:v>0</x:v>
      </x:c>
      <x:c r="K1058" s="11" t="n">
        <x:v>0</x:v>
      </x:c>
      <x:c r="L1058" s="11" t="n">
        <x:f>IF(B1058="NED",1,IF(OR(B1058="ED",B1058="UN"),0,""))</x:f>
        <x:v>1</x:v>
      </x:c>
      <x:c r="M1058" s="11" t="n">
        <x:f>IF(AND(K1058=1,OR(B1058="ED",B1058="NED")),1,0)</x:f>
        <x:v>0</x:v>
      </x:c>
      <x:c r="N1058" s="11" t="n">
        <x:f>IF(K1058=1,1,0)</x:f>
        <x:v>0</x:v>
      </x:c>
      <x:c r="O1058" s="12" t="str">
        <x:v>Exclude UniProt Membrane keyword</x:v>
      </x:c>
      <x:c r="P1058" s="11" t="n">
        <x:v>0</x:v>
      </x:c>
      <x:c r="Q1058" s="12" t="str">
        <x:v>AF-P63017-F1-model_v6</x:v>
      </x:c>
      <x:c r="R1058" s="12" t="str">
        <x:v>ok</x:v>
      </x:c>
      <x:c r="S1058" s="11" t="n">
        <x:v>674</x:v>
      </x:c>
      <x:c r="T1058" s="11" t="n">
        <x:v>646</x:v>
      </x:c>
    </x:row>
    <x:row r="1059" ht="23" customHeight="1">
      <x:c r="A1059" s="2" t="str">
        <x:v>P63037</x:v>
      </x:c>
      <x:c r="B1059" s="2" t="str">
        <x:v>UN</x:v>
      </x:c>
      <x:c r="C1059" s="2" t="n">
        <x:v>1</x:v>
      </x:c>
      <x:c r="D1059" s="2" t="n">
        <x:v>1</x:v>
      </x:c>
      <x:c r="E1059" s="10"/>
      <x:c r="F1059" s="11" t="n">
        <x:v>397</x:v>
      </x:c>
      <x:c r="G1059" s="11" t="n">
        <x:v>0</x:v>
      </x:c>
      <x:c r="H1059" s="11" t="n">
        <x:v>0</x:v>
      </x:c>
      <x:c r="I1059" s="11" t="n">
        <x:v>1</x:v>
      </x:c>
      <x:c r="J1059" s="11" t="n">
        <x:v>0</x:v>
      </x:c>
      <x:c r="K1059" s="11" t="n">
        <x:v>0</x:v>
      </x:c>
      <x:c r="L1059" s="11" t="n">
        <x:f>IF(B1059="NED",1,IF(OR(B1059="ED",B1059="UN"),0,""))</x:f>
        <x:v>0</x:v>
      </x:c>
      <x:c r="M1059" s="11" t="n">
        <x:f>IF(AND(K1059=1,OR(B1059="ED",B1059="NED")),1,0)</x:f>
        <x:v>0</x:v>
      </x:c>
      <x:c r="N1059" s="11" t="n">
        <x:f>IF(K1059=1,1,0)</x:f>
        <x:v>0</x:v>
      </x:c>
      <x:c r="O1059" s="12" t="str">
        <x:v>Exclude UniProt Membrane keyword</x:v>
      </x:c>
      <x:c r="P1059" s="11" t="n">
        <x:v>0</x:v>
      </x:c>
      <x:c r="Q1059" s="12" t="str">
        <x:v>AF-P63037-F1-model_v6</x:v>
      </x:c>
      <x:c r="R1059" s="12" t="str">
        <x:v>ok</x:v>
      </x:c>
      <x:c r="S1059" s="11" t="n">
        <x:v>675</x:v>
      </x:c>
      <x:c r="T1059" s="11" t="n">
        <x:v>397</x:v>
      </x:c>
    </x:row>
    <x:row r="1060" ht="23" customHeight="1">
      <x:c r="A1060" s="2" t="str">
        <x:v>P63038</x:v>
      </x:c>
      <x:c r="B1060" s="2" t="str">
        <x:v>UN</x:v>
      </x:c>
      <x:c r="C1060" s="2" t="n">
        <x:v>1</x:v>
      </x:c>
      <x:c r="D1060" s="2" t="n">
        <x:v>1</x:v>
      </x:c>
      <x:c r="E1060" s="10" t="n">
        <x:v>88.02333333333334</x:v>
      </x:c>
      <x:c r="F1060" s="11" t="n">
        <x:v>573</x:v>
      </x:c>
      <x:c r="G1060" s="11" t="n">
        <x:v>0</x:v>
      </x:c>
      <x:c r="H1060" s="11" t="n">
        <x:v>0</x:v>
      </x:c>
      <x:c r="I1060" s="11" t="n">
        <x:v>0</x:v>
      </x:c>
      <x:c r="J1060" s="11" t="n">
        <x:v>0</x:v>
      </x:c>
      <x:c r="K1060" s="11" t="n">
        <x:v>1</x:v>
      </x:c>
      <x:c r="L1060" s="11" t="n">
        <x:f>IF(B1060="NED",1,IF(OR(B1060="ED",B1060="UN"),0,""))</x:f>
        <x:v>0</x:v>
      </x:c>
      <x:c r="M1060" s="11" t="n">
        <x:f>IF(AND(K1060=1,OR(B1060="ED",B1060="NED")),1,0)</x:f>
        <x:v>0</x:v>
      </x:c>
      <x:c r="N1060" s="11" t="n">
        <x:f>IF(K1060=1,1,0)</x:f>
        <x:v>1</x:v>
      </x:c>
      <x:c r="O1060" s="12"/>
      <x:c r="P1060" s="11" t="n">
        <x:v>0</x:v>
      </x:c>
      <x:c r="Q1060" s="12" t="str">
        <x:v>AF-P63038-F1-model_v6</x:v>
      </x:c>
      <x:c r="R1060" s="12" t="str">
        <x:v>ok</x:v>
      </x:c>
      <x:c r="S1060" s="11" t="n">
        <x:v>676</x:v>
      </x:c>
      <x:c r="T1060" s="11" t="n">
        <x:v>573</x:v>
      </x:c>
    </x:row>
    <x:row r="1061" ht="23" customHeight="1">
      <x:c r="A1061" s="2" t="str">
        <x:v>P63073</x:v>
      </x:c>
      <x:c r="B1061" s="2" t="str">
        <x:v>UN</x:v>
      </x:c>
      <x:c r="C1061" s="2" t="n">
        <x:v>1</x:v>
      </x:c>
      <x:c r="D1061" s="2" t="n">
        <x:v>1</x:v>
      </x:c>
      <x:c r="E1061" s="10" t="n">
        <x:v>90.52170506912442</x:v>
      </x:c>
      <x:c r="F1061" s="11" t="n">
        <x:v>217</x:v>
      </x:c>
      <x:c r="G1061" s="11" t="n">
        <x:v>0</x:v>
      </x:c>
      <x:c r="H1061" s="11" t="n">
        <x:v>0</x:v>
      </x:c>
      <x:c r="I1061" s="11" t="n">
        <x:v>0</x:v>
      </x:c>
      <x:c r="J1061" s="11" t="n">
        <x:v>0</x:v>
      </x:c>
      <x:c r="K1061" s="11" t="n">
        <x:v>1</x:v>
      </x:c>
      <x:c r="L1061" s="11" t="n">
        <x:f>IF(B1061="NED",1,IF(OR(B1061="ED",B1061="UN"),0,""))</x:f>
        <x:v>0</x:v>
      </x:c>
      <x:c r="M1061" s="11" t="n">
        <x:f>IF(AND(K1061=1,OR(B1061="ED",B1061="NED")),1,0)</x:f>
        <x:v>0</x:v>
      </x:c>
      <x:c r="N1061" s="11" t="n">
        <x:f>IF(K1061=1,1,0)</x:f>
        <x:v>1</x:v>
      </x:c>
      <x:c r="O1061" s="12"/>
      <x:c r="P1061" s="11" t="n">
        <x:v>0</x:v>
      </x:c>
      <x:c r="Q1061" s="12" t="str">
        <x:v>AF-P63073-F1-model_v6</x:v>
      </x:c>
      <x:c r="R1061" s="12" t="str">
        <x:v>ok</x:v>
      </x:c>
      <x:c r="S1061" s="11" t="n">
        <x:v>677</x:v>
      </x:c>
      <x:c r="T1061" s="11" t="n">
        <x:v>217</x:v>
      </x:c>
    </x:row>
    <x:row r="1062" ht="23" customHeight="1">
      <x:c r="A1062" s="2" t="str">
        <x:v>P63085</x:v>
      </x:c>
      <x:c r="B1062" s="2" t="str">
        <x:v>ED</x:v>
      </x:c>
      <x:c r="C1062" s="2" t="n">
        <x:v>1</x:v>
      </x:c>
      <x:c r="D1062" s="2" t="n">
        <x:v>1</x:v>
      </x:c>
      <x:c r="E1062" s="10"/>
      <x:c r="F1062" s="11" t="n">
        <x:v>358</x:v>
      </x:c>
      <x:c r="G1062" s="11" t="n">
        <x:v>0</x:v>
      </x:c>
      <x:c r="H1062" s="11" t="n">
        <x:v>0</x:v>
      </x:c>
      <x:c r="I1062" s="11" t="n">
        <x:v>1</x:v>
      </x:c>
      <x:c r="J1062" s="11" t="n">
        <x:v>0</x:v>
      </x:c>
      <x:c r="K1062" s="11" t="n">
        <x:v>0</x:v>
      </x:c>
      <x:c r="L1062" s="11" t="n">
        <x:f>IF(B1062="NED",1,IF(OR(B1062="ED",B1062="UN"),0,""))</x:f>
        <x:v>0</x:v>
      </x:c>
      <x:c r="M1062" s="11" t="n">
        <x:f>IF(AND(K1062=1,OR(B1062="ED",B1062="NED")),1,0)</x:f>
        <x:v>0</x:v>
      </x:c>
      <x:c r="N1062" s="11" t="n">
        <x:f>IF(K1062=1,1,0)</x:f>
        <x:v>0</x:v>
      </x:c>
      <x:c r="O1062" s="12" t="str">
        <x:v>Exclude UniProt Membrane keyword</x:v>
      </x:c>
      <x:c r="P1062" s="11" t="n">
        <x:v>0</x:v>
      </x:c>
      <x:c r="Q1062" s="12" t="str">
        <x:v>AF-P63085-F1-model_v6</x:v>
      </x:c>
      <x:c r="R1062" s="12" t="str">
        <x:v>ok</x:v>
      </x:c>
      <x:c r="S1062" s="11" t="n">
        <x:v>678</x:v>
      </x:c>
      <x:c r="T1062" s="11" t="n">
        <x:v>358</x:v>
      </x:c>
    </x:row>
    <x:row r="1063" ht="23" customHeight="1">
      <x:c r="A1063" s="2" t="str">
        <x:v>P63087-2</x:v>
      </x:c>
      <x:c r="B1063" s="2" t="str">
        <x:v>ED</x:v>
      </x:c>
      <x:c r="C1063" s="2"/>
      <x:c r="D1063" s="2"/>
      <x:c r="E1063" s="10"/>
      <x:c r="F1063" s="11"/>
      <x:c r="G1063" s="11" t="n">
        <x:v>0</x:v>
      </x:c>
      <x:c r="H1063" s="11" t="n">
        <x:v>0</x:v>
      </x:c>
      <x:c r="I1063" s="11"/>
      <x:c r="J1063" s="11"/>
      <x:c r="K1063" s="11" t="n">
        <x:v>0</x:v>
      </x:c>
      <x:c r="L1063" s="11" t="n">
        <x:f>IF(B1063="NED",1,IF(OR(B1063="ED",B1063="UN"),0,""))</x:f>
        <x:v>0</x:v>
      </x:c>
      <x:c r="M1063" s="11" t="n">
        <x:f>IF(AND(K1063=1,OR(B1063="ED",B1063="NED")),1,0)</x:f>
        <x:v>0</x:v>
      </x:c>
      <x:c r="N1063" s="11" t="n">
        <x:f>IF(K1063=1,1,0)</x:f>
        <x:v>0</x:v>
      </x:c>
      <x:c r="O1063" s="12" t="str">
        <x:v>Require exact native accession match</x:v>
      </x:c>
      <x:c r="P1063" s="11" t="n">
        <x:v>0</x:v>
      </x:c>
      <x:c r="Q1063" s="12"/>
      <x:c r="R1063" s="12"/>
      <x:c r="S1063" s="11" t="n">
        <x:v>679</x:v>
      </x:c>
      <x:c r="T1063" s="11"/>
    </x:row>
    <x:row r="1064" ht="23" customHeight="1">
      <x:c r="A1064" s="2" t="str">
        <x:v>P63094</x:v>
      </x:c>
      <x:c r="B1064" s="2" t="str">
        <x:v>NED</x:v>
      </x:c>
      <x:c r="C1064" s="2"/>
      <x:c r="D1064" s="2"/>
      <x:c r="E1064" s="10"/>
      <x:c r="F1064" s="11"/>
      <x:c r="G1064" s="11" t="n">
        <x:v>0</x:v>
      </x:c>
      <x:c r="H1064" s="11" t="n">
        <x:v>0</x:v>
      </x:c>
      <x:c r="I1064" s="11" t="n">
        <x:v>1</x:v>
      </x:c>
      <x:c r="J1064" s="11" t="n">
        <x:v>0</x:v>
      </x:c>
      <x:c r="K1064" s="11" t="n">
        <x:v>0</x:v>
      </x:c>
      <x:c r="L1064" s="11" t="n">
        <x:f>IF(B1064="NED",1,IF(OR(B1064="ED",B1064="UN"),0,""))</x:f>
        <x:v>1</x:v>
      </x:c>
      <x:c r="M1064" s="11" t="n">
        <x:f>IF(AND(K1064=1,OR(B1064="ED",B1064="NED")),1,0)</x:f>
        <x:v>0</x:v>
      </x:c>
      <x:c r="N1064" s="11" t="n">
        <x:f>IF(K1064=1,1,0)</x:f>
        <x:v>0</x:v>
      </x:c>
      <x:c r="O1064" s="12" t="str">
        <x:v>Require exact native accession match</x:v>
      </x:c>
      <x:c r="P1064" s="11" t="n">
        <x:v>0</x:v>
      </x:c>
      <x:c r="Q1064" s="12"/>
      <x:c r="R1064" s="12"/>
      <x:c r="S1064" s="11" t="n">
        <x:v>680</x:v>
      </x:c>
      <x:c r="T1064" s="11" t="n">
        <x:v>394</x:v>
      </x:c>
    </x:row>
    <x:row r="1065" ht="23" customHeight="1">
      <x:c r="A1065" s="2" t="str">
        <x:v>P63101</x:v>
      </x:c>
      <x:c r="B1065" s="2" t="str">
        <x:v>ED</x:v>
      </x:c>
      <x:c r="C1065" s="2" t="n">
        <x:v>0</x:v>
      </x:c>
      <x:c r="D1065" s="2" t="n">
        <x:v>0</x:v>
      </x:c>
      <x:c r="E1065" s="10" t="n">
        <x:v>94.01028571428571</x:v>
      </x:c>
      <x:c r="F1065" s="11" t="n">
        <x:v>245</x:v>
      </x:c>
      <x:c r="G1065" s="11" t="n">
        <x:v>0</x:v>
      </x:c>
      <x:c r="H1065" s="11" t="n">
        <x:v>0</x:v>
      </x:c>
      <x:c r="I1065" s="11" t="n">
        <x:v>0</x:v>
      </x:c>
      <x:c r="J1065" s="11" t="n">
        <x:v>0</x:v>
      </x:c>
      <x:c r="K1065" s="11" t="n">
        <x:v>1</x:v>
      </x:c>
      <x:c r="L1065" s="11" t="n">
        <x:f>IF(B1065="NED",1,IF(OR(B1065="ED",B1065="UN"),0,""))</x:f>
        <x:v>0</x:v>
      </x:c>
      <x:c r="M1065" s="11" t="n">
        <x:f>IF(AND(K1065=1,OR(B1065="ED",B1065="NED")),1,0)</x:f>
        <x:v>1</x:v>
      </x:c>
      <x:c r="N1065" s="11" t="n">
        <x:f>IF(K1065=1,1,0)</x:f>
        <x:v>1</x:v>
      </x:c>
      <x:c r="O1065" s="12"/>
      <x:c r="P1065" s="11" t="n">
        <x:v>0</x:v>
      </x:c>
      <x:c r="Q1065" s="12" t="str">
        <x:v>AF-P63101-F1-model_v6</x:v>
      </x:c>
      <x:c r="R1065" s="12" t="str">
        <x:v>ok</x:v>
      </x:c>
      <x:c r="S1065" s="11" t="n">
        <x:v>681</x:v>
      </x:c>
      <x:c r="T1065" s="11" t="n">
        <x:v>245</x:v>
      </x:c>
    </x:row>
    <x:row r="1066" ht="23" customHeight="1">
      <x:c r="A1066" s="2" t="str">
        <x:v>P63147</x:v>
      </x:c>
      <x:c r="B1066" s="2" t="str">
        <x:v>ED</x:v>
      </x:c>
      <x:c r="C1066" s="2" t="n">
        <x:v>0</x:v>
      </x:c>
      <x:c r="D1066" s="2" t="n">
        <x:v>0</x:v>
      </x:c>
      <x:c r="E1066" s="10"/>
      <x:c r="F1066" s="11" t="n">
        <x:v>152</x:v>
      </x:c>
      <x:c r="G1066" s="11" t="n">
        <x:v>0</x:v>
      </x:c>
      <x:c r="H1066" s="11" t="n">
        <x:v>0</x:v>
      </x:c>
      <x:c r="I1066" s="11" t="n">
        <x:v>1</x:v>
      </x:c>
      <x:c r="J1066" s="11" t="n">
        <x:v>0</x:v>
      </x:c>
      <x:c r="K1066" s="11" t="n">
        <x:v>0</x:v>
      </x:c>
      <x:c r="L1066" s="11" t="n">
        <x:f>IF(B1066="NED",1,IF(OR(B1066="ED",B1066="UN"),0,""))</x:f>
        <x:v>0</x:v>
      </x:c>
      <x:c r="M1066" s="11" t="n">
        <x:f>IF(AND(K1066=1,OR(B1066="ED",B1066="NED")),1,0)</x:f>
        <x:v>0</x:v>
      </x:c>
      <x:c r="N1066" s="11" t="n">
        <x:f>IF(K1066=1,1,0)</x:f>
        <x:v>0</x:v>
      </x:c>
      <x:c r="O1066" s="12" t="str">
        <x:v>Exclude UniProt Membrane keyword</x:v>
      </x:c>
      <x:c r="P1066" s="11" t="n">
        <x:v>0</x:v>
      </x:c>
      <x:c r="Q1066" s="12" t="str">
        <x:v>AF-P63147-F1-model_v6</x:v>
      </x:c>
      <x:c r="R1066" s="12" t="str">
        <x:v>ok</x:v>
      </x:c>
      <x:c r="S1066" s="11" t="n">
        <x:v>682</x:v>
      </x:c>
      <x:c r="T1066" s="11" t="n">
        <x:v>152</x:v>
      </x:c>
    </x:row>
    <x:row r="1067" ht="23" customHeight="1">
      <x:c r="A1067" s="2" t="str">
        <x:v>P63154</x:v>
      </x:c>
      <x:c r="B1067" s="2" t="str">
        <x:v>ED</x:v>
      </x:c>
      <x:c r="C1067" s="2" t="n">
        <x:v>0</x:v>
      </x:c>
      <x:c r="D1067" s="2" t="n">
        <x:v>0</x:v>
      </x:c>
      <x:c r="E1067" s="10" t="n">
        <x:v>84.52484057971014</x:v>
      </x:c>
      <x:c r="F1067" s="11" t="n">
        <x:v>690</x:v>
      </x:c>
      <x:c r="G1067" s="11" t="n">
        <x:v>0</x:v>
      </x:c>
      <x:c r="H1067" s="11" t="n">
        <x:v>0</x:v>
      </x:c>
      <x:c r="I1067" s="11" t="n">
        <x:v>0</x:v>
      </x:c>
      <x:c r="J1067" s="11" t="n">
        <x:v>0</x:v>
      </x:c>
      <x:c r="K1067" s="11" t="n">
        <x:v>1</x:v>
      </x:c>
      <x:c r="L1067" s="11" t="n">
        <x:f>IF(B1067="NED",1,IF(OR(B1067="ED",B1067="UN"),0,""))</x:f>
        <x:v>0</x:v>
      </x:c>
      <x:c r="M1067" s="11" t="n">
        <x:f>IF(AND(K1067=1,OR(B1067="ED",B1067="NED")),1,0)</x:f>
        <x:v>1</x:v>
      </x:c>
      <x:c r="N1067" s="11" t="n">
        <x:f>IF(K1067=1,1,0)</x:f>
        <x:v>1</x:v>
      </x:c>
      <x:c r="O1067" s="12"/>
      <x:c r="P1067" s="11" t="n">
        <x:v>0</x:v>
      </x:c>
      <x:c r="Q1067" s="12" t="str">
        <x:v>AF-P63154-F1-model_v6</x:v>
      </x:c>
      <x:c r="R1067" s="12" t="str">
        <x:v>ok</x:v>
      </x:c>
      <x:c r="S1067" s="11" t="n">
        <x:v>683</x:v>
      </x:c>
      <x:c r="T1067" s="11" t="n">
        <x:v>690</x:v>
      </x:c>
    </x:row>
    <x:row r="1068" ht="23" customHeight="1">
      <x:c r="A1068" s="2" t="str">
        <x:v>P63158</x:v>
      </x:c>
      <x:c r="B1068" s="2" t="str">
        <x:v>ED</x:v>
      </x:c>
      <x:c r="C1068" s="2" t="n">
        <x:v>0</x:v>
      </x:c>
      <x:c r="D1068" s="2" t="n">
        <x:v>0</x:v>
      </x:c>
      <x:c r="E1068" s="10"/>
      <x:c r="F1068" s="11" t="n">
        <x:v>215</x:v>
      </x:c>
      <x:c r="G1068" s="11" t="n">
        <x:v>0</x:v>
      </x:c>
      <x:c r="H1068" s="11" t="n">
        <x:v>0</x:v>
      </x:c>
      <x:c r="I1068" s="11" t="n">
        <x:v>1</x:v>
      </x:c>
      <x:c r="J1068" s="11" t="n">
        <x:v>1</x:v>
      </x:c>
      <x:c r="K1068" s="11" t="n">
        <x:v>0</x:v>
      </x:c>
      <x:c r="L1068" s="11" t="n">
        <x:f>IF(B1068="NED",1,IF(OR(B1068="ED",B1068="UN"),0,""))</x:f>
        <x:v>0</x:v>
      </x:c>
      <x:c r="M1068" s="11" t="n">
        <x:f>IF(AND(K1068=1,OR(B1068="ED",B1068="NED")),1,0)</x:f>
        <x:v>0</x:v>
      </x:c>
      <x:c r="N1068" s="11" t="n">
        <x:f>IF(K1068=1,1,0)</x:f>
        <x:v>0</x:v>
      </x:c>
      <x:c r="O1068" s="12" t="str">
        <x:v>Exclude UniProt Membrane keyword</x:v>
      </x:c>
      <x:c r="P1068" s="11" t="n">
        <x:v>0</x:v>
      </x:c>
      <x:c r="Q1068" s="12" t="str">
        <x:v>AF-P63158-F1-model_v6</x:v>
      </x:c>
      <x:c r="R1068" s="12" t="str">
        <x:v>ok</x:v>
      </x:c>
      <x:c r="S1068" s="11" t="n">
        <x:v>684</x:v>
      </x:c>
      <x:c r="T1068" s="11" t="n">
        <x:v>215</x:v>
      </x:c>
    </x:row>
    <x:row r="1069" ht="23" customHeight="1">
      <x:c r="A1069" s="2" t="str">
        <x:v>P63166</x:v>
      </x:c>
      <x:c r="B1069" s="2" t="str">
        <x:v>ED</x:v>
      </x:c>
      <x:c r="C1069" s="2" t="n">
        <x:v>0</x:v>
      </x:c>
      <x:c r="D1069" s="2" t="n">
        <x:v>0</x:v>
      </x:c>
      <x:c r="E1069" s="10"/>
      <x:c r="F1069" s="11" t="n">
        <x:v>101</x:v>
      </x:c>
      <x:c r="G1069" s="11" t="n">
        <x:v>0</x:v>
      </x:c>
      <x:c r="H1069" s="11" t="n">
        <x:v>0</x:v>
      </x:c>
      <x:c r="I1069" s="11" t="n">
        <x:v>1</x:v>
      </x:c>
      <x:c r="J1069" s="11" t="n">
        <x:v>0</x:v>
      </x:c>
      <x:c r="K1069" s="11" t="n">
        <x:v>0</x:v>
      </x:c>
      <x:c r="L1069" s="11" t="n">
        <x:f>IF(B1069="NED",1,IF(OR(B1069="ED",B1069="UN"),0,""))</x:f>
        <x:v>0</x:v>
      </x:c>
      <x:c r="M1069" s="11" t="n">
        <x:f>IF(AND(K1069=1,OR(B1069="ED",B1069="NED")),1,0)</x:f>
        <x:v>0</x:v>
      </x:c>
      <x:c r="N1069" s="11" t="n">
        <x:f>IF(K1069=1,1,0)</x:f>
        <x:v>0</x:v>
      </x:c>
      <x:c r="O1069" s="12" t="str">
        <x:v>Exclude UniProt Membrane keyword</x:v>
      </x:c>
      <x:c r="P1069" s="11" t="n">
        <x:v>0</x:v>
      </x:c>
      <x:c r="Q1069" s="12" t="str">
        <x:v>AF-P63166-F1-model_v6</x:v>
      </x:c>
      <x:c r="R1069" s="12" t="str">
        <x:v>ok</x:v>
      </x:c>
      <x:c r="S1069" s="11" t="n">
        <x:v>685</x:v>
      </x:c>
      <x:c r="T1069" s="11" t="n">
        <x:v>101</x:v>
      </x:c>
    </x:row>
    <x:row r="1070" ht="23" customHeight="1">
      <x:c r="A1070" s="2" t="str">
        <x:v>P63168</x:v>
      </x:c>
      <x:c r="B1070" s="2" t="str">
        <x:v>UN</x:v>
      </x:c>
      <x:c r="C1070" s="2" t="n">
        <x:v>0</x:v>
      </x:c>
      <x:c r="D1070" s="2" t="n">
        <x:v>0</x:v>
      </x:c>
      <x:c r="E1070" s="10" t="n">
        <x:v>95.56191011235956</x:v>
      </x:c>
      <x:c r="F1070" s="11" t="n">
        <x:v>89</x:v>
      </x:c>
      <x:c r="G1070" s="11" t="n">
        <x:v>0</x:v>
      </x:c>
      <x:c r="H1070" s="11" t="n">
        <x:v>0</x:v>
      </x:c>
      <x:c r="I1070" s="11" t="n">
        <x:v>0</x:v>
      </x:c>
      <x:c r="J1070" s="11" t="n">
        <x:v>0</x:v>
      </x:c>
      <x:c r="K1070" s="11" t="n">
        <x:v>1</x:v>
      </x:c>
      <x:c r="L1070" s="11" t="n">
        <x:f>IF(B1070="NED",1,IF(OR(B1070="ED",B1070="UN"),0,""))</x:f>
        <x:v>0</x:v>
      </x:c>
      <x:c r="M1070" s="11" t="n">
        <x:f>IF(AND(K1070=1,OR(B1070="ED",B1070="NED")),1,0)</x:f>
        <x:v>0</x:v>
      </x:c>
      <x:c r="N1070" s="11" t="n">
        <x:f>IF(K1070=1,1,0)</x:f>
        <x:v>1</x:v>
      </x:c>
      <x:c r="O1070" s="12"/>
      <x:c r="P1070" s="11" t="n">
        <x:v>0</x:v>
      </x:c>
      <x:c r="Q1070" s="12" t="str">
        <x:v>AF-P63168-F1-model_v6</x:v>
      </x:c>
      <x:c r="R1070" s="12" t="str">
        <x:v>ok</x:v>
      </x:c>
      <x:c r="S1070" s="11" t="n">
        <x:v>686</x:v>
      </x:c>
      <x:c r="T1070" s="11" t="n">
        <x:v>89</x:v>
      </x:c>
    </x:row>
    <x:row r="1071" ht="23" customHeight="1">
      <x:c r="A1071" s="2" t="str">
        <x:v>P63242</x:v>
      </x:c>
      <x:c r="B1071" s="2" t="str">
        <x:v>ED</x:v>
      </x:c>
      <x:c r="C1071" s="2" t="n">
        <x:v>1</x:v>
      </x:c>
      <x:c r="D1071" s="2" t="n">
        <x:v>1</x:v>
      </x:c>
      <x:c r="E1071" s="10"/>
      <x:c r="F1071" s="11" t="n">
        <x:v>154</x:v>
      </x:c>
      <x:c r="G1071" s="11" t="n">
        <x:v>0</x:v>
      </x:c>
      <x:c r="H1071" s="11" t="n">
        <x:v>0</x:v>
      </x:c>
      <x:c r="I1071" s="11" t="n">
        <x:v>1</x:v>
      </x:c>
      <x:c r="J1071" s="11" t="n">
        <x:v>0</x:v>
      </x:c>
      <x:c r="K1071" s="11" t="n">
        <x:v>0</x:v>
      </x:c>
      <x:c r="L1071" s="11" t="n">
        <x:f>IF(B1071="NED",1,IF(OR(B1071="ED",B1071="UN"),0,""))</x:f>
        <x:v>0</x:v>
      </x:c>
      <x:c r="M1071" s="11" t="n">
        <x:f>IF(AND(K1071=1,OR(B1071="ED",B1071="NED")),1,0)</x:f>
        <x:v>0</x:v>
      </x:c>
      <x:c r="N1071" s="11" t="n">
        <x:f>IF(K1071=1,1,0)</x:f>
        <x:v>0</x:v>
      </x:c>
      <x:c r="O1071" s="12" t="str">
        <x:v>Exclude UniProt Membrane keyword</x:v>
      </x:c>
      <x:c r="P1071" s="11" t="n">
        <x:v>0</x:v>
      </x:c>
      <x:c r="Q1071" s="12" t="str">
        <x:v>AF-P63242-F1-model_v6</x:v>
      </x:c>
      <x:c r="R1071" s="12" t="str">
        <x:v>ok</x:v>
      </x:c>
      <x:c r="S1071" s="11" t="n">
        <x:v>687</x:v>
      </x:c>
      <x:c r="T1071" s="11" t="n">
        <x:v>154</x:v>
      </x:c>
    </x:row>
    <x:row r="1072" ht="23" customHeight="1">
      <x:c r="A1072" s="2" t="str">
        <x:v>P63276</x:v>
      </x:c>
      <x:c r="B1072" s="2" t="str">
        <x:v>NED</x:v>
      </x:c>
      <x:c r="C1072" s="2" t="n">
        <x:v>0</x:v>
      </x:c>
      <x:c r="D1072" s="2" t="n">
        <x:v>0</x:v>
      </x:c>
      <x:c r="E1072" s="10" t="n">
        <x:v>90.51414814814817</x:v>
      </x:c>
      <x:c r="F1072" s="11" t="n">
        <x:v>135</x:v>
      </x:c>
      <x:c r="G1072" s="11" t="n">
        <x:v>0</x:v>
      </x:c>
      <x:c r="H1072" s="11" t="n">
        <x:v>0</x:v>
      </x:c>
      <x:c r="I1072" s="11" t="n">
        <x:v>0</x:v>
      </x:c>
      <x:c r="J1072" s="11" t="n">
        <x:v>0</x:v>
      </x:c>
      <x:c r="K1072" s="11" t="n">
        <x:v>1</x:v>
      </x:c>
      <x:c r="L1072" s="11" t="n">
        <x:f>IF(B1072="NED",1,IF(OR(B1072="ED",B1072="UN"),0,""))</x:f>
        <x:v>1</x:v>
      </x:c>
      <x:c r="M1072" s="11" t="n">
        <x:f>IF(AND(K1072=1,OR(B1072="ED",B1072="NED")),1,0)</x:f>
        <x:v>1</x:v>
      </x:c>
      <x:c r="N1072" s="11" t="n">
        <x:f>IF(K1072=1,1,0)</x:f>
        <x:v>1</x:v>
      </x:c>
      <x:c r="O1072" s="12"/>
      <x:c r="P1072" s="11" t="n">
        <x:v>0</x:v>
      </x:c>
      <x:c r="Q1072" s="12" t="str">
        <x:v>AF-P63276-F1-model_v6</x:v>
      </x:c>
      <x:c r="R1072" s="12" t="str">
        <x:v>ok</x:v>
      </x:c>
      <x:c r="S1072" s="11" t="n">
        <x:v>688</x:v>
      </x:c>
      <x:c r="T1072" s="11" t="n">
        <x:v>135</x:v>
      </x:c>
    </x:row>
    <x:row r="1073" ht="23" customHeight="1">
      <x:c r="A1073" s="2" t="str">
        <x:v>P63280</x:v>
      </x:c>
      <x:c r="B1073" s="2" t="str">
        <x:v>ED</x:v>
      </x:c>
      <x:c r="C1073" s="2" t="n">
        <x:v>0</x:v>
      </x:c>
      <x:c r="D1073" s="2" t="n">
        <x:v>0</x:v>
      </x:c>
      <x:c r="E1073" s="10" t="n">
        <x:v>97.26683544303798</x:v>
      </x:c>
      <x:c r="F1073" s="11" t="n">
        <x:v>158</x:v>
      </x:c>
      <x:c r="G1073" s="11" t="n">
        <x:v>0</x:v>
      </x:c>
      <x:c r="H1073" s="11" t="n">
        <x:v>0</x:v>
      </x:c>
      <x:c r="I1073" s="11" t="n">
        <x:v>0</x:v>
      </x:c>
      <x:c r="J1073" s="11" t="n">
        <x:v>0</x:v>
      </x:c>
      <x:c r="K1073" s="11" t="n">
        <x:v>1</x:v>
      </x:c>
      <x:c r="L1073" s="11" t="n">
        <x:f>IF(B1073="NED",1,IF(OR(B1073="ED",B1073="UN"),0,""))</x:f>
        <x:v>0</x:v>
      </x:c>
      <x:c r="M1073" s="11" t="n">
        <x:f>IF(AND(K1073=1,OR(B1073="ED",B1073="NED")),1,0)</x:f>
        <x:v>1</x:v>
      </x:c>
      <x:c r="N1073" s="11" t="n">
        <x:f>IF(K1073=1,1,0)</x:f>
        <x:v>1</x:v>
      </x:c>
      <x:c r="O1073" s="12"/>
      <x:c r="P1073" s="11" t="n">
        <x:v>0</x:v>
      </x:c>
      <x:c r="Q1073" s="12" t="str">
        <x:v>AF-P63280-F1-model_v6</x:v>
      </x:c>
      <x:c r="R1073" s="12" t="str">
        <x:v>ok</x:v>
      </x:c>
      <x:c r="S1073" s="11" t="n">
        <x:v>689</x:v>
      </x:c>
      <x:c r="T1073" s="11" t="n">
        <x:v>158</x:v>
      </x:c>
    </x:row>
    <x:row r="1074" ht="23" customHeight="1">
      <x:c r="A1074" s="2" t="str">
        <x:v>P63325</x:v>
      </x:c>
      <x:c r="B1074" s="2" t="str">
        <x:v>NED</x:v>
      </x:c>
      <x:c r="C1074" s="2" t="n">
        <x:v>0</x:v>
      </x:c>
      <x:c r="D1074" s="2" t="n">
        <x:v>0</x:v>
      </x:c>
      <x:c r="E1074" s="10" t="n">
        <x:v>74.32896969696971</x:v>
      </x:c>
      <x:c r="F1074" s="11" t="n">
        <x:v>165</x:v>
      </x:c>
      <x:c r="G1074" s="11" t="n">
        <x:v>0</x:v>
      </x:c>
      <x:c r="H1074" s="11" t="n">
        <x:v>0</x:v>
      </x:c>
      <x:c r="I1074" s="11" t="n">
        <x:v>0</x:v>
      </x:c>
      <x:c r="J1074" s="11" t="n">
        <x:v>0</x:v>
      </x:c>
      <x:c r="K1074" s="11" t="n">
        <x:v>1</x:v>
      </x:c>
      <x:c r="L1074" s="11" t="n">
        <x:f>IF(B1074="NED",1,IF(OR(B1074="ED",B1074="UN"),0,""))</x:f>
        <x:v>1</x:v>
      </x:c>
      <x:c r="M1074" s="11" t="n">
        <x:f>IF(AND(K1074=1,OR(B1074="ED",B1074="NED")),1,0)</x:f>
        <x:v>1</x:v>
      </x:c>
      <x:c r="N1074" s="11" t="n">
        <x:f>IF(K1074=1,1,0)</x:f>
        <x:v>1</x:v>
      </x:c>
      <x:c r="O1074" s="12"/>
      <x:c r="P1074" s="11" t="n">
        <x:v>0</x:v>
      </x:c>
      <x:c r="Q1074" s="12" t="str">
        <x:v>AF-P63325-F1-model_v6</x:v>
      </x:c>
      <x:c r="R1074" s="12" t="str">
        <x:v>ok</x:v>
      </x:c>
      <x:c r="S1074" s="11" t="n">
        <x:v>690</x:v>
      </x:c>
      <x:c r="T1074" s="11" t="n">
        <x:v>165</x:v>
      </x:c>
    </x:row>
    <x:row r="1075" ht="23" customHeight="1">
      <x:c r="A1075" s="2" t="str">
        <x:v>P63328-2</x:v>
      </x:c>
      <x:c r="B1075" s="2" t="str">
        <x:v>ED</x:v>
      </x:c>
      <x:c r="C1075" s="2"/>
      <x:c r="D1075" s="2"/>
      <x:c r="E1075" s="10"/>
      <x:c r="F1075" s="11"/>
      <x:c r="G1075" s="11" t="n">
        <x:v>0</x:v>
      </x:c>
      <x:c r="H1075" s="11" t="n">
        <x:v>0</x:v>
      </x:c>
      <x:c r="I1075" s="11"/>
      <x:c r="J1075" s="11"/>
      <x:c r="K1075" s="11" t="n">
        <x:v>0</x:v>
      </x:c>
      <x:c r="L1075" s="11" t="n">
        <x:f>IF(B1075="NED",1,IF(OR(B1075="ED",B1075="UN"),0,""))</x:f>
        <x:v>0</x:v>
      </x:c>
      <x:c r="M1075" s="11" t="n">
        <x:f>IF(AND(K1075=1,OR(B1075="ED",B1075="NED")),1,0)</x:f>
        <x:v>0</x:v>
      </x:c>
      <x:c r="N1075" s="11" t="n">
        <x:f>IF(K1075=1,1,0)</x:f>
        <x:v>0</x:v>
      </x:c>
      <x:c r="O1075" s="12" t="str">
        <x:v>Require exact native accession match</x:v>
      </x:c>
      <x:c r="P1075" s="11" t="n">
        <x:v>0</x:v>
      </x:c>
      <x:c r="Q1075" s="12"/>
      <x:c r="R1075" s="12"/>
      <x:c r="S1075" s="11" t="n">
        <x:v>691</x:v>
      </x:c>
      <x:c r="T1075" s="11"/>
    </x:row>
    <x:row r="1076" ht="23" customHeight="1">
      <x:c r="A1076" s="2" t="str">
        <x:v>P63330</x:v>
      </x:c>
      <x:c r="B1076" s="2" t="str">
        <x:v>ED</x:v>
      </x:c>
      <x:c r="C1076" s="2" t="n">
        <x:v>1</x:v>
      </x:c>
      <x:c r="D1076" s="2" t="n">
        <x:v>1</x:v>
      </x:c>
      <x:c r="E1076" s="10" t="n">
        <x:v>95.56288025889968</x:v>
      </x:c>
      <x:c r="F1076" s="11" t="n">
        <x:v>309</x:v>
      </x:c>
      <x:c r="G1076" s="11" t="n">
        <x:v>0</x:v>
      </x:c>
      <x:c r="H1076" s="11" t="n">
        <x:v>0</x:v>
      </x:c>
      <x:c r="I1076" s="11" t="n">
        <x:v>0</x:v>
      </x:c>
      <x:c r="J1076" s="11" t="n">
        <x:v>0</x:v>
      </x:c>
      <x:c r="K1076" s="11" t="n">
        <x:v>1</x:v>
      </x:c>
      <x:c r="L1076" s="11" t="n">
        <x:f>IF(B1076="NED",1,IF(OR(B1076="ED",B1076="UN"),0,""))</x:f>
        <x:v>0</x:v>
      </x:c>
      <x:c r="M1076" s="11" t="n">
        <x:f>IF(AND(K1076=1,OR(B1076="ED",B1076="NED")),1,0)</x:f>
        <x:v>1</x:v>
      </x:c>
      <x:c r="N1076" s="11" t="n">
        <x:f>IF(K1076=1,1,0)</x:f>
        <x:v>1</x:v>
      </x:c>
      <x:c r="O1076" s="12"/>
      <x:c r="P1076" s="11" t="n">
        <x:v>0</x:v>
      </x:c>
      <x:c r="Q1076" s="12" t="str">
        <x:v>AF-P63330-F1-model_v6</x:v>
      </x:c>
      <x:c r="R1076" s="12" t="str">
        <x:v>ok</x:v>
      </x:c>
      <x:c r="S1076" s="11" t="n">
        <x:v>692</x:v>
      </x:c>
      <x:c r="T1076" s="11" t="n">
        <x:v>309</x:v>
      </x:c>
    </x:row>
    <x:row r="1077" ht="23" customHeight="1">
      <x:c r="A1077" s="2" t="str">
        <x:v>P67871</x:v>
      </x:c>
      <x:c r="B1077" s="2" t="str">
        <x:v>UN</x:v>
      </x:c>
      <x:c r="C1077" s="2" t="n">
        <x:v>1</x:v>
      </x:c>
      <x:c r="D1077" s="2" t="n">
        <x:v>1</x:v>
      </x:c>
      <x:c r="E1077" s="10" t="n">
        <x:v>93.4520930232558</x:v>
      </x:c>
      <x:c r="F1077" s="11" t="n">
        <x:v>215</x:v>
      </x:c>
      <x:c r="G1077" s="11" t="n">
        <x:v>0</x:v>
      </x:c>
      <x:c r="H1077" s="11" t="n">
        <x:v>0</x:v>
      </x:c>
      <x:c r="I1077" s="11" t="n">
        <x:v>0</x:v>
      </x:c>
      <x:c r="J1077" s="11" t="n">
        <x:v>0</x:v>
      </x:c>
      <x:c r="K1077" s="11" t="n">
        <x:v>1</x:v>
      </x:c>
      <x:c r="L1077" s="11" t="n">
        <x:f>IF(B1077="NED",1,IF(OR(B1077="ED",B1077="UN"),0,""))</x:f>
        <x:v>0</x:v>
      </x:c>
      <x:c r="M1077" s="11" t="n">
        <x:f>IF(AND(K1077=1,OR(B1077="ED",B1077="NED")),1,0)</x:f>
        <x:v>0</x:v>
      </x:c>
      <x:c r="N1077" s="11" t="n">
        <x:f>IF(K1077=1,1,0)</x:f>
        <x:v>1</x:v>
      </x:c>
      <x:c r="O1077" s="12"/>
      <x:c r="P1077" s="11" t="n">
        <x:v>0</x:v>
      </x:c>
      <x:c r="Q1077" s="12" t="str">
        <x:v>AF-P67871-F1-model_v6</x:v>
      </x:c>
      <x:c r="R1077" s="12" t="str">
        <x:v>ok</x:v>
      </x:c>
      <x:c r="S1077" s="11" t="n">
        <x:v>693</x:v>
      </x:c>
      <x:c r="T1077" s="11" t="n">
        <x:v>215</x:v>
      </x:c>
    </x:row>
    <x:row r="1078" ht="23" customHeight="1">
      <x:c r="A1078" s="2" t="str">
        <x:v>P67984</x:v>
      </x:c>
      <x:c r="B1078" s="2" t="str">
        <x:v>NED</x:v>
      </x:c>
      <x:c r="C1078" s="2" t="n">
        <x:v>0</x:v>
      </x:c>
      <x:c r="D1078" s="2" t="n">
        <x:v>0</x:v>
      </x:c>
      <x:c r="E1078" s="10" t="n">
        <x:v>84.5684375</x:v>
      </x:c>
      <x:c r="F1078" s="11" t="n">
        <x:v>128</x:v>
      </x:c>
      <x:c r="G1078" s="11" t="n">
        <x:v>0</x:v>
      </x:c>
      <x:c r="H1078" s="11" t="n">
        <x:v>0</x:v>
      </x:c>
      <x:c r="I1078" s="11" t="n">
        <x:v>0</x:v>
      </x:c>
      <x:c r="J1078" s="11" t="n">
        <x:v>0</x:v>
      </x:c>
      <x:c r="K1078" s="11" t="n">
        <x:v>1</x:v>
      </x:c>
      <x:c r="L1078" s="11" t="n">
        <x:f>IF(B1078="NED",1,IF(OR(B1078="ED",B1078="UN"),0,""))</x:f>
        <x:v>1</x:v>
      </x:c>
      <x:c r="M1078" s="11" t="n">
        <x:f>IF(AND(K1078=1,OR(B1078="ED",B1078="NED")),1,0)</x:f>
        <x:v>1</x:v>
      </x:c>
      <x:c r="N1078" s="11" t="n">
        <x:f>IF(K1078=1,1,0)</x:f>
        <x:v>1</x:v>
      </x:c>
      <x:c r="O1078" s="12"/>
      <x:c r="P1078" s="11" t="n">
        <x:v>0</x:v>
      </x:c>
      <x:c r="Q1078" s="12" t="str">
        <x:v>AF-P67984-F1-model_v6</x:v>
      </x:c>
      <x:c r="R1078" s="12" t="str">
        <x:v>ok</x:v>
      </x:c>
      <x:c r="S1078" s="11" t="n">
        <x:v>694</x:v>
      </x:c>
      <x:c r="T1078" s="11" t="n">
        <x:v>128</x:v>
      </x:c>
    </x:row>
    <x:row r="1079" ht="23" customHeight="1">
      <x:c r="A1079" s="2" t="str">
        <x:v>P68037</x:v>
      </x:c>
      <x:c r="B1079" s="2" t="str">
        <x:v>ED</x:v>
      </x:c>
      <x:c r="C1079" s="2" t="n">
        <x:v>0</x:v>
      </x:c>
      <x:c r="D1079" s="2" t="n">
        <x:v>0</x:v>
      </x:c>
      <x:c r="E1079" s="10" t="n">
        <x:v>94.57051948051948</x:v>
      </x:c>
      <x:c r="F1079" s="11" t="n">
        <x:v>154</x:v>
      </x:c>
      <x:c r="G1079" s="11" t="n">
        <x:v>0</x:v>
      </x:c>
      <x:c r="H1079" s="11" t="n">
        <x:v>0</x:v>
      </x:c>
      <x:c r="I1079" s="11" t="n">
        <x:v>0</x:v>
      </x:c>
      <x:c r="J1079" s="11" t="n">
        <x:v>0</x:v>
      </x:c>
      <x:c r="K1079" s="11" t="n">
        <x:v>1</x:v>
      </x:c>
      <x:c r="L1079" s="11" t="n">
        <x:f>IF(B1079="NED",1,IF(OR(B1079="ED",B1079="UN"),0,""))</x:f>
        <x:v>0</x:v>
      </x:c>
      <x:c r="M1079" s="11" t="n">
        <x:f>IF(AND(K1079=1,OR(B1079="ED",B1079="NED")),1,0)</x:f>
        <x:v>1</x:v>
      </x:c>
      <x:c r="N1079" s="11" t="n">
        <x:f>IF(K1079=1,1,0)</x:f>
        <x:v>1</x:v>
      </x:c>
      <x:c r="O1079" s="12"/>
      <x:c r="P1079" s="11" t="n">
        <x:v>0</x:v>
      </x:c>
      <x:c r="Q1079" s="12" t="str">
        <x:v>AF-P68037-F1-model_v6</x:v>
      </x:c>
      <x:c r="R1079" s="12" t="str">
        <x:v>ok</x:v>
      </x:c>
      <x:c r="S1079" s="11" t="n">
        <x:v>695</x:v>
      </x:c>
      <x:c r="T1079" s="11" t="n">
        <x:v>154</x:v>
      </x:c>
    </x:row>
    <x:row r="1080" ht="23" customHeight="1">
      <x:c r="A1080" s="2" t="str">
        <x:v>P68040</x:v>
      </x:c>
      <x:c r="B1080" s="2" t="str">
        <x:v>UN</x:v>
      </x:c>
      <x:c r="C1080" s="2" t="n">
        <x:v>1</x:v>
      </x:c>
      <x:c r="D1080" s="2" t="n">
        <x:v>1</x:v>
      </x:c>
      <x:c r="E1080" s="10"/>
      <x:c r="F1080" s="11" t="n">
        <x:v>317</x:v>
      </x:c>
      <x:c r="G1080" s="11" t="n">
        <x:v>0</x:v>
      </x:c>
      <x:c r="H1080" s="11" t="n">
        <x:v>0</x:v>
      </x:c>
      <x:c r="I1080" s="11" t="n">
        <x:v>1</x:v>
      </x:c>
      <x:c r="J1080" s="11" t="n">
        <x:v>0</x:v>
      </x:c>
      <x:c r="K1080" s="11" t="n">
        <x:v>0</x:v>
      </x:c>
      <x:c r="L1080" s="11" t="n">
        <x:f>IF(B1080="NED",1,IF(OR(B1080="ED",B1080="UN"),0,""))</x:f>
        <x:v>0</x:v>
      </x:c>
      <x:c r="M1080" s="11" t="n">
        <x:f>IF(AND(K1080=1,OR(B1080="ED",B1080="NED")),1,0)</x:f>
        <x:v>0</x:v>
      </x:c>
      <x:c r="N1080" s="11" t="n">
        <x:f>IF(K1080=1,1,0)</x:f>
        <x:v>0</x:v>
      </x:c>
      <x:c r="O1080" s="12" t="str">
        <x:v>Exclude UniProt Membrane keyword</x:v>
      </x:c>
      <x:c r="P1080" s="11" t="n">
        <x:v>0</x:v>
      </x:c>
      <x:c r="Q1080" s="12" t="str">
        <x:v>AF-P68040-F1-model_v6</x:v>
      </x:c>
      <x:c r="R1080" s="12" t="str">
        <x:v>ok</x:v>
      </x:c>
      <x:c r="S1080" s="11" t="n">
        <x:v>696</x:v>
      </x:c>
      <x:c r="T1080" s="11" t="n">
        <x:v>317</x:v>
      </x:c>
    </x:row>
    <x:row r="1081" ht="23" customHeight="1">
      <x:c r="A1081" s="2" t="str">
        <x:v>P68254</x:v>
      </x:c>
      <x:c r="B1081" s="2" t="str">
        <x:v>ED</x:v>
      </x:c>
      <x:c r="C1081" s="2" t="n">
        <x:v>0</x:v>
      </x:c>
      <x:c r="D1081" s="2" t="n">
        <x:v>0</x:v>
      </x:c>
      <x:c r="E1081" s="10" t="n">
        <x:v>93.49579591836736</x:v>
      </x:c>
      <x:c r="F1081" s="11" t="n">
        <x:v>245</x:v>
      </x:c>
      <x:c r="G1081" s="11" t="n">
        <x:v>0</x:v>
      </x:c>
      <x:c r="H1081" s="11" t="n">
        <x:v>0</x:v>
      </x:c>
      <x:c r="I1081" s="11" t="n">
        <x:v>0</x:v>
      </x:c>
      <x:c r="J1081" s="11" t="n">
        <x:v>0</x:v>
      </x:c>
      <x:c r="K1081" s="11" t="n">
        <x:v>1</x:v>
      </x:c>
      <x:c r="L1081" s="11" t="n">
        <x:f>IF(B1081="NED",1,IF(OR(B1081="ED",B1081="UN"),0,""))</x:f>
        <x:v>0</x:v>
      </x:c>
      <x:c r="M1081" s="11" t="n">
        <x:f>IF(AND(K1081=1,OR(B1081="ED",B1081="NED")),1,0)</x:f>
        <x:v>1</x:v>
      </x:c>
      <x:c r="N1081" s="11" t="n">
        <x:f>IF(K1081=1,1,0)</x:f>
        <x:v>1</x:v>
      </x:c>
      <x:c r="O1081" s="12"/>
      <x:c r="P1081" s="11" t="n">
        <x:v>0</x:v>
      </x:c>
      <x:c r="Q1081" s="12" t="str">
        <x:v>AF-P68254-F1-model_v6</x:v>
      </x:c>
      <x:c r="R1081" s="12" t="str">
        <x:v>ok</x:v>
      </x:c>
      <x:c r="S1081" s="11" t="n">
        <x:v>697</x:v>
      </x:c>
      <x:c r="T1081" s="11" t="n">
        <x:v>245</x:v>
      </x:c>
    </x:row>
    <x:row r="1082" ht="23" customHeight="1">
      <x:c r="A1082" s="2" t="str">
        <x:v>P68369</x:v>
      </x:c>
      <x:c r="B1082" s="2" t="str">
        <x:v>UN</x:v>
      </x:c>
      <x:c r="C1082" s="2" t="n">
        <x:v>1</x:v>
      </x:c>
      <x:c r="D1082" s="2" t="n">
        <x:v>1</x:v>
      </x:c>
      <x:c r="E1082" s="10" t="n">
        <x:v>91.02317073170732</x:v>
      </x:c>
      <x:c r="F1082" s="11" t="n">
        <x:v>451</x:v>
      </x:c>
      <x:c r="G1082" s="11" t="n">
        <x:v>0</x:v>
      </x:c>
      <x:c r="H1082" s="11" t="n">
        <x:v>0</x:v>
      </x:c>
      <x:c r="I1082" s="11" t="n">
        <x:v>0</x:v>
      </x:c>
      <x:c r="J1082" s="11" t="n">
        <x:v>0</x:v>
      </x:c>
      <x:c r="K1082" s="11" t="n">
        <x:v>1</x:v>
      </x:c>
      <x:c r="L1082" s="11" t="n">
        <x:f>IF(B1082="NED",1,IF(OR(B1082="ED",B1082="UN"),0,""))</x:f>
        <x:v>0</x:v>
      </x:c>
      <x:c r="M1082" s="11" t="n">
        <x:f>IF(AND(K1082=1,OR(B1082="ED",B1082="NED")),1,0)</x:f>
        <x:v>0</x:v>
      </x:c>
      <x:c r="N1082" s="11" t="n">
        <x:f>IF(K1082=1,1,0)</x:f>
        <x:v>1</x:v>
      </x:c>
      <x:c r="O1082" s="12"/>
      <x:c r="P1082" s="11" t="n">
        <x:v>0</x:v>
      </x:c>
      <x:c r="Q1082" s="12" t="str">
        <x:v>AF-P68369-F1-model_v6</x:v>
      </x:c>
      <x:c r="R1082" s="12" t="str">
        <x:v>ok</x:v>
      </x:c>
      <x:c r="S1082" s="11" t="n">
        <x:v>698</x:v>
      </x:c>
      <x:c r="T1082" s="11" t="n">
        <x:v>451</x:v>
      </x:c>
    </x:row>
    <x:row r="1083" ht="23" customHeight="1">
      <x:c r="A1083" s="2" t="str">
        <x:v>P68372</x:v>
      </x:c>
      <x:c r="B1083" s="2" t="str">
        <x:v>ED</x:v>
      </x:c>
      <x:c r="C1083" s="2" t="n">
        <x:v>1</x:v>
      </x:c>
      <x:c r="D1083" s="2" t="n">
        <x:v>1</x:v>
      </x:c>
      <x:c r="E1083" s="10" t="n">
        <x:v>92.10703370786516</x:v>
      </x:c>
      <x:c r="F1083" s="11" t="n">
        <x:v>445</x:v>
      </x:c>
      <x:c r="G1083" s="11" t="n">
        <x:v>0</x:v>
      </x:c>
      <x:c r="H1083" s="11" t="n">
        <x:v>0</x:v>
      </x:c>
      <x:c r="I1083" s="11" t="n">
        <x:v>0</x:v>
      </x:c>
      <x:c r="J1083" s="11" t="n">
        <x:v>0</x:v>
      </x:c>
      <x:c r="K1083" s="11" t="n">
        <x:v>1</x:v>
      </x:c>
      <x:c r="L1083" s="11" t="n">
        <x:f>IF(B1083="NED",1,IF(OR(B1083="ED",B1083="UN"),0,""))</x:f>
        <x:v>0</x:v>
      </x:c>
      <x:c r="M1083" s="11" t="n">
        <x:f>IF(AND(K1083=1,OR(B1083="ED",B1083="NED")),1,0)</x:f>
        <x:v>1</x:v>
      </x:c>
      <x:c r="N1083" s="11" t="n">
        <x:f>IF(K1083=1,1,0)</x:f>
        <x:v>1</x:v>
      </x:c>
      <x:c r="O1083" s="12"/>
      <x:c r="P1083" s="11" t="n">
        <x:v>0</x:v>
      </x:c>
      <x:c r="Q1083" s="12" t="str">
        <x:v>AF-P68372-F1-model_v6</x:v>
      </x:c>
      <x:c r="R1083" s="12" t="str">
        <x:v>ok</x:v>
      </x:c>
      <x:c r="S1083" s="11" t="n">
        <x:v>699</x:v>
      </x:c>
      <x:c r="T1083" s="11" t="n">
        <x:v>445</x:v>
      </x:c>
    </x:row>
    <x:row r="1084" ht="23" customHeight="1">
      <x:c r="A1084" s="2" t="str">
        <x:v>P68510</x:v>
      </x:c>
      <x:c r="B1084" s="2" t="str">
        <x:v>ED</x:v>
      </x:c>
      <x:c r="C1084" s="2" t="n">
        <x:v>0</x:v>
      </x:c>
      <x:c r="D1084" s="2" t="n">
        <x:v>0</x:v>
      </x:c>
      <x:c r="E1084" s="10" t="n">
        <x:v>95.24658536585366</x:v>
      </x:c>
      <x:c r="F1084" s="11" t="n">
        <x:v>246</x:v>
      </x:c>
      <x:c r="G1084" s="11" t="n">
        <x:v>0</x:v>
      </x:c>
      <x:c r="H1084" s="11" t="n">
        <x:v>0</x:v>
      </x:c>
      <x:c r="I1084" s="11" t="n">
        <x:v>0</x:v>
      </x:c>
      <x:c r="J1084" s="11" t="n">
        <x:v>0</x:v>
      </x:c>
      <x:c r="K1084" s="11" t="n">
        <x:v>1</x:v>
      </x:c>
      <x:c r="L1084" s="11" t="n">
        <x:f>IF(B1084="NED",1,IF(OR(B1084="ED",B1084="UN"),0,""))</x:f>
        <x:v>0</x:v>
      </x:c>
      <x:c r="M1084" s="11" t="n">
        <x:f>IF(AND(K1084=1,OR(B1084="ED",B1084="NED")),1,0)</x:f>
        <x:v>1</x:v>
      </x:c>
      <x:c r="N1084" s="11" t="n">
        <x:f>IF(K1084=1,1,0)</x:f>
        <x:v>1</x:v>
      </x:c>
      <x:c r="O1084" s="12"/>
      <x:c r="P1084" s="11" t="n">
        <x:v>0</x:v>
      </x:c>
      <x:c r="Q1084" s="12" t="str">
        <x:v>AF-P68510-F1-model_v6</x:v>
      </x:c>
      <x:c r="R1084" s="12" t="str">
        <x:v>ok</x:v>
      </x:c>
      <x:c r="S1084" s="11" t="n">
        <x:v>700</x:v>
      </x:c>
      <x:c r="T1084" s="11" t="n">
        <x:v>246</x:v>
      </x:c>
    </x:row>
    <x:row r="1085" ht="23" customHeight="1">
      <x:c r="A1085" s="2" t="str">
        <x:v>P69566</x:v>
      </x:c>
      <x:c r="B1085" s="2" t="str">
        <x:v>UN</x:v>
      </x:c>
      <x:c r="C1085" s="2" t="n">
        <x:v>1</x:v>
      </x:c>
      <x:c r="D1085" s="2" t="n">
        <x:v>1</x:v>
      </x:c>
      <x:c r="E1085" s="10"/>
      <x:c r="F1085" s="11" t="n">
        <x:v>653</x:v>
      </x:c>
      <x:c r="G1085" s="11" t="n">
        <x:v>0</x:v>
      </x:c>
      <x:c r="H1085" s="11" t="n">
        <x:v>0</x:v>
      </x:c>
      <x:c r="I1085" s="11" t="n">
        <x:v>1</x:v>
      </x:c>
      <x:c r="J1085" s="11" t="n">
        <x:v>0</x:v>
      </x:c>
      <x:c r="K1085" s="11" t="n">
        <x:v>0</x:v>
      </x:c>
      <x:c r="L1085" s="11" t="n">
        <x:f>IF(B1085="NED",1,IF(OR(B1085="ED",B1085="UN"),0,""))</x:f>
        <x:v>0</x:v>
      </x:c>
      <x:c r="M1085" s="11" t="n">
        <x:f>IF(AND(K1085=1,OR(B1085="ED",B1085="NED")),1,0)</x:f>
        <x:v>0</x:v>
      </x:c>
      <x:c r="N1085" s="11" t="n">
        <x:f>IF(K1085=1,1,0)</x:f>
        <x:v>0</x:v>
      </x:c>
      <x:c r="O1085" s="12" t="str">
        <x:v>Exclude UniProt Membrane keyword</x:v>
      </x:c>
      <x:c r="P1085" s="11" t="n">
        <x:v>0</x:v>
      </x:c>
      <x:c r="Q1085" s="12" t="str">
        <x:v>AF-P69566-F1-model_v6</x:v>
      </x:c>
      <x:c r="R1085" s="12" t="str">
        <x:v>ok</x:v>
      </x:c>
      <x:c r="S1085" s="11" t="n">
        <x:v>701</x:v>
      </x:c>
      <x:c r="T1085" s="11" t="n">
        <x:v>653</x:v>
      </x:c>
    </x:row>
    <x:row r="1086" ht="23" customHeight="1">
      <x:c r="A1086" s="2" t="str">
        <x:v>P70122</x:v>
      </x:c>
      <x:c r="B1086" s="2" t="str">
        <x:v>UN</x:v>
      </x:c>
      <x:c r="C1086" s="2" t="n">
        <x:v>1</x:v>
      </x:c>
      <x:c r="D1086" s="2"/>
      <x:c r="E1086" s="10" t="n">
        <x:v>72.82752</x:v>
      </x:c>
      <x:c r="F1086" s="11" t="n">
        <x:v>250</x:v>
      </x:c>
      <x:c r="G1086" s="11" t="n">
        <x:v>0</x:v>
      </x:c>
      <x:c r="H1086" s="11" t="n">
        <x:v>0</x:v>
      </x:c>
      <x:c r="I1086" s="11" t="n">
        <x:v>0</x:v>
      </x:c>
      <x:c r="J1086" s="11" t="n">
        <x:v>0</x:v>
      </x:c>
      <x:c r="K1086" s="11" t="n">
        <x:v>1</x:v>
      </x:c>
      <x:c r="L1086" s="11" t="n">
        <x:f>IF(B1086="NED",1,IF(OR(B1086="ED",B1086="UN"),0,""))</x:f>
        <x:v>0</x:v>
      </x:c>
      <x:c r="M1086" s="11" t="n">
        <x:f>IF(AND(K1086=1,OR(B1086="ED",B1086="NED")),1,0)</x:f>
        <x:v>0</x:v>
      </x:c>
      <x:c r="N1086" s="11" t="n">
        <x:f>IF(K1086=1,1,0)</x:f>
        <x:v>1</x:v>
      </x:c>
      <x:c r="O1086" s="12"/>
      <x:c r="P1086" s="11" t="n">
        <x:v>0</x:v>
      </x:c>
      <x:c r="Q1086" s="12" t="str">
        <x:v>AF-P70122-F1-model_v6</x:v>
      </x:c>
      <x:c r="R1086" s="12" t="str">
        <x:v>ok</x:v>
      </x:c>
      <x:c r="S1086" s="11" t="n">
        <x:v>702</x:v>
      </x:c>
      <x:c r="T1086" s="11" t="n">
        <x:v>250</x:v>
      </x:c>
    </x:row>
    <x:row r="1087" ht="23" customHeight="1">
      <x:c r="A1087" s="2" t="str">
        <x:v>P70168</x:v>
      </x:c>
      <x:c r="B1087" s="2" t="str">
        <x:v>ED</x:v>
      </x:c>
      <x:c r="C1087" s="2" t="n">
        <x:v>0</x:v>
      </x:c>
      <x:c r="D1087" s="2" t="n">
        <x:v>0</x:v>
      </x:c>
      <x:c r="E1087" s="10" t="n">
        <x:v>94.30301369863014</x:v>
      </x:c>
      <x:c r="F1087" s="11" t="n">
        <x:v>876</x:v>
      </x:c>
      <x:c r="G1087" s="11" t="n">
        <x:v>0</x:v>
      </x:c>
      <x:c r="H1087" s="11" t="n">
        <x:v>0</x:v>
      </x:c>
      <x:c r="I1087" s="11" t="n">
        <x:v>0</x:v>
      </x:c>
      <x:c r="J1087" s="11" t="n">
        <x:v>0</x:v>
      </x:c>
      <x:c r="K1087" s="11" t="n">
        <x:v>1</x:v>
      </x:c>
      <x:c r="L1087" s="11" t="n">
        <x:f>IF(B1087="NED",1,IF(OR(B1087="ED",B1087="UN"),0,""))</x:f>
        <x:v>0</x:v>
      </x:c>
      <x:c r="M1087" s="11" t="n">
        <x:f>IF(AND(K1087=1,OR(B1087="ED",B1087="NED")),1,0)</x:f>
        <x:v>1</x:v>
      </x:c>
      <x:c r="N1087" s="11" t="n">
        <x:f>IF(K1087=1,1,0)</x:f>
        <x:v>1</x:v>
      </x:c>
      <x:c r="O1087" s="12"/>
      <x:c r="P1087" s="11" t="n">
        <x:v>0</x:v>
      </x:c>
      <x:c r="Q1087" s="12" t="str">
        <x:v>AF-P70168-F1-model_v6</x:v>
      </x:c>
      <x:c r="R1087" s="12" t="str">
        <x:v>ok</x:v>
      </x:c>
      <x:c r="S1087" s="11" t="n">
        <x:v>703</x:v>
      </x:c>
      <x:c r="T1087" s="11" t="n">
        <x:v>876</x:v>
      </x:c>
    </x:row>
    <x:row r="1088" ht="23" customHeight="1">
      <x:c r="A1088" s="2" t="str">
        <x:v>P70180</x:v>
      </x:c>
      <x:c r="B1088" s="2" t="str">
        <x:v>ED</x:v>
      </x:c>
      <x:c r="C1088" s="2"/>
      <x:c r="D1088" s="2"/>
      <x:c r="E1088" s="10"/>
      <x:c r="F1088" s="11" t="n">
        <x:v>536</x:v>
      </x:c>
      <x:c r="G1088" s="11" t="n">
        <x:v>0</x:v>
      </x:c>
      <x:c r="H1088" s="11" t="n">
        <x:v>1</x:v>
      </x:c>
      <x:c r="I1088" s="11" t="n">
        <x:v>1</x:v>
      </x:c>
      <x:c r="J1088" s="11" t="n">
        <x:v>0</x:v>
      </x:c>
      <x:c r="K1088" s="11" t="n">
        <x:v>0</x:v>
      </x:c>
      <x:c r="L1088" s="11" t="n">
        <x:f>IF(B1088="NED",1,IF(OR(B1088="ED",B1088="UN"),0,""))</x:f>
        <x:v>0</x:v>
      </x:c>
      <x:c r="M1088" s="11" t="n">
        <x:f>IF(AND(K1088=1,OR(B1088="ED",B1088="NED")),1,0)</x:f>
        <x:v>0</x:v>
      </x:c>
      <x:c r="N1088" s="11" t="n">
        <x:f>IF(K1088=1,1,0)</x:f>
        <x:v>0</x:v>
      </x:c>
      <x:c r="O1088" s="12" t="str">
        <x:v>Require binary native NCLE status</x:v>
      </x:c>
      <x:c r="P1088" s="11" t="n">
        <x:v>0</x:v>
      </x:c>
      <x:c r="Q1088" s="12" t="str">
        <x:v>AF-P70180-F1-model_v6</x:v>
      </x:c>
      <x:c r="R1088" s="12" t="str">
        <x:v>ok</x:v>
      </x:c>
      <x:c r="S1088" s="11" t="n">
        <x:v>704</x:v>
      </x:c>
      <x:c r="T1088" s="11" t="n">
        <x:v>536</x:v>
      </x:c>
    </x:row>
    <x:row r="1089" ht="23" customHeight="1">
      <x:c r="A1089" s="2" t="str">
        <x:v>P70182-3</x:v>
      </x:c>
      <x:c r="B1089" s="2" t="str">
        <x:v>ED</x:v>
      </x:c>
      <x:c r="C1089" s="2"/>
      <x:c r="D1089" s="2"/>
      <x:c r="E1089" s="10"/>
      <x:c r="F1089" s="11"/>
      <x:c r="G1089" s="11" t="n">
        <x:v>0</x:v>
      </x:c>
      <x:c r="H1089" s="11" t="n">
        <x:v>0</x:v>
      </x:c>
      <x:c r="I1089" s="11"/>
      <x:c r="J1089" s="11"/>
      <x:c r="K1089" s="11" t="n">
        <x:v>0</x:v>
      </x:c>
      <x:c r="L1089" s="11" t="n">
        <x:f>IF(B1089="NED",1,IF(OR(B1089="ED",B1089="UN"),0,""))</x:f>
        <x:v>0</x:v>
      </x:c>
      <x:c r="M1089" s="11" t="n">
        <x:f>IF(AND(K1089=1,OR(B1089="ED",B1089="NED")),1,0)</x:f>
        <x:v>0</x:v>
      </x:c>
      <x:c r="N1089" s="11" t="n">
        <x:f>IF(K1089=1,1,0)</x:f>
        <x:v>0</x:v>
      </x:c>
      <x:c r="O1089" s="12" t="str">
        <x:v>Require exact native accession match</x:v>
      </x:c>
      <x:c r="P1089" s="11" t="n">
        <x:v>0</x:v>
      </x:c>
      <x:c r="Q1089" s="12"/>
      <x:c r="R1089" s="12"/>
      <x:c r="S1089" s="11" t="n">
        <x:v>705</x:v>
      </x:c>
      <x:c r="T1089" s="11"/>
    </x:row>
    <x:row r="1090" ht="23" customHeight="1">
      <x:c r="A1090" s="2" t="str">
        <x:v>P70202</x:v>
      </x:c>
      <x:c r="B1090" s="2" t="str">
        <x:v>ED</x:v>
      </x:c>
      <x:c r="C1090" s="2" t="n">
        <x:v>0</x:v>
      </x:c>
      <x:c r="D1090" s="2" t="n">
        <x:v>0</x:v>
      </x:c>
      <x:c r="E1090" s="10" t="n">
        <x:v>95.61211711711712</x:v>
      </x:c>
      <x:c r="F1090" s="11" t="n">
        <x:v>222</x:v>
      </x:c>
      <x:c r="G1090" s="11" t="n">
        <x:v>0</x:v>
      </x:c>
      <x:c r="H1090" s="11" t="n">
        <x:v>0</x:v>
      </x:c>
      <x:c r="I1090" s="11" t="n">
        <x:v>0</x:v>
      </x:c>
      <x:c r="J1090" s="11" t="n">
        <x:v>0</x:v>
      </x:c>
      <x:c r="K1090" s="11" t="n">
        <x:v>1</x:v>
      </x:c>
      <x:c r="L1090" s="11" t="n">
        <x:f>IF(B1090="NED",1,IF(OR(B1090="ED",B1090="UN"),0,""))</x:f>
        <x:v>0</x:v>
      </x:c>
      <x:c r="M1090" s="11" t="n">
        <x:f>IF(AND(K1090=1,OR(B1090="ED",B1090="NED")),1,0)</x:f>
        <x:v>1</x:v>
      </x:c>
      <x:c r="N1090" s="11" t="n">
        <x:f>IF(K1090=1,1,0)</x:f>
        <x:v>1</x:v>
      </x:c>
      <x:c r="O1090" s="12"/>
      <x:c r="P1090" s="11" t="n">
        <x:v>0</x:v>
      </x:c>
      <x:c r="Q1090" s="12" t="str">
        <x:v>AF-P70202-F1-model_v6</x:v>
      </x:c>
      <x:c r="R1090" s="12" t="str">
        <x:v>ok</x:v>
      </x:c>
      <x:c r="S1090" s="11" t="n">
        <x:v>706</x:v>
      </x:c>
      <x:c r="T1090" s="11" t="n">
        <x:v>222</x:v>
      </x:c>
    </x:row>
    <x:row r="1091" ht="23" customHeight="1">
      <x:c r="A1091" s="2" t="str">
        <x:v>P70206</x:v>
      </x:c>
      <x:c r="B1091" s="2" t="str">
        <x:v>UN</x:v>
      </x:c>
      <x:c r="C1091" s="2" t="n">
        <x:v>1</x:v>
      </x:c>
      <x:c r="D1091" s="2" t="n">
        <x:v>1</x:v>
      </x:c>
      <x:c r="E1091" s="10"/>
      <x:c r="F1091" s="11" t="n">
        <x:v>1894</x:v>
      </x:c>
      <x:c r="G1091" s="11" t="n">
        <x:v>0</x:v>
      </x:c>
      <x:c r="H1091" s="11" t="n">
        <x:v>0</x:v>
      </x:c>
      <x:c r="I1091" s="11" t="n">
        <x:v>1</x:v>
      </x:c>
      <x:c r="J1091" s="11" t="n">
        <x:v>0</x:v>
      </x:c>
      <x:c r="K1091" s="11" t="n">
        <x:v>0</x:v>
      </x:c>
      <x:c r="L1091" s="11" t="n">
        <x:f>IF(B1091="NED",1,IF(OR(B1091="ED",B1091="UN"),0,""))</x:f>
        <x:v>0</x:v>
      </x:c>
      <x:c r="M1091" s="11" t="n">
        <x:f>IF(AND(K1091=1,OR(B1091="ED",B1091="NED")),1,0)</x:f>
        <x:v>0</x:v>
      </x:c>
      <x:c r="N1091" s="11" t="n">
        <x:f>IF(K1091=1,1,0)</x:f>
        <x:v>0</x:v>
      </x:c>
      <x:c r="O1091" s="12" t="str">
        <x:v>Exclude UniProt Membrane keyword</x:v>
      </x:c>
      <x:c r="P1091" s="11" t="n">
        <x:v>0</x:v>
      </x:c>
      <x:c r="Q1091" s="12" t="str">
        <x:v>AF-P70206-F1-model_v6</x:v>
      </x:c>
      <x:c r="R1091" s="12" t="str">
        <x:v>ok</x:v>
      </x:c>
      <x:c r="S1091" s="11" t="n">
        <x:v>707</x:v>
      </x:c>
      <x:c r="T1091" s="11" t="n">
        <x:v>1894</x:v>
      </x:c>
    </x:row>
    <x:row r="1092" ht="23" customHeight="1">
      <x:c r="A1092" s="2" t="str">
        <x:v>P70227</x:v>
      </x:c>
      <x:c r="B1092" s="2" t="str">
        <x:v>NED</x:v>
      </x:c>
      <x:c r="C1092" s="2" t="n">
        <x:v>1</x:v>
      </x:c>
      <x:c r="D1092" s="2" t="n">
        <x:v>1</x:v>
      </x:c>
      <x:c r="E1092" s="10"/>
      <x:c r="F1092" s="11" t="n">
        <x:v>2670</x:v>
      </x:c>
      <x:c r="G1092" s="11" t="n">
        <x:v>0</x:v>
      </x:c>
      <x:c r="H1092" s="11" t="n">
        <x:v>0</x:v>
      </x:c>
      <x:c r="I1092" s="11" t="n">
        <x:v>1</x:v>
      </x:c>
      <x:c r="J1092" s="11" t="n">
        <x:v>0</x:v>
      </x:c>
      <x:c r="K1092" s="11" t="n">
        <x:v>0</x:v>
      </x:c>
      <x:c r="L1092" s="11" t="n">
        <x:f>IF(B1092="NED",1,IF(OR(B1092="ED",B1092="UN"),0,""))</x:f>
        <x:v>1</x:v>
      </x:c>
      <x:c r="M1092" s="11" t="n">
        <x:f>IF(AND(K1092=1,OR(B1092="ED",B1092="NED")),1,0)</x:f>
        <x:v>0</x:v>
      </x:c>
      <x:c r="N1092" s="11" t="n">
        <x:f>IF(K1092=1,1,0)</x:f>
        <x:v>0</x:v>
      </x:c>
      <x:c r="O1092" s="12" t="str">
        <x:v>Exclude UniProt Membrane keyword</x:v>
      </x:c>
      <x:c r="P1092" s="11" t="n">
        <x:v>0</x:v>
      </x:c>
      <x:c r="Q1092" s="12" t="str">
        <x:v>AF-P70227-F1-model_v6</x:v>
      </x:c>
      <x:c r="R1092" s="12" t="str">
        <x:v>ok</x:v>
      </x:c>
      <x:c r="S1092" s="11" t="n">
        <x:v>708</x:v>
      </x:c>
      <x:c r="T1092" s="11" t="n">
        <x:v>2670</x:v>
      </x:c>
    </x:row>
    <x:row r="1093" ht="23" customHeight="1">
      <x:c r="A1093" s="2" t="str">
        <x:v>P70255-2</x:v>
      </x:c>
      <x:c r="B1093" s="2" t="str">
        <x:v>UN</x:v>
      </x:c>
      <x:c r="C1093" s="2"/>
      <x:c r="D1093" s="2"/>
      <x:c r="E1093" s="10"/>
      <x:c r="F1093" s="11"/>
      <x:c r="G1093" s="11" t="n">
        <x:v>0</x:v>
      </x:c>
      <x:c r="H1093" s="11" t="n">
        <x:v>0</x:v>
      </x:c>
      <x:c r="I1093" s="11"/>
      <x:c r="J1093" s="11"/>
      <x:c r="K1093" s="11" t="n">
        <x:v>0</x:v>
      </x:c>
      <x:c r="L1093" s="11" t="n">
        <x:f>IF(B1093="NED",1,IF(OR(B1093="ED",B1093="UN"),0,""))</x:f>
        <x:v>0</x:v>
      </x:c>
      <x:c r="M1093" s="11" t="n">
        <x:f>IF(AND(K1093=1,OR(B1093="ED",B1093="NED")),1,0)</x:f>
        <x:v>0</x:v>
      </x:c>
      <x:c r="N1093" s="11" t="n">
        <x:f>IF(K1093=1,1,0)</x:f>
        <x:v>0</x:v>
      </x:c>
      <x:c r="O1093" s="12" t="str">
        <x:v>Require exact native accession match</x:v>
      </x:c>
      <x:c r="P1093" s="11" t="n">
        <x:v>0</x:v>
      </x:c>
      <x:c r="Q1093" s="12"/>
      <x:c r="R1093" s="12"/>
      <x:c r="S1093" s="11" t="n">
        <x:v>709</x:v>
      </x:c>
      <x:c r="T1093" s="11"/>
    </x:row>
    <x:row r="1094" ht="23" customHeight="1">
      <x:c r="A1094" s="2" t="str">
        <x:v>P70270</x:v>
      </x:c>
      <x:c r="B1094" s="2" t="str">
        <x:v>ED</x:v>
      </x:c>
      <x:c r="C1094" s="2" t="n">
        <x:v>1</x:v>
      </x:c>
      <x:c r="D1094" s="2" t="n">
        <x:v>1</x:v>
      </x:c>
      <x:c r="E1094" s="10" t="n">
        <x:v>79.9272423025435</x:v>
      </x:c>
      <x:c r="F1094" s="11" t="n">
        <x:v>747</x:v>
      </x:c>
      <x:c r="G1094" s="11" t="n">
        <x:v>0</x:v>
      </x:c>
      <x:c r="H1094" s="11" t="n">
        <x:v>0</x:v>
      </x:c>
      <x:c r="I1094" s="11" t="n">
        <x:v>0</x:v>
      </x:c>
      <x:c r="J1094" s="11" t="n">
        <x:v>0</x:v>
      </x:c>
      <x:c r="K1094" s="11" t="n">
        <x:v>1</x:v>
      </x:c>
      <x:c r="L1094" s="11" t="n">
        <x:f>IF(B1094="NED",1,IF(OR(B1094="ED",B1094="UN"),0,""))</x:f>
        <x:v>0</x:v>
      </x:c>
      <x:c r="M1094" s="11" t="n">
        <x:f>IF(AND(K1094=1,OR(B1094="ED",B1094="NED")),1,0)</x:f>
        <x:v>1</x:v>
      </x:c>
      <x:c r="N1094" s="11" t="n">
        <x:f>IF(K1094=1,1,0)</x:f>
        <x:v>1</x:v>
      </x:c>
      <x:c r="O1094" s="12"/>
      <x:c r="P1094" s="11" t="n">
        <x:v>0</x:v>
      </x:c>
      <x:c r="Q1094" s="12" t="str">
        <x:v>AF-P70270-F1-model_v6</x:v>
      </x:c>
      <x:c r="R1094" s="12" t="str">
        <x:v>ok</x:v>
      </x:c>
      <x:c r="S1094" s="11" t="n">
        <x:v>710</x:v>
      </x:c>
      <x:c r="T1094" s="11" t="n">
        <x:v>747</x:v>
      </x:c>
    </x:row>
    <x:row r="1095" ht="23" customHeight="1">
      <x:c r="A1095" s="2" t="str">
        <x:v>P70280</x:v>
      </x:c>
      <x:c r="B1095" s="2" t="str">
        <x:v>UN</x:v>
      </x:c>
      <x:c r="C1095" s="2" t="n">
        <x:v>0</x:v>
      </x:c>
      <x:c r="D1095" s="2" t="n">
        <x:v>0</x:v>
      </x:c>
      <x:c r="E1095" s="10"/>
      <x:c r="F1095" s="11" t="n">
        <x:v>220</x:v>
      </x:c>
      <x:c r="G1095" s="11" t="n">
        <x:v>0</x:v>
      </x:c>
      <x:c r="H1095" s="11" t="n">
        <x:v>0</x:v>
      </x:c>
      <x:c r="I1095" s="11" t="n">
        <x:v>1</x:v>
      </x:c>
      <x:c r="J1095" s="11" t="n">
        <x:v>0</x:v>
      </x:c>
      <x:c r="K1095" s="11" t="n">
        <x:v>0</x:v>
      </x:c>
      <x:c r="L1095" s="11" t="n">
        <x:f>IF(B1095="NED",1,IF(OR(B1095="ED",B1095="UN"),0,""))</x:f>
        <x:v>0</x:v>
      </x:c>
      <x:c r="M1095" s="11" t="n">
        <x:f>IF(AND(K1095=1,OR(B1095="ED",B1095="NED")),1,0)</x:f>
        <x:v>0</x:v>
      </x:c>
      <x:c r="N1095" s="11" t="n">
        <x:f>IF(K1095=1,1,0)</x:f>
        <x:v>0</x:v>
      </x:c>
      <x:c r="O1095" s="12" t="str">
        <x:v>Exclude UniProt Membrane keyword</x:v>
      </x:c>
      <x:c r="P1095" s="11" t="n">
        <x:v>0</x:v>
      </x:c>
      <x:c r="Q1095" s="12" t="str">
        <x:v>AF-P70280-F1-model_v6</x:v>
      </x:c>
      <x:c r="R1095" s="12" t="str">
        <x:v>ok</x:v>
      </x:c>
      <x:c r="S1095" s="11" t="n">
        <x:v>711</x:v>
      </x:c>
      <x:c r="T1095" s="11" t="n">
        <x:v>220</x:v>
      </x:c>
    </x:row>
    <x:row r="1096" ht="23" customHeight="1">
      <x:c r="A1096" s="2" t="str">
        <x:v>P70288</x:v>
      </x:c>
      <x:c r="B1096" s="2" t="str">
        <x:v>ED</x:v>
      </x:c>
      <x:c r="C1096" s="2" t="n">
        <x:v>1</x:v>
      </x:c>
      <x:c r="D1096" s="2" t="n">
        <x:v>1</x:v>
      </x:c>
      <x:c r="E1096" s="10" t="n">
        <x:v>85.41036885245902</x:v>
      </x:c>
      <x:c r="F1096" s="11" t="n">
        <x:v>488</x:v>
      </x:c>
      <x:c r="G1096" s="11" t="n">
        <x:v>0</x:v>
      </x:c>
      <x:c r="H1096" s="11" t="n">
        <x:v>0</x:v>
      </x:c>
      <x:c r="I1096" s="11" t="n">
        <x:v>0</x:v>
      </x:c>
      <x:c r="J1096" s="11" t="n">
        <x:v>0</x:v>
      </x:c>
      <x:c r="K1096" s="11" t="n">
        <x:v>1</x:v>
      </x:c>
      <x:c r="L1096" s="11" t="n">
        <x:f>IF(B1096="NED",1,IF(OR(B1096="ED",B1096="UN"),0,""))</x:f>
        <x:v>0</x:v>
      </x:c>
      <x:c r="M1096" s="11" t="n">
        <x:f>IF(AND(K1096=1,OR(B1096="ED",B1096="NED")),1,0)</x:f>
        <x:v>1</x:v>
      </x:c>
      <x:c r="N1096" s="11" t="n">
        <x:f>IF(K1096=1,1,0)</x:f>
        <x:v>1</x:v>
      </x:c>
      <x:c r="O1096" s="12"/>
      <x:c r="P1096" s="11" t="n">
        <x:v>0</x:v>
      </x:c>
      <x:c r="Q1096" s="12" t="str">
        <x:v>AF-P70288-F1-model_v6</x:v>
      </x:c>
      <x:c r="R1096" s="12" t="str">
        <x:v>ok</x:v>
      </x:c>
      <x:c r="S1096" s="11" t="n">
        <x:v>712</x:v>
      </x:c>
      <x:c r="T1096" s="11" t="n">
        <x:v>488</x:v>
      </x:c>
    </x:row>
    <x:row r="1097" ht="23" customHeight="1">
      <x:c r="A1097" s="2" t="str">
        <x:v>P70290</x:v>
      </x:c>
      <x:c r="B1097" s="2" t="str">
        <x:v>NED</x:v>
      </x:c>
      <x:c r="C1097" s="2" t="n">
        <x:v>1</x:v>
      </x:c>
      <x:c r="D1097" s="2" t="n">
        <x:v>1</x:v>
      </x:c>
      <x:c r="E1097" s="10"/>
      <x:c r="F1097" s="11" t="n">
        <x:v>466</x:v>
      </x:c>
      <x:c r="G1097" s="11" t="n">
        <x:v>0</x:v>
      </x:c>
      <x:c r="H1097" s="11" t="n">
        <x:v>0</x:v>
      </x:c>
      <x:c r="I1097" s="11" t="n">
        <x:v>1</x:v>
      </x:c>
      <x:c r="J1097" s="11" t="n">
        <x:v>0</x:v>
      </x:c>
      <x:c r="K1097" s="11" t="n">
        <x:v>0</x:v>
      </x:c>
      <x:c r="L1097" s="11" t="n">
        <x:f>IF(B1097="NED",1,IF(OR(B1097="ED",B1097="UN"),0,""))</x:f>
        <x:v>1</x:v>
      </x:c>
      <x:c r="M1097" s="11" t="n">
        <x:f>IF(AND(K1097=1,OR(B1097="ED",B1097="NED")),1,0)</x:f>
        <x:v>0</x:v>
      </x:c>
      <x:c r="N1097" s="11" t="n">
        <x:f>IF(K1097=1,1,0)</x:f>
        <x:v>0</x:v>
      </x:c>
      <x:c r="O1097" s="12" t="str">
        <x:v>Exclude UniProt Membrane keyword</x:v>
      </x:c>
      <x:c r="P1097" s="11" t="n">
        <x:v>0</x:v>
      </x:c>
      <x:c r="Q1097" s="12" t="str">
        <x:v>AF-P70290-F1-model_v6</x:v>
      </x:c>
      <x:c r="R1097" s="12" t="str">
        <x:v>ok</x:v>
      </x:c>
      <x:c r="S1097" s="11" t="n">
        <x:v>713</x:v>
      </x:c>
      <x:c r="T1097" s="11" t="n">
        <x:v>466</x:v>
      </x:c>
    </x:row>
    <x:row r="1098" ht="23" customHeight="1">
      <x:c r="A1098" s="2" t="str">
        <x:v>P70295</x:v>
      </x:c>
      <x:c r="B1098" s="2" t="str">
        <x:v>UN</x:v>
      </x:c>
      <x:c r="C1098" s="2" t="n">
        <x:v>1</x:v>
      </x:c>
      <x:c r="D1098" s="2" t="n">
        <x:v>1</x:v>
      </x:c>
      <x:c r="E1098" s="10"/>
      <x:c r="F1098" s="11" t="n">
        <x:v>410</x:v>
      </x:c>
      <x:c r="G1098" s="11" t="n">
        <x:v>0</x:v>
      </x:c>
      <x:c r="H1098" s="11" t="n">
        <x:v>0</x:v>
      </x:c>
      <x:c r="I1098" s="11" t="n">
        <x:v>1</x:v>
      </x:c>
      <x:c r="J1098" s="11" t="n">
        <x:v>0</x:v>
      </x:c>
      <x:c r="K1098" s="11" t="n">
        <x:v>0</x:v>
      </x:c>
      <x:c r="L1098" s="11" t="n">
        <x:f>IF(B1098="NED",1,IF(OR(B1098="ED",B1098="UN"),0,""))</x:f>
        <x:v>0</x:v>
      </x:c>
      <x:c r="M1098" s="11" t="n">
        <x:f>IF(AND(K1098=1,OR(B1098="ED",B1098="NED")),1,0)</x:f>
        <x:v>0</x:v>
      </x:c>
      <x:c r="N1098" s="11" t="n">
        <x:f>IF(K1098=1,1,0)</x:f>
        <x:v>0</x:v>
      </x:c>
      <x:c r="O1098" s="12" t="str">
        <x:v>Exclude UniProt Membrane keyword</x:v>
      </x:c>
      <x:c r="P1098" s="11" t="n">
        <x:v>0</x:v>
      </x:c>
      <x:c r="Q1098" s="12" t="str">
        <x:v>AF-P70295-F1-model_v6</x:v>
      </x:c>
      <x:c r="R1098" s="12" t="str">
        <x:v>ok</x:v>
      </x:c>
      <x:c r="S1098" s="11" t="n">
        <x:v>714</x:v>
      </x:c>
      <x:c r="T1098" s="11" t="n">
        <x:v>410</x:v>
      </x:c>
    </x:row>
    <x:row r="1099" ht="23" customHeight="1">
      <x:c r="A1099" s="2" t="str">
        <x:v>P70302</x:v>
      </x:c>
      <x:c r="B1099" s="2" t="str">
        <x:v>ED</x:v>
      </x:c>
      <x:c r="C1099" s="2" t="n">
        <x:v>1</x:v>
      </x:c>
      <x:c r="D1099" s="2" t="n">
        <x:v>1</x:v>
      </x:c>
      <x:c r="E1099" s="10"/>
      <x:c r="F1099" s="11" t="n">
        <x:v>685</x:v>
      </x:c>
      <x:c r="G1099" s="11" t="n">
        <x:v>0</x:v>
      </x:c>
      <x:c r="H1099" s="11" t="n">
        <x:v>0</x:v>
      </x:c>
      <x:c r="I1099" s="11" t="n">
        <x:v>1</x:v>
      </x:c>
      <x:c r="J1099" s="11" t="n">
        <x:v>0</x:v>
      </x:c>
      <x:c r="K1099" s="11" t="n">
        <x:v>0</x:v>
      </x:c>
      <x:c r="L1099" s="11" t="n">
        <x:f>IF(B1099="NED",1,IF(OR(B1099="ED",B1099="UN"),0,""))</x:f>
        <x:v>0</x:v>
      </x:c>
      <x:c r="M1099" s="11" t="n">
        <x:f>IF(AND(K1099=1,OR(B1099="ED",B1099="NED")),1,0)</x:f>
        <x:v>0</x:v>
      </x:c>
      <x:c r="N1099" s="11" t="n">
        <x:f>IF(K1099=1,1,0)</x:f>
        <x:v>0</x:v>
      </x:c>
      <x:c r="O1099" s="12" t="str">
        <x:v>Exclude UniProt Membrane keyword</x:v>
      </x:c>
      <x:c r="P1099" s="11" t="n">
        <x:v>0</x:v>
      </x:c>
      <x:c r="Q1099" s="12" t="str">
        <x:v>AF-P70302-F1-model_v6</x:v>
      </x:c>
      <x:c r="R1099" s="12" t="str">
        <x:v>ok</x:v>
      </x:c>
      <x:c r="S1099" s="11" t="n">
        <x:v>715</x:v>
      </x:c>
      <x:c r="T1099" s="11" t="n">
        <x:v>685</x:v>
      </x:c>
    </x:row>
    <x:row r="1100" ht="23" customHeight="1">
      <x:c r="A1100" s="2" t="str">
        <x:v>P70303</x:v>
      </x:c>
      <x:c r="B1100" s="2" t="str">
        <x:v>ED</x:v>
      </x:c>
      <x:c r="C1100" s="2" t="n">
        <x:v>1</x:v>
      </x:c>
      <x:c r="D1100" s="2" t="n">
        <x:v>1</x:v>
      </x:c>
      <x:c r="E1100" s="10" t="n">
        <x:v>91.76590443686008</x:v>
      </x:c>
      <x:c r="F1100" s="11" t="n">
        <x:v>586</x:v>
      </x:c>
      <x:c r="G1100" s="11" t="n">
        <x:v>0</x:v>
      </x:c>
      <x:c r="H1100" s="11" t="n">
        <x:v>0</x:v>
      </x:c>
      <x:c r="I1100" s="11" t="n">
        <x:v>0</x:v>
      </x:c>
      <x:c r="J1100" s="11" t="n">
        <x:v>0</x:v>
      </x:c>
      <x:c r="K1100" s="11" t="n">
        <x:v>1</x:v>
      </x:c>
      <x:c r="L1100" s="11" t="n">
        <x:f>IF(B1100="NED",1,IF(OR(B1100="ED",B1100="UN"),0,""))</x:f>
        <x:v>0</x:v>
      </x:c>
      <x:c r="M1100" s="11" t="n">
        <x:f>IF(AND(K1100=1,OR(B1100="ED",B1100="NED")),1,0)</x:f>
        <x:v>1</x:v>
      </x:c>
      <x:c r="N1100" s="11" t="n">
        <x:f>IF(K1100=1,1,0)</x:f>
        <x:v>1</x:v>
      </x:c>
      <x:c r="O1100" s="12"/>
      <x:c r="P1100" s="11" t="n">
        <x:v>0</x:v>
      </x:c>
      <x:c r="Q1100" s="12" t="str">
        <x:v>AF-P70303-F1-model_v6</x:v>
      </x:c>
      <x:c r="R1100" s="12" t="str">
        <x:v>ok</x:v>
      </x:c>
      <x:c r="S1100" s="11" t="n">
        <x:v>716</x:v>
      </x:c>
      <x:c r="T1100" s="11" t="n">
        <x:v>586</x:v>
      </x:c>
    </x:row>
    <x:row r="1101" ht="23" customHeight="1">
      <x:c r="A1101" s="2" t="str">
        <x:v>P70318</x:v>
      </x:c>
      <x:c r="B1101" s="2" t="str">
        <x:v>ED</x:v>
      </x:c>
      <x:c r="C1101" s="2" t="n">
        <x:v>1</x:v>
      </x:c>
      <x:c r="D1101" s="2" t="n">
        <x:v>1</x:v>
      </x:c>
      <x:c r="E1101" s="10" t="n">
        <x:v>73.51017857142858</x:v>
      </x:c>
      <x:c r="F1101" s="11" t="n">
        <x:v>392</x:v>
      </x:c>
      <x:c r="G1101" s="11" t="n">
        <x:v>0</x:v>
      </x:c>
      <x:c r="H1101" s="11" t="n">
        <x:v>0</x:v>
      </x:c>
      <x:c r="I1101" s="11" t="n">
        <x:v>0</x:v>
      </x:c>
      <x:c r="J1101" s="11" t="n">
        <x:v>0</x:v>
      </x:c>
      <x:c r="K1101" s="11" t="n">
        <x:v>1</x:v>
      </x:c>
      <x:c r="L1101" s="11" t="n">
        <x:f>IF(B1101="NED",1,IF(OR(B1101="ED",B1101="UN"),0,""))</x:f>
        <x:v>0</x:v>
      </x:c>
      <x:c r="M1101" s="11" t="n">
        <x:f>IF(AND(K1101=1,OR(B1101="ED",B1101="NED")),1,0)</x:f>
        <x:v>1</x:v>
      </x:c>
      <x:c r="N1101" s="11" t="n">
        <x:f>IF(K1101=1,1,0)</x:f>
        <x:v>1</x:v>
      </x:c>
      <x:c r="O1101" s="12"/>
      <x:c r="P1101" s="11" t="n">
        <x:v>0</x:v>
      </x:c>
      <x:c r="Q1101" s="12" t="str">
        <x:v>AF-P70318-F1-model_v6</x:v>
      </x:c>
      <x:c r="R1101" s="12" t="str">
        <x:v>ok</x:v>
      </x:c>
      <x:c r="S1101" s="11" t="n">
        <x:v>717</x:v>
      </x:c>
      <x:c r="T1101" s="11" t="n">
        <x:v>392</x:v>
      </x:c>
    </x:row>
    <x:row r="1102" ht="23" customHeight="1">
      <x:c r="A1102" s="2" t="str">
        <x:v>P70333</x:v>
      </x:c>
      <x:c r="B1102" s="2" t="str">
        <x:v>ED</x:v>
      </x:c>
      <x:c r="C1102" s="2" t="n">
        <x:v>1</x:v>
      </x:c>
      <x:c r="D1102" s="2" t="n">
        <x:v>1</x:v>
      </x:c>
      <x:c r="E1102" s="10" t="n">
        <x:v>61.42507795100223</x:v>
      </x:c>
      <x:c r="F1102" s="11" t="n">
        <x:v>449</x:v>
      </x:c>
      <x:c r="G1102" s="11" t="n">
        <x:v>0</x:v>
      </x:c>
      <x:c r="H1102" s="11" t="n">
        <x:v>0</x:v>
      </x:c>
      <x:c r="I1102" s="11" t="n">
        <x:v>0</x:v>
      </x:c>
      <x:c r="J1102" s="11" t="n">
        <x:v>0</x:v>
      </x:c>
      <x:c r="K1102" s="11" t="n">
        <x:v>0</x:v>
      </x:c>
      <x:c r="L1102" s="11" t="n">
        <x:f>IF(B1102="NED",1,IF(OR(B1102="ED",B1102="UN"),0,""))</x:f>
        <x:v>0</x:v>
      </x:c>
      <x:c r="M1102" s="11" t="n">
        <x:f>IF(AND(K1102=1,OR(B1102="ED",B1102="NED")),1,0)</x:f>
        <x:v>0</x:v>
      </x:c>
      <x:c r="N1102" s="11" t="n">
        <x:f>IF(K1102=1,1,0)</x:f>
        <x:v>0</x:v>
      </x:c>
      <x:c r="O1102" s="12" t="str">
        <x:v>Retain protein mean pLDDT &gt;=70</x:v>
      </x:c>
      <x:c r="P1102" s="11" t="n">
        <x:v>0</x:v>
      </x:c>
      <x:c r="Q1102" s="12" t="str">
        <x:v>AF-P70333-F1-model_v6</x:v>
      </x:c>
      <x:c r="R1102" s="12" t="str">
        <x:v>ok</x:v>
      </x:c>
      <x:c r="S1102" s="11" t="n">
        <x:v>718</x:v>
      </x:c>
      <x:c r="T1102" s="11" t="n">
        <x:v>449</x:v>
      </x:c>
    </x:row>
    <x:row r="1103" ht="23" customHeight="1">
      <x:c r="A1103" s="2" t="str">
        <x:v>P70336</x:v>
      </x:c>
      <x:c r="B1103" s="2" t="str">
        <x:v>ED</x:v>
      </x:c>
      <x:c r="C1103" s="2" t="n">
        <x:v>1</x:v>
      </x:c>
      <x:c r="D1103" s="2" t="n">
        <x:v>1</x:v>
      </x:c>
      <x:c r="E1103" s="10"/>
      <x:c r="F1103" s="11" t="n">
        <x:v>1388</x:v>
      </x:c>
      <x:c r="G1103" s="11" t="n">
        <x:v>0</x:v>
      </x:c>
      <x:c r="H1103" s="11" t="n">
        <x:v>0</x:v>
      </x:c>
      <x:c r="I1103" s="11" t="n">
        <x:v>1</x:v>
      </x:c>
      <x:c r="J1103" s="11" t="n">
        <x:v>0</x:v>
      </x:c>
      <x:c r="K1103" s="11" t="n">
        <x:v>0</x:v>
      </x:c>
      <x:c r="L1103" s="11" t="n">
        <x:f>IF(B1103="NED",1,IF(OR(B1103="ED",B1103="UN"),0,""))</x:f>
        <x:v>0</x:v>
      </x:c>
      <x:c r="M1103" s="11" t="n">
        <x:f>IF(AND(K1103=1,OR(B1103="ED",B1103="NED")),1,0)</x:f>
        <x:v>0</x:v>
      </x:c>
      <x:c r="N1103" s="11" t="n">
        <x:f>IF(K1103=1,1,0)</x:f>
        <x:v>0</x:v>
      </x:c>
      <x:c r="O1103" s="12" t="str">
        <x:v>Exclude UniProt Membrane keyword</x:v>
      </x:c>
      <x:c r="P1103" s="11" t="n">
        <x:v>0</x:v>
      </x:c>
      <x:c r="Q1103" s="12" t="str">
        <x:v>AF-P70336-F1-model_v6</x:v>
      </x:c>
      <x:c r="R1103" s="12" t="str">
        <x:v>ok</x:v>
      </x:c>
      <x:c r="S1103" s="11" t="n">
        <x:v>719</x:v>
      </x:c>
      <x:c r="T1103" s="11" t="n">
        <x:v>1388</x:v>
      </x:c>
    </x:row>
    <x:row r="1104" ht="23" customHeight="1">
      <x:c r="A1104" s="2" t="str">
        <x:v>P70349</x:v>
      </x:c>
      <x:c r="B1104" s="2" t="str">
        <x:v>UN</x:v>
      </x:c>
      <x:c r="C1104" s="2" t="n">
        <x:v>0</x:v>
      </x:c>
      <x:c r="D1104" s="2" t="n">
        <x:v>0</x:v>
      </x:c>
      <x:c r="E1104" s="10" t="n">
        <x:v>96.04190476190476</x:v>
      </x:c>
      <x:c r="F1104" s="11" t="n">
        <x:v>126</x:v>
      </x:c>
      <x:c r="G1104" s="11" t="n">
        <x:v>0</x:v>
      </x:c>
      <x:c r="H1104" s="11" t="n">
        <x:v>0</x:v>
      </x:c>
      <x:c r="I1104" s="11" t="n">
        <x:v>0</x:v>
      </x:c>
      <x:c r="J1104" s="11" t="n">
        <x:v>0</x:v>
      </x:c>
      <x:c r="K1104" s="11" t="n">
        <x:v>1</x:v>
      </x:c>
      <x:c r="L1104" s="11" t="n">
        <x:f>IF(B1104="NED",1,IF(OR(B1104="ED",B1104="UN"),0,""))</x:f>
        <x:v>0</x:v>
      </x:c>
      <x:c r="M1104" s="11" t="n">
        <x:f>IF(AND(K1104=1,OR(B1104="ED",B1104="NED")),1,0)</x:f>
        <x:v>0</x:v>
      </x:c>
      <x:c r="N1104" s="11" t="n">
        <x:f>IF(K1104=1,1,0)</x:f>
        <x:v>1</x:v>
      </x:c>
      <x:c r="O1104" s="12"/>
      <x:c r="P1104" s="11" t="n">
        <x:v>0</x:v>
      </x:c>
      <x:c r="Q1104" s="12" t="str">
        <x:v>AF-P70349-F1-model_v6</x:v>
      </x:c>
      <x:c r="R1104" s="12" t="str">
        <x:v>ok</x:v>
      </x:c>
      <x:c r="S1104" s="11" t="n">
        <x:v>720</x:v>
      </x:c>
      <x:c r="T1104" s="11" t="n">
        <x:v>126</x:v>
      </x:c>
    </x:row>
    <x:row r="1105" ht="23" customHeight="1">
      <x:c r="A1105" s="2" t="str">
        <x:v>P70353</x:v>
      </x:c>
      <x:c r="B1105" s="2" t="str">
        <x:v>UN</x:v>
      </x:c>
      <x:c r="C1105" s="2" t="n">
        <x:v>0</x:v>
      </x:c>
      <x:c r="D1105" s="2" t="n">
        <x:v>0</x:v>
      </x:c>
      <x:c r="E1105" s="10" t="n">
        <x:v>54.47820895522389</x:v>
      </x:c>
      <x:c r="F1105" s="11" t="n">
        <x:v>335</x:v>
      </x:c>
      <x:c r="G1105" s="11" t="n">
        <x:v>0</x:v>
      </x:c>
      <x:c r="H1105" s="11" t="n">
        <x:v>0</x:v>
      </x:c>
      <x:c r="I1105" s="11" t="n">
        <x:v>0</x:v>
      </x:c>
      <x:c r="J1105" s="11" t="n">
        <x:v>0</x:v>
      </x:c>
      <x:c r="K1105" s="11" t="n">
        <x:v>0</x:v>
      </x:c>
      <x:c r="L1105" s="11" t="n">
        <x:f>IF(B1105="NED",1,IF(OR(B1105="ED",B1105="UN"),0,""))</x:f>
        <x:v>0</x:v>
      </x:c>
      <x:c r="M1105" s="11" t="n">
        <x:f>IF(AND(K1105=1,OR(B1105="ED",B1105="NED")),1,0)</x:f>
        <x:v>0</x:v>
      </x:c>
      <x:c r="N1105" s="11" t="n">
        <x:f>IF(K1105=1,1,0)</x:f>
        <x:v>0</x:v>
      </x:c>
      <x:c r="O1105" s="12" t="str">
        <x:v>Retain protein mean pLDDT &gt;=70</x:v>
      </x:c>
      <x:c r="P1105" s="11" t="n">
        <x:v>0</x:v>
      </x:c>
      <x:c r="Q1105" s="12" t="str">
        <x:v>AF-P70353-F1-model_v6</x:v>
      </x:c>
      <x:c r="R1105" s="12" t="str">
        <x:v>ok</x:v>
      </x:c>
      <x:c r="S1105" s="11" t="n">
        <x:v>721</x:v>
      </x:c>
      <x:c r="T1105" s="11" t="n">
        <x:v>335</x:v>
      </x:c>
    </x:row>
    <x:row r="1106" ht="23" customHeight="1">
      <x:c r="A1106" s="2" t="str">
        <x:v>P70362</x:v>
      </x:c>
      <x:c r="B1106" s="2" t="str">
        <x:v>ED</x:v>
      </x:c>
      <x:c r="C1106" s="2" t="n">
        <x:v>1</x:v>
      </x:c>
      <x:c r="D1106" s="2" t="n">
        <x:v>1</x:v>
      </x:c>
      <x:c r="E1106" s="10" t="n">
        <x:v>74.32599348534202</x:v>
      </x:c>
      <x:c r="F1106" s="11" t="n">
        <x:v>307</x:v>
      </x:c>
      <x:c r="G1106" s="11" t="n">
        <x:v>0</x:v>
      </x:c>
      <x:c r="H1106" s="11" t="n">
        <x:v>0</x:v>
      </x:c>
      <x:c r="I1106" s="11" t="n">
        <x:v>0</x:v>
      </x:c>
      <x:c r="J1106" s="11" t="n">
        <x:v>0</x:v>
      </x:c>
      <x:c r="K1106" s="11" t="n">
        <x:v>1</x:v>
      </x:c>
      <x:c r="L1106" s="11" t="n">
        <x:f>IF(B1106="NED",1,IF(OR(B1106="ED",B1106="UN"),0,""))</x:f>
        <x:v>0</x:v>
      </x:c>
      <x:c r="M1106" s="11" t="n">
        <x:f>IF(AND(K1106=1,OR(B1106="ED",B1106="NED")),1,0)</x:f>
        <x:v>1</x:v>
      </x:c>
      <x:c r="N1106" s="11" t="n">
        <x:f>IF(K1106=1,1,0)</x:f>
        <x:v>1</x:v>
      </x:c>
      <x:c r="O1106" s="12"/>
      <x:c r="P1106" s="11" t="n">
        <x:v>0</x:v>
      </x:c>
      <x:c r="Q1106" s="12" t="str">
        <x:v>AF-P70362-F1-model_v6</x:v>
      </x:c>
      <x:c r="R1106" s="12" t="str">
        <x:v>ok</x:v>
      </x:c>
      <x:c r="S1106" s="11" t="n">
        <x:v>722</x:v>
      </x:c>
      <x:c r="T1106" s="11" t="n">
        <x:v>307</x:v>
      </x:c>
    </x:row>
    <x:row r="1107" ht="23" customHeight="1">
      <x:c r="A1107" s="2" t="str">
        <x:v>P70372</x:v>
      </x:c>
      <x:c r="B1107" s="2" t="str">
        <x:v>ED</x:v>
      </x:c>
      <x:c r="C1107" s="2" t="n">
        <x:v>1</x:v>
      </x:c>
      <x:c r="D1107" s="2" t="n">
        <x:v>1</x:v>
      </x:c>
      <x:c r="E1107" s="10" t="n">
        <x:v>80.62708588957055</x:v>
      </x:c>
      <x:c r="F1107" s="11" t="n">
        <x:v>326</x:v>
      </x:c>
      <x:c r="G1107" s="11" t="n">
        <x:v>0</x:v>
      </x:c>
      <x:c r="H1107" s="11" t="n">
        <x:v>0</x:v>
      </x:c>
      <x:c r="I1107" s="11" t="n">
        <x:v>0</x:v>
      </x:c>
      <x:c r="J1107" s="11" t="n">
        <x:v>0</x:v>
      </x:c>
      <x:c r="K1107" s="11" t="n">
        <x:v>1</x:v>
      </x:c>
      <x:c r="L1107" s="11" t="n">
        <x:f>IF(B1107="NED",1,IF(OR(B1107="ED",B1107="UN"),0,""))</x:f>
        <x:v>0</x:v>
      </x:c>
      <x:c r="M1107" s="11" t="n">
        <x:f>IF(AND(K1107=1,OR(B1107="ED",B1107="NED")),1,0)</x:f>
        <x:v>1</x:v>
      </x:c>
      <x:c r="N1107" s="11" t="n">
        <x:f>IF(K1107=1,1,0)</x:f>
        <x:v>1</x:v>
      </x:c>
      <x:c r="O1107" s="12"/>
      <x:c r="P1107" s="11" t="n">
        <x:v>0</x:v>
      </x:c>
      <x:c r="Q1107" s="12" t="str">
        <x:v>AF-P70372-F1-model_v6</x:v>
      </x:c>
      <x:c r="R1107" s="12" t="str">
        <x:v>ok</x:v>
      </x:c>
      <x:c r="S1107" s="11" t="n">
        <x:v>723</x:v>
      </x:c>
      <x:c r="T1107" s="11" t="n">
        <x:v>326</x:v>
      </x:c>
    </x:row>
    <x:row r="1108" ht="23" customHeight="1">
      <x:c r="A1108" s="2" t="str">
        <x:v>P70388-2</x:v>
      </x:c>
      <x:c r="B1108" s="2" t="str">
        <x:v>NED</x:v>
      </x:c>
      <x:c r="C1108" s="2"/>
      <x:c r="D1108" s="2"/>
      <x:c r="E1108" s="10"/>
      <x:c r="F1108" s="11"/>
      <x:c r="G1108" s="11" t="n">
        <x:v>0</x:v>
      </x:c>
      <x:c r="H1108" s="11" t="n">
        <x:v>0</x:v>
      </x:c>
      <x:c r="I1108" s="11"/>
      <x:c r="J1108" s="11"/>
      <x:c r="K1108" s="11" t="n">
        <x:v>0</x:v>
      </x:c>
      <x:c r="L1108" s="11" t="n">
        <x:f>IF(B1108="NED",1,IF(OR(B1108="ED",B1108="UN"),0,""))</x:f>
        <x:v>1</x:v>
      </x:c>
      <x:c r="M1108" s="11" t="n">
        <x:f>IF(AND(K1108=1,OR(B1108="ED",B1108="NED")),1,0)</x:f>
        <x:v>0</x:v>
      </x:c>
      <x:c r="N1108" s="11" t="n">
        <x:f>IF(K1108=1,1,0)</x:f>
        <x:v>0</x:v>
      </x:c>
      <x:c r="O1108" s="12" t="str">
        <x:v>Require exact native accession match</x:v>
      </x:c>
      <x:c r="P1108" s="11" t="n">
        <x:v>0</x:v>
      </x:c>
      <x:c r="Q1108" s="12"/>
      <x:c r="R1108" s="12"/>
      <x:c r="S1108" s="11" t="n">
        <x:v>724</x:v>
      </x:c>
      <x:c r="T1108" s="11"/>
    </x:row>
    <x:row r="1109" ht="23" customHeight="1">
      <x:c r="A1109" s="2" t="str">
        <x:v>P70404</x:v>
      </x:c>
      <x:c r="B1109" s="2" t="str">
        <x:v>UN</x:v>
      </x:c>
      <x:c r="C1109" s="2" t="n">
        <x:v>1</x:v>
      </x:c>
      <x:c r="D1109" s="2" t="n">
        <x:v>1</x:v>
      </x:c>
      <x:c r="E1109" s="10" t="n">
        <x:v>89.30094147582696</x:v>
      </x:c>
      <x:c r="F1109" s="11" t="n">
        <x:v>393</x:v>
      </x:c>
      <x:c r="G1109" s="11" t="n">
        <x:v>0</x:v>
      </x:c>
      <x:c r="H1109" s="11" t="n">
        <x:v>0</x:v>
      </x:c>
      <x:c r="I1109" s="11" t="n">
        <x:v>0</x:v>
      </x:c>
      <x:c r="J1109" s="11" t="n">
        <x:v>0</x:v>
      </x:c>
      <x:c r="K1109" s="11" t="n">
        <x:v>1</x:v>
      </x:c>
      <x:c r="L1109" s="11" t="n">
        <x:f>IF(B1109="NED",1,IF(OR(B1109="ED",B1109="UN"),0,""))</x:f>
        <x:v>0</x:v>
      </x:c>
      <x:c r="M1109" s="11" t="n">
        <x:f>IF(AND(K1109=1,OR(B1109="ED",B1109="NED")),1,0)</x:f>
        <x:v>0</x:v>
      </x:c>
      <x:c r="N1109" s="11" t="n">
        <x:f>IF(K1109=1,1,0)</x:f>
        <x:v>1</x:v>
      </x:c>
      <x:c r="O1109" s="12"/>
      <x:c r="P1109" s="11" t="n">
        <x:v>0</x:v>
      </x:c>
      <x:c r="Q1109" s="12" t="str">
        <x:v>AF-P70404-F1-model_v6</x:v>
      </x:c>
      <x:c r="R1109" s="12" t="str">
        <x:v>ok</x:v>
      </x:c>
      <x:c r="S1109" s="11" t="n">
        <x:v>725</x:v>
      </x:c>
      <x:c r="T1109" s="11" t="n">
        <x:v>393</x:v>
      </x:c>
    </x:row>
    <x:row r="1110" ht="23" customHeight="1">
      <x:c r="A1110" s="2" t="str">
        <x:v>P70428</x:v>
      </x:c>
      <x:c r="B1110" s="2" t="str">
        <x:v>UN</x:v>
      </x:c>
      <x:c r="C1110" s="2" t="n">
        <x:v>1</x:v>
      </x:c>
      <x:c r="D1110" s="2" t="n">
        <x:v>1</x:v>
      </x:c>
      <x:c r="E1110" s="10"/>
      <x:c r="F1110" s="11" t="n">
        <x:v>718</x:v>
      </x:c>
      <x:c r="G1110" s="11" t="n">
        <x:v>0</x:v>
      </x:c>
      <x:c r="H1110" s="11" t="n">
        <x:v>0</x:v>
      </x:c>
      <x:c r="I1110" s="11" t="n">
        <x:v>1</x:v>
      </x:c>
      <x:c r="J1110" s="11" t="n">
        <x:v>1</x:v>
      </x:c>
      <x:c r="K1110" s="11" t="n">
        <x:v>0</x:v>
      </x:c>
      <x:c r="L1110" s="11" t="n">
        <x:f>IF(B1110="NED",1,IF(OR(B1110="ED",B1110="UN"),0,""))</x:f>
        <x:v>0</x:v>
      </x:c>
      <x:c r="M1110" s="11" t="n">
        <x:f>IF(AND(K1110=1,OR(B1110="ED",B1110="NED")),1,0)</x:f>
        <x:v>0</x:v>
      </x:c>
      <x:c r="N1110" s="11" t="n">
        <x:f>IF(K1110=1,1,0)</x:f>
        <x:v>0</x:v>
      </x:c>
      <x:c r="O1110" s="12" t="str">
        <x:v>Exclude UniProt Membrane keyword</x:v>
      </x:c>
      <x:c r="P1110" s="11" t="n">
        <x:v>0</x:v>
      </x:c>
      <x:c r="Q1110" s="12" t="str">
        <x:v>AF-P70428-F1-model_v6</x:v>
      </x:c>
      <x:c r="R1110" s="12" t="str">
        <x:v>ok</x:v>
      </x:c>
      <x:c r="S1110" s="11" t="n">
        <x:v>726</x:v>
      </x:c>
      <x:c r="T1110" s="11" t="n">
        <x:v>718</x:v>
      </x:c>
    </x:row>
    <x:row r="1111" ht="23" customHeight="1">
      <x:c r="A1111" s="2" t="str">
        <x:v>P70441</x:v>
      </x:c>
      <x:c r="B1111" s="2" t="str">
        <x:v>UN</x:v>
      </x:c>
      <x:c r="C1111" s="2" t="n">
        <x:v>1</x:v>
      </x:c>
      <x:c r="D1111" s="2" t="n">
        <x:v>1</x:v>
      </x:c>
      <x:c r="E1111" s="10"/>
      <x:c r="F1111" s="11" t="n">
        <x:v>355</x:v>
      </x:c>
      <x:c r="G1111" s="11" t="n">
        <x:v>0</x:v>
      </x:c>
      <x:c r="H1111" s="11" t="n">
        <x:v>0</x:v>
      </x:c>
      <x:c r="I1111" s="11" t="n">
        <x:v>1</x:v>
      </x:c>
      <x:c r="J1111" s="11" t="n">
        <x:v>0</x:v>
      </x:c>
      <x:c r="K1111" s="11" t="n">
        <x:v>0</x:v>
      </x:c>
      <x:c r="L1111" s="11" t="n">
        <x:f>IF(B1111="NED",1,IF(OR(B1111="ED",B1111="UN"),0,""))</x:f>
        <x:v>0</x:v>
      </x:c>
      <x:c r="M1111" s="11" t="n">
        <x:f>IF(AND(K1111=1,OR(B1111="ED",B1111="NED")),1,0)</x:f>
        <x:v>0</x:v>
      </x:c>
      <x:c r="N1111" s="11" t="n">
        <x:f>IF(K1111=1,1,0)</x:f>
        <x:v>0</x:v>
      </x:c>
      <x:c r="O1111" s="12" t="str">
        <x:v>Exclude UniProt Membrane keyword</x:v>
      </x:c>
      <x:c r="P1111" s="11" t="n">
        <x:v>0</x:v>
      </x:c>
      <x:c r="Q1111" s="12" t="str">
        <x:v>AF-P70441-F1-model_v6</x:v>
      </x:c>
      <x:c r="R1111" s="12" t="str">
        <x:v>ok</x:v>
      </x:c>
      <x:c r="S1111" s="11" t="n">
        <x:v>727</x:v>
      </x:c>
      <x:c r="T1111" s="11" t="n">
        <x:v>355</x:v>
      </x:c>
    </x:row>
    <x:row r="1112" ht="23" customHeight="1">
      <x:c r="A1112" s="2" t="str">
        <x:v>P70444</x:v>
      </x:c>
      <x:c r="B1112" s="2" t="str">
        <x:v>ED</x:v>
      </x:c>
      <x:c r="C1112" s="2" t="n">
        <x:v>1</x:v>
      </x:c>
      <x:c r="D1112" s="2"/>
      <x:c r="E1112" s="10"/>
      <x:c r="F1112" s="11" t="n">
        <x:v>195</x:v>
      </x:c>
      <x:c r="G1112" s="11" t="n">
        <x:v>0</x:v>
      </x:c>
      <x:c r="H1112" s="11" t="n">
        <x:v>0</x:v>
      </x:c>
      <x:c r="I1112" s="11" t="n">
        <x:v>1</x:v>
      </x:c>
      <x:c r="J1112" s="11" t="n">
        <x:v>0</x:v>
      </x:c>
      <x:c r="K1112" s="11" t="n">
        <x:v>0</x:v>
      </x:c>
      <x:c r="L1112" s="11" t="n">
        <x:f>IF(B1112="NED",1,IF(OR(B1112="ED",B1112="UN"),0,""))</x:f>
        <x:v>0</x:v>
      </x:c>
      <x:c r="M1112" s="11" t="n">
        <x:f>IF(AND(K1112=1,OR(B1112="ED",B1112="NED")),1,0)</x:f>
        <x:v>0</x:v>
      </x:c>
      <x:c r="N1112" s="11" t="n">
        <x:f>IF(K1112=1,1,0)</x:f>
        <x:v>0</x:v>
      </x:c>
      <x:c r="O1112" s="12" t="str">
        <x:v>Exclude UniProt Membrane keyword</x:v>
      </x:c>
      <x:c r="P1112" s="11" t="n">
        <x:v>0</x:v>
      </x:c>
      <x:c r="Q1112" s="12" t="str">
        <x:v>AF-P70444-F1-model_v6</x:v>
      </x:c>
      <x:c r="R1112" s="12" t="str">
        <x:v>ok</x:v>
      </x:c>
      <x:c r="S1112" s="11" t="n">
        <x:v>728</x:v>
      </x:c>
      <x:c r="T1112" s="11" t="n">
        <x:v>195</x:v>
      </x:c>
    </x:row>
    <x:row r="1113" ht="23" customHeight="1">
      <x:c r="A1113" s="2" t="str">
        <x:v>P70460</x:v>
      </x:c>
      <x:c r="B1113" s="2" t="str">
        <x:v>ED</x:v>
      </x:c>
      <x:c r="C1113" s="2" t="n">
        <x:v>1</x:v>
      </x:c>
      <x:c r="D1113" s="2" t="n">
        <x:v>1</x:v>
      </x:c>
      <x:c r="E1113" s="10"/>
      <x:c r="F1113" s="11" t="n">
        <x:v>375</x:v>
      </x:c>
      <x:c r="G1113" s="11" t="n">
        <x:v>0</x:v>
      </x:c>
      <x:c r="H1113" s="11" t="n">
        <x:v>0</x:v>
      </x:c>
      <x:c r="I1113" s="11" t="n">
        <x:v>1</x:v>
      </x:c>
      <x:c r="J1113" s="11" t="n">
        <x:v>0</x:v>
      </x:c>
      <x:c r="K1113" s="11" t="n">
        <x:v>0</x:v>
      </x:c>
      <x:c r="L1113" s="11" t="n">
        <x:f>IF(B1113="NED",1,IF(OR(B1113="ED",B1113="UN"),0,""))</x:f>
        <x:v>0</x:v>
      </x:c>
      <x:c r="M1113" s="11" t="n">
        <x:f>IF(AND(K1113=1,OR(B1113="ED",B1113="NED")),1,0)</x:f>
        <x:v>0</x:v>
      </x:c>
      <x:c r="N1113" s="11" t="n">
        <x:f>IF(K1113=1,1,0)</x:f>
        <x:v>0</x:v>
      </x:c>
      <x:c r="O1113" s="12" t="str">
        <x:v>Exclude UniProt Membrane keyword</x:v>
      </x:c>
      <x:c r="P1113" s="11" t="n">
        <x:v>0</x:v>
      </x:c>
      <x:c r="Q1113" s="12" t="str">
        <x:v>AF-P70460-F1-model_v6</x:v>
      </x:c>
      <x:c r="R1113" s="12" t="str">
        <x:v>ok</x:v>
      </x:c>
      <x:c r="S1113" s="11" t="n">
        <x:v>729</x:v>
      </x:c>
      <x:c r="T1113" s="11" t="n">
        <x:v>375</x:v>
      </x:c>
    </x:row>
    <x:row r="1114" ht="23" customHeight="1">
      <x:c r="A1114" s="2" t="str">
        <x:v>P70671</x:v>
      </x:c>
      <x:c r="B1114" s="2" t="str">
        <x:v>ED</x:v>
      </x:c>
      <x:c r="C1114" s="2" t="n">
        <x:v>1</x:v>
      </x:c>
      <x:c r="D1114" s="2" t="n">
        <x:v>1</x:v>
      </x:c>
      <x:c r="E1114" s="10" t="n">
        <x:v>79.56816229116944</x:v>
      </x:c>
      <x:c r="F1114" s="11" t="n">
        <x:v>419</x:v>
      </x:c>
      <x:c r="G1114" s="11" t="n">
        <x:v>0</x:v>
      </x:c>
      <x:c r="H1114" s="11" t="n">
        <x:v>0</x:v>
      </x:c>
      <x:c r="I1114" s="11" t="n">
        <x:v>0</x:v>
      </x:c>
      <x:c r="J1114" s="11" t="n">
        <x:v>0</x:v>
      </x:c>
      <x:c r="K1114" s="11" t="n">
        <x:v>1</x:v>
      </x:c>
      <x:c r="L1114" s="11" t="n">
        <x:f>IF(B1114="NED",1,IF(OR(B1114="ED",B1114="UN"),0,""))</x:f>
        <x:v>0</x:v>
      </x:c>
      <x:c r="M1114" s="11" t="n">
        <x:f>IF(AND(K1114=1,OR(B1114="ED",B1114="NED")),1,0)</x:f>
        <x:v>1</x:v>
      </x:c>
      <x:c r="N1114" s="11" t="n">
        <x:f>IF(K1114=1,1,0)</x:f>
        <x:v>1</x:v>
      </x:c>
      <x:c r="O1114" s="12"/>
      <x:c r="P1114" s="11" t="n">
        <x:v>0</x:v>
      </x:c>
      <x:c r="Q1114" s="12" t="str">
        <x:v>AF-P70671-F1-model_v6</x:v>
      </x:c>
      <x:c r="R1114" s="12" t="str">
        <x:v>ok</x:v>
      </x:c>
      <x:c r="S1114" s="11" t="n">
        <x:v>730</x:v>
      </x:c>
      <x:c r="T1114" s="11" t="n">
        <x:v>419</x:v>
      </x:c>
    </x:row>
    <x:row r="1115" ht="23" customHeight="1">
      <x:c r="A1115" s="2" t="str">
        <x:v>P70677</x:v>
      </x:c>
      <x:c r="B1115" s="2" t="str">
        <x:v>UN</x:v>
      </x:c>
      <x:c r="C1115" s="2" t="n">
        <x:v>1</x:v>
      </x:c>
      <x:c r="D1115" s="2" t="n">
        <x:v>1</x:v>
      </x:c>
      <x:c r="E1115" s="10" t="n">
        <x:v>85.31574007220216</x:v>
      </x:c>
      <x:c r="F1115" s="11" t="n">
        <x:v>277</x:v>
      </x:c>
      <x:c r="G1115" s="11" t="n">
        <x:v>0</x:v>
      </x:c>
      <x:c r="H1115" s="11" t="n">
        <x:v>0</x:v>
      </x:c>
      <x:c r="I1115" s="11" t="n">
        <x:v>0</x:v>
      </x:c>
      <x:c r="J1115" s="11" t="n">
        <x:v>0</x:v>
      </x:c>
      <x:c r="K1115" s="11" t="n">
        <x:v>1</x:v>
      </x:c>
      <x:c r="L1115" s="11" t="n">
        <x:f>IF(B1115="NED",1,IF(OR(B1115="ED",B1115="UN"),0,""))</x:f>
        <x:v>0</x:v>
      </x:c>
      <x:c r="M1115" s="11" t="n">
        <x:f>IF(AND(K1115=1,OR(B1115="ED",B1115="NED")),1,0)</x:f>
        <x:v>0</x:v>
      </x:c>
      <x:c r="N1115" s="11" t="n">
        <x:f>IF(K1115=1,1,0)</x:f>
        <x:v>1</x:v>
      </x:c>
      <x:c r="O1115" s="12"/>
      <x:c r="P1115" s="11" t="n">
        <x:v>0</x:v>
      </x:c>
      <x:c r="Q1115" s="12" t="str">
        <x:v>AF-P70677-F1-model_v6</x:v>
      </x:c>
      <x:c r="R1115" s="12" t="str">
        <x:v>ok</x:v>
      </x:c>
      <x:c r="S1115" s="11" t="n">
        <x:v>731</x:v>
      </x:c>
      <x:c r="T1115" s="11" t="n">
        <x:v>277</x:v>
      </x:c>
    </x:row>
    <x:row r="1116" ht="23" customHeight="1">
      <x:c r="A1116" s="2" t="str">
        <x:v>P70698</x:v>
      </x:c>
      <x:c r="B1116" s="2" t="str">
        <x:v>ED</x:v>
      </x:c>
      <x:c r="C1116" s="2" t="n">
        <x:v>1</x:v>
      </x:c>
      <x:c r="D1116" s="2" t="n">
        <x:v>1</x:v>
      </x:c>
      <x:c r="E1116" s="10" t="n">
        <x:v>91.70536379018613</x:v>
      </x:c>
      <x:c r="F1116" s="11" t="n">
        <x:v>591</x:v>
      </x:c>
      <x:c r="G1116" s="11" t="n">
        <x:v>0</x:v>
      </x:c>
      <x:c r="H1116" s="11" t="n">
        <x:v>0</x:v>
      </x:c>
      <x:c r="I1116" s="11" t="n">
        <x:v>0</x:v>
      </x:c>
      <x:c r="J1116" s="11" t="n">
        <x:v>0</x:v>
      </x:c>
      <x:c r="K1116" s="11" t="n">
        <x:v>1</x:v>
      </x:c>
      <x:c r="L1116" s="11" t="n">
        <x:f>IF(B1116="NED",1,IF(OR(B1116="ED",B1116="UN"),0,""))</x:f>
        <x:v>0</x:v>
      </x:c>
      <x:c r="M1116" s="11" t="n">
        <x:f>IF(AND(K1116=1,OR(B1116="ED",B1116="NED")),1,0)</x:f>
        <x:v>1</x:v>
      </x:c>
      <x:c r="N1116" s="11" t="n">
        <x:f>IF(K1116=1,1,0)</x:f>
        <x:v>1</x:v>
      </x:c>
      <x:c r="O1116" s="12"/>
      <x:c r="P1116" s="11" t="n">
        <x:v>0</x:v>
      </x:c>
      <x:c r="Q1116" s="12" t="str">
        <x:v>AF-P70698-F1-model_v6</x:v>
      </x:c>
      <x:c r="R1116" s="12" t="str">
        <x:v>ok</x:v>
      </x:c>
      <x:c r="S1116" s="11" t="n">
        <x:v>732</x:v>
      </x:c>
      <x:c r="T1116" s="11" t="n">
        <x:v>591</x:v>
      </x:c>
    </x:row>
    <x:row r="1117" ht="23" customHeight="1">
      <x:c r="A1117" s="2" t="str">
        <x:v>P70700</x:v>
      </x:c>
      <x:c r="B1117" s="2" t="str">
        <x:v>ED</x:v>
      </x:c>
      <x:c r="C1117" s="2" t="n">
        <x:v>1</x:v>
      </x:c>
      <x:c r="D1117" s="2" t="n">
        <x:v>1</x:v>
      </x:c>
      <x:c r="E1117" s="10" t="n">
        <x:v>92.2085462555066</x:v>
      </x:c>
      <x:c r="F1117" s="11" t="n">
        <x:v>1135</x:v>
      </x:c>
      <x:c r="G1117" s="11" t="n">
        <x:v>0</x:v>
      </x:c>
      <x:c r="H1117" s="11" t="n">
        <x:v>0</x:v>
      </x:c>
      <x:c r="I1117" s="11" t="n">
        <x:v>0</x:v>
      </x:c>
      <x:c r="J1117" s="11" t="n">
        <x:v>0</x:v>
      </x:c>
      <x:c r="K1117" s="11" t="n">
        <x:v>1</x:v>
      </x:c>
      <x:c r="L1117" s="11" t="n">
        <x:f>IF(B1117="NED",1,IF(OR(B1117="ED",B1117="UN"),0,""))</x:f>
        <x:v>0</x:v>
      </x:c>
      <x:c r="M1117" s="11" t="n">
        <x:f>IF(AND(K1117=1,OR(B1117="ED",B1117="NED")),1,0)</x:f>
        <x:v>1</x:v>
      </x:c>
      <x:c r="N1117" s="11" t="n">
        <x:f>IF(K1117=1,1,0)</x:f>
        <x:v>1</x:v>
      </x:c>
      <x:c r="O1117" s="12"/>
      <x:c r="P1117" s="11" t="n">
        <x:v>0</x:v>
      </x:c>
      <x:c r="Q1117" s="12" t="str">
        <x:v>AF-P70700-F1-model_v6</x:v>
      </x:c>
      <x:c r="R1117" s="12" t="str">
        <x:v>ok</x:v>
      </x:c>
      <x:c r="S1117" s="11" t="n">
        <x:v>733</x:v>
      </x:c>
      <x:c r="T1117" s="11" t="n">
        <x:v>1135</x:v>
      </x:c>
    </x:row>
    <x:row r="1118" ht="23" customHeight="1">
      <x:c r="A1118" s="2" t="str">
        <x:v>P80313</x:v>
      </x:c>
      <x:c r="B1118" s="2" t="str">
        <x:v>NED</x:v>
      </x:c>
      <x:c r="C1118" s="2" t="n">
        <x:v>1</x:v>
      </x:c>
      <x:c r="D1118" s="2" t="n">
        <x:v>1</x:v>
      </x:c>
      <x:c r="E1118" s="10" t="n">
        <x:v>87.8694669117647</x:v>
      </x:c>
      <x:c r="F1118" s="11" t="n">
        <x:v>544</x:v>
      </x:c>
      <x:c r="G1118" s="11" t="n">
        <x:v>0</x:v>
      </x:c>
      <x:c r="H1118" s="11" t="n">
        <x:v>0</x:v>
      </x:c>
      <x:c r="I1118" s="11" t="n">
        <x:v>0</x:v>
      </x:c>
      <x:c r="J1118" s="11" t="n">
        <x:v>0</x:v>
      </x:c>
      <x:c r="K1118" s="11" t="n">
        <x:v>1</x:v>
      </x:c>
      <x:c r="L1118" s="11" t="n">
        <x:f>IF(B1118="NED",1,IF(OR(B1118="ED",B1118="UN"),0,""))</x:f>
        <x:v>1</x:v>
      </x:c>
      <x:c r="M1118" s="11" t="n">
        <x:f>IF(AND(K1118=1,OR(B1118="ED",B1118="NED")),1,0)</x:f>
        <x:v>1</x:v>
      </x:c>
      <x:c r="N1118" s="11" t="n">
        <x:f>IF(K1118=1,1,0)</x:f>
        <x:v>1</x:v>
      </x:c>
      <x:c r="O1118" s="12"/>
      <x:c r="P1118" s="11" t="n">
        <x:v>0</x:v>
      </x:c>
      <x:c r="Q1118" s="12" t="str">
        <x:v>AF-P80313-F1-model_v6</x:v>
      </x:c>
      <x:c r="R1118" s="12" t="str">
        <x:v>ok</x:v>
      </x:c>
      <x:c r="S1118" s="11" t="n">
        <x:v>734</x:v>
      </x:c>
      <x:c r="T1118" s="11" t="n">
        <x:v>544</x:v>
      </x:c>
    </x:row>
    <x:row r="1119" ht="23" customHeight="1">
      <x:c r="A1119" s="2" t="str">
        <x:v>P80314</x:v>
      </x:c>
      <x:c r="B1119" s="2" t="str">
        <x:v>NED</x:v>
      </x:c>
      <x:c r="C1119" s="2" t="n">
        <x:v>1</x:v>
      </x:c>
      <x:c r="D1119" s="2" t="n">
        <x:v>1</x:v>
      </x:c>
      <x:c r="E1119" s="10" t="n">
        <x:v>89.32110280373831</x:v>
      </x:c>
      <x:c r="F1119" s="11" t="n">
        <x:v>535</x:v>
      </x:c>
      <x:c r="G1119" s="11" t="n">
        <x:v>0</x:v>
      </x:c>
      <x:c r="H1119" s="11" t="n">
        <x:v>0</x:v>
      </x:c>
      <x:c r="I1119" s="11" t="n">
        <x:v>0</x:v>
      </x:c>
      <x:c r="J1119" s="11" t="n">
        <x:v>0</x:v>
      </x:c>
      <x:c r="K1119" s="11" t="n">
        <x:v>1</x:v>
      </x:c>
      <x:c r="L1119" s="11" t="n">
        <x:f>IF(B1119="NED",1,IF(OR(B1119="ED",B1119="UN"),0,""))</x:f>
        <x:v>1</x:v>
      </x:c>
      <x:c r="M1119" s="11" t="n">
        <x:f>IF(AND(K1119=1,OR(B1119="ED",B1119="NED")),1,0)</x:f>
        <x:v>1</x:v>
      </x:c>
      <x:c r="N1119" s="11" t="n">
        <x:f>IF(K1119=1,1,0)</x:f>
        <x:v>1</x:v>
      </x:c>
      <x:c r="O1119" s="12"/>
      <x:c r="P1119" s="11" t="n">
        <x:v>0</x:v>
      </x:c>
      <x:c r="Q1119" s="12" t="str">
        <x:v>AF-P80314-F1-model_v6</x:v>
      </x:c>
      <x:c r="R1119" s="12" t="str">
        <x:v>ok</x:v>
      </x:c>
      <x:c r="S1119" s="11" t="n">
        <x:v>735</x:v>
      </x:c>
      <x:c r="T1119" s="11" t="n">
        <x:v>535</x:v>
      </x:c>
    </x:row>
    <x:row r="1120" ht="23" customHeight="1">
      <x:c r="A1120" s="2" t="str">
        <x:v>P80315</x:v>
      </x:c>
      <x:c r="B1120" s="2" t="str">
        <x:v>ED</x:v>
      </x:c>
      <x:c r="C1120" s="2" t="n">
        <x:v>1</x:v>
      </x:c>
      <x:c r="D1120" s="2" t="n">
        <x:v>1</x:v>
      </x:c>
      <x:c r="E1120" s="10" t="n">
        <x:v>88.83714285714287</x:v>
      </x:c>
      <x:c r="F1120" s="11" t="n">
        <x:v>539</x:v>
      </x:c>
      <x:c r="G1120" s="11" t="n">
        <x:v>0</x:v>
      </x:c>
      <x:c r="H1120" s="11" t="n">
        <x:v>0</x:v>
      </x:c>
      <x:c r="I1120" s="11" t="n">
        <x:v>0</x:v>
      </x:c>
      <x:c r="J1120" s="11" t="n">
        <x:v>0</x:v>
      </x:c>
      <x:c r="K1120" s="11" t="n">
        <x:v>1</x:v>
      </x:c>
      <x:c r="L1120" s="11" t="n">
        <x:f>IF(B1120="NED",1,IF(OR(B1120="ED",B1120="UN"),0,""))</x:f>
        <x:v>0</x:v>
      </x:c>
      <x:c r="M1120" s="11" t="n">
        <x:f>IF(AND(K1120=1,OR(B1120="ED",B1120="NED")),1,0)</x:f>
        <x:v>1</x:v>
      </x:c>
      <x:c r="N1120" s="11" t="n">
        <x:f>IF(K1120=1,1,0)</x:f>
        <x:v>1</x:v>
      </x:c>
      <x:c r="O1120" s="12"/>
      <x:c r="P1120" s="11" t="n">
        <x:v>0</x:v>
      </x:c>
      <x:c r="Q1120" s="12" t="str">
        <x:v>AF-P80315-F1-model_v6</x:v>
      </x:c>
      <x:c r="R1120" s="12" t="str">
        <x:v>ok</x:v>
      </x:c>
      <x:c r="S1120" s="11" t="n">
        <x:v>736</x:v>
      </x:c>
      <x:c r="T1120" s="11" t="n">
        <x:v>539</x:v>
      </x:c>
    </x:row>
    <x:row r="1121" ht="23" customHeight="1">
      <x:c r="A1121" s="2" t="str">
        <x:v>P80316</x:v>
      </x:c>
      <x:c r="B1121" s="2" t="str">
        <x:v>NED</x:v>
      </x:c>
      <x:c r="C1121" s="2" t="n">
        <x:v>1</x:v>
      </x:c>
      <x:c r="D1121" s="2" t="n">
        <x:v>1</x:v>
      </x:c>
      <x:c r="E1121" s="10" t="n">
        <x:v>89.32070240295748</x:v>
      </x:c>
      <x:c r="F1121" s="11" t="n">
        <x:v>541</x:v>
      </x:c>
      <x:c r="G1121" s="11" t="n">
        <x:v>0</x:v>
      </x:c>
      <x:c r="H1121" s="11" t="n">
        <x:v>0</x:v>
      </x:c>
      <x:c r="I1121" s="11" t="n">
        <x:v>0</x:v>
      </x:c>
      <x:c r="J1121" s="11" t="n">
        <x:v>0</x:v>
      </x:c>
      <x:c r="K1121" s="11" t="n">
        <x:v>1</x:v>
      </x:c>
      <x:c r="L1121" s="11" t="n">
        <x:f>IF(B1121="NED",1,IF(OR(B1121="ED",B1121="UN"),0,""))</x:f>
        <x:v>1</x:v>
      </x:c>
      <x:c r="M1121" s="11" t="n">
        <x:f>IF(AND(K1121=1,OR(B1121="ED",B1121="NED")),1,0)</x:f>
        <x:v>1</x:v>
      </x:c>
      <x:c r="N1121" s="11" t="n">
        <x:f>IF(K1121=1,1,0)</x:f>
        <x:v>1</x:v>
      </x:c>
      <x:c r="O1121" s="12"/>
      <x:c r="P1121" s="11" t="n">
        <x:v>0</x:v>
      </x:c>
      <x:c r="Q1121" s="12" t="str">
        <x:v>AF-P80316-F1-model_v6</x:v>
      </x:c>
      <x:c r="R1121" s="12" t="str">
        <x:v>ok</x:v>
      </x:c>
      <x:c r="S1121" s="11" t="n">
        <x:v>737</x:v>
      </x:c>
      <x:c r="T1121" s="11" t="n">
        <x:v>541</x:v>
      </x:c>
    </x:row>
    <x:row r="1122" ht="23" customHeight="1">
      <x:c r="A1122" s="2" t="str">
        <x:v>P80317</x:v>
      </x:c>
      <x:c r="B1122" s="2" t="str">
        <x:v>NED</x:v>
      </x:c>
      <x:c r="C1122" s="2" t="n">
        <x:v>1</x:v>
      </x:c>
      <x:c r="D1122" s="2" t="n">
        <x:v>1</x:v>
      </x:c>
      <x:c r="E1122" s="10" t="n">
        <x:v>89.40659133709981</x:v>
      </x:c>
      <x:c r="F1122" s="11" t="n">
        <x:v>531</x:v>
      </x:c>
      <x:c r="G1122" s="11" t="n">
        <x:v>0</x:v>
      </x:c>
      <x:c r="H1122" s="11" t="n">
        <x:v>0</x:v>
      </x:c>
      <x:c r="I1122" s="11" t="n">
        <x:v>0</x:v>
      </x:c>
      <x:c r="J1122" s="11" t="n">
        <x:v>0</x:v>
      </x:c>
      <x:c r="K1122" s="11" t="n">
        <x:v>1</x:v>
      </x:c>
      <x:c r="L1122" s="11" t="n">
        <x:f>IF(B1122="NED",1,IF(OR(B1122="ED",B1122="UN"),0,""))</x:f>
        <x:v>1</x:v>
      </x:c>
      <x:c r="M1122" s="11" t="n">
        <x:f>IF(AND(K1122=1,OR(B1122="ED",B1122="NED")),1,0)</x:f>
        <x:v>1</x:v>
      </x:c>
      <x:c r="N1122" s="11" t="n">
        <x:f>IF(K1122=1,1,0)</x:f>
        <x:v>1</x:v>
      </x:c>
      <x:c r="O1122" s="12"/>
      <x:c r="P1122" s="11" t="n">
        <x:v>0</x:v>
      </x:c>
      <x:c r="Q1122" s="12" t="str">
        <x:v>AF-P80317-F1-model_v6</x:v>
      </x:c>
      <x:c r="R1122" s="12" t="str">
        <x:v>ok</x:v>
      </x:c>
      <x:c r="S1122" s="11" t="n">
        <x:v>738</x:v>
      </x:c>
      <x:c r="T1122" s="11" t="n">
        <x:v>531</x:v>
      </x:c>
    </x:row>
    <x:row r="1123" ht="23" customHeight="1">
      <x:c r="A1123" s="2" t="str">
        <x:v>P80318</x:v>
      </x:c>
      <x:c r="B1123" s="2" t="str">
        <x:v>NED</x:v>
      </x:c>
      <x:c r="C1123" s="2" t="n">
        <x:v>1</x:v>
      </x:c>
      <x:c r="D1123" s="2" t="n">
        <x:v>1</x:v>
      </x:c>
      <x:c r="E1123" s="10" t="n">
        <x:v>88.44266055045871</x:v>
      </x:c>
      <x:c r="F1123" s="11" t="n">
        <x:v>545</x:v>
      </x:c>
      <x:c r="G1123" s="11" t="n">
        <x:v>0</x:v>
      </x:c>
      <x:c r="H1123" s="11" t="n">
        <x:v>0</x:v>
      </x:c>
      <x:c r="I1123" s="11" t="n">
        <x:v>0</x:v>
      </x:c>
      <x:c r="J1123" s="11" t="n">
        <x:v>0</x:v>
      </x:c>
      <x:c r="K1123" s="11" t="n">
        <x:v>1</x:v>
      </x:c>
      <x:c r="L1123" s="11" t="n">
        <x:f>IF(B1123="NED",1,IF(OR(B1123="ED",B1123="UN"),0,""))</x:f>
        <x:v>1</x:v>
      </x:c>
      <x:c r="M1123" s="11" t="n">
        <x:f>IF(AND(K1123=1,OR(B1123="ED",B1123="NED")),1,0)</x:f>
        <x:v>1</x:v>
      </x:c>
      <x:c r="N1123" s="11" t="n">
        <x:f>IF(K1123=1,1,0)</x:f>
        <x:v>1</x:v>
      </x:c>
      <x:c r="O1123" s="12"/>
      <x:c r="P1123" s="11" t="n">
        <x:v>0</x:v>
      </x:c>
      <x:c r="Q1123" s="12" t="str">
        <x:v>AF-P80318-F1-model_v6</x:v>
      </x:c>
      <x:c r="R1123" s="12" t="str">
        <x:v>ok</x:v>
      </x:c>
      <x:c r="S1123" s="11" t="n">
        <x:v>739</x:v>
      </x:c>
      <x:c r="T1123" s="11" t="n">
        <x:v>545</x:v>
      </x:c>
    </x:row>
    <x:row r="1124" ht="23" customHeight="1">
      <x:c r="A1124" s="2" t="str">
        <x:v>P81122</x:v>
      </x:c>
      <x:c r="B1124" s="2" t="str">
        <x:v>ED</x:v>
      </x:c>
      <x:c r="C1124" s="2" t="n">
        <x:v>1</x:v>
      </x:c>
      <x:c r="D1124" s="2" t="n">
        <x:v>1</x:v>
      </x:c>
      <x:c r="E1124" s="10" t="n">
        <x:v>46.42840272520817</x:v>
      </x:c>
      <x:c r="F1124" s="11" t="n">
        <x:v>1321</x:v>
      </x:c>
      <x:c r="G1124" s="11" t="n">
        <x:v>0</x:v>
      </x:c>
      <x:c r="H1124" s="11" t="n">
        <x:v>0</x:v>
      </x:c>
      <x:c r="I1124" s="11" t="n">
        <x:v>0</x:v>
      </x:c>
      <x:c r="J1124" s="11" t="n">
        <x:v>0</x:v>
      </x:c>
      <x:c r="K1124" s="11" t="n">
        <x:v>0</x:v>
      </x:c>
      <x:c r="L1124" s="11" t="n">
        <x:f>IF(B1124="NED",1,IF(OR(B1124="ED",B1124="UN"),0,""))</x:f>
        <x:v>0</x:v>
      </x:c>
      <x:c r="M1124" s="11" t="n">
        <x:f>IF(AND(K1124=1,OR(B1124="ED",B1124="NED")),1,0)</x:f>
        <x:v>0</x:v>
      </x:c>
      <x:c r="N1124" s="11" t="n">
        <x:f>IF(K1124=1,1,0)</x:f>
        <x:v>0</x:v>
      </x:c>
      <x:c r="O1124" s="12" t="str">
        <x:v>Retain protein mean pLDDT &gt;=70</x:v>
      </x:c>
      <x:c r="P1124" s="11" t="n">
        <x:v>0</x:v>
      </x:c>
      <x:c r="Q1124" s="12" t="str">
        <x:v>AF-P81122-F1-model_v6</x:v>
      </x:c>
      <x:c r="R1124" s="12" t="str">
        <x:v>ok</x:v>
      </x:c>
      <x:c r="S1124" s="11" t="n">
        <x:v>740</x:v>
      </x:c>
      <x:c r="T1124" s="11" t="n">
        <x:v>1321</x:v>
      </x:c>
    </x:row>
    <x:row r="1125" ht="23" customHeight="1">
      <x:c r="A1125" s="2" t="str">
        <x:v>P81269</x:v>
      </x:c>
      <x:c r="B1125" s="2" t="str">
        <x:v>ED</x:v>
      </x:c>
      <x:c r="C1125" s="2" t="n">
        <x:v>0</x:v>
      </x:c>
      <x:c r="D1125" s="2" t="n">
        <x:v>0</x:v>
      </x:c>
      <x:c r="E1125" s="10" t="n">
        <x:v>64.93795539033458</x:v>
      </x:c>
      <x:c r="F1125" s="11" t="n">
        <x:v>269</x:v>
      </x:c>
      <x:c r="G1125" s="11" t="n">
        <x:v>0</x:v>
      </x:c>
      <x:c r="H1125" s="11" t="n">
        <x:v>0</x:v>
      </x:c>
      <x:c r="I1125" s="11" t="n">
        <x:v>0</x:v>
      </x:c>
      <x:c r="J1125" s="11" t="n">
        <x:v>0</x:v>
      </x:c>
      <x:c r="K1125" s="11" t="n">
        <x:v>0</x:v>
      </x:c>
      <x:c r="L1125" s="11" t="n">
        <x:f>IF(B1125="NED",1,IF(OR(B1125="ED",B1125="UN"),0,""))</x:f>
        <x:v>0</x:v>
      </x:c>
      <x:c r="M1125" s="11" t="n">
        <x:f>IF(AND(K1125=1,OR(B1125="ED",B1125="NED")),1,0)</x:f>
        <x:v>0</x:v>
      </x:c>
      <x:c r="N1125" s="11" t="n">
        <x:f>IF(K1125=1,1,0)</x:f>
        <x:v>0</x:v>
      </x:c>
      <x:c r="O1125" s="12" t="str">
        <x:v>Retain protein mean pLDDT &gt;=70</x:v>
      </x:c>
      <x:c r="P1125" s="11" t="n">
        <x:v>0</x:v>
      </x:c>
      <x:c r="Q1125" s="12" t="str">
        <x:v>AF-P81269-F1-model_v6</x:v>
      </x:c>
      <x:c r="R1125" s="12" t="str">
        <x:v>ok</x:v>
      </x:c>
      <x:c r="S1125" s="11" t="n">
        <x:v>741</x:v>
      </x:c>
      <x:c r="T1125" s="11" t="n">
        <x:v>269</x:v>
      </x:c>
    </x:row>
    <x:row r="1126" ht="23" customHeight="1">
      <x:c r="A1126" s="2" t="str">
        <x:v>P83093</x:v>
      </x:c>
      <x:c r="B1126" s="2" t="str">
        <x:v>UN</x:v>
      </x:c>
      <x:c r="C1126" s="2" t="n">
        <x:v>0</x:v>
      </x:c>
      <x:c r="D1126" s="2" t="n">
        <x:v>0</x:v>
      </x:c>
      <x:c r="E1126" s="10"/>
      <x:c r="F1126" s="11" t="n">
        <x:v>746</x:v>
      </x:c>
      <x:c r="G1126" s="11" t="n">
        <x:v>0</x:v>
      </x:c>
      <x:c r="H1126" s="11" t="n">
        <x:v>0</x:v>
      </x:c>
      <x:c r="I1126" s="11" t="n">
        <x:v>1</x:v>
      </x:c>
      <x:c r="J1126" s="11" t="n">
        <x:v>0</x:v>
      </x:c>
      <x:c r="K1126" s="11" t="n">
        <x:v>0</x:v>
      </x:c>
      <x:c r="L1126" s="11" t="n">
        <x:f>IF(B1126="NED",1,IF(OR(B1126="ED",B1126="UN"),0,""))</x:f>
        <x:v>0</x:v>
      </x:c>
      <x:c r="M1126" s="11" t="n">
        <x:f>IF(AND(K1126=1,OR(B1126="ED",B1126="NED")),1,0)</x:f>
        <x:v>0</x:v>
      </x:c>
      <x:c r="N1126" s="11" t="n">
        <x:f>IF(K1126=1,1,0)</x:f>
        <x:v>0</x:v>
      </x:c>
      <x:c r="O1126" s="12" t="str">
        <x:v>Exclude UniProt Membrane keyword</x:v>
      </x:c>
      <x:c r="P1126" s="11" t="n">
        <x:v>0</x:v>
      </x:c>
      <x:c r="Q1126" s="12" t="str">
        <x:v>AF-P83093-F1-model_v6</x:v>
      </x:c>
      <x:c r="R1126" s="12" t="str">
        <x:v>ok</x:v>
      </x:c>
      <x:c r="S1126" s="11" t="n">
        <x:v>742</x:v>
      </x:c>
      <x:c r="T1126" s="11" t="n">
        <x:v>746</x:v>
      </x:c>
    </x:row>
    <x:row r="1127" ht="23" customHeight="1">
      <x:c r="A1127" s="2" t="str">
        <x:v>P83741-4</x:v>
      </x:c>
      <x:c r="B1127" s="2" t="str">
        <x:v>ED</x:v>
      </x:c>
      <x:c r="C1127" s="2"/>
      <x:c r="D1127" s="2"/>
      <x:c r="E1127" s="10"/>
      <x:c r="F1127" s="11"/>
      <x:c r="G1127" s="11" t="n">
        <x:v>0</x:v>
      </x:c>
      <x:c r="H1127" s="11" t="n">
        <x:v>0</x:v>
      </x:c>
      <x:c r="I1127" s="11"/>
      <x:c r="J1127" s="11"/>
      <x:c r="K1127" s="11" t="n">
        <x:v>0</x:v>
      </x:c>
      <x:c r="L1127" s="11" t="n">
        <x:f>IF(B1127="NED",1,IF(OR(B1127="ED",B1127="UN"),0,""))</x:f>
        <x:v>0</x:v>
      </x:c>
      <x:c r="M1127" s="11" t="n">
        <x:f>IF(AND(K1127=1,OR(B1127="ED",B1127="NED")),1,0)</x:f>
        <x:v>0</x:v>
      </x:c>
      <x:c r="N1127" s="11" t="n">
        <x:f>IF(K1127=1,1,0)</x:f>
        <x:v>0</x:v>
      </x:c>
      <x:c r="O1127" s="12" t="str">
        <x:v>Require exact native accession match</x:v>
      </x:c>
      <x:c r="P1127" s="11" t="n">
        <x:v>0</x:v>
      </x:c>
      <x:c r="Q1127" s="12"/>
      <x:c r="R1127" s="12"/>
      <x:c r="S1127" s="11" t="n">
        <x:v>743</x:v>
      </x:c>
      <x:c r="T1127" s="11"/>
    </x:row>
    <x:row r="1128" ht="23" customHeight="1">
      <x:c r="A1128" s="2" t="str">
        <x:v>P83887</x:v>
      </x:c>
      <x:c r="B1128" s="2" t="str">
        <x:v>UN</x:v>
      </x:c>
      <x:c r="C1128" s="2" t="n">
        <x:v>1</x:v>
      </x:c>
      <x:c r="D1128" s="2" t="n">
        <x:v>1</x:v>
      </x:c>
      <x:c r="E1128" s="10" t="n">
        <x:v>91.75674057649668</x:v>
      </x:c>
      <x:c r="F1128" s="11" t="n">
        <x:v>451</x:v>
      </x:c>
      <x:c r="G1128" s="11" t="n">
        <x:v>0</x:v>
      </x:c>
      <x:c r="H1128" s="11" t="n">
        <x:v>0</x:v>
      </x:c>
      <x:c r="I1128" s="11" t="n">
        <x:v>0</x:v>
      </x:c>
      <x:c r="J1128" s="11" t="n">
        <x:v>0</x:v>
      </x:c>
      <x:c r="K1128" s="11" t="n">
        <x:v>1</x:v>
      </x:c>
      <x:c r="L1128" s="11" t="n">
        <x:f>IF(B1128="NED",1,IF(OR(B1128="ED",B1128="UN"),0,""))</x:f>
        <x:v>0</x:v>
      </x:c>
      <x:c r="M1128" s="11" t="n">
        <x:f>IF(AND(K1128=1,OR(B1128="ED",B1128="NED")),1,0)</x:f>
        <x:v>0</x:v>
      </x:c>
      <x:c r="N1128" s="11" t="n">
        <x:f>IF(K1128=1,1,0)</x:f>
        <x:v>1</x:v>
      </x:c>
      <x:c r="O1128" s="12"/>
      <x:c r="P1128" s="11" t="n">
        <x:v>0</x:v>
      </x:c>
      <x:c r="Q1128" s="12" t="str">
        <x:v>AF-P83887-F1-model_v6</x:v>
      </x:c>
      <x:c r="R1128" s="12" t="str">
        <x:v>ok</x:v>
      </x:c>
      <x:c r="S1128" s="11" t="n">
        <x:v>744</x:v>
      </x:c>
      <x:c r="T1128" s="11" t="n">
        <x:v>451</x:v>
      </x:c>
    </x:row>
    <x:row r="1129" ht="23" customHeight="1">
      <x:c r="A1129" s="2" t="str">
        <x:v>P84078</x:v>
      </x:c>
      <x:c r="B1129" s="2" t="str">
        <x:v>ED</x:v>
      </x:c>
      <x:c r="C1129" s="2" t="n">
        <x:v>1</x:v>
      </x:c>
      <x:c r="D1129" s="2" t="n">
        <x:v>1</x:v>
      </x:c>
      <x:c r="E1129" s="10"/>
      <x:c r="F1129" s="11" t="n">
        <x:v>181</x:v>
      </x:c>
      <x:c r="G1129" s="11" t="n">
        <x:v>0</x:v>
      </x:c>
      <x:c r="H1129" s="11" t="n">
        <x:v>0</x:v>
      </x:c>
      <x:c r="I1129" s="11" t="n">
        <x:v>1</x:v>
      </x:c>
      <x:c r="J1129" s="11" t="n">
        <x:v>0</x:v>
      </x:c>
      <x:c r="K1129" s="11" t="n">
        <x:v>0</x:v>
      </x:c>
      <x:c r="L1129" s="11" t="n">
        <x:f>IF(B1129="NED",1,IF(OR(B1129="ED",B1129="UN"),0,""))</x:f>
        <x:v>0</x:v>
      </x:c>
      <x:c r="M1129" s="11" t="n">
        <x:f>IF(AND(K1129=1,OR(B1129="ED",B1129="NED")),1,0)</x:f>
        <x:v>0</x:v>
      </x:c>
      <x:c r="N1129" s="11" t="n">
        <x:f>IF(K1129=1,1,0)</x:f>
        <x:v>0</x:v>
      </x:c>
      <x:c r="O1129" s="12" t="str">
        <x:v>Exclude UniProt Membrane keyword</x:v>
      </x:c>
      <x:c r="P1129" s="11" t="n">
        <x:v>0</x:v>
      </x:c>
      <x:c r="Q1129" s="12" t="str">
        <x:v>AF-P84078-F1-model_v6</x:v>
      </x:c>
      <x:c r="R1129" s="12" t="str">
        <x:v>ok</x:v>
      </x:c>
      <x:c r="S1129" s="11" t="n">
        <x:v>745</x:v>
      </x:c>
      <x:c r="T1129" s="11" t="n">
        <x:v>181</x:v>
      </x:c>
    </x:row>
    <x:row r="1130" ht="23" customHeight="1">
      <x:c r="A1130" s="2" t="str">
        <x:v>P84084</x:v>
      </x:c>
      <x:c r="B1130" s="2" t="str">
        <x:v>ED</x:v>
      </x:c>
      <x:c r="C1130" s="2" t="n">
        <x:v>1</x:v>
      </x:c>
      <x:c r="D1130" s="2" t="n">
        <x:v>1</x:v>
      </x:c>
      <x:c r="E1130" s="10"/>
      <x:c r="F1130" s="11" t="n">
        <x:v>180</x:v>
      </x:c>
      <x:c r="G1130" s="11" t="n">
        <x:v>0</x:v>
      </x:c>
      <x:c r="H1130" s="11" t="n">
        <x:v>0</x:v>
      </x:c>
      <x:c r="I1130" s="11" t="n">
        <x:v>1</x:v>
      </x:c>
      <x:c r="J1130" s="11" t="n">
        <x:v>0</x:v>
      </x:c>
      <x:c r="K1130" s="11" t="n">
        <x:v>0</x:v>
      </x:c>
      <x:c r="L1130" s="11" t="n">
        <x:f>IF(B1130="NED",1,IF(OR(B1130="ED",B1130="UN"),0,""))</x:f>
        <x:v>0</x:v>
      </x:c>
      <x:c r="M1130" s="11" t="n">
        <x:f>IF(AND(K1130=1,OR(B1130="ED",B1130="NED")),1,0)</x:f>
        <x:v>0</x:v>
      </x:c>
      <x:c r="N1130" s="11" t="n">
        <x:f>IF(K1130=1,1,0)</x:f>
        <x:v>0</x:v>
      </x:c>
      <x:c r="O1130" s="12" t="str">
        <x:v>Exclude UniProt Membrane keyword</x:v>
      </x:c>
      <x:c r="P1130" s="11" t="n">
        <x:v>0</x:v>
      </x:c>
      <x:c r="Q1130" s="12" t="str">
        <x:v>AF-P84084-F1-model_v6</x:v>
      </x:c>
      <x:c r="R1130" s="12" t="str">
        <x:v>ok</x:v>
      </x:c>
      <x:c r="S1130" s="11" t="n">
        <x:v>746</x:v>
      </x:c>
      <x:c r="T1130" s="11" t="n">
        <x:v>180</x:v>
      </x:c>
    </x:row>
    <x:row r="1131" ht="23" customHeight="1">
      <x:c r="A1131" s="2" t="str">
        <x:v>P84089</x:v>
      </x:c>
      <x:c r="B1131" s="2" t="str">
        <x:v>ED</x:v>
      </x:c>
      <x:c r="C1131" s="2" t="n">
        <x:v>0</x:v>
      </x:c>
      <x:c r="D1131" s="2" t="n">
        <x:v>0</x:v>
      </x:c>
      <x:c r="E1131" s="10" t="n">
        <x:v>96.00894230769232</x:v>
      </x:c>
      <x:c r="F1131" s="11" t="n">
        <x:v>104</x:v>
      </x:c>
      <x:c r="G1131" s="11" t="n">
        <x:v>0</x:v>
      </x:c>
      <x:c r="H1131" s="11" t="n">
        <x:v>0</x:v>
      </x:c>
      <x:c r="I1131" s="11" t="n">
        <x:v>0</x:v>
      </x:c>
      <x:c r="J1131" s="11" t="n">
        <x:v>0</x:v>
      </x:c>
      <x:c r="K1131" s="11" t="n">
        <x:v>1</x:v>
      </x:c>
      <x:c r="L1131" s="11" t="n">
        <x:f>IF(B1131="NED",1,IF(OR(B1131="ED",B1131="UN"),0,""))</x:f>
        <x:v>0</x:v>
      </x:c>
      <x:c r="M1131" s="11" t="n">
        <x:f>IF(AND(K1131=1,OR(B1131="ED",B1131="NED")),1,0)</x:f>
        <x:v>1</x:v>
      </x:c>
      <x:c r="N1131" s="11" t="n">
        <x:f>IF(K1131=1,1,0)</x:f>
        <x:v>1</x:v>
      </x:c>
      <x:c r="O1131" s="12"/>
      <x:c r="P1131" s="11" t="n">
        <x:v>0</x:v>
      </x:c>
      <x:c r="Q1131" s="12" t="str">
        <x:v>AF-P84089-F1-model_v6</x:v>
      </x:c>
      <x:c r="R1131" s="12" t="str">
        <x:v>ok</x:v>
      </x:c>
      <x:c r="S1131" s="11" t="n">
        <x:v>747</x:v>
      </x:c>
      <x:c r="T1131" s="11" t="n">
        <x:v>104</x:v>
      </x:c>
    </x:row>
    <x:row r="1132" ht="23" customHeight="1">
      <x:c r="A1132" s="2" t="str">
        <x:v>P84096</x:v>
      </x:c>
      <x:c r="B1132" s="2" t="str">
        <x:v>ED</x:v>
      </x:c>
      <x:c r="C1132" s="2" t="n">
        <x:v>1</x:v>
      </x:c>
      <x:c r="D1132" s="2" t="n">
        <x:v>1</x:v>
      </x:c>
      <x:c r="E1132" s="10"/>
      <x:c r="F1132" s="11" t="n">
        <x:v>191</x:v>
      </x:c>
      <x:c r="G1132" s="11" t="n">
        <x:v>0</x:v>
      </x:c>
      <x:c r="H1132" s="11" t="n">
        <x:v>0</x:v>
      </x:c>
      <x:c r="I1132" s="11" t="n">
        <x:v>1</x:v>
      </x:c>
      <x:c r="J1132" s="11" t="n">
        <x:v>0</x:v>
      </x:c>
      <x:c r="K1132" s="11" t="n">
        <x:v>0</x:v>
      </x:c>
      <x:c r="L1132" s="11" t="n">
        <x:f>IF(B1132="NED",1,IF(OR(B1132="ED",B1132="UN"),0,""))</x:f>
        <x:v>0</x:v>
      </x:c>
      <x:c r="M1132" s="11" t="n">
        <x:f>IF(AND(K1132=1,OR(B1132="ED",B1132="NED")),1,0)</x:f>
        <x:v>0</x:v>
      </x:c>
      <x:c r="N1132" s="11" t="n">
        <x:f>IF(K1132=1,1,0)</x:f>
        <x:v>0</x:v>
      </x:c>
      <x:c r="O1132" s="12" t="str">
        <x:v>Exclude UniProt Membrane keyword</x:v>
      </x:c>
      <x:c r="P1132" s="11" t="n">
        <x:v>0</x:v>
      </x:c>
      <x:c r="Q1132" s="12" t="str">
        <x:v>AF-P84096-F1-model_v6</x:v>
      </x:c>
      <x:c r="R1132" s="12" t="str">
        <x:v>ok</x:v>
      </x:c>
      <x:c r="S1132" s="11" t="n">
        <x:v>748</x:v>
      </x:c>
      <x:c r="T1132" s="11" t="n">
        <x:v>191</x:v>
      </x:c>
    </x:row>
    <x:row r="1133" ht="23" customHeight="1">
      <x:c r="A1133" s="2" t="str">
        <x:v>P84104-2</x:v>
      </x:c>
      <x:c r="B1133" s="2" t="str">
        <x:v>ED</x:v>
      </x:c>
      <x:c r="C1133" s="2"/>
      <x:c r="D1133" s="2"/>
      <x:c r="E1133" s="10"/>
      <x:c r="F1133" s="11"/>
      <x:c r="G1133" s="11" t="n">
        <x:v>0</x:v>
      </x:c>
      <x:c r="H1133" s="11" t="n">
        <x:v>0</x:v>
      </x:c>
      <x:c r="I1133" s="11"/>
      <x:c r="J1133" s="11"/>
      <x:c r="K1133" s="11" t="n">
        <x:v>0</x:v>
      </x:c>
      <x:c r="L1133" s="11" t="n">
        <x:f>IF(B1133="NED",1,IF(OR(B1133="ED",B1133="UN"),0,""))</x:f>
        <x:v>0</x:v>
      </x:c>
      <x:c r="M1133" s="11" t="n">
        <x:f>IF(AND(K1133=1,OR(B1133="ED",B1133="NED")),1,0)</x:f>
        <x:v>0</x:v>
      </x:c>
      <x:c r="N1133" s="11" t="n">
        <x:f>IF(K1133=1,1,0)</x:f>
        <x:v>0</x:v>
      </x:c>
      <x:c r="O1133" s="12" t="str">
        <x:v>Require exact native accession match</x:v>
      </x:c>
      <x:c r="P1133" s="11" t="n">
        <x:v>0</x:v>
      </x:c>
      <x:c r="Q1133" s="12"/>
      <x:c r="R1133" s="12"/>
      <x:c r="S1133" s="11" t="n">
        <x:v>749</x:v>
      </x:c>
      <x:c r="T1133" s="11"/>
    </x:row>
    <x:row r="1134" ht="23" customHeight="1">
      <x:c r="A1134" s="2" t="str">
        <x:v>P84228</x:v>
      </x:c>
      <x:c r="B1134" s="2" t="str">
        <x:v>UN</x:v>
      </x:c>
      <x:c r="C1134" s="2" t="n">
        <x:v>0</x:v>
      </x:c>
      <x:c r="D1134" s="2" t="n">
        <x:v>0</x:v>
      </x:c>
      <x:c r="E1134" s="10" t="n">
        <x:v>86.31455882352941</x:v>
      </x:c>
      <x:c r="F1134" s="11" t="n">
        <x:v>136</x:v>
      </x:c>
      <x:c r="G1134" s="11" t="n">
        <x:v>0</x:v>
      </x:c>
      <x:c r="H1134" s="11" t="n">
        <x:v>0</x:v>
      </x:c>
      <x:c r="I1134" s="11" t="n">
        <x:v>0</x:v>
      </x:c>
      <x:c r="J1134" s="11" t="n">
        <x:v>0</x:v>
      </x:c>
      <x:c r="K1134" s="11" t="n">
        <x:v>1</x:v>
      </x:c>
      <x:c r="L1134" s="11" t="n">
        <x:f>IF(B1134="NED",1,IF(OR(B1134="ED",B1134="UN"),0,""))</x:f>
        <x:v>0</x:v>
      </x:c>
      <x:c r="M1134" s="11" t="n">
        <x:f>IF(AND(K1134=1,OR(B1134="ED",B1134="NED")),1,0)</x:f>
        <x:v>0</x:v>
      </x:c>
      <x:c r="N1134" s="11" t="n">
        <x:f>IF(K1134=1,1,0)</x:f>
        <x:v>1</x:v>
      </x:c>
      <x:c r="O1134" s="12"/>
      <x:c r="P1134" s="11" t="n">
        <x:v>0</x:v>
      </x:c>
      <x:c r="Q1134" s="12" t="str">
        <x:v>AF-P84228-F1-model_v6</x:v>
      </x:c>
      <x:c r="R1134" s="12" t="str">
        <x:v>ok</x:v>
      </x:c>
      <x:c r="S1134" s="11" t="n">
        <x:v>750</x:v>
      </x:c>
      <x:c r="T1134" s="11" t="n">
        <x:v>136</x:v>
      </x:c>
    </x:row>
    <x:row r="1135" ht="23" customHeight="1">
      <x:c r="A1135" s="2" t="str">
        <x:v>P84244</x:v>
      </x:c>
      <x:c r="B1135" s="2" t="str">
        <x:v>UN</x:v>
      </x:c>
      <x:c r="C1135" s="2" t="n">
        <x:v>0</x:v>
      </x:c>
      <x:c r="D1135" s="2" t="n">
        <x:v>0</x:v>
      </x:c>
      <x:c r="E1135" s="10" t="n">
        <x:v>86.05191176470588</x:v>
      </x:c>
      <x:c r="F1135" s="11" t="n">
        <x:v>136</x:v>
      </x:c>
      <x:c r="G1135" s="11" t="n">
        <x:v>0</x:v>
      </x:c>
      <x:c r="H1135" s="11" t="n">
        <x:v>0</x:v>
      </x:c>
      <x:c r="I1135" s="11" t="n">
        <x:v>0</x:v>
      </x:c>
      <x:c r="J1135" s="11" t="n">
        <x:v>0</x:v>
      </x:c>
      <x:c r="K1135" s="11" t="n">
        <x:v>1</x:v>
      </x:c>
      <x:c r="L1135" s="11" t="n">
        <x:f>IF(B1135="NED",1,IF(OR(B1135="ED",B1135="UN"),0,""))</x:f>
        <x:v>0</x:v>
      </x:c>
      <x:c r="M1135" s="11" t="n">
        <x:f>IF(AND(K1135=1,OR(B1135="ED",B1135="NED")),1,0)</x:f>
        <x:v>0</x:v>
      </x:c>
      <x:c r="N1135" s="11" t="n">
        <x:f>IF(K1135=1,1,0)</x:f>
        <x:v>1</x:v>
      </x:c>
      <x:c r="O1135" s="12"/>
      <x:c r="P1135" s="11" t="n">
        <x:v>0</x:v>
      </x:c>
      <x:c r="Q1135" s="12" t="str">
        <x:v>AF-P84244-F1-model_v6</x:v>
      </x:c>
      <x:c r="R1135" s="12" t="str">
        <x:v>ok</x:v>
      </x:c>
      <x:c r="S1135" s="11" t="n">
        <x:v>751</x:v>
      </x:c>
      <x:c r="T1135" s="11" t="n">
        <x:v>136</x:v>
      </x:c>
    </x:row>
    <x:row r="1136" ht="23" customHeight="1">
      <x:c r="A1136" s="2" t="str">
        <x:v>P97287</x:v>
      </x:c>
      <x:c r="B1136" s="2" t="str">
        <x:v>UN</x:v>
      </x:c>
      <x:c r="C1136" s="2" t="n">
        <x:v>0</x:v>
      </x:c>
      <x:c r="D1136" s="2" t="n">
        <x:v>0</x:v>
      </x:c>
      <x:c r="E1136" s="10"/>
      <x:c r="F1136" s="11" t="n">
        <x:v>331</x:v>
      </x:c>
      <x:c r="G1136" s="11" t="n">
        <x:v>0</x:v>
      </x:c>
      <x:c r="H1136" s="11" t="n">
        <x:v>0</x:v>
      </x:c>
      <x:c r="I1136" s="11" t="n">
        <x:v>1</x:v>
      </x:c>
      <x:c r="J1136" s="11" t="n">
        <x:v>0</x:v>
      </x:c>
      <x:c r="K1136" s="11" t="n">
        <x:v>0</x:v>
      </x:c>
      <x:c r="L1136" s="11" t="n">
        <x:f>IF(B1136="NED",1,IF(OR(B1136="ED",B1136="UN"),0,""))</x:f>
        <x:v>0</x:v>
      </x:c>
      <x:c r="M1136" s="11" t="n">
        <x:f>IF(AND(K1136=1,OR(B1136="ED",B1136="NED")),1,0)</x:f>
        <x:v>0</x:v>
      </x:c>
      <x:c r="N1136" s="11" t="n">
        <x:f>IF(K1136=1,1,0)</x:f>
        <x:v>0</x:v>
      </x:c>
      <x:c r="O1136" s="12" t="str">
        <x:v>Exclude UniProt Membrane keyword</x:v>
      </x:c>
      <x:c r="P1136" s="11" t="n">
        <x:v>0</x:v>
      </x:c>
      <x:c r="Q1136" s="12" t="str">
        <x:v>AF-P97287-F1-model_v6</x:v>
      </x:c>
      <x:c r="R1136" s="12" t="str">
        <x:v>ok</x:v>
      </x:c>
      <x:c r="S1136" s="11" t="n">
        <x:v>752</x:v>
      </x:c>
      <x:c r="T1136" s="11" t="n">
        <x:v>331</x:v>
      </x:c>
    </x:row>
    <x:row r="1137" ht="23" customHeight="1">
      <x:c r="A1137" s="2" t="str">
        <x:v>P97300-1</x:v>
      </x:c>
      <x:c r="B1137" s="2" t="str">
        <x:v>UN</x:v>
      </x:c>
      <x:c r="C1137" s="2"/>
      <x:c r="D1137" s="2"/>
      <x:c r="E1137" s="10"/>
      <x:c r="F1137" s="11"/>
      <x:c r="G1137" s="11" t="n">
        <x:v>0</x:v>
      </x:c>
      <x:c r="H1137" s="11" t="n">
        <x:v>0</x:v>
      </x:c>
      <x:c r="I1137" s="11"/>
      <x:c r="J1137" s="11"/>
      <x:c r="K1137" s="11" t="n">
        <x:v>0</x:v>
      </x:c>
      <x:c r="L1137" s="11" t="n">
        <x:f>IF(B1137="NED",1,IF(OR(B1137="ED",B1137="UN"),0,""))</x:f>
        <x:v>0</x:v>
      </x:c>
      <x:c r="M1137" s="11" t="n">
        <x:f>IF(AND(K1137=1,OR(B1137="ED",B1137="NED")),1,0)</x:f>
        <x:v>0</x:v>
      </x:c>
      <x:c r="N1137" s="11" t="n">
        <x:f>IF(K1137=1,1,0)</x:f>
        <x:v>0</x:v>
      </x:c>
      <x:c r="O1137" s="12" t="str">
        <x:v>Require exact native accession match</x:v>
      </x:c>
      <x:c r="P1137" s="11" t="n">
        <x:v>0</x:v>
      </x:c>
      <x:c r="Q1137" s="12"/>
      <x:c r="R1137" s="12"/>
      <x:c r="S1137" s="11" t="n">
        <x:v>753</x:v>
      </x:c>
      <x:c r="T1137" s="11"/>
    </x:row>
    <x:row r="1138" ht="23" customHeight="1">
      <x:c r="A1138" s="2" t="str">
        <x:v>P97304</x:v>
      </x:c>
      <x:c r="B1138" s="2" t="str">
        <x:v>UN</x:v>
      </x:c>
      <x:c r="C1138" s="2" t="n">
        <x:v>0</x:v>
      </x:c>
      <x:c r="D1138" s="2" t="n">
        <x:v>0</x:v>
      </x:c>
      <x:c r="E1138" s="10" t="n">
        <x:v>85.92037593984962</x:v>
      </x:c>
      <x:c r="F1138" s="11" t="n">
        <x:v>133</x:v>
      </x:c>
      <x:c r="G1138" s="11" t="n">
        <x:v>0</x:v>
      </x:c>
      <x:c r="H1138" s="11" t="n">
        <x:v>0</x:v>
      </x:c>
      <x:c r="I1138" s="11" t="n">
        <x:v>0</x:v>
      </x:c>
      <x:c r="J1138" s="11" t="n">
        <x:v>0</x:v>
      </x:c>
      <x:c r="K1138" s="11" t="n">
        <x:v>1</x:v>
      </x:c>
      <x:c r="L1138" s="11" t="n">
        <x:f>IF(B1138="NED",1,IF(OR(B1138="ED",B1138="UN"),0,""))</x:f>
        <x:v>0</x:v>
      </x:c>
      <x:c r="M1138" s="11" t="n">
        <x:f>IF(AND(K1138=1,OR(B1138="ED",B1138="NED")),1,0)</x:f>
        <x:v>0</x:v>
      </x:c>
      <x:c r="N1138" s="11" t="n">
        <x:f>IF(K1138=1,1,0)</x:f>
        <x:v>1</x:v>
      </x:c>
      <x:c r="O1138" s="12"/>
      <x:c r="P1138" s="11" t="n">
        <x:v>0</x:v>
      </x:c>
      <x:c r="Q1138" s="12" t="str">
        <x:v>AF-P97304-F1-model_v6</x:v>
      </x:c>
      <x:c r="R1138" s="12" t="str">
        <x:v>ok</x:v>
      </x:c>
      <x:c r="S1138" s="11" t="n">
        <x:v>754</x:v>
      </x:c>
      <x:c r="T1138" s="11" t="n">
        <x:v>133</x:v>
      </x:c>
    </x:row>
    <x:row r="1139" ht="23" customHeight="1">
      <x:c r="A1139" s="2" t="str">
        <x:v>P97310</x:v>
      </x:c>
      <x:c r="B1139" s="2" t="str">
        <x:v>NED</x:v>
      </x:c>
      <x:c r="C1139" s="2" t="n">
        <x:v>1</x:v>
      </x:c>
      <x:c r="D1139" s="2" t="n">
        <x:v>1</x:v>
      </x:c>
      <x:c r="E1139" s="10" t="n">
        <x:v>77.0945685840708</x:v>
      </x:c>
      <x:c r="F1139" s="11" t="n">
        <x:v>904</x:v>
      </x:c>
      <x:c r="G1139" s="11" t="n">
        <x:v>0</x:v>
      </x:c>
      <x:c r="H1139" s="11" t="n">
        <x:v>0</x:v>
      </x:c>
      <x:c r="I1139" s="11" t="n">
        <x:v>0</x:v>
      </x:c>
      <x:c r="J1139" s="11" t="n">
        <x:v>0</x:v>
      </x:c>
      <x:c r="K1139" s="11" t="n">
        <x:v>1</x:v>
      </x:c>
      <x:c r="L1139" s="11" t="n">
        <x:f>IF(B1139="NED",1,IF(OR(B1139="ED",B1139="UN"),0,""))</x:f>
        <x:v>1</x:v>
      </x:c>
      <x:c r="M1139" s="11" t="n">
        <x:f>IF(AND(K1139=1,OR(B1139="ED",B1139="NED")),1,0)</x:f>
        <x:v>1</x:v>
      </x:c>
      <x:c r="N1139" s="11" t="n">
        <x:f>IF(K1139=1,1,0)</x:f>
        <x:v>1</x:v>
      </x:c>
      <x:c r="O1139" s="12"/>
      <x:c r="P1139" s="11" t="n">
        <x:v>0</x:v>
      </x:c>
      <x:c r="Q1139" s="12" t="str">
        <x:v>AF-P97310-F1-model_v6</x:v>
      </x:c>
      <x:c r="R1139" s="12" t="str">
        <x:v>ok</x:v>
      </x:c>
      <x:c r="S1139" s="11" t="n">
        <x:v>755</x:v>
      </x:c>
      <x:c r="T1139" s="11" t="n">
        <x:v>904</x:v>
      </x:c>
    </x:row>
    <x:row r="1140" ht="23" customHeight="1">
      <x:c r="A1140" s="2" t="str">
        <x:v>P97311</x:v>
      </x:c>
      <x:c r="B1140" s="2" t="str">
        <x:v>UN</x:v>
      </x:c>
      <x:c r="C1140" s="2" t="n">
        <x:v>1</x:v>
      </x:c>
      <x:c r="D1140" s="2" t="n">
        <x:v>1</x:v>
      </x:c>
      <x:c r="E1140" s="10" t="n">
        <x:v>78.19998781973203</x:v>
      </x:c>
      <x:c r="F1140" s="11" t="n">
        <x:v>821</x:v>
      </x:c>
      <x:c r="G1140" s="11" t="n">
        <x:v>0</x:v>
      </x:c>
      <x:c r="H1140" s="11" t="n">
        <x:v>0</x:v>
      </x:c>
      <x:c r="I1140" s="11" t="n">
        <x:v>0</x:v>
      </x:c>
      <x:c r="J1140" s="11" t="n">
        <x:v>0</x:v>
      </x:c>
      <x:c r="K1140" s="11" t="n">
        <x:v>1</x:v>
      </x:c>
      <x:c r="L1140" s="11" t="n">
        <x:f>IF(B1140="NED",1,IF(OR(B1140="ED",B1140="UN"),0,""))</x:f>
        <x:v>0</x:v>
      </x:c>
      <x:c r="M1140" s="11" t="n">
        <x:f>IF(AND(K1140=1,OR(B1140="ED",B1140="NED")),1,0)</x:f>
        <x:v>0</x:v>
      </x:c>
      <x:c r="N1140" s="11" t="n">
        <x:f>IF(K1140=1,1,0)</x:f>
        <x:v>1</x:v>
      </x:c>
      <x:c r="O1140" s="12"/>
      <x:c r="P1140" s="11" t="n">
        <x:v>0</x:v>
      </x:c>
      <x:c r="Q1140" s="12" t="str">
        <x:v>AF-P97311-F1-model_v6</x:v>
      </x:c>
      <x:c r="R1140" s="12" t="str">
        <x:v>ok</x:v>
      </x:c>
      <x:c r="S1140" s="11" t="n">
        <x:v>756</x:v>
      </x:c>
      <x:c r="T1140" s="11" t="n">
        <x:v>821</x:v>
      </x:c>
    </x:row>
    <x:row r="1141" ht="23" customHeight="1">
      <x:c r="A1141" s="2" t="str">
        <x:v>P97315</x:v>
      </x:c>
      <x:c r="B1141" s="2" t="str">
        <x:v>ED</x:v>
      </x:c>
      <x:c r="C1141" s="2" t="n">
        <x:v>0</x:v>
      </x:c>
      <x:c r="D1141" s="2" t="n">
        <x:v>0</x:v>
      </x:c>
      <x:c r="E1141" s="10" t="n">
        <x:v>72.49518134715026</x:v>
      </x:c>
      <x:c r="F1141" s="11" t="n">
        <x:v>193</x:v>
      </x:c>
      <x:c r="G1141" s="11" t="n">
        <x:v>0</x:v>
      </x:c>
      <x:c r="H1141" s="11" t="n">
        <x:v>0</x:v>
      </x:c>
      <x:c r="I1141" s="11" t="n">
        <x:v>0</x:v>
      </x:c>
      <x:c r="J1141" s="11" t="n">
        <x:v>0</x:v>
      </x:c>
      <x:c r="K1141" s="11" t="n">
        <x:v>1</x:v>
      </x:c>
      <x:c r="L1141" s="11" t="n">
        <x:f>IF(B1141="NED",1,IF(OR(B1141="ED",B1141="UN"),0,""))</x:f>
        <x:v>0</x:v>
      </x:c>
      <x:c r="M1141" s="11" t="n">
        <x:f>IF(AND(K1141=1,OR(B1141="ED",B1141="NED")),1,0)</x:f>
        <x:v>1</x:v>
      </x:c>
      <x:c r="N1141" s="11" t="n">
        <x:f>IF(K1141=1,1,0)</x:f>
        <x:v>1</x:v>
      </x:c>
      <x:c r="O1141" s="12"/>
      <x:c r="P1141" s="11" t="n">
        <x:v>0</x:v>
      </x:c>
      <x:c r="Q1141" s="12" t="str">
        <x:v>AF-P97315-F1-model_v6</x:v>
      </x:c>
      <x:c r="R1141" s="12" t="str">
        <x:v>ok</x:v>
      </x:c>
      <x:c r="S1141" s="11" t="n">
        <x:v>757</x:v>
      </x:c>
      <x:c r="T1141" s="11" t="n">
        <x:v>193</x:v>
      </x:c>
    </x:row>
    <x:row r="1142" ht="23" customHeight="1">
      <x:c r="A1142" s="2" t="str">
        <x:v>P97329</x:v>
      </x:c>
      <x:c r="B1142" s="2" t="str">
        <x:v>UN</x:v>
      </x:c>
      <x:c r="C1142" s="2" t="n">
        <x:v>1</x:v>
      </x:c>
      <x:c r="D1142" s="2" t="n">
        <x:v>1</x:v>
      </x:c>
      <x:c r="E1142" s="10" t="n">
        <x:v>65.67272829763247</x:v>
      </x:c>
      <x:c r="F1142" s="11" t="n">
        <x:v>887</x:v>
      </x:c>
      <x:c r="G1142" s="11" t="n">
        <x:v>0</x:v>
      </x:c>
      <x:c r="H1142" s="11" t="n">
        <x:v>0</x:v>
      </x:c>
      <x:c r="I1142" s="11" t="n">
        <x:v>0</x:v>
      </x:c>
      <x:c r="J1142" s="11" t="n">
        <x:v>0</x:v>
      </x:c>
      <x:c r="K1142" s="11" t="n">
        <x:v>0</x:v>
      </x:c>
      <x:c r="L1142" s="11" t="n">
        <x:f>IF(B1142="NED",1,IF(OR(B1142="ED",B1142="UN"),0,""))</x:f>
        <x:v>0</x:v>
      </x:c>
      <x:c r="M1142" s="11" t="n">
        <x:f>IF(AND(K1142=1,OR(B1142="ED",B1142="NED")),1,0)</x:f>
        <x:v>0</x:v>
      </x:c>
      <x:c r="N1142" s="11" t="n">
        <x:f>IF(K1142=1,1,0)</x:f>
        <x:v>0</x:v>
      </x:c>
      <x:c r="O1142" s="12" t="str">
        <x:v>Retain protein mean pLDDT &gt;=70</x:v>
      </x:c>
      <x:c r="P1142" s="11" t="n">
        <x:v>0</x:v>
      </x:c>
      <x:c r="Q1142" s="12" t="str">
        <x:v>AF-P97329-F1-model_v6</x:v>
      </x:c>
      <x:c r="R1142" s="12" t="str">
        <x:v>ok</x:v>
      </x:c>
      <x:c r="S1142" s="11" t="n">
        <x:v>758</x:v>
      </x:c>
      <x:c r="T1142" s="11" t="n">
        <x:v>887</x:v>
      </x:c>
    </x:row>
    <x:row r="1143" ht="23" customHeight="1">
      <x:c r="A1143" s="2" t="str">
        <x:v>P97351</x:v>
      </x:c>
      <x:c r="B1143" s="2" t="str">
        <x:v>NED</x:v>
      </x:c>
      <x:c r="C1143" s="2" t="n">
        <x:v>1</x:v>
      </x:c>
      <x:c r="D1143" s="2" t="n">
        <x:v>1</x:v>
      </x:c>
      <x:c r="E1143" s="10" t="n">
        <x:v>84.84920454545454</x:v>
      </x:c>
      <x:c r="F1143" s="11" t="n">
        <x:v>264</x:v>
      </x:c>
      <x:c r="G1143" s="11" t="n">
        <x:v>0</x:v>
      </x:c>
      <x:c r="H1143" s="11" t="n">
        <x:v>0</x:v>
      </x:c>
      <x:c r="I1143" s="11" t="n">
        <x:v>0</x:v>
      </x:c>
      <x:c r="J1143" s="11" t="n">
        <x:v>0</x:v>
      </x:c>
      <x:c r="K1143" s="11" t="n">
        <x:v>1</x:v>
      </x:c>
      <x:c r="L1143" s="11" t="n">
        <x:f>IF(B1143="NED",1,IF(OR(B1143="ED",B1143="UN"),0,""))</x:f>
        <x:v>1</x:v>
      </x:c>
      <x:c r="M1143" s="11" t="n">
        <x:f>IF(AND(K1143=1,OR(B1143="ED",B1143="NED")),1,0)</x:f>
        <x:v>1</x:v>
      </x:c>
      <x:c r="N1143" s="11" t="n">
        <x:f>IF(K1143=1,1,0)</x:f>
        <x:v>1</x:v>
      </x:c>
      <x:c r="O1143" s="12"/>
      <x:c r="P1143" s="11" t="n">
        <x:v>0</x:v>
      </x:c>
      <x:c r="Q1143" s="12" t="str">
        <x:v>AF-P97351-F1-model_v6</x:v>
      </x:c>
      <x:c r="R1143" s="12" t="str">
        <x:v>ok</x:v>
      </x:c>
      <x:c r="S1143" s="11" t="n">
        <x:v>759</x:v>
      </x:c>
      <x:c r="T1143" s="11" t="n">
        <x:v>264</x:v>
      </x:c>
    </x:row>
    <x:row r="1144" ht="23" customHeight="1">
      <x:c r="A1144" s="2" t="str">
        <x:v>P97363</x:v>
      </x:c>
      <x:c r="B1144" s="2" t="str">
        <x:v>UN</x:v>
      </x:c>
      <x:c r="C1144" s="2" t="n">
        <x:v>1</x:v>
      </x:c>
      <x:c r="D1144" s="2" t="n">
        <x:v>1</x:v>
      </x:c>
      <x:c r="E1144" s="10"/>
      <x:c r="F1144" s="11" t="n">
        <x:v>560</x:v>
      </x:c>
      <x:c r="G1144" s="11" t="n">
        <x:v>0</x:v>
      </x:c>
      <x:c r="H1144" s="11" t="n">
        <x:v>0</x:v>
      </x:c>
      <x:c r="I1144" s="11" t="n">
        <x:v>1</x:v>
      </x:c>
      <x:c r="J1144" s="11" t="n">
        <x:v>0</x:v>
      </x:c>
      <x:c r="K1144" s="11" t="n">
        <x:v>0</x:v>
      </x:c>
      <x:c r="L1144" s="11" t="n">
        <x:f>IF(B1144="NED",1,IF(OR(B1144="ED",B1144="UN"),0,""))</x:f>
        <x:v>0</x:v>
      </x:c>
      <x:c r="M1144" s="11" t="n">
        <x:f>IF(AND(K1144=1,OR(B1144="ED",B1144="NED")),1,0)</x:f>
        <x:v>0</x:v>
      </x:c>
      <x:c r="N1144" s="11" t="n">
        <x:f>IF(K1144=1,1,0)</x:f>
        <x:v>0</x:v>
      </x:c>
      <x:c r="O1144" s="12" t="str">
        <x:v>Exclude UniProt Membrane keyword</x:v>
      </x:c>
      <x:c r="P1144" s="11" t="n">
        <x:v>0</x:v>
      </x:c>
      <x:c r="Q1144" s="12" t="str">
        <x:v>AF-P97363-F1-model_v6</x:v>
      </x:c>
      <x:c r="R1144" s="12" t="str">
        <x:v>ok</x:v>
      </x:c>
      <x:c r="S1144" s="11" t="n">
        <x:v>760</x:v>
      </x:c>
      <x:c r="T1144" s="11" t="n">
        <x:v>560</x:v>
      </x:c>
    </x:row>
    <x:row r="1145" ht="23" customHeight="1">
      <x:c r="A1145" s="2" t="str">
        <x:v>P97370</x:v>
      </x:c>
      <x:c r="B1145" s="2" t="str">
        <x:v>NED</x:v>
      </x:c>
      <x:c r="C1145" s="2" t="n">
        <x:v>1</x:v>
      </x:c>
      <x:c r="D1145" s="2" t="n">
        <x:v>1</x:v>
      </x:c>
      <x:c r="E1145" s="10"/>
      <x:c r="F1145" s="11" t="n">
        <x:v>278</x:v>
      </x:c>
      <x:c r="G1145" s="11" t="n">
        <x:v>0</x:v>
      </x:c>
      <x:c r="H1145" s="11" t="n">
        <x:v>0</x:v>
      </x:c>
      <x:c r="I1145" s="11" t="n">
        <x:v>1</x:v>
      </x:c>
      <x:c r="J1145" s="11" t="n">
        <x:v>0</x:v>
      </x:c>
      <x:c r="K1145" s="11" t="n">
        <x:v>0</x:v>
      </x:c>
      <x:c r="L1145" s="11" t="n">
        <x:f>IF(B1145="NED",1,IF(OR(B1145="ED",B1145="UN"),0,""))</x:f>
        <x:v>1</x:v>
      </x:c>
      <x:c r="M1145" s="11" t="n">
        <x:f>IF(AND(K1145=1,OR(B1145="ED",B1145="NED")),1,0)</x:f>
        <x:v>0</x:v>
      </x:c>
      <x:c r="N1145" s="11" t="n">
        <x:f>IF(K1145=1,1,0)</x:f>
        <x:v>0</x:v>
      </x:c>
      <x:c r="O1145" s="12" t="str">
        <x:v>Exclude UniProt Membrane keyword</x:v>
      </x:c>
      <x:c r="P1145" s="11" t="n">
        <x:v>0</x:v>
      </x:c>
      <x:c r="Q1145" s="12" t="str">
        <x:v>AF-P97370-F1-model_v6</x:v>
      </x:c>
      <x:c r="R1145" s="12" t="str">
        <x:v>ok</x:v>
      </x:c>
      <x:c r="S1145" s="11" t="n">
        <x:v>761</x:v>
      </x:c>
      <x:c r="T1145" s="11" t="n">
        <x:v>278</x:v>
      </x:c>
    </x:row>
    <x:row r="1146" ht="23" customHeight="1">
      <x:c r="A1146" s="2" t="str">
        <x:v>P97376</x:v>
      </x:c>
      <x:c r="B1146" s="2" t="str">
        <x:v>ED</x:v>
      </x:c>
      <x:c r="C1146" s="2" t="n">
        <x:v>1</x:v>
      </x:c>
      <x:c r="D1146" s="2" t="n">
        <x:v>1</x:v>
      </x:c>
      <x:c r="E1146" s="10" t="n">
        <x:v>75.1518992248062</x:v>
      </x:c>
      <x:c r="F1146" s="11" t="n">
        <x:v>258</x:v>
      </x:c>
      <x:c r="G1146" s="11" t="n">
        <x:v>0</x:v>
      </x:c>
      <x:c r="H1146" s="11" t="n">
        <x:v>0</x:v>
      </x:c>
      <x:c r="I1146" s="11" t="n">
        <x:v>0</x:v>
      </x:c>
      <x:c r="J1146" s="11" t="n">
        <x:v>0</x:v>
      </x:c>
      <x:c r="K1146" s="11" t="n">
        <x:v>1</x:v>
      </x:c>
      <x:c r="L1146" s="11" t="n">
        <x:f>IF(B1146="NED",1,IF(OR(B1146="ED",B1146="UN"),0,""))</x:f>
        <x:v>0</x:v>
      </x:c>
      <x:c r="M1146" s="11" t="n">
        <x:f>IF(AND(K1146=1,OR(B1146="ED",B1146="NED")),1,0)</x:f>
        <x:v>1</x:v>
      </x:c>
      <x:c r="N1146" s="11" t="n">
        <x:f>IF(K1146=1,1,0)</x:f>
        <x:v>1</x:v>
      </x:c>
      <x:c r="O1146" s="12"/>
      <x:c r="P1146" s="11" t="n">
        <x:v>0</x:v>
      </x:c>
      <x:c r="Q1146" s="12" t="str">
        <x:v>AF-P97376-F1-model_v6</x:v>
      </x:c>
      <x:c r="R1146" s="12" t="str">
        <x:v>ok</x:v>
      </x:c>
      <x:c r="S1146" s="11" t="n">
        <x:v>762</x:v>
      </x:c>
      <x:c r="T1146" s="11" t="n">
        <x:v>258</x:v>
      </x:c>
    </x:row>
    <x:row r="1147" ht="23" customHeight="1">
      <x:c r="A1147" s="2" t="str">
        <x:v>P97377-2</x:v>
      </x:c>
      <x:c r="B1147" s="2" t="str">
        <x:v>ED</x:v>
      </x:c>
      <x:c r="C1147" s="2"/>
      <x:c r="D1147" s="2"/>
      <x:c r="E1147" s="10"/>
      <x:c r="F1147" s="11"/>
      <x:c r="G1147" s="11" t="n">
        <x:v>0</x:v>
      </x:c>
      <x:c r="H1147" s="11" t="n">
        <x:v>0</x:v>
      </x:c>
      <x:c r="I1147" s="11"/>
      <x:c r="J1147" s="11"/>
      <x:c r="K1147" s="11" t="n">
        <x:v>0</x:v>
      </x:c>
      <x:c r="L1147" s="11" t="n">
        <x:f>IF(B1147="NED",1,IF(OR(B1147="ED",B1147="UN"),0,""))</x:f>
        <x:v>0</x:v>
      </x:c>
      <x:c r="M1147" s="11" t="n">
        <x:f>IF(AND(K1147=1,OR(B1147="ED",B1147="NED")),1,0)</x:f>
        <x:v>0</x:v>
      </x:c>
      <x:c r="N1147" s="11" t="n">
        <x:f>IF(K1147=1,1,0)</x:f>
        <x:v>0</x:v>
      </x:c>
      <x:c r="O1147" s="12" t="str">
        <x:v>Require exact native accession match</x:v>
      </x:c>
      <x:c r="P1147" s="11" t="n">
        <x:v>0</x:v>
      </x:c>
      <x:c r="Q1147" s="12"/>
      <x:c r="R1147" s="12"/>
      <x:c r="S1147" s="11" t="n">
        <x:v>763</x:v>
      </x:c>
      <x:c r="T1147" s="11"/>
    </x:row>
    <x:row r="1148" ht="23" customHeight="1">
      <x:c r="A1148" s="2" t="str">
        <x:v>P97379</x:v>
      </x:c>
      <x:c r="B1148" s="2" t="str">
        <x:v>ED</x:v>
      </x:c>
      <x:c r="C1148" s="2" t="n">
        <x:v>1</x:v>
      </x:c>
      <x:c r="D1148" s="2" t="n">
        <x:v>1</x:v>
      </x:c>
      <x:c r="E1148" s="10" t="n">
        <x:v>65.48379668049792</x:v>
      </x:c>
      <x:c r="F1148" s="11" t="n">
        <x:v>482</x:v>
      </x:c>
      <x:c r="G1148" s="11" t="n">
        <x:v>0</x:v>
      </x:c>
      <x:c r="H1148" s="11" t="n">
        <x:v>0</x:v>
      </x:c>
      <x:c r="I1148" s="11" t="n">
        <x:v>0</x:v>
      </x:c>
      <x:c r="J1148" s="11" t="n">
        <x:v>0</x:v>
      </x:c>
      <x:c r="K1148" s="11" t="n">
        <x:v>0</x:v>
      </x:c>
      <x:c r="L1148" s="11" t="n">
        <x:f>IF(B1148="NED",1,IF(OR(B1148="ED",B1148="UN"),0,""))</x:f>
        <x:v>0</x:v>
      </x:c>
      <x:c r="M1148" s="11" t="n">
        <x:f>IF(AND(K1148=1,OR(B1148="ED",B1148="NED")),1,0)</x:f>
        <x:v>0</x:v>
      </x:c>
      <x:c r="N1148" s="11" t="n">
        <x:f>IF(K1148=1,1,0)</x:f>
        <x:v>0</x:v>
      </x:c>
      <x:c r="O1148" s="12" t="str">
        <x:v>Retain protein mean pLDDT &gt;=70</x:v>
      </x:c>
      <x:c r="P1148" s="11" t="n">
        <x:v>0</x:v>
      </x:c>
      <x:c r="Q1148" s="12" t="str">
        <x:v>AF-P97379-F1-model_v6</x:v>
      </x:c>
      <x:c r="R1148" s="12" t="str">
        <x:v>ok</x:v>
      </x:c>
      <x:c r="S1148" s="11" t="n">
        <x:v>764</x:v>
      </x:c>
      <x:c r="T1148" s="11" t="n">
        <x:v>482</x:v>
      </x:c>
    </x:row>
    <x:row r="1149" ht="23" customHeight="1">
      <x:c r="A1149" s="2" t="str">
        <x:v>P97384</x:v>
      </x:c>
      <x:c r="B1149" s="2" t="str">
        <x:v>ED</x:v>
      </x:c>
      <x:c r="C1149" s="2" t="n">
        <x:v>0</x:v>
      </x:c>
      <x:c r="D1149" s="2" t="n">
        <x:v>0</x:v>
      </x:c>
      <x:c r="E1149" s="10" t="n">
        <x:v>76.26417495029821</x:v>
      </x:c>
      <x:c r="F1149" s="11" t="n">
        <x:v>503</x:v>
      </x:c>
      <x:c r="G1149" s="11" t="n">
        <x:v>0</x:v>
      </x:c>
      <x:c r="H1149" s="11" t="n">
        <x:v>0</x:v>
      </x:c>
      <x:c r="I1149" s="11" t="n">
        <x:v>0</x:v>
      </x:c>
      <x:c r="J1149" s="11" t="n">
        <x:v>0</x:v>
      </x:c>
      <x:c r="K1149" s="11" t="n">
        <x:v>1</x:v>
      </x:c>
      <x:c r="L1149" s="11" t="n">
        <x:f>IF(B1149="NED",1,IF(OR(B1149="ED",B1149="UN"),0,""))</x:f>
        <x:v>0</x:v>
      </x:c>
      <x:c r="M1149" s="11" t="n">
        <x:f>IF(AND(K1149=1,OR(B1149="ED",B1149="NED")),1,0)</x:f>
        <x:v>1</x:v>
      </x:c>
      <x:c r="N1149" s="11" t="n">
        <x:f>IF(K1149=1,1,0)</x:f>
        <x:v>1</x:v>
      </x:c>
      <x:c r="O1149" s="12"/>
      <x:c r="P1149" s="11" t="n">
        <x:v>0</x:v>
      </x:c>
      <x:c r="Q1149" s="12" t="str">
        <x:v>AF-P97384-F1-model_v6</x:v>
      </x:c>
      <x:c r="R1149" s="12" t="str">
        <x:v>ok</x:v>
      </x:c>
      <x:c r="S1149" s="11" t="n">
        <x:v>765</x:v>
      </x:c>
      <x:c r="T1149" s="11" t="n">
        <x:v>503</x:v>
      </x:c>
    </x:row>
    <x:row r="1150" ht="23" customHeight="1">
      <x:c r="A1150" s="2" t="str">
        <x:v>P97390</x:v>
      </x:c>
      <x:c r="B1150" s="2" t="str">
        <x:v>ED</x:v>
      </x:c>
      <x:c r="C1150" s="2" t="n">
        <x:v>1</x:v>
      </x:c>
      <x:c r="D1150" s="2" t="n">
        <x:v>1</x:v>
      </x:c>
      <x:c r="E1150" s="10"/>
      <x:c r="F1150" s="11" t="n">
        <x:v>570</x:v>
      </x:c>
      <x:c r="G1150" s="11" t="n">
        <x:v>0</x:v>
      </x:c>
      <x:c r="H1150" s="11" t="n">
        <x:v>0</x:v>
      </x:c>
      <x:c r="I1150" s="11" t="n">
        <x:v>1</x:v>
      </x:c>
      <x:c r="J1150" s="11" t="n">
        <x:v>0</x:v>
      </x:c>
      <x:c r="K1150" s="11" t="n">
        <x:v>0</x:v>
      </x:c>
      <x:c r="L1150" s="11" t="n">
        <x:f>IF(B1150="NED",1,IF(OR(B1150="ED",B1150="UN"),0,""))</x:f>
        <x:v>0</x:v>
      </x:c>
      <x:c r="M1150" s="11" t="n">
        <x:f>IF(AND(K1150=1,OR(B1150="ED",B1150="NED")),1,0)</x:f>
        <x:v>0</x:v>
      </x:c>
      <x:c r="N1150" s="11" t="n">
        <x:f>IF(K1150=1,1,0)</x:f>
        <x:v>0</x:v>
      </x:c>
      <x:c r="O1150" s="12" t="str">
        <x:v>Exclude UniProt Membrane keyword</x:v>
      </x:c>
      <x:c r="P1150" s="11" t="n">
        <x:v>0</x:v>
      </x:c>
      <x:c r="Q1150" s="12" t="str">
        <x:v>AF-P97390-F1-model_v6</x:v>
      </x:c>
      <x:c r="R1150" s="12" t="str">
        <x:v>ok</x:v>
      </x:c>
      <x:c r="S1150" s="11" t="n">
        <x:v>766</x:v>
      </x:c>
      <x:c r="T1150" s="11" t="n">
        <x:v>570</x:v>
      </x:c>
    </x:row>
    <x:row r="1151" ht="23" customHeight="1">
      <x:c r="A1151" s="2" t="str">
        <x:v>P97393</x:v>
      </x:c>
      <x:c r="B1151" s="2" t="str">
        <x:v>ED</x:v>
      </x:c>
      <x:c r="C1151" s="2" t="n">
        <x:v>1</x:v>
      </x:c>
      <x:c r="D1151" s="2" t="n">
        <x:v>1</x:v>
      </x:c>
      <x:c r="E1151" s="10"/>
      <x:c r="F1151" s="11" t="n">
        <x:v>1503</x:v>
      </x:c>
      <x:c r="G1151" s="11" t="n">
        <x:v>0</x:v>
      </x:c>
      <x:c r="H1151" s="11" t="n">
        <x:v>0</x:v>
      </x:c>
      <x:c r="I1151" s="11" t="n">
        <x:v>1</x:v>
      </x:c>
      <x:c r="J1151" s="11" t="n">
        <x:v>0</x:v>
      </x:c>
      <x:c r="K1151" s="11" t="n">
        <x:v>0</x:v>
      </x:c>
      <x:c r="L1151" s="11" t="n">
        <x:f>IF(B1151="NED",1,IF(OR(B1151="ED",B1151="UN"),0,""))</x:f>
        <x:v>0</x:v>
      </x:c>
      <x:c r="M1151" s="11" t="n">
        <x:f>IF(AND(K1151=1,OR(B1151="ED",B1151="NED")),1,0)</x:f>
        <x:v>0</x:v>
      </x:c>
      <x:c r="N1151" s="11" t="n">
        <x:f>IF(K1151=1,1,0)</x:f>
        <x:v>0</x:v>
      </x:c>
      <x:c r="O1151" s="12" t="str">
        <x:v>Exclude UniProt Membrane keyword</x:v>
      </x:c>
      <x:c r="P1151" s="11" t="n">
        <x:v>0</x:v>
      </x:c>
      <x:c r="Q1151" s="12" t="str">
        <x:v>AF-P97393-F1-model_v6</x:v>
      </x:c>
      <x:c r="R1151" s="12" t="str">
        <x:v>ok</x:v>
      </x:c>
      <x:c r="S1151" s="11" t="n">
        <x:v>767</x:v>
      </x:c>
      <x:c r="T1151" s="11" t="n">
        <x:v>1503</x:v>
      </x:c>
    </x:row>
    <x:row r="1152" ht="23" customHeight="1">
      <x:c r="A1152" s="2" t="str">
        <x:v>P97429</x:v>
      </x:c>
      <x:c r="B1152" s="2" t="str">
        <x:v>UN</x:v>
      </x:c>
      <x:c r="C1152" s="2" t="n">
        <x:v>0</x:v>
      </x:c>
      <x:c r="D1152" s="2" t="n">
        <x:v>0</x:v>
      </x:c>
      <x:c r="E1152" s="10"/>
      <x:c r="F1152" s="11" t="n">
        <x:v>319</x:v>
      </x:c>
      <x:c r="G1152" s="11" t="n">
        <x:v>0</x:v>
      </x:c>
      <x:c r="H1152" s="11" t="n">
        <x:v>0</x:v>
      </x:c>
      <x:c r="I1152" s="11" t="n">
        <x:v>1</x:v>
      </x:c>
      <x:c r="J1152" s="11" t="n">
        <x:v>0</x:v>
      </x:c>
      <x:c r="K1152" s="11" t="n">
        <x:v>0</x:v>
      </x:c>
      <x:c r="L1152" s="11" t="n">
        <x:f>IF(B1152="NED",1,IF(OR(B1152="ED",B1152="UN"),0,""))</x:f>
        <x:v>0</x:v>
      </x:c>
      <x:c r="M1152" s="11" t="n">
        <x:f>IF(AND(K1152=1,OR(B1152="ED",B1152="NED")),1,0)</x:f>
        <x:v>0</x:v>
      </x:c>
      <x:c r="N1152" s="11" t="n">
        <x:f>IF(K1152=1,1,0)</x:f>
        <x:v>0</x:v>
      </x:c>
      <x:c r="O1152" s="12" t="str">
        <x:v>Exclude UniProt Membrane keyword</x:v>
      </x:c>
      <x:c r="P1152" s="11" t="n">
        <x:v>0</x:v>
      </x:c>
      <x:c r="Q1152" s="12" t="str">
        <x:v>AF-P97429-F1-model_v6</x:v>
      </x:c>
      <x:c r="R1152" s="12" t="str">
        <x:v>ok</x:v>
      </x:c>
      <x:c r="S1152" s="11" t="n">
        <x:v>768</x:v>
      </x:c>
      <x:c r="T1152" s="11" t="n">
        <x:v>319</x:v>
      </x:c>
    </x:row>
    <x:row r="1153" ht="23" customHeight="1">
      <x:c r="A1153" s="2" t="str">
        <x:v>P97450</x:v>
      </x:c>
      <x:c r="B1153" s="2" t="str">
        <x:v>NED</x:v>
      </x:c>
      <x:c r="C1153" s="2" t="n">
        <x:v>0</x:v>
      </x:c>
      <x:c r="D1153" s="2" t="n">
        <x:v>0</x:v>
      </x:c>
      <x:c r="E1153" s="10"/>
      <x:c r="F1153" s="11" t="n">
        <x:v>108</x:v>
      </x:c>
      <x:c r="G1153" s="11" t="n">
        <x:v>0</x:v>
      </x:c>
      <x:c r="H1153" s="11" t="n">
        <x:v>0</x:v>
      </x:c>
      <x:c r="I1153" s="11" t="n">
        <x:v>1</x:v>
      </x:c>
      <x:c r="J1153" s="11" t="n">
        <x:v>0</x:v>
      </x:c>
      <x:c r="K1153" s="11" t="n">
        <x:v>0</x:v>
      </x:c>
      <x:c r="L1153" s="11" t="n">
        <x:f>IF(B1153="NED",1,IF(OR(B1153="ED",B1153="UN"),0,""))</x:f>
        <x:v>1</x:v>
      </x:c>
      <x:c r="M1153" s="11" t="n">
        <x:f>IF(AND(K1153=1,OR(B1153="ED",B1153="NED")),1,0)</x:f>
        <x:v>0</x:v>
      </x:c>
      <x:c r="N1153" s="11" t="n">
        <x:f>IF(K1153=1,1,0)</x:f>
        <x:v>0</x:v>
      </x:c>
      <x:c r="O1153" s="12" t="str">
        <x:v>Exclude UniProt Membrane keyword</x:v>
      </x:c>
      <x:c r="P1153" s="11" t="n">
        <x:v>0</x:v>
      </x:c>
      <x:c r="Q1153" s="12" t="str">
        <x:v>AF-P97450-F1-model_v6</x:v>
      </x:c>
      <x:c r="R1153" s="12" t="str">
        <x:v>ok</x:v>
      </x:c>
      <x:c r="S1153" s="11" t="n">
        <x:v>769</x:v>
      </x:c>
      <x:c r="T1153" s="11" t="n">
        <x:v>108</x:v>
      </x:c>
    </x:row>
    <x:row r="1154" ht="23" customHeight="1">
      <x:c r="A1154" s="2" t="str">
        <x:v>P97452</x:v>
      </x:c>
      <x:c r="B1154" s="2" t="str">
        <x:v>UN</x:v>
      </x:c>
      <x:c r="C1154" s="2" t="n">
        <x:v>0</x:v>
      </x:c>
      <x:c r="D1154" s="2" t="n">
        <x:v>0</x:v>
      </x:c>
      <x:c r="E1154" s="10" t="n">
        <x:v>79.79103825136612</x:v>
      </x:c>
      <x:c r="F1154" s="11" t="n">
        <x:v>732</x:v>
      </x:c>
      <x:c r="G1154" s="11" t="n">
        <x:v>0</x:v>
      </x:c>
      <x:c r="H1154" s="11" t="n">
        <x:v>0</x:v>
      </x:c>
      <x:c r="I1154" s="11" t="n">
        <x:v>0</x:v>
      </x:c>
      <x:c r="J1154" s="11" t="n">
        <x:v>0</x:v>
      </x:c>
      <x:c r="K1154" s="11" t="n">
        <x:v>1</x:v>
      </x:c>
      <x:c r="L1154" s="11" t="n">
        <x:f>IF(B1154="NED",1,IF(OR(B1154="ED",B1154="UN"),0,""))</x:f>
        <x:v>0</x:v>
      </x:c>
      <x:c r="M1154" s="11" t="n">
        <x:f>IF(AND(K1154=1,OR(B1154="ED",B1154="NED")),1,0)</x:f>
        <x:v>0</x:v>
      </x:c>
      <x:c r="N1154" s="11" t="n">
        <x:f>IF(K1154=1,1,0)</x:f>
        <x:v>1</x:v>
      </x:c>
      <x:c r="O1154" s="12"/>
      <x:c r="P1154" s="11" t="n">
        <x:v>0</x:v>
      </x:c>
      <x:c r="Q1154" s="12" t="str">
        <x:v>AF-P97452-F1-model_v6</x:v>
      </x:c>
      <x:c r="R1154" s="12" t="str">
        <x:v>ok</x:v>
      </x:c>
      <x:c r="S1154" s="11" t="n">
        <x:v>770</x:v>
      </x:c>
      <x:c r="T1154" s="11" t="n">
        <x:v>732</x:v>
      </x:c>
    </x:row>
    <x:row r="1155" ht="23" customHeight="1">
      <x:c r="A1155" s="2" t="str">
        <x:v>P97454</x:v>
      </x:c>
      <x:c r="B1155" s="2" t="str">
        <x:v>ED</x:v>
      </x:c>
      <x:c r="C1155" s="2" t="n">
        <x:v>1</x:v>
      </x:c>
      <x:c r="D1155" s="2" t="n">
        <x:v>1</x:v>
      </x:c>
      <x:c r="E1155" s="10" t="n">
        <x:v>81.3252688172043</x:v>
      </x:c>
      <x:c r="F1155" s="11" t="n">
        <x:v>465</x:v>
      </x:c>
      <x:c r="G1155" s="11" t="n">
        <x:v>0</x:v>
      </x:c>
      <x:c r="H1155" s="11" t="n">
        <x:v>0</x:v>
      </x:c>
      <x:c r="I1155" s="11" t="n">
        <x:v>0</x:v>
      </x:c>
      <x:c r="J1155" s="11" t="n">
        <x:v>0</x:v>
      </x:c>
      <x:c r="K1155" s="11" t="n">
        <x:v>1</x:v>
      </x:c>
      <x:c r="L1155" s="11" t="n">
        <x:f>IF(B1155="NED",1,IF(OR(B1155="ED",B1155="UN"),0,""))</x:f>
        <x:v>0</x:v>
      </x:c>
      <x:c r="M1155" s="11" t="n">
        <x:f>IF(AND(K1155=1,OR(B1155="ED",B1155="NED")),1,0)</x:f>
        <x:v>1</x:v>
      </x:c>
      <x:c r="N1155" s="11" t="n">
        <x:f>IF(K1155=1,1,0)</x:f>
        <x:v>1</x:v>
      </x:c>
      <x:c r="O1155" s="12"/>
      <x:c r="P1155" s="11" t="n">
        <x:v>0</x:v>
      </x:c>
      <x:c r="Q1155" s="12" t="str">
        <x:v>AF-P97454-F1-model_v6</x:v>
      </x:c>
      <x:c r="R1155" s="12" t="str">
        <x:v>ok</x:v>
      </x:c>
      <x:c r="S1155" s="11" t="n">
        <x:v>771</x:v>
      </x:c>
      <x:c r="T1155" s="11" t="n">
        <x:v>465</x:v>
      </x:c>
    </x:row>
    <x:row r="1156" ht="23" customHeight="1">
      <x:c r="A1156" s="2" t="str">
        <x:v>P97464</x:v>
      </x:c>
      <x:c r="B1156" s="2" t="str">
        <x:v>ED</x:v>
      </x:c>
      <x:c r="C1156" s="2" t="n">
        <x:v>1</x:v>
      </x:c>
      <x:c r="D1156" s="2" t="n">
        <x:v>1</x:v>
      </x:c>
      <x:c r="E1156" s="10"/>
      <x:c r="F1156" s="11" t="n">
        <x:v>746</x:v>
      </x:c>
      <x:c r="G1156" s="11" t="n">
        <x:v>0</x:v>
      </x:c>
      <x:c r="H1156" s="11" t="n">
        <x:v>0</x:v>
      </x:c>
      <x:c r="I1156" s="11" t="n">
        <x:v>1</x:v>
      </x:c>
      <x:c r="J1156" s="11" t="n">
        <x:v>0</x:v>
      </x:c>
      <x:c r="K1156" s="11" t="n">
        <x:v>0</x:v>
      </x:c>
      <x:c r="L1156" s="11" t="n">
        <x:f>IF(B1156="NED",1,IF(OR(B1156="ED",B1156="UN"),0,""))</x:f>
        <x:v>0</x:v>
      </x:c>
      <x:c r="M1156" s="11" t="n">
        <x:f>IF(AND(K1156=1,OR(B1156="ED",B1156="NED")),1,0)</x:f>
        <x:v>0</x:v>
      </x:c>
      <x:c r="N1156" s="11" t="n">
        <x:f>IF(K1156=1,1,0)</x:f>
        <x:v>0</x:v>
      </x:c>
      <x:c r="O1156" s="12" t="str">
        <x:v>Exclude UniProt Membrane keyword</x:v>
      </x:c>
      <x:c r="P1156" s="11" t="n">
        <x:v>0</x:v>
      </x:c>
      <x:c r="Q1156" s="12" t="str">
        <x:v>AF-P97464-F1-model_v6</x:v>
      </x:c>
      <x:c r="R1156" s="12" t="str">
        <x:v>ok</x:v>
      </x:c>
      <x:c r="S1156" s="11" t="n">
        <x:v>772</x:v>
      </x:c>
      <x:c r="T1156" s="11" t="n">
        <x:v>746</x:v>
      </x:c>
    </x:row>
    <x:row r="1157" ht="23" customHeight="1">
      <x:c r="A1157" s="2" t="str">
        <x:v>P97471</x:v>
      </x:c>
      <x:c r="B1157" s="2" t="str">
        <x:v>ED</x:v>
      </x:c>
      <x:c r="C1157" s="2" t="n">
        <x:v>1</x:v>
      </x:c>
      <x:c r="D1157" s="2" t="n">
        <x:v>1</x:v>
      </x:c>
      <x:c r="E1157" s="10" t="n">
        <x:v>73.27442831215971</x:v>
      </x:c>
      <x:c r="F1157" s="11" t="n">
        <x:v>551</x:v>
      </x:c>
      <x:c r="G1157" s="11" t="n">
        <x:v>0</x:v>
      </x:c>
      <x:c r="H1157" s="11" t="n">
        <x:v>0</x:v>
      </x:c>
      <x:c r="I1157" s="11" t="n">
        <x:v>0</x:v>
      </x:c>
      <x:c r="J1157" s="11" t="n">
        <x:v>0</x:v>
      </x:c>
      <x:c r="K1157" s="11" t="n">
        <x:v>1</x:v>
      </x:c>
      <x:c r="L1157" s="11" t="n">
        <x:f>IF(B1157="NED",1,IF(OR(B1157="ED",B1157="UN"),0,""))</x:f>
        <x:v>0</x:v>
      </x:c>
      <x:c r="M1157" s="11" t="n">
        <x:f>IF(AND(K1157=1,OR(B1157="ED",B1157="NED")),1,0)</x:f>
        <x:v>1</x:v>
      </x:c>
      <x:c r="N1157" s="11" t="n">
        <x:f>IF(K1157=1,1,0)</x:f>
        <x:v>1</x:v>
      </x:c>
      <x:c r="O1157" s="12"/>
      <x:c r="P1157" s="11" t="n">
        <x:v>0</x:v>
      </x:c>
      <x:c r="Q1157" s="12" t="str">
        <x:v>AF-P97471-F1-model_v6</x:v>
      </x:c>
      <x:c r="R1157" s="12" t="str">
        <x:v>ok</x:v>
      </x:c>
      <x:c r="S1157" s="11" t="n">
        <x:v>773</x:v>
      </x:c>
      <x:c r="T1157" s="11" t="n">
        <x:v>551</x:v>
      </x:c>
    </x:row>
    <x:row r="1158" ht="23" customHeight="1">
      <x:c r="A1158" s="2" t="str">
        <x:v>P97477</x:v>
      </x:c>
      <x:c r="B1158" s="2" t="str">
        <x:v>UN</x:v>
      </x:c>
      <x:c r="C1158" s="2" t="n">
        <x:v>1</x:v>
      </x:c>
      <x:c r="D1158" s="2" t="n">
        <x:v>1</x:v>
      </x:c>
      <x:c r="E1158" s="10"/>
      <x:c r="F1158" s="11" t="n">
        <x:v>395</x:v>
      </x:c>
      <x:c r="G1158" s="11" t="n">
        <x:v>0</x:v>
      </x:c>
      <x:c r="H1158" s="11" t="n">
        <x:v>0</x:v>
      </x:c>
      <x:c r="I1158" s="11" t="n">
        <x:v>1</x:v>
      </x:c>
      <x:c r="J1158" s="11" t="n">
        <x:v>0</x:v>
      </x:c>
      <x:c r="K1158" s="11" t="n">
        <x:v>0</x:v>
      </x:c>
      <x:c r="L1158" s="11" t="n">
        <x:f>IF(B1158="NED",1,IF(OR(B1158="ED",B1158="UN"),0,""))</x:f>
        <x:v>0</x:v>
      </x:c>
      <x:c r="M1158" s="11" t="n">
        <x:f>IF(AND(K1158=1,OR(B1158="ED",B1158="NED")),1,0)</x:f>
        <x:v>0</x:v>
      </x:c>
      <x:c r="N1158" s="11" t="n">
        <x:f>IF(K1158=1,1,0)</x:f>
        <x:v>0</x:v>
      </x:c>
      <x:c r="O1158" s="12" t="str">
        <x:v>Exclude UniProt Membrane keyword</x:v>
      </x:c>
      <x:c r="P1158" s="11" t="n">
        <x:v>0</x:v>
      </x:c>
      <x:c r="Q1158" s="12" t="str">
        <x:v>AF-P97477-F1-model_v6</x:v>
      </x:c>
      <x:c r="R1158" s="12" t="str">
        <x:v>ok</x:v>
      </x:c>
      <x:c r="S1158" s="11" t="n">
        <x:v>774</x:v>
      </x:c>
      <x:c r="T1158" s="11" t="n">
        <x:v>395</x:v>
      </x:c>
    </x:row>
    <x:row r="1159" ht="23" customHeight="1">
      <x:c r="A1159" s="2" t="str">
        <x:v>P97480-2</x:v>
      </x:c>
      <x:c r="B1159" s="2" t="str">
        <x:v>ED</x:v>
      </x:c>
      <x:c r="C1159" s="2"/>
      <x:c r="D1159" s="2"/>
      <x:c r="E1159" s="10"/>
      <x:c r="F1159" s="11"/>
      <x:c r="G1159" s="11" t="n">
        <x:v>0</x:v>
      </x:c>
      <x:c r="H1159" s="11" t="n">
        <x:v>0</x:v>
      </x:c>
      <x:c r="I1159" s="11"/>
      <x:c r="J1159" s="11"/>
      <x:c r="K1159" s="11" t="n">
        <x:v>0</x:v>
      </x:c>
      <x:c r="L1159" s="11" t="n">
        <x:f>IF(B1159="NED",1,IF(OR(B1159="ED",B1159="UN"),0,""))</x:f>
        <x:v>0</x:v>
      </x:c>
      <x:c r="M1159" s="11" t="n">
        <x:f>IF(AND(K1159=1,OR(B1159="ED",B1159="NED")),1,0)</x:f>
        <x:v>0</x:v>
      </x:c>
      <x:c r="N1159" s="11" t="n">
        <x:f>IF(K1159=1,1,0)</x:f>
        <x:v>0</x:v>
      </x:c>
      <x:c r="O1159" s="12" t="str">
        <x:v>Require exact native accession match</x:v>
      </x:c>
      <x:c r="P1159" s="11" t="n">
        <x:v>0</x:v>
      </x:c>
      <x:c r="Q1159" s="12"/>
      <x:c r="R1159" s="12"/>
      <x:c r="S1159" s="11" t="n">
        <x:v>775</x:v>
      </x:c>
      <x:c r="T1159" s="11"/>
    </x:row>
    <x:row r="1160" ht="23" customHeight="1">
      <x:c r="A1160" s="2" t="str">
        <x:v>P97494</x:v>
      </x:c>
      <x:c r="B1160" s="2" t="str">
        <x:v>ED</x:v>
      </x:c>
      <x:c r="C1160" s="2" t="n">
        <x:v>1</x:v>
      </x:c>
      <x:c r="D1160" s="2" t="n">
        <x:v>1</x:v>
      </x:c>
      <x:c r="E1160" s="10" t="n">
        <x:v>93.33067503924649</x:v>
      </x:c>
      <x:c r="F1160" s="11" t="n">
        <x:v>637</x:v>
      </x:c>
      <x:c r="G1160" s="11" t="n">
        <x:v>0</x:v>
      </x:c>
      <x:c r="H1160" s="11" t="n">
        <x:v>0</x:v>
      </x:c>
      <x:c r="I1160" s="11" t="n">
        <x:v>0</x:v>
      </x:c>
      <x:c r="J1160" s="11" t="n">
        <x:v>0</x:v>
      </x:c>
      <x:c r="K1160" s="11" t="n">
        <x:v>1</x:v>
      </x:c>
      <x:c r="L1160" s="11" t="n">
        <x:f>IF(B1160="NED",1,IF(OR(B1160="ED",B1160="UN"),0,""))</x:f>
        <x:v>0</x:v>
      </x:c>
      <x:c r="M1160" s="11" t="n">
        <x:f>IF(AND(K1160=1,OR(B1160="ED",B1160="NED")),1,0)</x:f>
        <x:v>1</x:v>
      </x:c>
      <x:c r="N1160" s="11" t="n">
        <x:f>IF(K1160=1,1,0)</x:f>
        <x:v>1</x:v>
      </x:c>
      <x:c r="O1160" s="12"/>
      <x:c r="P1160" s="11" t="n">
        <x:v>0</x:v>
      </x:c>
      <x:c r="Q1160" s="12" t="str">
        <x:v>AF-P97494-F1-model_v6</x:v>
      </x:c>
      <x:c r="R1160" s="12" t="str">
        <x:v>ok</x:v>
      </x:c>
      <x:c r="S1160" s="11" t="n">
        <x:v>776</x:v>
      </x:c>
      <x:c r="T1160" s="11" t="n">
        <x:v>637</x:v>
      </x:c>
    </x:row>
    <x:row r="1161" ht="23" customHeight="1">
      <x:c r="A1161" s="2" t="str">
        <x:v>P97742</x:v>
      </x:c>
      <x:c r="B1161" s="2" t="str">
        <x:v>UN</x:v>
      </x:c>
      <x:c r="C1161" s="2" t="n">
        <x:v>1</x:v>
      </x:c>
      <x:c r="D1161" s="2" t="n">
        <x:v>1</x:v>
      </x:c>
      <x:c r="E1161" s="10"/>
      <x:c r="F1161" s="11" t="n">
        <x:v>773</x:v>
      </x:c>
      <x:c r="G1161" s="11" t="n">
        <x:v>0</x:v>
      </x:c>
      <x:c r="H1161" s="11" t="n">
        <x:v>0</x:v>
      </x:c>
      <x:c r="I1161" s="11" t="n">
        <x:v>1</x:v>
      </x:c>
      <x:c r="J1161" s="11" t="n">
        <x:v>0</x:v>
      </x:c>
      <x:c r="K1161" s="11" t="n">
        <x:v>0</x:v>
      </x:c>
      <x:c r="L1161" s="11" t="n">
        <x:f>IF(B1161="NED",1,IF(OR(B1161="ED",B1161="UN"),0,""))</x:f>
        <x:v>0</x:v>
      </x:c>
      <x:c r="M1161" s="11" t="n">
        <x:f>IF(AND(K1161=1,OR(B1161="ED",B1161="NED")),1,0)</x:f>
        <x:v>0</x:v>
      </x:c>
      <x:c r="N1161" s="11" t="n">
        <x:f>IF(K1161=1,1,0)</x:f>
        <x:v>0</x:v>
      </x:c>
      <x:c r="O1161" s="12" t="str">
        <x:v>Exclude UniProt Membrane keyword</x:v>
      </x:c>
      <x:c r="P1161" s="11" t="n">
        <x:v>0</x:v>
      </x:c>
      <x:c r="Q1161" s="12" t="str">
        <x:v>AF-P97742-F1-model_v6</x:v>
      </x:c>
      <x:c r="R1161" s="12" t="str">
        <x:v>ok</x:v>
      </x:c>
      <x:c r="S1161" s="11" t="n">
        <x:v>777</x:v>
      </x:c>
      <x:c r="T1161" s="11" t="n">
        <x:v>773</x:v>
      </x:c>
    </x:row>
    <x:row r="1162" ht="23" customHeight="1">
      <x:c r="A1162" s="2" t="str">
        <x:v>P97765</x:v>
      </x:c>
      <x:c r="B1162" s="2" t="str">
        <x:v>ED</x:v>
      </x:c>
      <x:c r="C1162" s="2" t="n">
        <x:v>1</x:v>
      </x:c>
      <x:c r="D1162" s="2" t="n">
        <x:v>1</x:v>
      </x:c>
      <x:c r="E1162" s="10" t="n">
        <x:v>71.06429118773946</x:v>
      </x:c>
      <x:c r="F1162" s="11" t="n">
        <x:v>261</x:v>
      </x:c>
      <x:c r="G1162" s="11" t="n">
        <x:v>0</x:v>
      </x:c>
      <x:c r="H1162" s="11" t="n">
        <x:v>0</x:v>
      </x:c>
      <x:c r="I1162" s="11" t="n">
        <x:v>0</x:v>
      </x:c>
      <x:c r="J1162" s="11" t="n">
        <x:v>0</x:v>
      </x:c>
      <x:c r="K1162" s="11" t="n">
        <x:v>1</x:v>
      </x:c>
      <x:c r="L1162" s="11" t="n">
        <x:f>IF(B1162="NED",1,IF(OR(B1162="ED",B1162="UN"),0,""))</x:f>
        <x:v>0</x:v>
      </x:c>
      <x:c r="M1162" s="11" t="n">
        <x:f>IF(AND(K1162=1,OR(B1162="ED",B1162="NED")),1,0)</x:f>
        <x:v>1</x:v>
      </x:c>
      <x:c r="N1162" s="11" t="n">
        <x:f>IF(K1162=1,1,0)</x:f>
        <x:v>1</x:v>
      </x:c>
      <x:c r="O1162" s="12"/>
      <x:c r="P1162" s="11" t="n">
        <x:v>0</x:v>
      </x:c>
      <x:c r="Q1162" s="12" t="str">
        <x:v>AF-P97765-F1-model_v6</x:v>
      </x:c>
      <x:c r="R1162" s="12" t="str">
        <x:v>ok</x:v>
      </x:c>
      <x:c r="S1162" s="11" t="n">
        <x:v>778</x:v>
      </x:c>
      <x:c r="T1162" s="11" t="n">
        <x:v>261</x:v>
      </x:c>
    </x:row>
    <x:row r="1163" ht="23" customHeight="1">
      <x:c r="A1163" s="2" t="str">
        <x:v>P97770-2</x:v>
      </x:c>
      <x:c r="B1163" s="2" t="str">
        <x:v>UN</x:v>
      </x:c>
      <x:c r="C1163" s="2"/>
      <x:c r="D1163" s="2"/>
      <x:c r="E1163" s="10"/>
      <x:c r="F1163" s="11"/>
      <x:c r="G1163" s="11" t="n">
        <x:v>0</x:v>
      </x:c>
      <x:c r="H1163" s="11" t="n">
        <x:v>0</x:v>
      </x:c>
      <x:c r="I1163" s="11"/>
      <x:c r="J1163" s="11"/>
      <x:c r="K1163" s="11" t="n">
        <x:v>0</x:v>
      </x:c>
      <x:c r="L1163" s="11" t="n">
        <x:f>IF(B1163="NED",1,IF(OR(B1163="ED",B1163="UN"),0,""))</x:f>
        <x:v>0</x:v>
      </x:c>
      <x:c r="M1163" s="11" t="n">
        <x:f>IF(AND(K1163=1,OR(B1163="ED",B1163="NED")),1,0)</x:f>
        <x:v>0</x:v>
      </x:c>
      <x:c r="N1163" s="11" t="n">
        <x:f>IF(K1163=1,1,0)</x:f>
        <x:v>0</x:v>
      </x:c>
      <x:c r="O1163" s="12" t="str">
        <x:v>Require exact native accession match</x:v>
      </x:c>
      <x:c r="P1163" s="11" t="n">
        <x:v>0</x:v>
      </x:c>
      <x:c r="Q1163" s="12"/>
      <x:c r="R1163" s="12"/>
      <x:c r="S1163" s="11" t="n">
        <x:v>779</x:v>
      </x:c>
      <x:c r="T1163" s="11"/>
    </x:row>
    <x:row r="1164" ht="23" customHeight="1">
      <x:c r="A1164" s="2" t="str">
        <x:v>P97807-2</x:v>
      </x:c>
      <x:c r="B1164" s="2" t="str">
        <x:v>NED</x:v>
      </x:c>
      <x:c r="C1164" s="2"/>
      <x:c r="D1164" s="2"/>
      <x:c r="E1164" s="10"/>
      <x:c r="F1164" s="11"/>
      <x:c r="G1164" s="11" t="n">
        <x:v>0</x:v>
      </x:c>
      <x:c r="H1164" s="11" t="n">
        <x:v>0</x:v>
      </x:c>
      <x:c r="I1164" s="11"/>
      <x:c r="J1164" s="11"/>
      <x:c r="K1164" s="11" t="n">
        <x:v>0</x:v>
      </x:c>
      <x:c r="L1164" s="11" t="n">
        <x:f>IF(B1164="NED",1,IF(OR(B1164="ED",B1164="UN"),0,""))</x:f>
        <x:v>1</x:v>
      </x:c>
      <x:c r="M1164" s="11" t="n">
        <x:f>IF(AND(K1164=1,OR(B1164="ED",B1164="NED")),1,0)</x:f>
        <x:v>0</x:v>
      </x:c>
      <x:c r="N1164" s="11" t="n">
        <x:f>IF(K1164=1,1,0)</x:f>
        <x:v>0</x:v>
      </x:c>
      <x:c r="O1164" s="12" t="str">
        <x:v>Require exact native accession match</x:v>
      </x:c>
      <x:c r="P1164" s="11" t="n">
        <x:v>0</x:v>
      </x:c>
      <x:c r="Q1164" s="12"/>
      <x:c r="R1164" s="12"/>
      <x:c r="S1164" s="11" t="n">
        <x:v>780</x:v>
      </x:c>
      <x:c r="T1164" s="11"/>
    </x:row>
    <x:row r="1165" ht="23" customHeight="1">
      <x:c r="A1165" s="2" t="str">
        <x:v>P97813</x:v>
      </x:c>
      <x:c r="B1165" s="2" t="str">
        <x:v>UN</x:v>
      </x:c>
      <x:c r="C1165" s="2" t="n">
        <x:v>1</x:v>
      </x:c>
      <x:c r="D1165" s="2" t="n">
        <x:v>1</x:v>
      </x:c>
      <x:c r="E1165" s="10"/>
      <x:c r="F1165" s="11" t="n">
        <x:v>933</x:v>
      </x:c>
      <x:c r="G1165" s="11" t="n">
        <x:v>0</x:v>
      </x:c>
      <x:c r="H1165" s="11" t="n">
        <x:v>0</x:v>
      </x:c>
      <x:c r="I1165" s="11" t="n">
        <x:v>1</x:v>
      </x:c>
      <x:c r="J1165" s="11" t="n">
        <x:v>0</x:v>
      </x:c>
      <x:c r="K1165" s="11" t="n">
        <x:v>0</x:v>
      </x:c>
      <x:c r="L1165" s="11" t="n">
        <x:f>IF(B1165="NED",1,IF(OR(B1165="ED",B1165="UN"),0,""))</x:f>
        <x:v>0</x:v>
      </x:c>
      <x:c r="M1165" s="11" t="n">
        <x:f>IF(AND(K1165=1,OR(B1165="ED",B1165="NED")),1,0)</x:f>
        <x:v>0</x:v>
      </x:c>
      <x:c r="N1165" s="11" t="n">
        <x:f>IF(K1165=1,1,0)</x:f>
        <x:v>0</x:v>
      </x:c>
      <x:c r="O1165" s="12" t="str">
        <x:v>Exclude UniProt Membrane keyword</x:v>
      </x:c>
      <x:c r="P1165" s="11" t="n">
        <x:v>0</x:v>
      </x:c>
      <x:c r="Q1165" s="12" t="str">
        <x:v>AF-P97813-F1-model_v6</x:v>
      </x:c>
      <x:c r="R1165" s="12" t="str">
        <x:v>ok</x:v>
      </x:c>
      <x:c r="S1165" s="11" t="n">
        <x:v>781</x:v>
      </x:c>
      <x:c r="T1165" s="11" t="n">
        <x:v>933</x:v>
      </x:c>
    </x:row>
    <x:row r="1166" ht="23" customHeight="1">
      <x:c r="A1166" s="2" t="str">
        <x:v>P97855</x:v>
      </x:c>
      <x:c r="B1166" s="2" t="str">
        <x:v>ED</x:v>
      </x:c>
      <x:c r="C1166" s="2" t="n">
        <x:v>1</x:v>
      </x:c>
      <x:c r="D1166" s="2" t="n">
        <x:v>1</x:v>
      </x:c>
      <x:c r="E1166" s="10" t="n">
        <x:v>66.2150752688172</x:v>
      </x:c>
      <x:c r="F1166" s="11" t="n">
        <x:v>465</x:v>
      </x:c>
      <x:c r="G1166" s="11" t="n">
        <x:v>0</x:v>
      </x:c>
      <x:c r="H1166" s="11" t="n">
        <x:v>0</x:v>
      </x:c>
      <x:c r="I1166" s="11" t="n">
        <x:v>0</x:v>
      </x:c>
      <x:c r="J1166" s="11" t="n">
        <x:v>0</x:v>
      </x:c>
      <x:c r="K1166" s="11" t="n">
        <x:v>0</x:v>
      </x:c>
      <x:c r="L1166" s="11" t="n">
        <x:f>IF(B1166="NED",1,IF(OR(B1166="ED",B1166="UN"),0,""))</x:f>
        <x:v>0</x:v>
      </x:c>
      <x:c r="M1166" s="11" t="n">
        <x:f>IF(AND(K1166=1,OR(B1166="ED",B1166="NED")),1,0)</x:f>
        <x:v>0</x:v>
      </x:c>
      <x:c r="N1166" s="11" t="n">
        <x:f>IF(K1166=1,1,0)</x:f>
        <x:v>0</x:v>
      </x:c>
      <x:c r="O1166" s="12" t="str">
        <x:v>Retain protein mean pLDDT &gt;=70</x:v>
      </x:c>
      <x:c r="P1166" s="11" t="n">
        <x:v>0</x:v>
      </x:c>
      <x:c r="Q1166" s="12" t="str">
        <x:v>AF-P97855-F1-model_v6</x:v>
      </x:c>
      <x:c r="R1166" s="12" t="str">
        <x:v>ok</x:v>
      </x:c>
      <x:c r="S1166" s="11" t="n">
        <x:v>782</x:v>
      </x:c>
      <x:c r="T1166" s="11" t="n">
        <x:v>465</x:v>
      </x:c>
    </x:row>
    <x:row r="1167" ht="23" customHeight="1">
      <x:c r="A1167" s="2" t="str">
        <x:v>P97868</x:v>
      </x:c>
      <x:c r="B1167" s="2" t="str">
        <x:v>ED</x:v>
      </x:c>
      <x:c r="C1167" s="2" t="n">
        <x:v>1</x:v>
      </x:c>
      <x:c r="D1167" s="2" t="n">
        <x:v>1</x:v>
      </x:c>
      <x:c r="E1167" s="10"/>
      <x:c r="F1167" s="11" t="n">
        <x:v>1790</x:v>
      </x:c>
      <x:c r="G1167" s="11" t="n">
        <x:v>1</x:v>
      </x:c>
      <x:c r="H1167" s="11" t="n">
        <x:v>0</x:v>
      </x:c>
      <x:c r="I1167" s="11" t="n">
        <x:v>0</x:v>
      </x:c>
      <x:c r="J1167" s="11" t="n">
        <x:v>0</x:v>
      </x:c>
      <x:c r="K1167" s="11" t="n">
        <x:v>0</x:v>
      </x:c>
      <x:c r="L1167" s="11" t="n">
        <x:f>IF(B1167="NED",1,IF(OR(B1167="ED",B1167="UN"),0,""))</x:f>
        <x:v>0</x:v>
      </x:c>
      <x:c r="M1167" s="11" t="n">
        <x:f>IF(AND(K1167=1,OR(B1167="ED",B1167="NED")),1,0)</x:f>
        <x:v>0</x:v>
      </x:c>
      <x:c r="N1167" s="11" t="n">
        <x:f>IF(K1167=1,1,0)</x:f>
        <x:v>0</x:v>
      </x:c>
      <x:c r="O1167" s="12" t="str">
        <x:v>Exclude supplied knotted proteins</x:v>
      </x:c>
      <x:c r="P1167" s="11" t="n">
        <x:v>0</x:v>
      </x:c>
      <x:c r="Q1167" s="12" t="str">
        <x:v>AF-P97868-F1-model_v6</x:v>
      </x:c>
      <x:c r="R1167" s="12" t="str">
        <x:v>ok</x:v>
      </x:c>
      <x:c r="S1167" s="11" t="n">
        <x:v>783</x:v>
      </x:c>
      <x:c r="T1167" s="11" t="n">
        <x:v>1790</x:v>
      </x:c>
    </x:row>
    <x:row r="1168" ht="23" customHeight="1">
      <x:c r="A1168" s="2" t="str">
        <x:v>P97930</x:v>
      </x:c>
      <x:c r="B1168" s="2" t="str">
        <x:v>ED</x:v>
      </x:c>
      <x:c r="C1168" s="2" t="n">
        <x:v>1</x:v>
      </x:c>
      <x:c r="D1168" s="2" t="n">
        <x:v>1</x:v>
      </x:c>
      <x:c r="E1168" s="10" t="n">
        <x:v>96.21212264150944</x:v>
      </x:c>
      <x:c r="F1168" s="11" t="n">
        <x:v>212</x:v>
      </x:c>
      <x:c r="G1168" s="11" t="n">
        <x:v>0</x:v>
      </x:c>
      <x:c r="H1168" s="11" t="n">
        <x:v>0</x:v>
      </x:c>
      <x:c r="I1168" s="11" t="n">
        <x:v>0</x:v>
      </x:c>
      <x:c r="J1168" s="11" t="n">
        <x:v>0</x:v>
      </x:c>
      <x:c r="K1168" s="11" t="n">
        <x:v>1</x:v>
      </x:c>
      <x:c r="L1168" s="11" t="n">
        <x:f>IF(B1168="NED",1,IF(OR(B1168="ED",B1168="UN"),0,""))</x:f>
        <x:v>0</x:v>
      </x:c>
      <x:c r="M1168" s="11" t="n">
        <x:f>IF(AND(K1168=1,OR(B1168="ED",B1168="NED")),1,0)</x:f>
        <x:v>1</x:v>
      </x:c>
      <x:c r="N1168" s="11" t="n">
        <x:f>IF(K1168=1,1,0)</x:f>
        <x:v>1</x:v>
      </x:c>
      <x:c r="O1168" s="12"/>
      <x:c r="P1168" s="11" t="n">
        <x:v>0</x:v>
      </x:c>
      <x:c r="Q1168" s="12" t="str">
        <x:v>AF-P97930-F1-model_v6</x:v>
      </x:c>
      <x:c r="R1168" s="12" t="str">
        <x:v>ok</x:v>
      </x:c>
      <x:c r="S1168" s="11" t="n">
        <x:v>784</x:v>
      </x:c>
      <x:c r="T1168" s="11" t="n">
        <x:v>212</x:v>
      </x:c>
    </x:row>
    <x:row r="1169" ht="23" customHeight="1">
      <x:c r="A1169" s="2" t="str">
        <x:v>P98078-2</x:v>
      </x:c>
      <x:c r="B1169" s="2" t="str">
        <x:v>ED</x:v>
      </x:c>
      <x:c r="C1169" s="2"/>
      <x:c r="D1169" s="2"/>
      <x:c r="E1169" s="10"/>
      <x:c r="F1169" s="11"/>
      <x:c r="G1169" s="11" t="n">
        <x:v>0</x:v>
      </x:c>
      <x:c r="H1169" s="11" t="n">
        <x:v>0</x:v>
      </x:c>
      <x:c r="I1169" s="11"/>
      <x:c r="J1169" s="11"/>
      <x:c r="K1169" s="11" t="n">
        <x:v>0</x:v>
      </x:c>
      <x:c r="L1169" s="11" t="n">
        <x:f>IF(B1169="NED",1,IF(OR(B1169="ED",B1169="UN"),0,""))</x:f>
        <x:v>0</x:v>
      </x:c>
      <x:c r="M1169" s="11" t="n">
        <x:f>IF(AND(K1169=1,OR(B1169="ED",B1169="NED")),1,0)</x:f>
        <x:v>0</x:v>
      </x:c>
      <x:c r="N1169" s="11" t="n">
        <x:f>IF(K1169=1,1,0)</x:f>
        <x:v>0</x:v>
      </x:c>
      <x:c r="O1169" s="12" t="str">
        <x:v>Require exact native accession match</x:v>
      </x:c>
      <x:c r="P1169" s="11" t="n">
        <x:v>0</x:v>
      </x:c>
      <x:c r="Q1169" s="12"/>
      <x:c r="R1169" s="12"/>
      <x:c r="S1169" s="11" t="n">
        <x:v>785</x:v>
      </x:c>
      <x:c r="T1169" s="11"/>
    </x:row>
    <x:row r="1170" ht="23" customHeight="1">
      <x:c r="A1170" s="2" t="str">
        <x:v>P98083-2</x:v>
      </x:c>
      <x:c r="B1170" s="2" t="str">
        <x:v>UN</x:v>
      </x:c>
      <x:c r="C1170" s="2"/>
      <x:c r="D1170" s="2"/>
      <x:c r="E1170" s="10"/>
      <x:c r="F1170" s="11"/>
      <x:c r="G1170" s="11" t="n">
        <x:v>0</x:v>
      </x:c>
      <x:c r="H1170" s="11" t="n">
        <x:v>0</x:v>
      </x:c>
      <x:c r="I1170" s="11"/>
      <x:c r="J1170" s="11"/>
      <x:c r="K1170" s="11" t="n">
        <x:v>0</x:v>
      </x:c>
      <x:c r="L1170" s="11" t="n">
        <x:f>IF(B1170="NED",1,IF(OR(B1170="ED",B1170="UN"),0,""))</x:f>
        <x:v>0</x:v>
      </x:c>
      <x:c r="M1170" s="11" t="n">
        <x:f>IF(AND(K1170=1,OR(B1170="ED",B1170="NED")),1,0)</x:f>
        <x:v>0</x:v>
      </x:c>
      <x:c r="N1170" s="11" t="n">
        <x:f>IF(K1170=1,1,0)</x:f>
        <x:v>0</x:v>
      </x:c>
      <x:c r="O1170" s="12" t="str">
        <x:v>Require exact native accession match</x:v>
      </x:c>
      <x:c r="P1170" s="11" t="n">
        <x:v>0</x:v>
      </x:c>
      <x:c r="Q1170" s="12"/>
      <x:c r="R1170" s="12"/>
      <x:c r="S1170" s="11" t="n">
        <x:v>786</x:v>
      </x:c>
      <x:c r="T1170" s="11"/>
    </x:row>
    <x:row r="1171" ht="23" customHeight="1">
      <x:c r="A1171" s="2" t="str">
        <x:v>P99024</x:v>
      </x:c>
      <x:c r="B1171" s="2" t="str">
        <x:v>ED</x:v>
      </x:c>
      <x:c r="C1171" s="2" t="n">
        <x:v>1</x:v>
      </x:c>
      <x:c r="D1171" s="2" t="n">
        <x:v>1</x:v>
      </x:c>
      <x:c r="E1171" s="10" t="n">
        <x:v>92.47466216216216</x:v>
      </x:c>
      <x:c r="F1171" s="11" t="n">
        <x:v>444</x:v>
      </x:c>
      <x:c r="G1171" s="11" t="n">
        <x:v>0</x:v>
      </x:c>
      <x:c r="H1171" s="11" t="n">
        <x:v>0</x:v>
      </x:c>
      <x:c r="I1171" s="11" t="n">
        <x:v>0</x:v>
      </x:c>
      <x:c r="J1171" s="11" t="n">
        <x:v>0</x:v>
      </x:c>
      <x:c r="K1171" s="11" t="n">
        <x:v>1</x:v>
      </x:c>
      <x:c r="L1171" s="11" t="n">
        <x:f>IF(B1171="NED",1,IF(OR(B1171="ED",B1171="UN"),0,""))</x:f>
        <x:v>0</x:v>
      </x:c>
      <x:c r="M1171" s="11" t="n">
        <x:f>IF(AND(K1171=1,OR(B1171="ED",B1171="NED")),1,0)</x:f>
        <x:v>1</x:v>
      </x:c>
      <x:c r="N1171" s="11" t="n">
        <x:f>IF(K1171=1,1,0)</x:f>
        <x:v>1</x:v>
      </x:c>
      <x:c r="O1171" s="12"/>
      <x:c r="P1171" s="11" t="n">
        <x:v>0</x:v>
      </x:c>
      <x:c r="Q1171" s="12" t="str">
        <x:v>AF-P99024-F1-model_v6</x:v>
      </x:c>
      <x:c r="R1171" s="12" t="str">
        <x:v>ok</x:v>
      </x:c>
      <x:c r="S1171" s="11" t="n">
        <x:v>787</x:v>
      </x:c>
      <x:c r="T1171" s="11" t="n">
        <x:v>444</x:v>
      </x:c>
    </x:row>
    <x:row r="1172" ht="23" customHeight="1">
      <x:c r="A1172" s="2" t="str">
        <x:v>P99027</x:v>
      </x:c>
      <x:c r="B1172" s="2" t="str">
        <x:v>UN</x:v>
      </x:c>
      <x:c r="C1172" s="2" t="n">
        <x:v>0</x:v>
      </x:c>
      <x:c r="D1172" s="2" t="n">
        <x:v>0</x:v>
      </x:c>
      <x:c r="E1172" s="10" t="n">
        <x:v>68.01286956521739</x:v>
      </x:c>
      <x:c r="F1172" s="11" t="n">
        <x:v>115</x:v>
      </x:c>
      <x:c r="G1172" s="11" t="n">
        <x:v>0</x:v>
      </x:c>
      <x:c r="H1172" s="11" t="n">
        <x:v>0</x:v>
      </x:c>
      <x:c r="I1172" s="11" t="n">
        <x:v>0</x:v>
      </x:c>
      <x:c r="J1172" s="11" t="n">
        <x:v>0</x:v>
      </x:c>
      <x:c r="K1172" s="11" t="n">
        <x:v>0</x:v>
      </x:c>
      <x:c r="L1172" s="11" t="n">
        <x:f>IF(B1172="NED",1,IF(OR(B1172="ED",B1172="UN"),0,""))</x:f>
        <x:v>0</x:v>
      </x:c>
      <x:c r="M1172" s="11" t="n">
        <x:f>IF(AND(K1172=1,OR(B1172="ED",B1172="NED")),1,0)</x:f>
        <x:v>0</x:v>
      </x:c>
      <x:c r="N1172" s="11" t="n">
        <x:f>IF(K1172=1,1,0)</x:f>
        <x:v>0</x:v>
      </x:c>
      <x:c r="O1172" s="12" t="str">
        <x:v>Retain protein mean pLDDT &gt;=70</x:v>
      </x:c>
      <x:c r="P1172" s="11" t="n">
        <x:v>0</x:v>
      </x:c>
      <x:c r="Q1172" s="12" t="str">
        <x:v>AF-P99027-F1-model_v6</x:v>
      </x:c>
      <x:c r="R1172" s="12" t="str">
        <x:v>ok</x:v>
      </x:c>
      <x:c r="S1172" s="11" t="n">
        <x:v>788</x:v>
      </x:c>
      <x:c r="T1172" s="11" t="n">
        <x:v>115</x:v>
      </x:c>
    </x:row>
    <x:row r="1173" ht="23" customHeight="1">
      <x:c r="A1173" s="2" t="str">
        <x:v>P99029-2</x:v>
      </x:c>
      <x:c r="B1173" s="2" t="str">
        <x:v>ED</x:v>
      </x:c>
      <x:c r="C1173" s="2"/>
      <x:c r="D1173" s="2"/>
      <x:c r="E1173" s="10"/>
      <x:c r="F1173" s="11"/>
      <x:c r="G1173" s="11" t="n">
        <x:v>0</x:v>
      </x:c>
      <x:c r="H1173" s="11" t="n">
        <x:v>0</x:v>
      </x:c>
      <x:c r="I1173" s="11"/>
      <x:c r="J1173" s="11"/>
      <x:c r="K1173" s="11" t="n">
        <x:v>0</x:v>
      </x:c>
      <x:c r="L1173" s="11" t="n">
        <x:f>IF(B1173="NED",1,IF(OR(B1173="ED",B1173="UN"),0,""))</x:f>
        <x:v>0</x:v>
      </x:c>
      <x:c r="M1173" s="11" t="n">
        <x:f>IF(AND(K1173=1,OR(B1173="ED",B1173="NED")),1,0)</x:f>
        <x:v>0</x:v>
      </x:c>
      <x:c r="N1173" s="11" t="n">
        <x:f>IF(K1173=1,1,0)</x:f>
        <x:v>0</x:v>
      </x:c>
      <x:c r="O1173" s="12" t="str">
        <x:v>Require exact native accession match</x:v>
      </x:c>
      <x:c r="P1173" s="11" t="n">
        <x:v>0</x:v>
      </x:c>
      <x:c r="Q1173" s="12"/>
      <x:c r="R1173" s="12"/>
      <x:c r="S1173" s="11" t="n">
        <x:v>789</x:v>
      </x:c>
      <x:c r="T1173" s="11"/>
    </x:row>
    <x:row r="1174" ht="23" customHeight="1">
      <x:c r="A1174" s="2" t="str">
        <x:v>Q00422</x:v>
      </x:c>
      <x:c r="B1174" s="2" t="str">
        <x:v>ED</x:v>
      </x:c>
      <x:c r="C1174" s="2" t="n">
        <x:v>1</x:v>
      </x:c>
      <x:c r="D1174" s="2"/>
      <x:c r="E1174" s="10" t="n">
        <x:v>67.62594713656388</x:v>
      </x:c>
      <x:c r="F1174" s="11" t="n">
        <x:v>454</x:v>
      </x:c>
      <x:c r="G1174" s="11" t="n">
        <x:v>0</x:v>
      </x:c>
      <x:c r="H1174" s="11" t="n">
        <x:v>0</x:v>
      </x:c>
      <x:c r="I1174" s="11" t="n">
        <x:v>0</x:v>
      </x:c>
      <x:c r="J1174" s="11" t="n">
        <x:v>0</x:v>
      </x:c>
      <x:c r="K1174" s="11" t="n">
        <x:v>0</x:v>
      </x:c>
      <x:c r="L1174" s="11" t="n">
        <x:f>IF(B1174="NED",1,IF(OR(B1174="ED",B1174="UN"),0,""))</x:f>
        <x:v>0</x:v>
      </x:c>
      <x:c r="M1174" s="11" t="n">
        <x:f>IF(AND(K1174=1,OR(B1174="ED",B1174="NED")),1,0)</x:f>
        <x:v>0</x:v>
      </x:c>
      <x:c r="N1174" s="11" t="n">
        <x:f>IF(K1174=1,1,0)</x:f>
        <x:v>0</x:v>
      </x:c>
      <x:c r="O1174" s="12" t="str">
        <x:v>Retain protein mean pLDDT &gt;=70</x:v>
      </x:c>
      <x:c r="P1174" s="11" t="n">
        <x:v>0</x:v>
      </x:c>
      <x:c r="Q1174" s="12" t="str">
        <x:v>AF-Q00422-F1-model_v6</x:v>
      </x:c>
      <x:c r="R1174" s="12" t="str">
        <x:v>ok</x:v>
      </x:c>
      <x:c r="S1174" s="11" t="n">
        <x:v>790</x:v>
      </x:c>
      <x:c r="T1174" s="11" t="n">
        <x:v>454</x:v>
      </x:c>
    </x:row>
    <x:row r="1175" ht="23" customHeight="1">
      <x:c r="A1175" s="2" t="str">
        <x:v>Q00519</x:v>
      </x:c>
      <x:c r="B1175" s="2" t="str">
        <x:v>UN</x:v>
      </x:c>
      <x:c r="C1175" s="2" t="n">
        <x:v>1</x:v>
      </x:c>
      <x:c r="D1175" s="2" t="n">
        <x:v>1</x:v>
      </x:c>
      <x:c r="E1175" s="10"/>
      <x:c r="F1175" s="11" t="n">
        <x:v>1335</x:v>
      </x:c>
      <x:c r="G1175" s="11" t="n">
        <x:v>0</x:v>
      </x:c>
      <x:c r="H1175" s="11" t="n">
        <x:v>0</x:v>
      </x:c>
      <x:c r="I1175" s="11" t="n">
        <x:v>0</x:v>
      </x:c>
      <x:c r="J1175" s="11" t="n">
        <x:v>1</x:v>
      </x:c>
      <x:c r="K1175" s="11" t="n">
        <x:v>0</x:v>
      </x:c>
      <x:c r="L1175" s="11" t="n">
        <x:f>IF(B1175="NED",1,IF(OR(B1175="ED",B1175="UN"),0,""))</x:f>
        <x:v>0</x:v>
      </x:c>
      <x:c r="M1175" s="11" t="n">
        <x:f>IF(AND(K1175=1,OR(B1175="ED",B1175="NED")),1,0)</x:f>
        <x:v>0</x:v>
      </x:c>
      <x:c r="N1175" s="11" t="n">
        <x:f>IF(K1175=1,1,0)</x:f>
        <x:v>0</x:v>
      </x:c>
      <x:c r="O1175" s="12" t="str">
        <x:v>Exclude UniProt Secreted keyword</x:v>
      </x:c>
      <x:c r="P1175" s="11" t="n">
        <x:v>0</x:v>
      </x:c>
      <x:c r="Q1175" s="12" t="str">
        <x:v>AF-Q00519-F1-model_v6</x:v>
      </x:c>
      <x:c r="R1175" s="12" t="str">
        <x:v>ok</x:v>
      </x:c>
      <x:c r="S1175" s="11" t="n">
        <x:v>791</x:v>
      </x:c>
      <x:c r="T1175" s="11" t="n">
        <x:v>1335</x:v>
      </x:c>
    </x:row>
    <x:row r="1176" ht="23" customHeight="1">
      <x:c r="A1176" s="2" t="str">
        <x:v>Q00612</x:v>
      </x:c>
      <x:c r="B1176" s="2" t="str">
        <x:v>UN</x:v>
      </x:c>
      <x:c r="C1176" s="2" t="n">
        <x:v>1</x:v>
      </x:c>
      <x:c r="D1176" s="2" t="n">
        <x:v>1</x:v>
      </x:c>
      <x:c r="E1176" s="10"/>
      <x:c r="F1176" s="11" t="n">
        <x:v>515</x:v>
      </x:c>
      <x:c r="G1176" s="11" t="n">
        <x:v>0</x:v>
      </x:c>
      <x:c r="H1176" s="11" t="n">
        <x:v>0</x:v>
      </x:c>
      <x:c r="I1176" s="11" t="n">
        <x:v>1</x:v>
      </x:c>
      <x:c r="J1176" s="11" t="n">
        <x:v>0</x:v>
      </x:c>
      <x:c r="K1176" s="11" t="n">
        <x:v>0</x:v>
      </x:c>
      <x:c r="L1176" s="11" t="n">
        <x:f>IF(B1176="NED",1,IF(OR(B1176="ED",B1176="UN"),0,""))</x:f>
        <x:v>0</x:v>
      </x:c>
      <x:c r="M1176" s="11" t="n">
        <x:f>IF(AND(K1176=1,OR(B1176="ED",B1176="NED")),1,0)</x:f>
        <x:v>0</x:v>
      </x:c>
      <x:c r="N1176" s="11" t="n">
        <x:f>IF(K1176=1,1,0)</x:f>
        <x:v>0</x:v>
      </x:c>
      <x:c r="O1176" s="12" t="str">
        <x:v>Exclude UniProt Membrane keyword</x:v>
      </x:c>
      <x:c r="P1176" s="11" t="n">
        <x:v>0</x:v>
      </x:c>
      <x:c r="Q1176" s="12" t="str">
        <x:v>AF-Q00612-F1-model_v6</x:v>
      </x:c>
      <x:c r="R1176" s="12" t="str">
        <x:v>ok</x:v>
      </x:c>
      <x:c r="S1176" s="11" t="n">
        <x:v>792</x:v>
      </x:c>
      <x:c r="T1176" s="11" t="n">
        <x:v>515</x:v>
      </x:c>
    </x:row>
    <x:row r="1177" ht="23" customHeight="1">
      <x:c r="A1177" s="2" t="str">
        <x:v>Q00PI9</x:v>
      </x:c>
      <x:c r="B1177" s="2" t="str">
        <x:v>UN</x:v>
      </x:c>
      <x:c r="C1177" s="2" t="n">
        <x:v>1</x:v>
      </x:c>
      <x:c r="D1177" s="2" t="n">
        <x:v>1</x:v>
      </x:c>
      <x:c r="E1177" s="10" t="n">
        <x:v>71.98689932885905</x:v>
      </x:c>
      <x:c r="F1177" s="11" t="n">
        <x:v>745</x:v>
      </x:c>
      <x:c r="G1177" s="11" t="n">
        <x:v>0</x:v>
      </x:c>
      <x:c r="H1177" s="11" t="n">
        <x:v>0</x:v>
      </x:c>
      <x:c r="I1177" s="11" t="n">
        <x:v>0</x:v>
      </x:c>
      <x:c r="J1177" s="11" t="n">
        <x:v>0</x:v>
      </x:c>
      <x:c r="K1177" s="11" t="n">
        <x:v>1</x:v>
      </x:c>
      <x:c r="L1177" s="11" t="n">
        <x:f>IF(B1177="NED",1,IF(OR(B1177="ED",B1177="UN"),0,""))</x:f>
        <x:v>0</x:v>
      </x:c>
      <x:c r="M1177" s="11" t="n">
        <x:f>IF(AND(K1177=1,OR(B1177="ED",B1177="NED")),1,0)</x:f>
        <x:v>0</x:v>
      </x:c>
      <x:c r="N1177" s="11" t="n">
        <x:f>IF(K1177=1,1,0)</x:f>
        <x:v>1</x:v>
      </x:c>
      <x:c r="O1177" s="12"/>
      <x:c r="P1177" s="11" t="n">
        <x:v>0</x:v>
      </x:c>
      <x:c r="Q1177" s="12" t="str">
        <x:v>AF-Q00PI9-F1-model_v6</x:v>
      </x:c>
      <x:c r="R1177" s="12" t="str">
        <x:v>ok</x:v>
      </x:c>
      <x:c r="S1177" s="11" t="n">
        <x:v>793</x:v>
      </x:c>
      <x:c r="T1177" s="11" t="n">
        <x:v>745</x:v>
      </x:c>
    </x:row>
    <x:row r="1178" ht="23" customHeight="1">
      <x:c r="A1178" s="2" t="str">
        <x:v>Q01279</x:v>
      </x:c>
      <x:c r="B1178" s="2" t="str">
        <x:v>UN</x:v>
      </x:c>
      <x:c r="C1178" s="2" t="n">
        <x:v>1</x:v>
      </x:c>
      <x:c r="D1178" s="2" t="n">
        <x:v>1</x:v>
      </x:c>
      <x:c r="E1178" s="10"/>
      <x:c r="F1178" s="11" t="n">
        <x:v>1210</x:v>
      </x:c>
      <x:c r="G1178" s="11" t="n">
        <x:v>0</x:v>
      </x:c>
      <x:c r="H1178" s="11" t="n">
        <x:v>0</x:v>
      </x:c>
      <x:c r="I1178" s="11" t="n">
        <x:v>1</x:v>
      </x:c>
      <x:c r="J1178" s="11" t="n">
        <x:v>0</x:v>
      </x:c>
      <x:c r="K1178" s="11" t="n">
        <x:v>0</x:v>
      </x:c>
      <x:c r="L1178" s="11" t="n">
        <x:f>IF(B1178="NED",1,IF(OR(B1178="ED",B1178="UN"),0,""))</x:f>
        <x:v>0</x:v>
      </x:c>
      <x:c r="M1178" s="11" t="n">
        <x:f>IF(AND(K1178=1,OR(B1178="ED",B1178="NED")),1,0)</x:f>
        <x:v>0</x:v>
      </x:c>
      <x:c r="N1178" s="11" t="n">
        <x:f>IF(K1178=1,1,0)</x:f>
        <x:v>0</x:v>
      </x:c>
      <x:c r="O1178" s="12" t="str">
        <x:v>Exclude UniProt Membrane keyword</x:v>
      </x:c>
      <x:c r="P1178" s="11" t="n">
        <x:v>0</x:v>
      </x:c>
      <x:c r="Q1178" s="12" t="str">
        <x:v>AF-Q01279-F1-model_v6</x:v>
      </x:c>
      <x:c r="R1178" s="12" t="str">
        <x:v>ok</x:v>
      </x:c>
      <x:c r="S1178" s="11" t="n">
        <x:v>794</x:v>
      </x:c>
      <x:c r="T1178" s="11" t="n">
        <x:v>1210</x:v>
      </x:c>
    </x:row>
    <x:row r="1179" ht="23" customHeight="1">
      <x:c r="A1179" s="2" t="str">
        <x:v>Q01853</x:v>
      </x:c>
      <x:c r="B1179" s="2" t="str">
        <x:v>ED</x:v>
      </x:c>
      <x:c r="C1179" s="2" t="n">
        <x:v>1</x:v>
      </x:c>
      <x:c r="D1179" s="2" t="n">
        <x:v>1</x:v>
      </x:c>
      <x:c r="E1179" s="10" t="n">
        <x:v>82.85332506203474</x:v>
      </x:c>
      <x:c r="F1179" s="11" t="n">
        <x:v>806</x:v>
      </x:c>
      <x:c r="G1179" s="11" t="n">
        <x:v>0</x:v>
      </x:c>
      <x:c r="H1179" s="11" t="n">
        <x:v>0</x:v>
      </x:c>
      <x:c r="I1179" s="11" t="n">
        <x:v>0</x:v>
      </x:c>
      <x:c r="J1179" s="11" t="n">
        <x:v>0</x:v>
      </x:c>
      <x:c r="K1179" s="11" t="n">
        <x:v>1</x:v>
      </x:c>
      <x:c r="L1179" s="11" t="n">
        <x:f>IF(B1179="NED",1,IF(OR(B1179="ED",B1179="UN"),0,""))</x:f>
        <x:v>0</x:v>
      </x:c>
      <x:c r="M1179" s="11" t="n">
        <x:f>IF(AND(K1179=1,OR(B1179="ED",B1179="NED")),1,0)</x:f>
        <x:v>1</x:v>
      </x:c>
      <x:c r="N1179" s="11" t="n">
        <x:f>IF(K1179=1,1,0)</x:f>
        <x:v>1</x:v>
      </x:c>
      <x:c r="O1179" s="12"/>
      <x:c r="P1179" s="11" t="n">
        <x:v>0</x:v>
      </x:c>
      <x:c r="Q1179" s="12" t="str">
        <x:v>AF-Q01853-F1-model_v6</x:v>
      </x:c>
      <x:c r="R1179" s="12" t="str">
        <x:v>ok</x:v>
      </x:c>
      <x:c r="S1179" s="11" t="n">
        <x:v>795</x:v>
      </x:c>
      <x:c r="T1179" s="11" t="n">
        <x:v>806</x:v>
      </x:c>
    </x:row>
    <x:row r="1180" ht="23" customHeight="1">
      <x:c r="A1180" s="2" t="str">
        <x:v>Q02053</x:v>
      </x:c>
      <x:c r="B1180" s="2" t="str">
        <x:v>UN</x:v>
      </x:c>
      <x:c r="C1180" s="2" t="n">
        <x:v>1</x:v>
      </x:c>
      <x:c r="D1180" s="2" t="n">
        <x:v>1</x:v>
      </x:c>
      <x:c r="E1180" s="10" t="n">
        <x:v>92.13465973534971</x:v>
      </x:c>
      <x:c r="F1180" s="11" t="n">
        <x:v>1058</x:v>
      </x:c>
      <x:c r="G1180" s="11" t="n">
        <x:v>0</x:v>
      </x:c>
      <x:c r="H1180" s="11" t="n">
        <x:v>0</x:v>
      </x:c>
      <x:c r="I1180" s="11" t="n">
        <x:v>0</x:v>
      </x:c>
      <x:c r="J1180" s="11" t="n">
        <x:v>0</x:v>
      </x:c>
      <x:c r="K1180" s="11" t="n">
        <x:v>1</x:v>
      </x:c>
      <x:c r="L1180" s="11" t="n">
        <x:f>IF(B1180="NED",1,IF(OR(B1180="ED",B1180="UN"),0,""))</x:f>
        <x:v>0</x:v>
      </x:c>
      <x:c r="M1180" s="11" t="n">
        <x:f>IF(AND(K1180=1,OR(B1180="ED",B1180="NED")),1,0)</x:f>
        <x:v>0</x:v>
      </x:c>
      <x:c r="N1180" s="11" t="n">
        <x:f>IF(K1180=1,1,0)</x:f>
        <x:v>1</x:v>
      </x:c>
      <x:c r="O1180" s="12"/>
      <x:c r="P1180" s="11" t="n">
        <x:v>0</x:v>
      </x:c>
      <x:c r="Q1180" s="12" t="str">
        <x:v>AF-Q02053-F1-model_v6</x:v>
      </x:c>
      <x:c r="R1180" s="12" t="str">
        <x:v>ok</x:v>
      </x:c>
      <x:c r="S1180" s="11" t="n">
        <x:v>796</x:v>
      </x:c>
      <x:c r="T1180" s="11" t="n">
        <x:v>1058</x:v>
      </x:c>
    </x:row>
    <x:row r="1181" ht="23" customHeight="1">
      <x:c r="A1181" s="2" t="str">
        <x:v>Q02614</x:v>
      </x:c>
      <x:c r="B1181" s="2" t="str">
        <x:v>UN</x:v>
      </x:c>
      <x:c r="C1181" s="2" t="n">
        <x:v>0</x:v>
      </x:c>
      <x:c r="D1181" s="2" t="n">
        <x:v>0</x:v>
      </x:c>
      <x:c r="E1181" s="10" t="n">
        <x:v>64.79305194805194</x:v>
      </x:c>
      <x:c r="F1181" s="11" t="n">
        <x:v>308</x:v>
      </x:c>
      <x:c r="G1181" s="11" t="n">
        <x:v>0</x:v>
      </x:c>
      <x:c r="H1181" s="11" t="n">
        <x:v>0</x:v>
      </x:c>
      <x:c r="I1181" s="11" t="n">
        <x:v>0</x:v>
      </x:c>
      <x:c r="J1181" s="11" t="n">
        <x:v>0</x:v>
      </x:c>
      <x:c r="K1181" s="11" t="n">
        <x:v>0</x:v>
      </x:c>
      <x:c r="L1181" s="11" t="n">
        <x:f>IF(B1181="NED",1,IF(OR(B1181="ED",B1181="UN"),0,""))</x:f>
        <x:v>0</x:v>
      </x:c>
      <x:c r="M1181" s="11" t="n">
        <x:f>IF(AND(K1181=1,OR(B1181="ED",B1181="NED")),1,0)</x:f>
        <x:v>0</x:v>
      </x:c>
      <x:c r="N1181" s="11" t="n">
        <x:f>IF(K1181=1,1,0)</x:f>
        <x:v>0</x:v>
      </x:c>
      <x:c r="O1181" s="12" t="str">
        <x:v>Retain protein mean pLDDT &gt;=70</x:v>
      </x:c>
      <x:c r="P1181" s="11" t="n">
        <x:v>0</x:v>
      </x:c>
      <x:c r="Q1181" s="12" t="str">
        <x:v>AF-Q02614-F1-model_v6</x:v>
      </x:c>
      <x:c r="R1181" s="12" t="str">
        <x:v>ok</x:v>
      </x:c>
      <x:c r="S1181" s="11" t="n">
        <x:v>797</x:v>
      </x:c>
      <x:c r="T1181" s="11" t="n">
        <x:v>308</x:v>
      </x:c>
    </x:row>
    <x:row r="1182" ht="23" customHeight="1">
      <x:c r="A1182" s="2" t="str">
        <x:v>Q03145</x:v>
      </x:c>
      <x:c r="B1182" s="2" t="str">
        <x:v>NED</x:v>
      </x:c>
      <x:c r="C1182" s="2" t="n">
        <x:v>1</x:v>
      </x:c>
      <x:c r="D1182" s="2" t="n">
        <x:v>1</x:v>
      </x:c>
      <x:c r="E1182" s="10"/>
      <x:c r="F1182" s="11" t="n">
        <x:v>977</x:v>
      </x:c>
      <x:c r="G1182" s="11" t="n">
        <x:v>0</x:v>
      </x:c>
      <x:c r="H1182" s="11" t="n">
        <x:v>0</x:v>
      </x:c>
      <x:c r="I1182" s="11" t="n">
        <x:v>1</x:v>
      </x:c>
      <x:c r="J1182" s="11" t="n">
        <x:v>0</x:v>
      </x:c>
      <x:c r="K1182" s="11" t="n">
        <x:v>0</x:v>
      </x:c>
      <x:c r="L1182" s="11" t="n">
        <x:f>IF(B1182="NED",1,IF(OR(B1182="ED",B1182="UN"),0,""))</x:f>
        <x:v>1</x:v>
      </x:c>
      <x:c r="M1182" s="11" t="n">
        <x:f>IF(AND(K1182=1,OR(B1182="ED",B1182="NED")),1,0)</x:f>
        <x:v>0</x:v>
      </x:c>
      <x:c r="N1182" s="11" t="n">
        <x:f>IF(K1182=1,1,0)</x:f>
        <x:v>0</x:v>
      </x:c>
      <x:c r="O1182" s="12" t="str">
        <x:v>Exclude UniProt Membrane keyword</x:v>
      </x:c>
      <x:c r="P1182" s="11" t="n">
        <x:v>0</x:v>
      </x:c>
      <x:c r="Q1182" s="12" t="str">
        <x:v>AF-Q03145-F1-model_v6</x:v>
      </x:c>
      <x:c r="R1182" s="12" t="str">
        <x:v>ok</x:v>
      </x:c>
      <x:c r="S1182" s="11" t="n">
        <x:v>798</x:v>
      </x:c>
      <x:c r="T1182" s="11" t="n">
        <x:v>977</x:v>
      </x:c>
    </x:row>
    <x:row r="1183" ht="23" customHeight="1">
      <x:c r="A1183" s="2" t="str">
        <x:v>Q03147</x:v>
      </x:c>
      <x:c r="B1183" s="2" t="str">
        <x:v>ED</x:v>
      </x:c>
      <x:c r="C1183" s="2" t="n">
        <x:v>1</x:v>
      </x:c>
      <x:c r="D1183" s="2" t="n">
        <x:v>1</x:v>
      </x:c>
      <x:c r="E1183" s="10" t="n">
        <x:v>82.02956647398844</x:v>
      </x:c>
      <x:c r="F1183" s="11" t="n">
        <x:v>346</x:v>
      </x:c>
      <x:c r="G1183" s="11" t="n">
        <x:v>0</x:v>
      </x:c>
      <x:c r="H1183" s="11" t="n">
        <x:v>0</x:v>
      </x:c>
      <x:c r="I1183" s="11" t="n">
        <x:v>0</x:v>
      </x:c>
      <x:c r="J1183" s="11" t="n">
        <x:v>0</x:v>
      </x:c>
      <x:c r="K1183" s="11" t="n">
        <x:v>1</x:v>
      </x:c>
      <x:c r="L1183" s="11" t="n">
        <x:f>IF(B1183="NED",1,IF(OR(B1183="ED",B1183="UN"),0,""))</x:f>
        <x:v>0</x:v>
      </x:c>
      <x:c r="M1183" s="11" t="n">
        <x:f>IF(AND(K1183=1,OR(B1183="ED",B1183="NED")),1,0)</x:f>
        <x:v>1</x:v>
      </x:c>
      <x:c r="N1183" s="11" t="n">
        <x:f>IF(K1183=1,1,0)</x:f>
        <x:v>1</x:v>
      </x:c>
      <x:c r="O1183" s="12"/>
      <x:c r="P1183" s="11" t="n">
        <x:v>0</x:v>
      </x:c>
      <x:c r="Q1183" s="12" t="str">
        <x:v>AF-Q03147-F1-model_v6</x:v>
      </x:c>
      <x:c r="R1183" s="12" t="str">
        <x:v>ok</x:v>
      </x:c>
      <x:c r="S1183" s="11" t="n">
        <x:v>799</x:v>
      </x:c>
      <x:c r="T1183" s="11" t="n">
        <x:v>346</x:v>
      </x:c>
    </x:row>
    <x:row r="1184" ht="23" customHeight="1">
      <x:c r="A1184" s="2" t="str">
        <x:v>Q03173-6</x:v>
      </x:c>
      <x:c r="B1184" s="2" t="str">
        <x:v>UN</x:v>
      </x:c>
      <x:c r="C1184" s="2"/>
      <x:c r="D1184" s="2"/>
      <x:c r="E1184" s="10"/>
      <x:c r="F1184" s="11"/>
      <x:c r="G1184" s="11" t="n">
        <x:v>0</x:v>
      </x:c>
      <x:c r="H1184" s="11" t="n">
        <x:v>0</x:v>
      </x:c>
      <x:c r="I1184" s="11"/>
      <x:c r="J1184" s="11"/>
      <x:c r="K1184" s="11" t="n">
        <x:v>0</x:v>
      </x:c>
      <x:c r="L1184" s="11" t="n">
        <x:f>IF(B1184="NED",1,IF(OR(B1184="ED",B1184="UN"),0,""))</x:f>
        <x:v>0</x:v>
      </x:c>
      <x:c r="M1184" s="11" t="n">
        <x:f>IF(AND(K1184=1,OR(B1184="ED",B1184="NED")),1,0)</x:f>
        <x:v>0</x:v>
      </x:c>
      <x:c r="N1184" s="11" t="n">
        <x:f>IF(K1184=1,1,0)</x:f>
        <x:v>0</x:v>
      </x:c>
      <x:c r="O1184" s="12" t="str">
        <x:v>Require exact native accession match</x:v>
      </x:c>
      <x:c r="P1184" s="11" t="n">
        <x:v>0</x:v>
      </x:c>
      <x:c r="Q1184" s="12"/>
      <x:c r="R1184" s="12"/>
      <x:c r="S1184" s="11" t="n">
        <x:v>800</x:v>
      </x:c>
      <x:c r="T1184" s="11"/>
    </x:row>
    <x:row r="1185" ht="23" customHeight="1">
      <x:c r="A1185" s="2" t="str">
        <x:v>Q03265</x:v>
      </x:c>
      <x:c r="B1185" s="2" t="str">
        <x:v>UN</x:v>
      </x:c>
      <x:c r="C1185" s="2" t="n">
        <x:v>1</x:v>
      </x:c>
      <x:c r="D1185" s="2" t="n">
        <x:v>1</x:v>
      </x:c>
      <x:c r="E1185" s="10"/>
      <x:c r="F1185" s="11" t="n">
        <x:v>553</x:v>
      </x:c>
      <x:c r="G1185" s="11" t="n">
        <x:v>0</x:v>
      </x:c>
      <x:c r="H1185" s="11" t="n">
        <x:v>0</x:v>
      </x:c>
      <x:c r="I1185" s="11" t="n">
        <x:v>1</x:v>
      </x:c>
      <x:c r="J1185" s="11" t="n">
        <x:v>0</x:v>
      </x:c>
      <x:c r="K1185" s="11" t="n">
        <x:v>0</x:v>
      </x:c>
      <x:c r="L1185" s="11" t="n">
        <x:f>IF(B1185="NED",1,IF(OR(B1185="ED",B1185="UN"),0,""))</x:f>
        <x:v>0</x:v>
      </x:c>
      <x:c r="M1185" s="11" t="n">
        <x:f>IF(AND(K1185=1,OR(B1185="ED",B1185="NED")),1,0)</x:f>
        <x:v>0</x:v>
      </x:c>
      <x:c r="N1185" s="11" t="n">
        <x:f>IF(K1185=1,1,0)</x:f>
        <x:v>0</x:v>
      </x:c>
      <x:c r="O1185" s="12" t="str">
        <x:v>Exclude UniProt Membrane keyword</x:v>
      </x:c>
      <x:c r="P1185" s="11" t="n">
        <x:v>0</x:v>
      </x:c>
      <x:c r="Q1185" s="12" t="str">
        <x:v>AF-Q03265-F1-model_v6</x:v>
      </x:c>
      <x:c r="R1185" s="12" t="str">
        <x:v>ok</x:v>
      </x:c>
      <x:c r="S1185" s="11" t="n">
        <x:v>801</x:v>
      </x:c>
      <x:c r="T1185" s="11" t="n">
        <x:v>553</x:v>
      </x:c>
    </x:row>
    <x:row r="1186" ht="23" customHeight="1">
      <x:c r="A1186" s="2" t="str">
        <x:v>Q04207-2</x:v>
      </x:c>
      <x:c r="B1186" s="2" t="str">
        <x:v>UN</x:v>
      </x:c>
      <x:c r="C1186" s="2"/>
      <x:c r="D1186" s="2"/>
      <x:c r="E1186" s="10"/>
      <x:c r="F1186" s="11"/>
      <x:c r="G1186" s="11" t="n">
        <x:v>0</x:v>
      </x:c>
      <x:c r="H1186" s="11" t="n">
        <x:v>0</x:v>
      </x:c>
      <x:c r="I1186" s="11"/>
      <x:c r="J1186" s="11"/>
      <x:c r="K1186" s="11" t="n">
        <x:v>0</x:v>
      </x:c>
      <x:c r="L1186" s="11" t="n">
        <x:f>IF(B1186="NED",1,IF(OR(B1186="ED",B1186="UN"),0,""))</x:f>
        <x:v>0</x:v>
      </x:c>
      <x:c r="M1186" s="11" t="n">
        <x:f>IF(AND(K1186=1,OR(B1186="ED",B1186="NED")),1,0)</x:f>
        <x:v>0</x:v>
      </x:c>
      <x:c r="N1186" s="11" t="n">
        <x:f>IF(K1186=1,1,0)</x:f>
        <x:v>0</x:v>
      </x:c>
      <x:c r="O1186" s="12" t="str">
        <x:v>Require exact native accession match</x:v>
      </x:c>
      <x:c r="P1186" s="11" t="n">
        <x:v>0</x:v>
      </x:c>
      <x:c r="Q1186" s="12"/>
      <x:c r="R1186" s="12"/>
      <x:c r="S1186" s="11" t="n">
        <x:v>802</x:v>
      </x:c>
      <x:c r="T1186" s="11"/>
    </x:row>
    <x:row r="1187" ht="23" customHeight="1">
      <x:c r="A1187" s="2" t="str">
        <x:v>Q04690-2</x:v>
      </x:c>
      <x:c r="B1187" s="2" t="str">
        <x:v>ED</x:v>
      </x:c>
      <x:c r="C1187" s="2"/>
      <x:c r="D1187" s="2"/>
      <x:c r="E1187" s="10"/>
      <x:c r="F1187" s="11"/>
      <x:c r="G1187" s="11" t="n">
        <x:v>0</x:v>
      </x:c>
      <x:c r="H1187" s="11" t="n">
        <x:v>0</x:v>
      </x:c>
      <x:c r="I1187" s="11"/>
      <x:c r="J1187" s="11"/>
      <x:c r="K1187" s="11" t="n">
        <x:v>0</x:v>
      </x:c>
      <x:c r="L1187" s="11" t="n">
        <x:f>IF(B1187="NED",1,IF(OR(B1187="ED",B1187="UN"),0,""))</x:f>
        <x:v>0</x:v>
      </x:c>
      <x:c r="M1187" s="11" t="n">
        <x:f>IF(AND(K1187=1,OR(B1187="ED",B1187="NED")),1,0)</x:f>
        <x:v>0</x:v>
      </x:c>
      <x:c r="N1187" s="11" t="n">
        <x:f>IF(K1187=1,1,0)</x:f>
        <x:v>0</x:v>
      </x:c>
      <x:c r="O1187" s="12" t="str">
        <x:v>Require exact native accession match</x:v>
      </x:c>
      <x:c r="P1187" s="11" t="n">
        <x:v>0</x:v>
      </x:c>
      <x:c r="Q1187" s="12"/>
      <x:c r="R1187" s="12"/>
      <x:c r="S1187" s="11" t="n">
        <x:v>803</x:v>
      </x:c>
      <x:c r="T1187" s="11"/>
    </x:row>
    <x:row r="1188" ht="23" customHeight="1">
      <x:c r="A1188" s="2" t="str">
        <x:v>Q04692</x:v>
      </x:c>
      <x:c r="B1188" s="2" t="str">
        <x:v>UN</x:v>
      </x:c>
      <x:c r="C1188" s="2" t="n">
        <x:v>1</x:v>
      </x:c>
      <x:c r="D1188" s="2" t="n">
        <x:v>1</x:v>
      </x:c>
      <x:c r="E1188" s="10" t="n">
        <x:v>67.03025465230166</x:v>
      </x:c>
      <x:c r="F1188" s="11" t="n">
        <x:v>1021</x:v>
      </x:c>
      <x:c r="G1188" s="11" t="n">
        <x:v>0</x:v>
      </x:c>
      <x:c r="H1188" s="11" t="n">
        <x:v>0</x:v>
      </x:c>
      <x:c r="I1188" s="11" t="n">
        <x:v>0</x:v>
      </x:c>
      <x:c r="J1188" s="11" t="n">
        <x:v>0</x:v>
      </x:c>
      <x:c r="K1188" s="11" t="n">
        <x:v>0</x:v>
      </x:c>
      <x:c r="L1188" s="11" t="n">
        <x:f>IF(B1188="NED",1,IF(OR(B1188="ED",B1188="UN"),0,""))</x:f>
        <x:v>0</x:v>
      </x:c>
      <x:c r="M1188" s="11" t="n">
        <x:f>IF(AND(K1188=1,OR(B1188="ED",B1188="NED")),1,0)</x:f>
        <x:v>0</x:v>
      </x:c>
      <x:c r="N1188" s="11" t="n">
        <x:f>IF(K1188=1,1,0)</x:f>
        <x:v>0</x:v>
      </x:c>
      <x:c r="O1188" s="12" t="str">
        <x:v>Retain protein mean pLDDT &gt;=70</x:v>
      </x:c>
      <x:c r="P1188" s="11" t="n">
        <x:v>0</x:v>
      </x:c>
      <x:c r="Q1188" s="12" t="str">
        <x:v>AF-Q04692-F1-model_v6</x:v>
      </x:c>
      <x:c r="R1188" s="12" t="str">
        <x:v>ok</x:v>
      </x:c>
      <x:c r="S1188" s="11" t="n">
        <x:v>804</x:v>
      </x:c>
      <x:c r="T1188" s="11" t="n">
        <x:v>1021</x:v>
      </x:c>
    </x:row>
    <x:row r="1189" ht="23" customHeight="1">
      <x:c r="A1189" s="2" t="str">
        <x:v>Q04735-2</x:v>
      </x:c>
      <x:c r="B1189" s="2" t="str">
        <x:v>ED</x:v>
      </x:c>
      <x:c r="C1189" s="2"/>
      <x:c r="D1189" s="2"/>
      <x:c r="E1189" s="10"/>
      <x:c r="F1189" s="11"/>
      <x:c r="G1189" s="11" t="n">
        <x:v>0</x:v>
      </x:c>
      <x:c r="H1189" s="11" t="n">
        <x:v>0</x:v>
      </x:c>
      <x:c r="I1189" s="11"/>
      <x:c r="J1189" s="11"/>
      <x:c r="K1189" s="11" t="n">
        <x:v>0</x:v>
      </x:c>
      <x:c r="L1189" s="11" t="n">
        <x:f>IF(B1189="NED",1,IF(OR(B1189="ED",B1189="UN"),0,""))</x:f>
        <x:v>0</x:v>
      </x:c>
      <x:c r="M1189" s="11" t="n">
        <x:f>IF(AND(K1189=1,OR(B1189="ED",B1189="NED")),1,0)</x:f>
        <x:v>0</x:v>
      </x:c>
      <x:c r="N1189" s="11" t="n">
        <x:f>IF(K1189=1,1,0)</x:f>
        <x:v>0</x:v>
      </x:c>
      <x:c r="O1189" s="12" t="str">
        <x:v>Require exact native accession match</x:v>
      </x:c>
      <x:c r="P1189" s="11" t="n">
        <x:v>0</x:v>
      </x:c>
      <x:c r="Q1189" s="12"/>
      <x:c r="R1189" s="12"/>
      <x:c r="S1189" s="11" t="n">
        <x:v>805</x:v>
      </x:c>
      <x:c r="T1189" s="11"/>
    </x:row>
    <x:row r="1190" ht="23" customHeight="1">
      <x:c r="A1190" s="2" t="str">
        <x:v>Q05816</x:v>
      </x:c>
      <x:c r="B1190" s="2" t="str">
        <x:v>UN</x:v>
      </x:c>
      <x:c r="C1190" s="2" t="n">
        <x:v>0</x:v>
      </x:c>
      <x:c r="D1190" s="2" t="n">
        <x:v>0</x:v>
      </x:c>
      <x:c r="E1190" s="10"/>
      <x:c r="F1190" s="11" t="n">
        <x:v>135</x:v>
      </x:c>
      <x:c r="G1190" s="11" t="n">
        <x:v>0</x:v>
      </x:c>
      <x:c r="H1190" s="11" t="n">
        <x:v>0</x:v>
      </x:c>
      <x:c r="I1190" s="11" t="n">
        <x:v>0</x:v>
      </x:c>
      <x:c r="J1190" s="11" t="n">
        <x:v>1</x:v>
      </x:c>
      <x:c r="K1190" s="11" t="n">
        <x:v>0</x:v>
      </x:c>
      <x:c r="L1190" s="11" t="n">
        <x:f>IF(B1190="NED",1,IF(OR(B1190="ED",B1190="UN"),0,""))</x:f>
        <x:v>0</x:v>
      </x:c>
      <x:c r="M1190" s="11" t="n">
        <x:f>IF(AND(K1190=1,OR(B1190="ED",B1190="NED")),1,0)</x:f>
        <x:v>0</x:v>
      </x:c>
      <x:c r="N1190" s="11" t="n">
        <x:f>IF(K1190=1,1,0)</x:f>
        <x:v>0</x:v>
      </x:c>
      <x:c r="O1190" s="12" t="str">
        <x:v>Exclude UniProt Secreted keyword</x:v>
      </x:c>
      <x:c r="P1190" s="11" t="n">
        <x:v>0</x:v>
      </x:c>
      <x:c r="Q1190" s="12" t="str">
        <x:v>AF-Q05816-F1-model_v6</x:v>
      </x:c>
      <x:c r="R1190" s="12" t="str">
        <x:v>ok</x:v>
      </x:c>
      <x:c r="S1190" s="11" t="n">
        <x:v>806</x:v>
      </x:c>
      <x:c r="T1190" s="11" t="n">
        <x:v>135</x:v>
      </x:c>
    </x:row>
    <x:row r="1191" ht="23" customHeight="1">
      <x:c r="A1191" s="2" t="str">
        <x:v>Q05920</x:v>
      </x:c>
      <x:c r="B1191" s="2" t="str">
        <x:v>UN</x:v>
      </x:c>
      <x:c r="C1191" s="2" t="n">
        <x:v>1</x:v>
      </x:c>
      <x:c r="D1191" s="2" t="n">
        <x:v>1</x:v>
      </x:c>
      <x:c r="E1191" s="10" t="n">
        <x:v>90.35872665534804</x:v>
      </x:c>
      <x:c r="F1191" s="11" t="n">
        <x:v>1178</x:v>
      </x:c>
      <x:c r="G1191" s="11" t="n">
        <x:v>0</x:v>
      </x:c>
      <x:c r="H1191" s="11" t="n">
        <x:v>0</x:v>
      </x:c>
      <x:c r="I1191" s="11" t="n">
        <x:v>0</x:v>
      </x:c>
      <x:c r="J1191" s="11" t="n">
        <x:v>0</x:v>
      </x:c>
      <x:c r="K1191" s="11" t="n">
        <x:v>1</x:v>
      </x:c>
      <x:c r="L1191" s="11" t="n">
        <x:f>IF(B1191="NED",1,IF(OR(B1191="ED",B1191="UN"),0,""))</x:f>
        <x:v>0</x:v>
      </x:c>
      <x:c r="M1191" s="11" t="n">
        <x:f>IF(AND(K1191=1,OR(B1191="ED",B1191="NED")),1,0)</x:f>
        <x:v>0</x:v>
      </x:c>
      <x:c r="N1191" s="11" t="n">
        <x:f>IF(K1191=1,1,0)</x:f>
        <x:v>1</x:v>
      </x:c>
      <x:c r="O1191" s="12"/>
      <x:c r="P1191" s="11" t="n">
        <x:v>0</x:v>
      </x:c>
      <x:c r="Q1191" s="12" t="str">
        <x:v>AF-Q05920-F1-model_v6</x:v>
      </x:c>
      <x:c r="R1191" s="12" t="str">
        <x:v>ok</x:v>
      </x:c>
      <x:c r="S1191" s="11" t="n">
        <x:v>807</x:v>
      </x:c>
      <x:c r="T1191" s="11" t="n">
        <x:v>1178</x:v>
      </x:c>
    </x:row>
    <x:row r="1192" ht="23" customHeight="1">
      <x:c r="A1192" s="2" t="str">
        <x:v>Q05C51</x:v>
      </x:c>
      <x:c r="B1192" s="2" t="str">
        <x:v>UN</x:v>
      </x:c>
      <x:c r="C1192" s="2"/>
      <x:c r="D1192" s="2"/>
      <x:c r="E1192" s="10"/>
      <x:c r="F1192" s="11"/>
      <x:c r="G1192" s="11" t="n">
        <x:v>0</x:v>
      </x:c>
      <x:c r="H1192" s="11" t="n">
        <x:v>0</x:v>
      </x:c>
      <x:c r="I1192" s="11" t="n">
        <x:v>0</x:v>
      </x:c>
      <x:c r="J1192" s="11" t="n">
        <x:v>0</x:v>
      </x:c>
      <x:c r="K1192" s="11" t="n">
        <x:v>0</x:v>
      </x:c>
      <x:c r="L1192" s="11" t="n">
        <x:f>IF(B1192="NED",1,IF(OR(B1192="ED",B1192="UN"),0,""))</x:f>
        <x:v>0</x:v>
      </x:c>
      <x:c r="M1192" s="11" t="n">
        <x:f>IF(AND(K1192=1,OR(B1192="ED",B1192="NED")),1,0)</x:f>
        <x:v>0</x:v>
      </x:c>
      <x:c r="N1192" s="11" t="n">
        <x:f>IF(K1192=1,1,0)</x:f>
        <x:v>0</x:v>
      </x:c>
      <x:c r="O1192" s="12" t="str">
        <x:v>Require exact native accession match</x:v>
      </x:c>
      <x:c r="P1192" s="11" t="n">
        <x:v>0</x:v>
      </x:c>
      <x:c r="Q1192" s="12"/>
      <x:c r="R1192" s="12"/>
      <x:c r="S1192" s="11" t="n">
        <x:v>3127</x:v>
      </x:c>
      <x:c r="T1192" s="11" t="n">
        <x:v>254</x:v>
      </x:c>
    </x:row>
    <x:row r="1193" ht="23" customHeight="1">
      <x:c r="A1193" s="2" t="str">
        <x:v>Q05CL8</x:v>
      </x:c>
      <x:c r="B1193" s="2" t="str">
        <x:v>ED</x:v>
      </x:c>
      <x:c r="C1193" s="2" t="n">
        <x:v>1</x:v>
      </x:c>
      <x:c r="D1193" s="2" t="n">
        <x:v>1</x:v>
      </x:c>
      <x:c r="E1193" s="10" t="n">
        <x:v>68.40875438596491</x:v>
      </x:c>
      <x:c r="F1193" s="11" t="n">
        <x:v>570</x:v>
      </x:c>
      <x:c r="G1193" s="11" t="n">
        <x:v>0</x:v>
      </x:c>
      <x:c r="H1193" s="11" t="n">
        <x:v>0</x:v>
      </x:c>
      <x:c r="I1193" s="11" t="n">
        <x:v>0</x:v>
      </x:c>
      <x:c r="J1193" s="11" t="n">
        <x:v>0</x:v>
      </x:c>
      <x:c r="K1193" s="11" t="n">
        <x:v>0</x:v>
      </x:c>
      <x:c r="L1193" s="11" t="n">
        <x:f>IF(B1193="NED",1,IF(OR(B1193="ED",B1193="UN"),0,""))</x:f>
        <x:v>0</x:v>
      </x:c>
      <x:c r="M1193" s="11" t="n">
        <x:f>IF(AND(K1193=1,OR(B1193="ED",B1193="NED")),1,0)</x:f>
        <x:v>0</x:v>
      </x:c>
      <x:c r="N1193" s="11" t="n">
        <x:f>IF(K1193=1,1,0)</x:f>
        <x:v>0</x:v>
      </x:c>
      <x:c r="O1193" s="12" t="str">
        <x:v>Retain protein mean pLDDT &gt;=70</x:v>
      </x:c>
      <x:c r="P1193" s="11" t="n">
        <x:v>0</x:v>
      </x:c>
      <x:c r="Q1193" s="12" t="str">
        <x:v>AF-Q05CL8-F1-model_v6</x:v>
      </x:c>
      <x:c r="R1193" s="12" t="str">
        <x:v>ok</x:v>
      </x:c>
      <x:c r="S1193" s="11" t="n">
        <x:v>808</x:v>
      </x:c>
      <x:c r="T1193" s="11" t="n">
        <x:v>570</x:v>
      </x:c>
    </x:row>
    <x:row r="1194" ht="23" customHeight="1">
      <x:c r="A1194" s="2" t="str">
        <x:v>Q05D44</x:v>
      </x:c>
      <x:c r="B1194" s="2" t="str">
        <x:v>ED</x:v>
      </x:c>
      <x:c r="C1194" s="2" t="n">
        <x:v>1</x:v>
      </x:c>
      <x:c r="D1194" s="2" t="n">
        <x:v>1</x:v>
      </x:c>
      <x:c r="E1194" s="10" t="n">
        <x:v>65.99917763157895</x:v>
      </x:c>
      <x:c r="F1194" s="11" t="n">
        <x:v>1216</x:v>
      </x:c>
      <x:c r="G1194" s="11" t="n">
        <x:v>0</x:v>
      </x:c>
      <x:c r="H1194" s="11" t="n">
        <x:v>0</x:v>
      </x:c>
      <x:c r="I1194" s="11" t="n">
        <x:v>0</x:v>
      </x:c>
      <x:c r="J1194" s="11" t="n">
        <x:v>0</x:v>
      </x:c>
      <x:c r="K1194" s="11" t="n">
        <x:v>0</x:v>
      </x:c>
      <x:c r="L1194" s="11" t="n">
        <x:f>IF(B1194="NED",1,IF(OR(B1194="ED",B1194="UN"),0,""))</x:f>
        <x:v>0</x:v>
      </x:c>
      <x:c r="M1194" s="11" t="n">
        <x:f>IF(AND(K1194=1,OR(B1194="ED",B1194="NED")),1,0)</x:f>
        <x:v>0</x:v>
      </x:c>
      <x:c r="N1194" s="11" t="n">
        <x:f>IF(K1194=1,1,0)</x:f>
        <x:v>0</x:v>
      </x:c>
      <x:c r="O1194" s="12" t="str">
        <x:v>Retain protein mean pLDDT &gt;=70</x:v>
      </x:c>
      <x:c r="P1194" s="11" t="n">
        <x:v>0</x:v>
      </x:c>
      <x:c r="Q1194" s="12" t="str">
        <x:v>AF-Q05D44-F1-model_v6</x:v>
      </x:c>
      <x:c r="R1194" s="12" t="str">
        <x:v>ok</x:v>
      </x:c>
      <x:c r="S1194" s="11" t="n">
        <x:v>809</x:v>
      </x:c>
      <x:c r="T1194" s="11" t="n">
        <x:v>1216</x:v>
      </x:c>
    </x:row>
    <x:row r="1195" ht="23" customHeight="1">
      <x:c r="A1195" s="2" t="str">
        <x:v>Q06138</x:v>
      </x:c>
      <x:c r="B1195" s="2" t="str">
        <x:v>ED</x:v>
      </x:c>
      <x:c r="C1195" s="2" t="n">
        <x:v>0</x:v>
      </x:c>
      <x:c r="D1195" s="2" t="n">
        <x:v>0</x:v>
      </x:c>
      <x:c r="E1195" s="10" t="n">
        <x:v>94.60785923753666</x:v>
      </x:c>
      <x:c r="F1195" s="11" t="n">
        <x:v>341</x:v>
      </x:c>
      <x:c r="G1195" s="11" t="n">
        <x:v>0</x:v>
      </x:c>
      <x:c r="H1195" s="11" t="n">
        <x:v>0</x:v>
      </x:c>
      <x:c r="I1195" s="11" t="n">
        <x:v>0</x:v>
      </x:c>
      <x:c r="J1195" s="11" t="n">
        <x:v>0</x:v>
      </x:c>
      <x:c r="K1195" s="11" t="n">
        <x:v>1</x:v>
      </x:c>
      <x:c r="L1195" s="11" t="n">
        <x:f>IF(B1195="NED",1,IF(OR(B1195="ED",B1195="UN"),0,""))</x:f>
        <x:v>0</x:v>
      </x:c>
      <x:c r="M1195" s="11" t="n">
        <x:f>IF(AND(K1195=1,OR(B1195="ED",B1195="NED")),1,0)</x:f>
        <x:v>1</x:v>
      </x:c>
      <x:c r="N1195" s="11" t="n">
        <x:f>IF(K1195=1,1,0)</x:f>
        <x:v>1</x:v>
      </x:c>
      <x:c r="O1195" s="12"/>
      <x:c r="P1195" s="11" t="n">
        <x:v>0</x:v>
      </x:c>
      <x:c r="Q1195" s="12" t="str">
        <x:v>AF-Q06138-F1-model_v6</x:v>
      </x:c>
      <x:c r="R1195" s="12" t="str">
        <x:v>ok</x:v>
      </x:c>
      <x:c r="S1195" s="11" t="n">
        <x:v>810</x:v>
      </x:c>
      <x:c r="T1195" s="11" t="n">
        <x:v>341</x:v>
      </x:c>
    </x:row>
    <x:row r="1196" ht="23" customHeight="1">
      <x:c r="A1196" s="2" t="str">
        <x:v>Q06180-2</x:v>
      </x:c>
      <x:c r="B1196" s="2" t="str">
        <x:v>ED</x:v>
      </x:c>
      <x:c r="C1196" s="2"/>
      <x:c r="D1196" s="2"/>
      <x:c r="E1196" s="10"/>
      <x:c r="F1196" s="11"/>
      <x:c r="G1196" s="11" t="n">
        <x:v>0</x:v>
      </x:c>
      <x:c r="H1196" s="11" t="n">
        <x:v>0</x:v>
      </x:c>
      <x:c r="I1196" s="11"/>
      <x:c r="J1196" s="11"/>
      <x:c r="K1196" s="11" t="n">
        <x:v>0</x:v>
      </x:c>
      <x:c r="L1196" s="11" t="n">
        <x:f>IF(B1196="NED",1,IF(OR(B1196="ED",B1196="UN"),0,""))</x:f>
        <x:v>0</x:v>
      </x:c>
      <x:c r="M1196" s="11" t="n">
        <x:f>IF(AND(K1196=1,OR(B1196="ED",B1196="NED")),1,0)</x:f>
        <x:v>0</x:v>
      </x:c>
      <x:c r="N1196" s="11" t="n">
        <x:f>IF(K1196=1,1,0)</x:f>
        <x:v>0</x:v>
      </x:c>
      <x:c r="O1196" s="12" t="str">
        <x:v>Require exact native accession match</x:v>
      </x:c>
      <x:c r="P1196" s="11" t="n">
        <x:v>0</x:v>
      </x:c>
      <x:c r="Q1196" s="12"/>
      <x:c r="R1196" s="12"/>
      <x:c r="S1196" s="11" t="n">
        <x:v>811</x:v>
      </x:c>
      <x:c r="T1196" s="11"/>
    </x:row>
    <x:row r="1197" ht="23" customHeight="1">
      <x:c r="A1197" s="2" t="str">
        <x:v>Q06185</x:v>
      </x:c>
      <x:c r="B1197" s="2" t="str">
        <x:v>NED</x:v>
      </x:c>
      <x:c r="C1197" s="2" t="n">
        <x:v>0</x:v>
      </x:c>
      <x:c r="D1197" s="2" t="n">
        <x:v>0</x:v>
      </x:c>
      <x:c r="E1197" s="10"/>
      <x:c r="F1197" s="11" t="n">
        <x:v>71</x:v>
      </x:c>
      <x:c r="G1197" s="11" t="n">
        <x:v>0</x:v>
      </x:c>
      <x:c r="H1197" s="11" t="n">
        <x:v>0</x:v>
      </x:c>
      <x:c r="I1197" s="11" t="n">
        <x:v>1</x:v>
      </x:c>
      <x:c r="J1197" s="11" t="n">
        <x:v>0</x:v>
      </x:c>
      <x:c r="K1197" s="11" t="n">
        <x:v>0</x:v>
      </x:c>
      <x:c r="L1197" s="11" t="n">
        <x:f>IF(B1197="NED",1,IF(OR(B1197="ED",B1197="UN"),0,""))</x:f>
        <x:v>1</x:v>
      </x:c>
      <x:c r="M1197" s="11" t="n">
        <x:f>IF(AND(K1197=1,OR(B1197="ED",B1197="NED")),1,0)</x:f>
        <x:v>0</x:v>
      </x:c>
      <x:c r="N1197" s="11" t="n">
        <x:f>IF(K1197=1,1,0)</x:f>
        <x:v>0</x:v>
      </x:c>
      <x:c r="O1197" s="12" t="str">
        <x:v>Exclude UniProt Membrane keyword</x:v>
      </x:c>
      <x:c r="P1197" s="11" t="n">
        <x:v>0</x:v>
      </x:c>
      <x:c r="Q1197" s="12" t="str">
        <x:v>AF-Q06185-F1-model_v6</x:v>
      </x:c>
      <x:c r="R1197" s="12" t="str">
        <x:v>ok</x:v>
      </x:c>
      <x:c r="S1197" s="11" t="n">
        <x:v>812</x:v>
      </x:c>
      <x:c r="T1197" s="11" t="n">
        <x:v>71</x:v>
      </x:c>
    </x:row>
    <x:row r="1198" ht="23" customHeight="1">
      <x:c r="A1198" s="2" t="str">
        <x:v>Q07076</x:v>
      </x:c>
      <x:c r="B1198" s="2" t="str">
        <x:v>UN</x:v>
      </x:c>
      <x:c r="C1198" s="2" t="n">
        <x:v>0</x:v>
      </x:c>
      <x:c r="D1198" s="2" t="n">
        <x:v>0</x:v>
      </x:c>
      <x:c r="E1198" s="10" t="n">
        <x:v>78.79704103671706</x:v>
      </x:c>
      <x:c r="F1198" s="11" t="n">
        <x:v>463</x:v>
      </x:c>
      <x:c r="G1198" s="11" t="n">
        <x:v>0</x:v>
      </x:c>
      <x:c r="H1198" s="11" t="n">
        <x:v>0</x:v>
      </x:c>
      <x:c r="I1198" s="11" t="n">
        <x:v>0</x:v>
      </x:c>
      <x:c r="J1198" s="11" t="n">
        <x:v>0</x:v>
      </x:c>
      <x:c r="K1198" s="11" t="n">
        <x:v>1</x:v>
      </x:c>
      <x:c r="L1198" s="11" t="n">
        <x:f>IF(B1198="NED",1,IF(OR(B1198="ED",B1198="UN"),0,""))</x:f>
        <x:v>0</x:v>
      </x:c>
      <x:c r="M1198" s="11" t="n">
        <x:f>IF(AND(K1198=1,OR(B1198="ED",B1198="NED")),1,0)</x:f>
        <x:v>0</x:v>
      </x:c>
      <x:c r="N1198" s="11" t="n">
        <x:f>IF(K1198=1,1,0)</x:f>
        <x:v>1</x:v>
      </x:c>
      <x:c r="O1198" s="12"/>
      <x:c r="P1198" s="11" t="n">
        <x:v>0</x:v>
      </x:c>
      <x:c r="Q1198" s="12" t="str">
        <x:v>AF-Q07076-F1-model_v6</x:v>
      </x:c>
      <x:c r="R1198" s="12" t="str">
        <x:v>ok</x:v>
      </x:c>
      <x:c r="S1198" s="11" t="n">
        <x:v>813</x:v>
      </x:c>
      <x:c r="T1198" s="11" t="n">
        <x:v>463</x:v>
      </x:c>
    </x:row>
    <x:row r="1199" ht="23" customHeight="1">
      <x:c r="A1199" s="2" t="str">
        <x:v>Q07417</x:v>
      </x:c>
      <x:c r="B1199" s="2" t="str">
        <x:v>UN</x:v>
      </x:c>
      <x:c r="C1199" s="2" t="n">
        <x:v>1</x:v>
      </x:c>
      <x:c r="D1199" s="2" t="n">
        <x:v>1</x:v>
      </x:c>
      <x:c r="E1199" s="10" t="n">
        <x:v>93.91429611650486</x:v>
      </x:c>
      <x:c r="F1199" s="11" t="n">
        <x:v>412</x:v>
      </x:c>
      <x:c r="G1199" s="11" t="n">
        <x:v>0</x:v>
      </x:c>
      <x:c r="H1199" s="11" t="n">
        <x:v>0</x:v>
      </x:c>
      <x:c r="I1199" s="11" t="n">
        <x:v>0</x:v>
      </x:c>
      <x:c r="J1199" s="11" t="n">
        <x:v>0</x:v>
      </x:c>
      <x:c r="K1199" s="11" t="n">
        <x:v>1</x:v>
      </x:c>
      <x:c r="L1199" s="11" t="n">
        <x:f>IF(B1199="NED",1,IF(OR(B1199="ED",B1199="UN"),0,""))</x:f>
        <x:v>0</x:v>
      </x:c>
      <x:c r="M1199" s="11" t="n">
        <x:f>IF(AND(K1199=1,OR(B1199="ED",B1199="NED")),1,0)</x:f>
        <x:v>0</x:v>
      </x:c>
      <x:c r="N1199" s="11" t="n">
        <x:f>IF(K1199=1,1,0)</x:f>
        <x:v>1</x:v>
      </x:c>
      <x:c r="O1199" s="12"/>
      <x:c r="P1199" s="11" t="n">
        <x:v>0</x:v>
      </x:c>
      <x:c r="Q1199" s="12" t="str">
        <x:v>AF-Q07417-F1-model_v6</x:v>
      </x:c>
      <x:c r="R1199" s="12" t="str">
        <x:v>ok</x:v>
      </x:c>
      <x:c r="S1199" s="11" t="n">
        <x:v>814</x:v>
      </x:c>
      <x:c r="T1199" s="11" t="n">
        <x:v>412</x:v>
      </x:c>
    </x:row>
    <x:row r="1200" ht="23" customHeight="1">
      <x:c r="A1200" s="2" t="str">
        <x:v>Q07797</x:v>
      </x:c>
      <x:c r="B1200" s="2" t="str">
        <x:v>UN</x:v>
      </x:c>
      <x:c r="C1200" s="2" t="n">
        <x:v>1</x:v>
      </x:c>
      <x:c r="D1200" s="2" t="n">
        <x:v>1</x:v>
      </x:c>
      <x:c r="E1200" s="10"/>
      <x:c r="F1200" s="11" t="n">
        <x:v>577</x:v>
      </x:c>
      <x:c r="G1200" s="11" t="n">
        <x:v>0</x:v>
      </x:c>
      <x:c r="H1200" s="11" t="n">
        <x:v>1</x:v>
      </x:c>
      <x:c r="I1200" s="11" t="n">
        <x:v>0</x:v>
      </x:c>
      <x:c r="J1200" s="11" t="n">
        <x:v>1</x:v>
      </x:c>
      <x:c r="K1200" s="11" t="n">
        <x:v>0</x:v>
      </x:c>
      <x:c r="L1200" s="11" t="n">
        <x:f>IF(B1200="NED",1,IF(OR(B1200="ED",B1200="UN"),0,""))</x:f>
        <x:v>0</x:v>
      </x:c>
      <x:c r="M1200" s="11" t="n">
        <x:f>IF(AND(K1200=1,OR(B1200="ED",B1200="NED")),1,0)</x:f>
        <x:v>0</x:v>
      </x:c>
      <x:c r="N1200" s="11" t="n">
        <x:f>IF(K1200=1,1,0)</x:f>
        <x:v>0</x:v>
      </x:c>
      <x:c r="O1200" s="12" t="str">
        <x:v>Exclude supplied or detected covalent lassos</x:v>
      </x:c>
      <x:c r="P1200" s="11" t="n">
        <x:v>0</x:v>
      </x:c>
      <x:c r="Q1200" s="12" t="str">
        <x:v>AF-Q07797-F1-model_v6</x:v>
      </x:c>
      <x:c r="R1200" s="12" t="str">
        <x:v>ok</x:v>
      </x:c>
      <x:c r="S1200" s="11" t="n">
        <x:v>815</x:v>
      </x:c>
      <x:c r="T1200" s="11" t="n">
        <x:v>577</x:v>
      </x:c>
    </x:row>
    <x:row r="1201" ht="23" customHeight="1">
      <x:c r="A1201" s="2" t="str">
        <x:v>Q07813</x:v>
      </x:c>
      <x:c r="B1201" s="2" t="str">
        <x:v>ED</x:v>
      </x:c>
      <x:c r="C1201" s="2" t="n">
        <x:v>1</x:v>
      </x:c>
      <x:c r="D1201" s="2" t="n">
        <x:v>1</x:v>
      </x:c>
      <x:c r="E1201" s="10"/>
      <x:c r="F1201" s="11" t="n">
        <x:v>192</x:v>
      </x:c>
      <x:c r="G1201" s="11" t="n">
        <x:v>0</x:v>
      </x:c>
      <x:c r="H1201" s="11" t="n">
        <x:v>0</x:v>
      </x:c>
      <x:c r="I1201" s="11" t="n">
        <x:v>1</x:v>
      </x:c>
      <x:c r="J1201" s="11" t="n">
        <x:v>0</x:v>
      </x:c>
      <x:c r="K1201" s="11" t="n">
        <x:v>0</x:v>
      </x:c>
      <x:c r="L1201" s="11" t="n">
        <x:f>IF(B1201="NED",1,IF(OR(B1201="ED",B1201="UN"),0,""))</x:f>
        <x:v>0</x:v>
      </x:c>
      <x:c r="M1201" s="11" t="n">
        <x:f>IF(AND(K1201=1,OR(B1201="ED",B1201="NED")),1,0)</x:f>
        <x:v>0</x:v>
      </x:c>
      <x:c r="N1201" s="11" t="n">
        <x:f>IF(K1201=1,1,0)</x:f>
        <x:v>0</x:v>
      </x:c>
      <x:c r="O1201" s="12" t="str">
        <x:v>Exclude UniProt Membrane keyword</x:v>
      </x:c>
      <x:c r="P1201" s="11" t="n">
        <x:v>0</x:v>
      </x:c>
      <x:c r="Q1201" s="12" t="str">
        <x:v>AF-Q07813-F1-model_v6</x:v>
      </x:c>
      <x:c r="R1201" s="12" t="str">
        <x:v>ok</x:v>
      </x:c>
      <x:c r="S1201" s="11" t="n">
        <x:v>816</x:v>
      </x:c>
      <x:c r="T1201" s="11" t="n">
        <x:v>192</x:v>
      </x:c>
    </x:row>
    <x:row r="1202" ht="23" customHeight="1">
      <x:c r="A1202" s="2" t="str">
        <x:v>Q07832</x:v>
      </x:c>
      <x:c r="B1202" s="2" t="str">
        <x:v>ED</x:v>
      </x:c>
      <x:c r="C1202" s="2" t="n">
        <x:v>1</x:v>
      </x:c>
      <x:c r="D1202" s="2" t="n">
        <x:v>1</x:v>
      </x:c>
      <x:c r="E1202" s="10" t="n">
        <x:v>84.45940298507462</x:v>
      </x:c>
      <x:c r="F1202" s="11" t="n">
        <x:v>603</x:v>
      </x:c>
      <x:c r="G1202" s="11" t="n">
        <x:v>0</x:v>
      </x:c>
      <x:c r="H1202" s="11" t="n">
        <x:v>0</x:v>
      </x:c>
      <x:c r="I1202" s="11" t="n">
        <x:v>0</x:v>
      </x:c>
      <x:c r="J1202" s="11" t="n">
        <x:v>0</x:v>
      </x:c>
      <x:c r="K1202" s="11" t="n">
        <x:v>1</x:v>
      </x:c>
      <x:c r="L1202" s="11" t="n">
        <x:f>IF(B1202="NED",1,IF(OR(B1202="ED",B1202="UN"),0,""))</x:f>
        <x:v>0</x:v>
      </x:c>
      <x:c r="M1202" s="11" t="n">
        <x:f>IF(AND(K1202=1,OR(B1202="ED",B1202="NED")),1,0)</x:f>
        <x:v>1</x:v>
      </x:c>
      <x:c r="N1202" s="11" t="n">
        <x:f>IF(K1202=1,1,0)</x:f>
        <x:v>1</x:v>
      </x:c>
      <x:c r="O1202" s="12"/>
      <x:c r="P1202" s="11" t="n">
        <x:v>0</x:v>
      </x:c>
      <x:c r="Q1202" s="12" t="str">
        <x:v>AF-Q07832-F1-model_v6</x:v>
      </x:c>
      <x:c r="R1202" s="12" t="str">
        <x:v>ok</x:v>
      </x:c>
      <x:c r="S1202" s="11" t="n">
        <x:v>817</x:v>
      </x:c>
      <x:c r="T1202" s="11" t="n">
        <x:v>603</x:v>
      </x:c>
    </x:row>
    <x:row r="1203" ht="23" customHeight="1">
      <x:c r="A1203" s="2" t="str">
        <x:v>Q08024-2</x:v>
      </x:c>
      <x:c r="B1203" s="2" t="str">
        <x:v>UN</x:v>
      </x:c>
      <x:c r="C1203" s="2"/>
      <x:c r="D1203" s="2"/>
      <x:c r="E1203" s="10"/>
      <x:c r="F1203" s="11"/>
      <x:c r="G1203" s="11" t="n">
        <x:v>0</x:v>
      </x:c>
      <x:c r="H1203" s="11" t="n">
        <x:v>0</x:v>
      </x:c>
      <x:c r="I1203" s="11"/>
      <x:c r="J1203" s="11"/>
      <x:c r="K1203" s="11" t="n">
        <x:v>0</x:v>
      </x:c>
      <x:c r="L1203" s="11" t="n">
        <x:f>IF(B1203="NED",1,IF(OR(B1203="ED",B1203="UN"),0,""))</x:f>
        <x:v>0</x:v>
      </x:c>
      <x:c r="M1203" s="11" t="n">
        <x:f>IF(AND(K1203=1,OR(B1203="ED",B1203="NED")),1,0)</x:f>
        <x:v>0</x:v>
      </x:c>
      <x:c r="N1203" s="11" t="n">
        <x:f>IF(K1203=1,1,0)</x:f>
        <x:v>0</x:v>
      </x:c>
      <x:c r="O1203" s="12" t="str">
        <x:v>Require exact native accession match</x:v>
      </x:c>
      <x:c r="P1203" s="11" t="n">
        <x:v>0</x:v>
      </x:c>
      <x:c r="Q1203" s="12"/>
      <x:c r="R1203" s="12"/>
      <x:c r="S1203" s="11" t="n">
        <x:v>818</x:v>
      </x:c>
      <x:c r="T1203" s="11"/>
    </x:row>
    <x:row r="1204" ht="23" customHeight="1">
      <x:c r="A1204" s="2" t="str">
        <x:v>Q08093</x:v>
      </x:c>
      <x:c r="B1204" s="2" t="str">
        <x:v>UN</x:v>
      </x:c>
      <x:c r="C1204" s="2" t="n">
        <x:v>0</x:v>
      </x:c>
      <x:c r="D1204" s="2" t="n">
        <x:v>0</x:v>
      </x:c>
      <x:c r="E1204" s="10" t="n">
        <x:v>69.21701639344262</x:v>
      </x:c>
      <x:c r="F1204" s="11" t="n">
        <x:v>305</x:v>
      </x:c>
      <x:c r="G1204" s="11" t="n">
        <x:v>0</x:v>
      </x:c>
      <x:c r="H1204" s="11" t="n">
        <x:v>0</x:v>
      </x:c>
      <x:c r="I1204" s="11" t="n">
        <x:v>0</x:v>
      </x:c>
      <x:c r="J1204" s="11" t="n">
        <x:v>0</x:v>
      </x:c>
      <x:c r="K1204" s="11" t="n">
        <x:v>0</x:v>
      </x:c>
      <x:c r="L1204" s="11" t="n">
        <x:f>IF(B1204="NED",1,IF(OR(B1204="ED",B1204="UN"),0,""))</x:f>
        <x:v>0</x:v>
      </x:c>
      <x:c r="M1204" s="11" t="n">
        <x:f>IF(AND(K1204=1,OR(B1204="ED",B1204="NED")),1,0)</x:f>
        <x:v>0</x:v>
      </x:c>
      <x:c r="N1204" s="11" t="n">
        <x:f>IF(K1204=1,1,0)</x:f>
        <x:v>0</x:v>
      </x:c>
      <x:c r="O1204" s="12" t="str">
        <x:v>Retain protein mean pLDDT &gt;=70</x:v>
      </x:c>
      <x:c r="P1204" s="11" t="n">
        <x:v>0</x:v>
      </x:c>
      <x:c r="Q1204" s="12" t="str">
        <x:v>AF-Q08093-F1-model_v6</x:v>
      </x:c>
      <x:c r="R1204" s="12" t="str">
        <x:v>ok</x:v>
      </x:c>
      <x:c r="S1204" s="11" t="n">
        <x:v>819</x:v>
      </x:c>
      <x:c r="T1204" s="11" t="n">
        <x:v>305</x:v>
      </x:c>
    </x:row>
    <x:row r="1205" ht="23" customHeight="1">
      <x:c r="A1205" s="2" t="str">
        <x:v>Q08288</x:v>
      </x:c>
      <x:c r="B1205" s="2" t="str">
        <x:v>UN</x:v>
      </x:c>
      <x:c r="C1205" s="2" t="n">
        <x:v>0</x:v>
      </x:c>
      <x:c r="D1205" s="2" t="n">
        <x:v>0</x:v>
      </x:c>
      <x:c r="E1205" s="10" t="n">
        <x:v>67.99788659793815</x:v>
      </x:c>
      <x:c r="F1205" s="11" t="n">
        <x:v>388</x:v>
      </x:c>
      <x:c r="G1205" s="11" t="n">
        <x:v>0</x:v>
      </x:c>
      <x:c r="H1205" s="11" t="n">
        <x:v>0</x:v>
      </x:c>
      <x:c r="I1205" s="11" t="n">
        <x:v>0</x:v>
      </x:c>
      <x:c r="J1205" s="11" t="n">
        <x:v>0</x:v>
      </x:c>
      <x:c r="K1205" s="11" t="n">
        <x:v>0</x:v>
      </x:c>
      <x:c r="L1205" s="11" t="n">
        <x:f>IF(B1205="NED",1,IF(OR(B1205="ED",B1205="UN"),0,""))</x:f>
        <x:v>0</x:v>
      </x:c>
      <x:c r="M1205" s="11" t="n">
        <x:f>IF(AND(K1205=1,OR(B1205="ED",B1205="NED")),1,0)</x:f>
        <x:v>0</x:v>
      </x:c>
      <x:c r="N1205" s="11" t="n">
        <x:f>IF(K1205=1,1,0)</x:f>
        <x:v>0</x:v>
      </x:c>
      <x:c r="O1205" s="12" t="str">
        <x:v>Retain protein mean pLDDT &gt;=70</x:v>
      </x:c>
      <x:c r="P1205" s="11" t="n">
        <x:v>0</x:v>
      </x:c>
      <x:c r="Q1205" s="12" t="str">
        <x:v>AF-Q08288-F1-model_v6</x:v>
      </x:c>
      <x:c r="R1205" s="12" t="str">
        <x:v>ok</x:v>
      </x:c>
      <x:c r="S1205" s="11" t="n">
        <x:v>820</x:v>
      </x:c>
      <x:c r="T1205" s="11" t="n">
        <x:v>388</x:v>
      </x:c>
    </x:row>
    <x:row r="1206" ht="23" customHeight="1">
      <x:c r="A1206" s="2" t="str">
        <x:v>Q08369</x:v>
      </x:c>
      <x:c r="B1206" s="2" t="str">
        <x:v>UN</x:v>
      </x:c>
      <x:c r="C1206" s="2" t="n">
        <x:v>0</x:v>
      </x:c>
      <x:c r="D1206" s="2" t="n">
        <x:v>0</x:v>
      </x:c>
      <x:c r="E1206" s="10" t="n">
        <x:v>56.98471655328798</x:v>
      </x:c>
      <x:c r="F1206" s="11" t="n">
        <x:v>441</x:v>
      </x:c>
      <x:c r="G1206" s="11" t="n">
        <x:v>0</x:v>
      </x:c>
      <x:c r="H1206" s="11" t="n">
        <x:v>0</x:v>
      </x:c>
      <x:c r="I1206" s="11" t="n">
        <x:v>0</x:v>
      </x:c>
      <x:c r="J1206" s="11" t="n">
        <x:v>0</x:v>
      </x:c>
      <x:c r="K1206" s="11" t="n">
        <x:v>0</x:v>
      </x:c>
      <x:c r="L1206" s="11" t="n">
        <x:f>IF(B1206="NED",1,IF(OR(B1206="ED",B1206="UN"),0,""))</x:f>
        <x:v>0</x:v>
      </x:c>
      <x:c r="M1206" s="11" t="n">
        <x:f>IF(AND(K1206=1,OR(B1206="ED",B1206="NED")),1,0)</x:f>
        <x:v>0</x:v>
      </x:c>
      <x:c r="N1206" s="11" t="n">
        <x:f>IF(K1206=1,1,0)</x:f>
        <x:v>0</x:v>
      </x:c>
      <x:c r="O1206" s="12" t="str">
        <x:v>Retain protein mean pLDDT &gt;=70</x:v>
      </x:c>
      <x:c r="P1206" s="11" t="n">
        <x:v>0</x:v>
      </x:c>
      <x:c r="Q1206" s="12" t="str">
        <x:v>AF-Q08369-F1-model_v6</x:v>
      </x:c>
      <x:c r="R1206" s="12" t="str">
        <x:v>ok</x:v>
      </x:c>
      <x:c r="S1206" s="11" t="n">
        <x:v>821</x:v>
      </x:c>
      <x:c r="T1206" s="11" t="n">
        <x:v>441</x:v>
      </x:c>
    </x:row>
    <x:row r="1207" ht="23" customHeight="1">
      <x:c r="A1207" s="2" t="str">
        <x:v>Q08509</x:v>
      </x:c>
      <x:c r="B1207" s="2" t="str">
        <x:v>UN</x:v>
      </x:c>
      <x:c r="C1207" s="2" t="n">
        <x:v>1</x:v>
      </x:c>
      <x:c r="D1207" s="2" t="n">
        <x:v>1</x:v>
      </x:c>
      <x:c r="E1207" s="10"/>
      <x:c r="F1207" s="11" t="n">
        <x:v>821</x:v>
      </x:c>
      <x:c r="G1207" s="11" t="n">
        <x:v>0</x:v>
      </x:c>
      <x:c r="H1207" s="11" t="n">
        <x:v>0</x:v>
      </x:c>
      <x:c r="I1207" s="11" t="n">
        <x:v>1</x:v>
      </x:c>
      <x:c r="J1207" s="11" t="n">
        <x:v>0</x:v>
      </x:c>
      <x:c r="K1207" s="11" t="n">
        <x:v>0</x:v>
      </x:c>
      <x:c r="L1207" s="11" t="n">
        <x:f>IF(B1207="NED",1,IF(OR(B1207="ED",B1207="UN"),0,""))</x:f>
        <x:v>0</x:v>
      </x:c>
      <x:c r="M1207" s="11" t="n">
        <x:f>IF(AND(K1207=1,OR(B1207="ED",B1207="NED")),1,0)</x:f>
        <x:v>0</x:v>
      </x:c>
      <x:c r="N1207" s="11" t="n">
        <x:f>IF(K1207=1,1,0)</x:f>
        <x:v>0</x:v>
      </x:c>
      <x:c r="O1207" s="12" t="str">
        <x:v>Exclude UniProt Membrane keyword</x:v>
      </x:c>
      <x:c r="P1207" s="11" t="n">
        <x:v>0</x:v>
      </x:c>
      <x:c r="Q1207" s="12" t="str">
        <x:v>AF-Q08509-F1-model_v6</x:v>
      </x:c>
      <x:c r="R1207" s="12" t="str">
        <x:v>ok</x:v>
      </x:c>
      <x:c r="S1207" s="11" t="n">
        <x:v>822</x:v>
      </x:c>
      <x:c r="T1207" s="11" t="n">
        <x:v>821</x:v>
      </x:c>
    </x:row>
    <x:row r="1208" ht="23" customHeight="1">
      <x:c r="A1208" s="2" t="str">
        <x:v>Q08639</x:v>
      </x:c>
      <x:c r="B1208" s="2" t="str">
        <x:v>ED</x:v>
      </x:c>
      <x:c r="C1208" s="2" t="n">
        <x:v>0</x:v>
      </x:c>
      <x:c r="D1208" s="2" t="n">
        <x:v>0</x:v>
      </x:c>
      <x:c r="E1208" s="10" t="n">
        <x:v>69.34521951219513</x:v>
      </x:c>
      <x:c r="F1208" s="11" t="n">
        <x:v>410</x:v>
      </x:c>
      <x:c r="G1208" s="11" t="n">
        <x:v>0</x:v>
      </x:c>
      <x:c r="H1208" s="11" t="n">
        <x:v>0</x:v>
      </x:c>
      <x:c r="I1208" s="11" t="n">
        <x:v>0</x:v>
      </x:c>
      <x:c r="J1208" s="11" t="n">
        <x:v>0</x:v>
      </x:c>
      <x:c r="K1208" s="11" t="n">
        <x:v>0</x:v>
      </x:c>
      <x:c r="L1208" s="11" t="n">
        <x:f>IF(B1208="NED",1,IF(OR(B1208="ED",B1208="UN"),0,""))</x:f>
        <x:v>0</x:v>
      </x:c>
      <x:c r="M1208" s="11" t="n">
        <x:f>IF(AND(K1208=1,OR(B1208="ED",B1208="NED")),1,0)</x:f>
        <x:v>0</x:v>
      </x:c>
      <x:c r="N1208" s="11" t="n">
        <x:f>IF(K1208=1,1,0)</x:f>
        <x:v>0</x:v>
      </x:c>
      <x:c r="O1208" s="12" t="str">
        <x:v>Retain protein mean pLDDT &gt;=70</x:v>
      </x:c>
      <x:c r="P1208" s="11" t="n">
        <x:v>0</x:v>
      </x:c>
      <x:c r="Q1208" s="12" t="str">
        <x:v>AF-Q08639-F1-model_v6</x:v>
      </x:c>
      <x:c r="R1208" s="12" t="str">
        <x:v>ok</x:v>
      </x:c>
      <x:c r="S1208" s="11" t="n">
        <x:v>823</x:v>
      </x:c>
      <x:c r="T1208" s="11" t="n">
        <x:v>410</x:v>
      </x:c>
    </x:row>
    <x:row r="1209" ht="23" customHeight="1">
      <x:c r="A1209" s="2" t="str">
        <x:v>Q09XV5</x:v>
      </x:c>
      <x:c r="B1209" s="2" t="str">
        <x:v>UN</x:v>
      </x:c>
      <x:c r="C1209" s="2" t="n">
        <x:v>1</x:v>
      </x:c>
      <x:c r="D1209" s="2" t="n">
        <x:v>1</x:v>
      </x:c>
      <x:c r="E1209" s="10" t="n">
        <x:v>53.93111541440744</x:v>
      </x:c>
      <x:c r="F1209" s="11" t="n">
        <x:v>2582</x:v>
      </x:c>
      <x:c r="G1209" s="11" t="n">
        <x:v>0</x:v>
      </x:c>
      <x:c r="H1209" s="11" t="n">
        <x:v>0</x:v>
      </x:c>
      <x:c r="I1209" s="11" t="n">
        <x:v>0</x:v>
      </x:c>
      <x:c r="J1209" s="11" t="n">
        <x:v>0</x:v>
      </x:c>
      <x:c r="K1209" s="11" t="n">
        <x:v>0</x:v>
      </x:c>
      <x:c r="L1209" s="11" t="n">
        <x:f>IF(B1209="NED",1,IF(OR(B1209="ED",B1209="UN"),0,""))</x:f>
        <x:v>0</x:v>
      </x:c>
      <x:c r="M1209" s="11" t="n">
        <x:f>IF(AND(K1209=1,OR(B1209="ED",B1209="NED")),1,0)</x:f>
        <x:v>0</x:v>
      </x:c>
      <x:c r="N1209" s="11" t="n">
        <x:f>IF(K1209=1,1,0)</x:f>
        <x:v>0</x:v>
      </x:c>
      <x:c r="O1209" s="12" t="str">
        <x:v>Retain protein mean pLDDT &gt;=70</x:v>
      </x:c>
      <x:c r="P1209" s="11" t="n">
        <x:v>0</x:v>
      </x:c>
      <x:c r="Q1209" s="12" t="str">
        <x:v>AF-Q09XV5-F1-model_v6</x:v>
      </x:c>
      <x:c r="R1209" s="12" t="str">
        <x:v>ok</x:v>
      </x:c>
      <x:c r="S1209" s="11" t="n">
        <x:v>824</x:v>
      </x:c>
      <x:c r="T1209" s="11" t="n">
        <x:v>2582</x:v>
      </x:c>
    </x:row>
    <x:row r="1210" ht="23" customHeight="1">
      <x:c r="A1210" s="2" t="str">
        <x:v>Q0KL02</x:v>
      </x:c>
      <x:c r="B1210" s="2" t="str">
        <x:v>ED</x:v>
      </x:c>
      <x:c r="C1210" s="2"/>
      <x:c r="D1210" s="2"/>
      <x:c r="E1210" s="10"/>
      <x:c r="F1210" s="11"/>
      <x:c r="G1210" s="11" t="n">
        <x:v>0</x:v>
      </x:c>
      <x:c r="H1210" s="11" t="n">
        <x:v>0</x:v>
      </x:c>
      <x:c r="I1210" s="11" t="n">
        <x:v>0</x:v>
      </x:c>
      <x:c r="J1210" s="11" t="n">
        <x:v>0</x:v>
      </x:c>
      <x:c r="K1210" s="11" t="n">
        <x:v>0</x:v>
      </x:c>
      <x:c r="L1210" s="11" t="n">
        <x:f>IF(B1210="NED",1,IF(OR(B1210="ED",B1210="UN"),0,""))</x:f>
        <x:v>0</x:v>
      </x:c>
      <x:c r="M1210" s="11" t="n">
        <x:f>IF(AND(K1210=1,OR(B1210="ED",B1210="NED")),1,0)</x:f>
        <x:v>0</x:v>
      </x:c>
      <x:c r="N1210" s="11" t="n">
        <x:f>IF(K1210=1,1,0)</x:f>
        <x:v>0</x:v>
      </x:c>
      <x:c r="O1210" s="12" t="str">
        <x:v>Require exact native accession match</x:v>
      </x:c>
      <x:c r="P1210" s="11" t="n">
        <x:v>0</x:v>
      </x:c>
      <x:c r="Q1210" s="12"/>
      <x:c r="R1210" s="12"/>
      <x:c r="S1210" s="11" t="n">
        <x:v>825</x:v>
      </x:c>
      <x:c r="T1210" s="11" t="n">
        <x:v>3102</x:v>
      </x:c>
    </x:row>
    <x:row r="1211" ht="23" customHeight="1">
      <x:c r="A1211" s="2" t="str">
        <x:v>Q0P688</x:v>
      </x:c>
      <x:c r="B1211" s="2" t="str">
        <x:v>ED</x:v>
      </x:c>
      <x:c r="C1211" s="2"/>
      <x:c r="D1211" s="2"/>
      <x:c r="E1211" s="10"/>
      <x:c r="F1211" s="11"/>
      <x:c r="G1211" s="11" t="n">
        <x:v>0</x:v>
      </x:c>
      <x:c r="H1211" s="11" t="n">
        <x:v>0</x:v>
      </x:c>
      <x:c r="I1211" s="11" t="n">
        <x:v>0</x:v>
      </x:c>
      <x:c r="J1211" s="11" t="n">
        <x:v>0</x:v>
      </x:c>
      <x:c r="K1211" s="11" t="n">
        <x:v>0</x:v>
      </x:c>
      <x:c r="L1211" s="11" t="n">
        <x:f>IF(B1211="NED",1,IF(OR(B1211="ED",B1211="UN"),0,""))</x:f>
        <x:v>0</x:v>
      </x:c>
      <x:c r="M1211" s="11" t="n">
        <x:f>IF(AND(K1211=1,OR(B1211="ED",B1211="NED")),1,0)</x:f>
        <x:v>0</x:v>
      </x:c>
      <x:c r="N1211" s="11" t="n">
        <x:f>IF(K1211=1,1,0)</x:f>
        <x:v>0</x:v>
      </x:c>
      <x:c r="O1211" s="12" t="str">
        <x:v>Require exact native accession match</x:v>
      </x:c>
      <x:c r="P1211" s="11" t="n">
        <x:v>0</x:v>
      </x:c>
      <x:c r="Q1211" s="12"/>
      <x:c r="R1211" s="12"/>
      <x:c r="S1211" s="11" t="n">
        <x:v>3128</x:v>
      </x:c>
      <x:c r="T1211" s="11" t="n">
        <x:v>240</x:v>
      </x:c>
    </x:row>
    <x:row r="1212" ht="23" customHeight="1">
      <x:c r="A1212" s="2" t="str">
        <x:v>Q0PD20</x:v>
      </x:c>
      <x:c r="B1212" s="2" t="str">
        <x:v>UN</x:v>
      </x:c>
      <x:c r="C1212" s="2"/>
      <x:c r="D1212" s="2"/>
      <x:c r="E1212" s="10"/>
      <x:c r="F1212" s="11"/>
      <x:c r="G1212" s="11" t="n">
        <x:v>0</x:v>
      </x:c>
      <x:c r="H1212" s="11" t="n">
        <x:v>0</x:v>
      </x:c>
      <x:c r="I1212" s="11" t="n">
        <x:v>1</x:v>
      </x:c>
      <x:c r="J1212" s="11" t="n">
        <x:v>0</x:v>
      </x:c>
      <x:c r="K1212" s="11" t="n">
        <x:v>0</x:v>
      </x:c>
      <x:c r="L1212" s="11" t="n">
        <x:f>IF(B1212="NED",1,IF(OR(B1212="ED",B1212="UN"),0,""))</x:f>
        <x:v>0</x:v>
      </x:c>
      <x:c r="M1212" s="11" t="n">
        <x:f>IF(AND(K1212=1,OR(B1212="ED",B1212="NED")),1,0)</x:f>
        <x:v>0</x:v>
      </x:c>
      <x:c r="N1212" s="11" t="n">
        <x:f>IF(K1212=1,1,0)</x:f>
        <x:v>0</x:v>
      </x:c>
      <x:c r="O1212" s="12" t="str">
        <x:v>Require exact native accession match</x:v>
      </x:c>
      <x:c r="P1212" s="11" t="n">
        <x:v>0</x:v>
      </x:c>
      <x:c r="Q1212" s="12"/>
      <x:c r="R1212" s="12"/>
      <x:c r="S1212" s="11" t="n">
        <x:v>3129</x:v>
      </x:c>
      <x:c r="T1212" s="11" t="n">
        <x:v>259</x:v>
      </x:c>
    </x:row>
    <x:row r="1213" ht="23" customHeight="1">
      <x:c r="A1213" s="2" t="str">
        <x:v>Q0VBL3</x:v>
      </x:c>
      <x:c r="B1213" s="2" t="str">
        <x:v>ED</x:v>
      </x:c>
      <x:c r="C1213" s="2" t="n">
        <x:v>1</x:v>
      </x:c>
      <x:c r="D1213" s="2" t="n">
        <x:v>1</x:v>
      </x:c>
      <x:c r="E1213" s="10"/>
      <x:c r="F1213" s="11" t="n">
        <x:v>962</x:v>
      </x:c>
      <x:c r="G1213" s="11" t="n">
        <x:v>0</x:v>
      </x:c>
      <x:c r="H1213" s="11" t="n">
        <x:v>0</x:v>
      </x:c>
      <x:c r="I1213" s="11" t="n">
        <x:v>1</x:v>
      </x:c>
      <x:c r="J1213" s="11" t="n">
        <x:v>0</x:v>
      </x:c>
      <x:c r="K1213" s="11" t="n">
        <x:v>0</x:v>
      </x:c>
      <x:c r="L1213" s="11" t="n">
        <x:f>IF(B1213="NED",1,IF(OR(B1213="ED",B1213="UN"),0,""))</x:f>
        <x:v>0</x:v>
      </x:c>
      <x:c r="M1213" s="11" t="n">
        <x:f>IF(AND(K1213=1,OR(B1213="ED",B1213="NED")),1,0)</x:f>
        <x:v>0</x:v>
      </x:c>
      <x:c r="N1213" s="11" t="n">
        <x:f>IF(K1213=1,1,0)</x:f>
        <x:v>0</x:v>
      </x:c>
      <x:c r="O1213" s="12" t="str">
        <x:v>Exclude UniProt Membrane keyword</x:v>
      </x:c>
      <x:c r="P1213" s="11" t="n">
        <x:v>0</x:v>
      </x:c>
      <x:c r="Q1213" s="12" t="str">
        <x:v>AF-Q0VBL3-F1-model_v6</x:v>
      </x:c>
      <x:c r="R1213" s="12" t="str">
        <x:v>ok</x:v>
      </x:c>
      <x:c r="S1213" s="11" t="n">
        <x:v>3130</x:v>
      </x:c>
      <x:c r="T1213" s="11" t="n">
        <x:v>962</x:v>
      </x:c>
    </x:row>
    <x:row r="1214" ht="23" customHeight="1">
      <x:c r="A1214" s="2" t="str">
        <x:v>Q0VGB7</x:v>
      </x:c>
      <x:c r="B1214" s="2" t="str">
        <x:v>UN</x:v>
      </x:c>
      <x:c r="C1214" s="2" t="n">
        <x:v>0</x:v>
      </x:c>
      <x:c r="D1214" s="2" t="n">
        <x:v>0</x:v>
      </x:c>
      <x:c r="E1214" s="10" t="n">
        <x:v>62.32335731414868</x:v>
      </x:c>
      <x:c r="F1214" s="11" t="n">
        <x:v>417</x:v>
      </x:c>
      <x:c r="G1214" s="11" t="n">
        <x:v>0</x:v>
      </x:c>
      <x:c r="H1214" s="11" t="n">
        <x:v>0</x:v>
      </x:c>
      <x:c r="I1214" s="11" t="n">
        <x:v>0</x:v>
      </x:c>
      <x:c r="J1214" s="11" t="n">
        <x:v>0</x:v>
      </x:c>
      <x:c r="K1214" s="11" t="n">
        <x:v>0</x:v>
      </x:c>
      <x:c r="L1214" s="11" t="n">
        <x:f>IF(B1214="NED",1,IF(OR(B1214="ED",B1214="UN"),0,""))</x:f>
        <x:v>0</x:v>
      </x:c>
      <x:c r="M1214" s="11" t="n">
        <x:f>IF(AND(K1214=1,OR(B1214="ED",B1214="NED")),1,0)</x:f>
        <x:v>0</x:v>
      </x:c>
      <x:c r="N1214" s="11" t="n">
        <x:f>IF(K1214=1,1,0)</x:f>
        <x:v>0</x:v>
      </x:c>
      <x:c r="O1214" s="12" t="str">
        <x:v>Retain protein mean pLDDT &gt;=70</x:v>
      </x:c>
      <x:c r="P1214" s="11" t="n">
        <x:v>0</x:v>
      </x:c>
      <x:c r="Q1214" s="12" t="str">
        <x:v>AF-Q0VGB7-F1-model_v6</x:v>
      </x:c>
      <x:c r="R1214" s="12" t="str">
        <x:v>ok</x:v>
      </x:c>
      <x:c r="S1214" s="11" t="n">
        <x:v>826</x:v>
      </x:c>
      <x:c r="T1214" s="11" t="n">
        <x:v>417</x:v>
      </x:c>
    </x:row>
    <x:row r="1215" ht="23" customHeight="1">
      <x:c r="A1215" s="2" t="str">
        <x:v>Q11011</x:v>
      </x:c>
      <x:c r="B1215" s="2" t="str">
        <x:v>NED</x:v>
      </x:c>
      <x:c r="C1215" s="2" t="n">
        <x:v>1</x:v>
      </x:c>
      <x:c r="D1215" s="2" t="n">
        <x:v>1</x:v>
      </x:c>
      <x:c r="E1215" s="10" t="n">
        <x:v>91.62320652173914</x:v>
      </x:c>
      <x:c r="F1215" s="11" t="n">
        <x:v>920</x:v>
      </x:c>
      <x:c r="G1215" s="11" t="n">
        <x:v>0</x:v>
      </x:c>
      <x:c r="H1215" s="11" t="n">
        <x:v>0</x:v>
      </x:c>
      <x:c r="I1215" s="11" t="n">
        <x:v>0</x:v>
      </x:c>
      <x:c r="J1215" s="11" t="n">
        <x:v>0</x:v>
      </x:c>
      <x:c r="K1215" s="11" t="n">
        <x:v>1</x:v>
      </x:c>
      <x:c r="L1215" s="11" t="n">
        <x:f>IF(B1215="NED",1,IF(OR(B1215="ED",B1215="UN"),0,""))</x:f>
        <x:v>1</x:v>
      </x:c>
      <x:c r="M1215" s="11" t="n">
        <x:f>IF(AND(K1215=1,OR(B1215="ED",B1215="NED")),1,0)</x:f>
        <x:v>1</x:v>
      </x:c>
      <x:c r="N1215" s="11" t="n">
        <x:f>IF(K1215=1,1,0)</x:f>
        <x:v>1</x:v>
      </x:c>
      <x:c r="O1215" s="12"/>
      <x:c r="P1215" s="11" t="n">
        <x:v>0</x:v>
      </x:c>
      <x:c r="Q1215" s="12" t="str">
        <x:v>AF-Q11011-F1-model_v6</x:v>
      </x:c>
      <x:c r="R1215" s="12" t="str">
        <x:v>ok</x:v>
      </x:c>
      <x:c r="S1215" s="11" t="n">
        <x:v>827</x:v>
      </x:c>
      <x:c r="T1215" s="11" t="n">
        <x:v>920</x:v>
      </x:c>
    </x:row>
    <x:row r="1216" ht="23" customHeight="1">
      <x:c r="A1216" s="2" t="str">
        <x:v>Q148V7-2</x:v>
      </x:c>
      <x:c r="B1216" s="2" t="str">
        <x:v>UN</x:v>
      </x:c>
      <x:c r="C1216" s="2"/>
      <x:c r="D1216" s="2"/>
      <x:c r="E1216" s="10"/>
      <x:c r="F1216" s="11"/>
      <x:c r="G1216" s="11" t="n">
        <x:v>0</x:v>
      </x:c>
      <x:c r="H1216" s="11" t="n">
        <x:v>0</x:v>
      </x:c>
      <x:c r="I1216" s="11"/>
      <x:c r="J1216" s="11"/>
      <x:c r="K1216" s="11" t="n">
        <x:v>0</x:v>
      </x:c>
      <x:c r="L1216" s="11" t="n">
        <x:f>IF(B1216="NED",1,IF(OR(B1216="ED",B1216="UN"),0,""))</x:f>
        <x:v>0</x:v>
      </x:c>
      <x:c r="M1216" s="11" t="n">
        <x:f>IF(AND(K1216=1,OR(B1216="ED",B1216="NED")),1,0)</x:f>
        <x:v>0</x:v>
      </x:c>
      <x:c r="N1216" s="11" t="n">
        <x:f>IF(K1216=1,1,0)</x:f>
        <x:v>0</x:v>
      </x:c>
      <x:c r="O1216" s="12" t="str">
        <x:v>Require exact native accession match</x:v>
      </x:c>
      <x:c r="P1216" s="11" t="n">
        <x:v>0</x:v>
      </x:c>
      <x:c r="Q1216" s="12"/>
      <x:c r="R1216" s="12"/>
      <x:c r="S1216" s="11" t="n">
        <x:v>828</x:v>
      </x:c>
      <x:c r="T1216" s="11"/>
    </x:row>
    <x:row r="1217" ht="23" customHeight="1">
      <x:c r="A1217" s="2" t="str">
        <x:v>Q148V8</x:v>
      </x:c>
      <x:c r="B1217" s="2" t="str">
        <x:v>ED</x:v>
      </x:c>
      <x:c r="C1217" s="2" t="n">
        <x:v>1</x:v>
      </x:c>
      <x:c r="D1217" s="2" t="n">
        <x:v>1</x:v>
      </x:c>
      <x:c r="E1217" s="10" t="n">
        <x:v>48.78033085194375</x:v>
      </x:c>
      <x:c r="F1217" s="11" t="n">
        <x:v>1209</x:v>
      </x:c>
      <x:c r="G1217" s="11" t="n">
        <x:v>0</x:v>
      </x:c>
      <x:c r="H1217" s="11" t="n">
        <x:v>0</x:v>
      </x:c>
      <x:c r="I1217" s="11" t="n">
        <x:v>0</x:v>
      </x:c>
      <x:c r="J1217" s="11" t="n">
        <x:v>0</x:v>
      </x:c>
      <x:c r="K1217" s="11" t="n">
        <x:v>0</x:v>
      </x:c>
      <x:c r="L1217" s="11" t="n">
        <x:f>IF(B1217="NED",1,IF(OR(B1217="ED",B1217="UN"),0,""))</x:f>
        <x:v>0</x:v>
      </x:c>
      <x:c r="M1217" s="11" t="n">
        <x:f>IF(AND(K1217=1,OR(B1217="ED",B1217="NED")),1,0)</x:f>
        <x:v>0</x:v>
      </x:c>
      <x:c r="N1217" s="11" t="n">
        <x:f>IF(K1217=1,1,0)</x:f>
        <x:v>0</x:v>
      </x:c>
      <x:c r="O1217" s="12" t="str">
        <x:v>Retain protein mean pLDDT &gt;=70</x:v>
      </x:c>
      <x:c r="P1217" s="11" t="n">
        <x:v>0</x:v>
      </x:c>
      <x:c r="Q1217" s="12" t="str">
        <x:v>AF-Q148V8-F1-model_v6</x:v>
      </x:c>
      <x:c r="R1217" s="12" t="str">
        <x:v>ok</x:v>
      </x:c>
      <x:c r="S1217" s="11" t="n">
        <x:v>829</x:v>
      </x:c>
      <x:c r="T1217" s="11" t="n">
        <x:v>1209</x:v>
      </x:c>
    </x:row>
    <x:row r="1218" ht="23" customHeight="1">
      <x:c r="A1218" s="2" t="str">
        <x:v>Q14AX6-3</x:v>
      </x:c>
      <x:c r="B1218" s="2" t="str">
        <x:v>ED</x:v>
      </x:c>
      <x:c r="C1218" s="2"/>
      <x:c r="D1218" s="2"/>
      <x:c r="E1218" s="10"/>
      <x:c r="F1218" s="11"/>
      <x:c r="G1218" s="11" t="n">
        <x:v>0</x:v>
      </x:c>
      <x:c r="H1218" s="11" t="n">
        <x:v>0</x:v>
      </x:c>
      <x:c r="I1218" s="11"/>
      <x:c r="J1218" s="11"/>
      <x:c r="K1218" s="11" t="n">
        <x:v>0</x:v>
      </x:c>
      <x:c r="L1218" s="11" t="n">
        <x:f>IF(B1218="NED",1,IF(OR(B1218="ED",B1218="UN"),0,""))</x:f>
        <x:v>0</x:v>
      </x:c>
      <x:c r="M1218" s="11" t="n">
        <x:f>IF(AND(K1218=1,OR(B1218="ED",B1218="NED")),1,0)</x:f>
        <x:v>0</x:v>
      </x:c>
      <x:c r="N1218" s="11" t="n">
        <x:f>IF(K1218=1,1,0)</x:f>
        <x:v>0</x:v>
      </x:c>
      <x:c r="O1218" s="12" t="str">
        <x:v>Require exact native accession match</x:v>
      </x:c>
      <x:c r="P1218" s="11" t="n">
        <x:v>0</x:v>
      </x:c>
      <x:c r="Q1218" s="12"/>
      <x:c r="R1218" s="12"/>
      <x:c r="S1218" s="11" t="n">
        <x:v>830</x:v>
      </x:c>
      <x:c r="T1218" s="11"/>
    </x:row>
    <x:row r="1219" ht="23" customHeight="1">
      <x:c r="A1219" s="2" t="str">
        <x:v>Q14C51</x:v>
      </x:c>
      <x:c r="B1219" s="2" t="str">
        <x:v>UN</x:v>
      </x:c>
      <x:c r="C1219" s="2" t="n">
        <x:v>0</x:v>
      </x:c>
      <x:c r="D1219" s="2" t="n">
        <x:v>0</x:v>
      </x:c>
      <x:c r="E1219" s="10" t="n">
        <x:v>81.34414598540145</x:v>
      </x:c>
      <x:c r="F1219" s="11" t="n">
        <x:v>685</x:v>
      </x:c>
      <x:c r="G1219" s="11" t="n">
        <x:v>0</x:v>
      </x:c>
      <x:c r="H1219" s="11" t="n">
        <x:v>0</x:v>
      </x:c>
      <x:c r="I1219" s="11" t="n">
        <x:v>0</x:v>
      </x:c>
      <x:c r="J1219" s="11" t="n">
        <x:v>0</x:v>
      </x:c>
      <x:c r="K1219" s="11" t="n">
        <x:v>1</x:v>
      </x:c>
      <x:c r="L1219" s="11" t="n">
        <x:f>IF(B1219="NED",1,IF(OR(B1219="ED",B1219="UN"),0,""))</x:f>
        <x:v>0</x:v>
      </x:c>
      <x:c r="M1219" s="11" t="n">
        <x:f>IF(AND(K1219=1,OR(B1219="ED",B1219="NED")),1,0)</x:f>
        <x:v>0</x:v>
      </x:c>
      <x:c r="N1219" s="11" t="n">
        <x:f>IF(K1219=1,1,0)</x:f>
        <x:v>1</x:v>
      </x:c>
      <x:c r="O1219" s="12"/>
      <x:c r="P1219" s="11" t="n">
        <x:v>0</x:v>
      </x:c>
      <x:c r="Q1219" s="12" t="str">
        <x:v>AF-Q14C51-F1-model_v6</x:v>
      </x:c>
      <x:c r="R1219" s="12" t="str">
        <x:v>ok</x:v>
      </x:c>
      <x:c r="S1219" s="11" t="n">
        <x:v>831</x:v>
      </x:c>
      <x:c r="T1219" s="11" t="n">
        <x:v>685</x:v>
      </x:c>
    </x:row>
    <x:row r="1220" ht="23" customHeight="1">
      <x:c r="A1220" s="2" t="str">
        <x:v>Q1HFZ0</x:v>
      </x:c>
      <x:c r="B1220" s="2" t="str">
        <x:v>UN</x:v>
      </x:c>
      <x:c r="C1220" s="2" t="n">
        <x:v>1</x:v>
      </x:c>
      <x:c r="D1220" s="2" t="n">
        <x:v>1</x:v>
      </x:c>
      <x:c r="E1220" s="10"/>
      <x:c r="F1220" s="11" t="n">
        <x:v>757</x:v>
      </x:c>
      <x:c r="G1220" s="11" t="n">
        <x:v>0</x:v>
      </x:c>
      <x:c r="H1220" s="11" t="n">
        <x:v>0</x:v>
      </x:c>
      <x:c r="I1220" s="11" t="n">
        <x:v>0</x:v>
      </x:c>
      <x:c r="J1220" s="11" t="n">
        <x:v>1</x:v>
      </x:c>
      <x:c r="K1220" s="11" t="n">
        <x:v>0</x:v>
      </x:c>
      <x:c r="L1220" s="11" t="n">
        <x:f>IF(B1220="NED",1,IF(OR(B1220="ED",B1220="UN"),0,""))</x:f>
        <x:v>0</x:v>
      </x:c>
      <x:c r="M1220" s="11" t="n">
        <x:f>IF(AND(K1220=1,OR(B1220="ED",B1220="NED")),1,0)</x:f>
        <x:v>0</x:v>
      </x:c>
      <x:c r="N1220" s="11" t="n">
        <x:f>IF(K1220=1,1,0)</x:f>
        <x:v>0</x:v>
      </x:c>
      <x:c r="O1220" s="12" t="str">
        <x:v>Exclude UniProt Secreted keyword</x:v>
      </x:c>
      <x:c r="P1220" s="11" t="n">
        <x:v>0</x:v>
      </x:c>
      <x:c r="Q1220" s="12" t="str">
        <x:v>AF-Q1HFZ0-F1-model_v6</x:v>
      </x:c>
      <x:c r="R1220" s="12" t="str">
        <x:v>ok</x:v>
      </x:c>
      <x:c r="S1220" s="11" t="n">
        <x:v>832</x:v>
      </x:c>
      <x:c r="T1220" s="11" t="n">
        <x:v>757</x:v>
      </x:c>
    </x:row>
    <x:row r="1221" ht="23" customHeight="1">
      <x:c r="A1221" s="2" t="str">
        <x:v>Q2KN98</x:v>
      </x:c>
      <x:c r="B1221" s="2" t="str">
        <x:v>ED</x:v>
      </x:c>
      <x:c r="C1221" s="2" t="n">
        <x:v>0</x:v>
      </x:c>
      <x:c r="D1221" s="2" t="n">
        <x:v>0</x:v>
      </x:c>
      <x:c r="E1221" s="10" t="n">
        <x:v>65.4392128801431</x:v>
      </x:c>
      <x:c r="F1221" s="11" t="n">
        <x:v>1118</x:v>
      </x:c>
      <x:c r="G1221" s="11" t="n">
        <x:v>0</x:v>
      </x:c>
      <x:c r="H1221" s="11" t="n">
        <x:v>0</x:v>
      </x:c>
      <x:c r="I1221" s="11" t="n">
        <x:v>0</x:v>
      </x:c>
      <x:c r="J1221" s="11" t="n">
        <x:v>0</x:v>
      </x:c>
      <x:c r="K1221" s="11" t="n">
        <x:v>0</x:v>
      </x:c>
      <x:c r="L1221" s="11" t="n">
        <x:f>IF(B1221="NED",1,IF(OR(B1221="ED",B1221="UN"),0,""))</x:f>
        <x:v>0</x:v>
      </x:c>
      <x:c r="M1221" s="11" t="n">
        <x:f>IF(AND(K1221=1,OR(B1221="ED",B1221="NED")),1,0)</x:f>
        <x:v>0</x:v>
      </x:c>
      <x:c r="N1221" s="11" t="n">
        <x:f>IF(K1221=1,1,0)</x:f>
        <x:v>0</x:v>
      </x:c>
      <x:c r="O1221" s="12" t="str">
        <x:v>Retain protein mean pLDDT &gt;=70</x:v>
      </x:c>
      <x:c r="P1221" s="11" t="n">
        <x:v>0</x:v>
      </x:c>
      <x:c r="Q1221" s="12" t="str">
        <x:v>AF-Q2KN98-F1-model_v6</x:v>
      </x:c>
      <x:c r="R1221" s="12" t="str">
        <x:v>ok</x:v>
      </x:c>
      <x:c r="S1221" s="11" t="n">
        <x:v>833</x:v>
      </x:c>
      <x:c r="T1221" s="11" t="n">
        <x:v>1118</x:v>
      </x:c>
    </x:row>
    <x:row r="1222" ht="23" customHeight="1">
      <x:c r="A1222" s="2" t="str">
        <x:v>Q2TBE6</x:v>
      </x:c>
      <x:c r="B1222" s="2" t="str">
        <x:v>UN</x:v>
      </x:c>
      <x:c r="C1222" s="2" t="n">
        <x:v>1</x:v>
      </x:c>
      <x:c r="D1222" s="2" t="n">
        <x:v>1</x:v>
      </x:c>
      <x:c r="E1222" s="10"/>
      <x:c r="F1222" s="11" t="n">
        <x:v>479</x:v>
      </x:c>
      <x:c r="G1222" s="11" t="n">
        <x:v>0</x:v>
      </x:c>
      <x:c r="H1222" s="11" t="n">
        <x:v>0</x:v>
      </x:c>
      <x:c r="I1222" s="11" t="n">
        <x:v>1</x:v>
      </x:c>
      <x:c r="J1222" s="11" t="n">
        <x:v>0</x:v>
      </x:c>
      <x:c r="K1222" s="11" t="n">
        <x:v>0</x:v>
      </x:c>
      <x:c r="L1222" s="11" t="n">
        <x:f>IF(B1222="NED",1,IF(OR(B1222="ED",B1222="UN"),0,""))</x:f>
        <x:v>0</x:v>
      </x:c>
      <x:c r="M1222" s="11" t="n">
        <x:f>IF(AND(K1222=1,OR(B1222="ED",B1222="NED")),1,0)</x:f>
        <x:v>0</x:v>
      </x:c>
      <x:c r="N1222" s="11" t="n">
        <x:f>IF(K1222=1,1,0)</x:f>
        <x:v>0</x:v>
      </x:c>
      <x:c r="O1222" s="12" t="str">
        <x:v>Exclude UniProt Membrane keyword</x:v>
      </x:c>
      <x:c r="P1222" s="11" t="n">
        <x:v>0</x:v>
      </x:c>
      <x:c r="Q1222" s="12" t="str">
        <x:v>AF-Q2TBE6-F1-model_v6</x:v>
      </x:c>
      <x:c r="R1222" s="12" t="str">
        <x:v>ok</x:v>
      </x:c>
      <x:c r="S1222" s="11" t="n">
        <x:v>834</x:v>
      </x:c>
      <x:c r="T1222" s="11" t="n">
        <x:v>479</x:v>
      </x:c>
    </x:row>
    <x:row r="1223" ht="23" customHeight="1">
      <x:c r="A1223" s="2" t="str">
        <x:v>Q2YDW2</x:v>
      </x:c>
      <x:c r="B1223" s="2" t="str">
        <x:v>ED</x:v>
      </x:c>
      <x:c r="C1223" s="2" t="n">
        <x:v>1</x:v>
      </x:c>
      <x:c r="D1223" s="2" t="n">
        <x:v>1</x:v>
      </x:c>
      <x:c r="E1223" s="10"/>
      <x:c r="F1223" s="11" t="n">
        <x:v>556</x:v>
      </x:c>
      <x:c r="G1223" s="11" t="n">
        <x:v>0</x:v>
      </x:c>
      <x:c r="H1223" s="11" t="n">
        <x:v>0</x:v>
      </x:c>
      <x:c r="I1223" s="11" t="n">
        <x:v>1</x:v>
      </x:c>
      <x:c r="J1223" s="11" t="n">
        <x:v>0</x:v>
      </x:c>
      <x:c r="K1223" s="11" t="n">
        <x:v>0</x:v>
      </x:c>
      <x:c r="L1223" s="11" t="n">
        <x:f>IF(B1223="NED",1,IF(OR(B1223="ED",B1223="UN"),0,""))</x:f>
        <x:v>0</x:v>
      </x:c>
      <x:c r="M1223" s="11" t="n">
        <x:f>IF(AND(K1223=1,OR(B1223="ED",B1223="NED")),1,0)</x:f>
        <x:v>0</x:v>
      </x:c>
      <x:c r="N1223" s="11" t="n">
        <x:f>IF(K1223=1,1,0)</x:f>
        <x:v>0</x:v>
      </x:c>
      <x:c r="O1223" s="12" t="str">
        <x:v>Exclude UniProt Membrane keyword</x:v>
      </x:c>
      <x:c r="P1223" s="11" t="n">
        <x:v>0</x:v>
      </x:c>
      <x:c r="Q1223" s="12" t="str">
        <x:v>AF-Q2YDW2-F1-model_v6</x:v>
      </x:c>
      <x:c r="R1223" s="12" t="str">
        <x:v>ok</x:v>
      </x:c>
      <x:c r="S1223" s="11" t="n">
        <x:v>835</x:v>
      </x:c>
      <x:c r="T1223" s="11" t="n">
        <x:v>556</x:v>
      </x:c>
    </x:row>
    <x:row r="1224" ht="23" customHeight="1">
      <x:c r="A1224" s="2" t="str">
        <x:v>Q3B7Z2</x:v>
      </x:c>
      <x:c r="B1224" s="2" t="str">
        <x:v>UN</x:v>
      </x:c>
      <x:c r="C1224" s="2" t="n">
        <x:v>1</x:v>
      </x:c>
      <x:c r="D1224" s="2" t="n">
        <x:v>1</x:v>
      </x:c>
      <x:c r="E1224" s="10"/>
      <x:c r="F1224" s="11" t="n">
        <x:v>805</x:v>
      </x:c>
      <x:c r="G1224" s="11" t="n">
        <x:v>0</x:v>
      </x:c>
      <x:c r="H1224" s="11" t="n">
        <x:v>0</x:v>
      </x:c>
      <x:c r="I1224" s="11" t="n">
        <x:v>1</x:v>
      </x:c>
      <x:c r="J1224" s="11" t="n">
        <x:v>0</x:v>
      </x:c>
      <x:c r="K1224" s="11" t="n">
        <x:v>0</x:v>
      </x:c>
      <x:c r="L1224" s="11" t="n">
        <x:f>IF(B1224="NED",1,IF(OR(B1224="ED",B1224="UN"),0,""))</x:f>
        <x:v>0</x:v>
      </x:c>
      <x:c r="M1224" s="11" t="n">
        <x:f>IF(AND(K1224=1,OR(B1224="ED",B1224="NED")),1,0)</x:f>
        <x:v>0</x:v>
      </x:c>
      <x:c r="N1224" s="11" t="n">
        <x:f>IF(K1224=1,1,0)</x:f>
        <x:v>0</x:v>
      </x:c>
      <x:c r="O1224" s="12" t="str">
        <x:v>Exclude UniProt Membrane keyword</x:v>
      </x:c>
      <x:c r="P1224" s="11" t="n">
        <x:v>0</x:v>
      </x:c>
      <x:c r="Q1224" s="12" t="str">
        <x:v>AF-Q3B7Z2-F1-model_v6</x:v>
      </x:c>
      <x:c r="R1224" s="12" t="str">
        <x:v>ok</x:v>
      </x:c>
      <x:c r="S1224" s="11" t="n">
        <x:v>836</x:v>
      </x:c>
      <x:c r="T1224" s="11" t="n">
        <x:v>805</x:v>
      </x:c>
    </x:row>
    <x:row r="1225" ht="23" customHeight="1">
      <x:c r="A1225" s="2" t="str">
        <x:v>Q3KNM2</x:v>
      </x:c>
      <x:c r="B1225" s="2" t="str">
        <x:v>ED</x:v>
      </x:c>
      <x:c r="C1225" s="2" t="n">
        <x:v>0</x:v>
      </x:c>
      <x:c r="D1225" s="2" t="n">
        <x:v>0</x:v>
      </x:c>
      <x:c r="E1225" s="10"/>
      <x:c r="F1225" s="11" t="n">
        <x:v>278</x:v>
      </x:c>
      <x:c r="G1225" s="11" t="n">
        <x:v>0</x:v>
      </x:c>
      <x:c r="H1225" s="11" t="n">
        <x:v>0</x:v>
      </x:c>
      <x:c r="I1225" s="11" t="n">
        <x:v>1</x:v>
      </x:c>
      <x:c r="J1225" s="11" t="n">
        <x:v>0</x:v>
      </x:c>
      <x:c r="K1225" s="11" t="n">
        <x:v>0</x:v>
      </x:c>
      <x:c r="L1225" s="11" t="n">
        <x:f>IF(B1225="NED",1,IF(OR(B1225="ED",B1225="UN"),0,""))</x:f>
        <x:v>0</x:v>
      </x:c>
      <x:c r="M1225" s="11" t="n">
        <x:f>IF(AND(K1225=1,OR(B1225="ED",B1225="NED")),1,0)</x:f>
        <x:v>0</x:v>
      </x:c>
      <x:c r="N1225" s="11" t="n">
        <x:f>IF(K1225=1,1,0)</x:f>
        <x:v>0</x:v>
      </x:c>
      <x:c r="O1225" s="12" t="str">
        <x:v>Exclude UniProt Membrane keyword</x:v>
      </x:c>
      <x:c r="P1225" s="11" t="n">
        <x:v>0</x:v>
      </x:c>
      <x:c r="Q1225" s="12" t="str">
        <x:v>AF-Q3KNM2-F1-model_v6</x:v>
      </x:c>
      <x:c r="R1225" s="12" t="str">
        <x:v>ok</x:v>
      </x:c>
      <x:c r="S1225" s="11" t="n">
        <x:v>837</x:v>
      </x:c>
      <x:c r="T1225" s="11" t="n">
        <x:v>278</x:v>
      </x:c>
    </x:row>
    <x:row r="1226" ht="23" customHeight="1">
      <x:c r="A1226" s="2" t="str">
        <x:v>Q3TA68</x:v>
      </x:c>
      <x:c r="B1226" s="2" t="str">
        <x:v>NED</x:v>
      </x:c>
      <x:c r="C1226" s="2"/>
      <x:c r="D1226" s="2"/>
      <x:c r="E1226" s="10"/>
      <x:c r="F1226" s="11"/>
      <x:c r="G1226" s="11" t="n">
        <x:v>0</x:v>
      </x:c>
      <x:c r="H1226" s="11" t="n">
        <x:v>0</x:v>
      </x:c>
      <x:c r="I1226" s="11" t="n">
        <x:v>0</x:v>
      </x:c>
      <x:c r="J1226" s="11" t="n">
        <x:v>0</x:v>
      </x:c>
      <x:c r="K1226" s="11" t="n">
        <x:v>0</x:v>
      </x:c>
      <x:c r="L1226" s="11" t="n">
        <x:f>IF(B1226="NED",1,IF(OR(B1226="ED",B1226="UN"),0,""))</x:f>
        <x:v>1</x:v>
      </x:c>
      <x:c r="M1226" s="11" t="n">
        <x:f>IF(AND(K1226=1,OR(B1226="ED",B1226="NED")),1,0)</x:f>
        <x:v>0</x:v>
      </x:c>
      <x:c r="N1226" s="11" t="n">
        <x:f>IF(K1226=1,1,0)</x:f>
        <x:v>0</x:v>
      </x:c>
      <x:c r="O1226" s="12" t="str">
        <x:v>Require exact native accession match</x:v>
      </x:c>
      <x:c r="P1226" s="11" t="n">
        <x:v>0</x:v>
      </x:c>
      <x:c r="Q1226" s="12"/>
      <x:c r="R1226" s="12"/>
      <x:c r="S1226" s="11" t="n">
        <x:v>3131</x:v>
      </x:c>
      <x:c r="T1226" s="11" t="n">
        <x:v>883</x:v>
      </x:c>
    </x:row>
    <x:row r="1227" ht="23" customHeight="1">
      <x:c r="A1227" s="2" t="str">
        <x:v>Q3TAI4</x:v>
      </x:c>
      <x:c r="B1227" s="2" t="str">
        <x:v>ED</x:v>
      </x:c>
      <x:c r="C1227" s="2"/>
      <x:c r="D1227" s="2"/>
      <x:c r="E1227" s="10"/>
      <x:c r="F1227" s="11"/>
      <x:c r="G1227" s="11" t="n">
        <x:v>0</x:v>
      </x:c>
      <x:c r="H1227" s="11" t="n">
        <x:v>0</x:v>
      </x:c>
      <x:c r="I1227" s="11" t="n">
        <x:v>0</x:v>
      </x:c>
      <x:c r="J1227" s="11" t="n">
        <x:v>0</x:v>
      </x:c>
      <x:c r="K1227" s="11" t="n">
        <x:v>0</x:v>
      </x:c>
      <x:c r="L1227" s="11" t="n">
        <x:f>IF(B1227="NED",1,IF(OR(B1227="ED",B1227="UN"),0,""))</x:f>
        <x:v>0</x:v>
      </x:c>
      <x:c r="M1227" s="11" t="n">
        <x:f>IF(AND(K1227=1,OR(B1227="ED",B1227="NED")),1,0)</x:f>
        <x:v>0</x:v>
      </x:c>
      <x:c r="N1227" s="11" t="n">
        <x:f>IF(K1227=1,1,0)</x:f>
        <x:v>0</x:v>
      </x:c>
      <x:c r="O1227" s="12" t="str">
        <x:v>Require exact native accession match</x:v>
      </x:c>
      <x:c r="P1227" s="11" t="n">
        <x:v>0</x:v>
      </x:c>
      <x:c r="Q1227" s="12"/>
      <x:c r="R1227" s="12"/>
      <x:c r="S1227" s="11" t="n">
        <x:v>3132</x:v>
      </x:c>
      <x:c r="T1227" s="11" t="n">
        <x:v>206</x:v>
      </x:c>
    </x:row>
    <x:row r="1228" ht="23" customHeight="1">
      <x:c r="A1228" s="2" t="str">
        <x:v>Q3TC46</x:v>
      </x:c>
      <x:c r="B1228" s="2" t="str">
        <x:v>ED</x:v>
      </x:c>
      <x:c r="C1228" s="2" t="n">
        <x:v>1</x:v>
      </x:c>
      <x:c r="D1228" s="2"/>
      <x:c r="E1228" s="10" t="n">
        <x:v>60.347623376623375</x:v>
      </x:c>
      <x:c r="F1228" s="11" t="n">
        <x:v>770</x:v>
      </x:c>
      <x:c r="G1228" s="11" t="n">
        <x:v>0</x:v>
      </x:c>
      <x:c r="H1228" s="11" t="n">
        <x:v>0</x:v>
      </x:c>
      <x:c r="I1228" s="11" t="n">
        <x:v>0</x:v>
      </x:c>
      <x:c r="J1228" s="11" t="n">
        <x:v>0</x:v>
      </x:c>
      <x:c r="K1228" s="11" t="n">
        <x:v>0</x:v>
      </x:c>
      <x:c r="L1228" s="11" t="n">
        <x:f>IF(B1228="NED",1,IF(OR(B1228="ED",B1228="UN"),0,""))</x:f>
        <x:v>0</x:v>
      </x:c>
      <x:c r="M1228" s="11" t="n">
        <x:f>IF(AND(K1228=1,OR(B1228="ED",B1228="NED")),1,0)</x:f>
        <x:v>0</x:v>
      </x:c>
      <x:c r="N1228" s="11" t="n">
        <x:f>IF(K1228=1,1,0)</x:f>
        <x:v>0</x:v>
      </x:c>
      <x:c r="O1228" s="12" t="str">
        <x:v>Retain protein mean pLDDT &gt;=70</x:v>
      </x:c>
      <x:c r="P1228" s="11" t="n">
        <x:v>0</x:v>
      </x:c>
      <x:c r="Q1228" s="12" t="str">
        <x:v>AF-Q3TC46-F1-model_v6</x:v>
      </x:c>
      <x:c r="R1228" s="12" t="str">
        <x:v>ok</x:v>
      </x:c>
      <x:c r="S1228" s="11" t="n">
        <x:v>838</x:v>
      </x:c>
      <x:c r="T1228" s="11" t="n">
        <x:v>770</x:v>
      </x:c>
    </x:row>
    <x:row r="1229" ht="23" customHeight="1">
      <x:c r="A1229" s="2" t="str">
        <x:v>Q3TC93</x:v>
      </x:c>
      <x:c r="B1229" s="2" t="str">
        <x:v>UN</x:v>
      </x:c>
      <x:c r="C1229" s="2" t="n">
        <x:v>1</x:v>
      </x:c>
      <x:c r="D1229" s="2" t="n">
        <x:v>1</x:v>
      </x:c>
      <x:c r="E1229" s="10" t="n">
        <x:v>66.64040506329114</x:v>
      </x:c>
      <x:c r="F1229" s="11" t="n">
        <x:v>395</x:v>
      </x:c>
      <x:c r="G1229" s="11" t="n">
        <x:v>0</x:v>
      </x:c>
      <x:c r="H1229" s="11" t="n">
        <x:v>0</x:v>
      </x:c>
      <x:c r="I1229" s="11" t="n">
        <x:v>0</x:v>
      </x:c>
      <x:c r="J1229" s="11" t="n">
        <x:v>0</x:v>
      </x:c>
      <x:c r="K1229" s="11" t="n">
        <x:v>0</x:v>
      </x:c>
      <x:c r="L1229" s="11" t="n">
        <x:f>IF(B1229="NED",1,IF(OR(B1229="ED",B1229="UN"),0,""))</x:f>
        <x:v>0</x:v>
      </x:c>
      <x:c r="M1229" s="11" t="n">
        <x:f>IF(AND(K1229=1,OR(B1229="ED",B1229="NED")),1,0)</x:f>
        <x:v>0</x:v>
      </x:c>
      <x:c r="N1229" s="11" t="n">
        <x:f>IF(K1229=1,1,0)</x:f>
        <x:v>0</x:v>
      </x:c>
      <x:c r="O1229" s="12" t="str">
        <x:v>Retain protein mean pLDDT &gt;=70</x:v>
      </x:c>
      <x:c r="P1229" s="11" t="n">
        <x:v>0</x:v>
      </x:c>
      <x:c r="Q1229" s="12" t="str">
        <x:v>AF-Q3TC93-F1-model_v6</x:v>
      </x:c>
      <x:c r="R1229" s="12" t="str">
        <x:v>ok</x:v>
      </x:c>
      <x:c r="S1229" s="11" t="n">
        <x:v>839</x:v>
      </x:c>
      <x:c r="T1229" s="11" t="n">
        <x:v>395</x:v>
      </x:c>
    </x:row>
    <x:row r="1230" ht="23" customHeight="1">
      <x:c r="A1230" s="2" t="str">
        <x:v>Q3TCD4</x:v>
      </x:c>
      <x:c r="B1230" s="2" t="str">
        <x:v>UN</x:v>
      </x:c>
      <x:c r="C1230" s="2"/>
      <x:c r="D1230" s="2"/>
      <x:c r="E1230" s="10"/>
      <x:c r="F1230" s="11"/>
      <x:c r="G1230" s="11" t="n">
        <x:v>0</x:v>
      </x:c>
      <x:c r="H1230" s="11" t="n">
        <x:v>0</x:v>
      </x:c>
      <x:c r="I1230" s="11" t="n">
        <x:v>0</x:v>
      </x:c>
      <x:c r="J1230" s="11" t="n">
        <x:v>0</x:v>
      </x:c>
      <x:c r="K1230" s="11" t="n">
        <x:v>0</x:v>
      </x:c>
      <x:c r="L1230" s="11" t="n">
        <x:f>IF(B1230="NED",1,IF(OR(B1230="ED",B1230="UN"),0,""))</x:f>
        <x:v>0</x:v>
      </x:c>
      <x:c r="M1230" s="11" t="n">
        <x:f>IF(AND(K1230=1,OR(B1230="ED",B1230="NED")),1,0)</x:f>
        <x:v>0</x:v>
      </x:c>
      <x:c r="N1230" s="11" t="n">
        <x:f>IF(K1230=1,1,0)</x:f>
        <x:v>0</x:v>
      </x:c>
      <x:c r="O1230" s="12" t="str">
        <x:v>Require exact native accession match</x:v>
      </x:c>
      <x:c r="P1230" s="11" t="n">
        <x:v>0</x:v>
      </x:c>
      <x:c r="Q1230" s="12"/>
      <x:c r="R1230" s="12"/>
      <x:c r="S1230" s="11" t="n">
        <x:v>3133</x:v>
      </x:c>
      <x:c r="T1230" s="11" t="n">
        <x:v>378</x:v>
      </x:c>
    </x:row>
    <x:row r="1231" ht="23" customHeight="1">
      <x:c r="A1231" s="2" t="str">
        <x:v>Q3TCH7</x:v>
      </x:c>
      <x:c r="B1231" s="2" t="str">
        <x:v>UN</x:v>
      </x:c>
      <x:c r="C1231" s="2" t="n">
        <x:v>1</x:v>
      </x:c>
      <x:c r="D1231" s="2" t="n">
        <x:v>1</x:v>
      </x:c>
      <x:c r="E1231" s="10" t="n">
        <x:v>88.89686429512517</x:v>
      </x:c>
      <x:c r="F1231" s="11" t="n">
        <x:v>759</x:v>
      </x:c>
      <x:c r="G1231" s="11" t="n">
        <x:v>0</x:v>
      </x:c>
      <x:c r="H1231" s="11" t="n">
        <x:v>0</x:v>
      </x:c>
      <x:c r="I1231" s="11" t="n">
        <x:v>0</x:v>
      </x:c>
      <x:c r="J1231" s="11" t="n">
        <x:v>0</x:v>
      </x:c>
      <x:c r="K1231" s="11" t="n">
        <x:v>1</x:v>
      </x:c>
      <x:c r="L1231" s="11" t="n">
        <x:f>IF(B1231="NED",1,IF(OR(B1231="ED",B1231="UN"),0,""))</x:f>
        <x:v>0</x:v>
      </x:c>
      <x:c r="M1231" s="11" t="n">
        <x:f>IF(AND(K1231=1,OR(B1231="ED",B1231="NED")),1,0)</x:f>
        <x:v>0</x:v>
      </x:c>
      <x:c r="N1231" s="11" t="n">
        <x:f>IF(K1231=1,1,0)</x:f>
        <x:v>1</x:v>
      </x:c>
      <x:c r="O1231" s="12"/>
      <x:c r="P1231" s="11" t="n">
        <x:v>0</x:v>
      </x:c>
      <x:c r="Q1231" s="12" t="str">
        <x:v>AF-Q3TCH7-F1-model_v6</x:v>
      </x:c>
      <x:c r="R1231" s="12" t="str">
        <x:v>ok</x:v>
      </x:c>
      <x:c r="S1231" s="11" t="n">
        <x:v>840</x:v>
      </x:c>
      <x:c r="T1231" s="11" t="n">
        <x:v>759</x:v>
      </x:c>
    </x:row>
    <x:row r="1232" ht="23" customHeight="1">
      <x:c r="A1232" s="2" t="str">
        <x:v>Q3TCX3-2</x:v>
      </x:c>
      <x:c r="B1232" s="2" t="str">
        <x:v>ED</x:v>
      </x:c>
      <x:c r="C1232" s="2"/>
      <x:c r="D1232" s="2"/>
      <x:c r="E1232" s="10"/>
      <x:c r="F1232" s="11"/>
      <x:c r="G1232" s="11" t="n">
        <x:v>0</x:v>
      </x:c>
      <x:c r="H1232" s="11" t="n">
        <x:v>0</x:v>
      </x:c>
      <x:c r="I1232" s="11"/>
      <x:c r="J1232" s="11"/>
      <x:c r="K1232" s="11" t="n">
        <x:v>0</x:v>
      </x:c>
      <x:c r="L1232" s="11" t="n">
        <x:f>IF(B1232="NED",1,IF(OR(B1232="ED",B1232="UN"),0,""))</x:f>
        <x:v>0</x:v>
      </x:c>
      <x:c r="M1232" s="11" t="n">
        <x:f>IF(AND(K1232=1,OR(B1232="ED",B1232="NED")),1,0)</x:f>
        <x:v>0</x:v>
      </x:c>
      <x:c r="N1232" s="11" t="n">
        <x:f>IF(K1232=1,1,0)</x:f>
        <x:v>0</x:v>
      </x:c>
      <x:c r="O1232" s="12" t="str">
        <x:v>Require exact native accession match</x:v>
      </x:c>
      <x:c r="P1232" s="11" t="n">
        <x:v>0</x:v>
      </x:c>
      <x:c r="Q1232" s="12"/>
      <x:c r="R1232" s="12"/>
      <x:c r="S1232" s="11" t="n">
        <x:v>841</x:v>
      </x:c>
      <x:c r="T1232" s="11"/>
    </x:row>
    <x:row r="1233" ht="23" customHeight="1">
      <x:c r="A1233" s="2" t="str">
        <x:v>Q3TDN2</x:v>
      </x:c>
      <x:c r="B1233" s="2" t="str">
        <x:v>UN</x:v>
      </x:c>
      <x:c r="C1233" s="2" t="n">
        <x:v>1</x:v>
      </x:c>
      <x:c r="D1233" s="2" t="n">
        <x:v>1</x:v>
      </x:c>
      <x:c r="E1233" s="10" t="n">
        <x:v>85.21301123595507</x:v>
      </x:c>
      <x:c r="F1233" s="11" t="n">
        <x:v>445</x:v>
      </x:c>
      <x:c r="G1233" s="11" t="n">
        <x:v>0</x:v>
      </x:c>
      <x:c r="H1233" s="11" t="n">
        <x:v>0</x:v>
      </x:c>
      <x:c r="I1233" s="11" t="n">
        <x:v>0</x:v>
      </x:c>
      <x:c r="J1233" s="11" t="n">
        <x:v>0</x:v>
      </x:c>
      <x:c r="K1233" s="11" t="n">
        <x:v>1</x:v>
      </x:c>
      <x:c r="L1233" s="11" t="n">
        <x:f>IF(B1233="NED",1,IF(OR(B1233="ED",B1233="UN"),0,""))</x:f>
        <x:v>0</x:v>
      </x:c>
      <x:c r="M1233" s="11" t="n">
        <x:f>IF(AND(K1233=1,OR(B1233="ED",B1233="NED")),1,0)</x:f>
        <x:v>0</x:v>
      </x:c>
      <x:c r="N1233" s="11" t="n">
        <x:f>IF(K1233=1,1,0)</x:f>
        <x:v>1</x:v>
      </x:c>
      <x:c r="O1233" s="12"/>
      <x:c r="P1233" s="11" t="n">
        <x:v>0</x:v>
      </x:c>
      <x:c r="Q1233" s="12" t="str">
        <x:v>AF-Q3TDN2-F1-model_v6</x:v>
      </x:c>
      <x:c r="R1233" s="12" t="str">
        <x:v>ok</x:v>
      </x:c>
      <x:c r="S1233" s="11" t="n">
        <x:v>842</x:v>
      </x:c>
      <x:c r="T1233" s="11" t="n">
        <x:v>445</x:v>
      </x:c>
    </x:row>
    <x:row r="1234" ht="23" customHeight="1">
      <x:c r="A1234" s="2" t="str">
        <x:v>Q3TDT0</x:v>
      </x:c>
      <x:c r="B1234" s="2" t="str">
        <x:v>UN</x:v>
      </x:c>
      <x:c r="C1234" s="2"/>
      <x:c r="D1234" s="2"/>
      <x:c r="E1234" s="10"/>
      <x:c r="F1234" s="11"/>
      <x:c r="G1234" s="11" t="n">
        <x:v>0</x:v>
      </x:c>
      <x:c r="H1234" s="11" t="n">
        <x:v>0</x:v>
      </x:c>
      <x:c r="I1234" s="11" t="n">
        <x:v>0</x:v>
      </x:c>
      <x:c r="J1234" s="11" t="n">
        <x:v>0</x:v>
      </x:c>
      <x:c r="K1234" s="11" t="n">
        <x:v>0</x:v>
      </x:c>
      <x:c r="L1234" s="11" t="n">
        <x:f>IF(B1234="NED",1,IF(OR(B1234="ED",B1234="UN"),0,""))</x:f>
        <x:v>0</x:v>
      </x:c>
      <x:c r="M1234" s="11" t="n">
        <x:f>IF(AND(K1234=1,OR(B1234="ED",B1234="NED")),1,0)</x:f>
        <x:v>0</x:v>
      </x:c>
      <x:c r="N1234" s="11" t="n">
        <x:f>IF(K1234=1,1,0)</x:f>
        <x:v>0</x:v>
      </x:c>
      <x:c r="O1234" s="12" t="str">
        <x:v>Require exact native accession match</x:v>
      </x:c>
      <x:c r="P1234" s="11" t="n">
        <x:v>0</x:v>
      </x:c>
      <x:c r="Q1234" s="12"/>
      <x:c r="R1234" s="12"/>
      <x:c r="S1234" s="11" t="n">
        <x:v>3134</x:v>
      </x:c>
      <x:c r="T1234" s="11" t="n">
        <x:v>717</x:v>
      </x:c>
    </x:row>
    <x:row r="1235" ht="23" customHeight="1">
      <x:c r="A1235" s="2" t="str">
        <x:v>Q3TE80</x:v>
      </x:c>
      <x:c r="B1235" s="2" t="str">
        <x:v>UN</x:v>
      </x:c>
      <x:c r="C1235" s="2" t="n">
        <x:v>0</x:v>
      </x:c>
      <x:c r="D1235" s="2" t="n">
        <x:v>0</x:v>
      </x:c>
      <x:c r="E1235" s="10" t="n">
        <x:v>79.97605633802817</x:v>
      </x:c>
      <x:c r="F1235" s="11" t="n">
        <x:v>284</x:v>
      </x:c>
      <x:c r="G1235" s="11" t="n">
        <x:v>0</x:v>
      </x:c>
      <x:c r="H1235" s="11" t="n">
        <x:v>0</x:v>
      </x:c>
      <x:c r="I1235" s="11" t="n">
        <x:v>0</x:v>
      </x:c>
      <x:c r="J1235" s="11" t="n">
        <x:v>0</x:v>
      </x:c>
      <x:c r="K1235" s="11" t="n">
        <x:v>1</x:v>
      </x:c>
      <x:c r="L1235" s="11" t="n">
        <x:f>IF(B1235="NED",1,IF(OR(B1235="ED",B1235="UN"),0,""))</x:f>
        <x:v>0</x:v>
      </x:c>
      <x:c r="M1235" s="11" t="n">
        <x:f>IF(AND(K1235=1,OR(B1235="ED",B1235="NED")),1,0)</x:f>
        <x:v>0</x:v>
      </x:c>
      <x:c r="N1235" s="11" t="n">
        <x:f>IF(K1235=1,1,0)</x:f>
        <x:v>1</x:v>
      </x:c>
      <x:c r="O1235" s="12"/>
      <x:c r="P1235" s="11" t="n">
        <x:v>0</x:v>
      </x:c>
      <x:c r="Q1235" s="12" t="str">
        <x:v>AF-Q3TE80-F1-model_v6</x:v>
      </x:c>
      <x:c r="R1235" s="12" t="str">
        <x:v>ok</x:v>
      </x:c>
      <x:c r="S1235" s="11" t="n">
        <x:v>3135</x:v>
      </x:c>
      <x:c r="T1235" s="11" t="n">
        <x:v>284</x:v>
      </x:c>
    </x:row>
    <x:row r="1236" ht="23" customHeight="1">
      <x:c r="A1236" s="2" t="str">
        <x:v>Q3TEA8-2</x:v>
      </x:c>
      <x:c r="B1236" s="2" t="str">
        <x:v>ED</x:v>
      </x:c>
      <x:c r="C1236" s="2"/>
      <x:c r="D1236" s="2"/>
      <x:c r="E1236" s="10"/>
      <x:c r="F1236" s="11"/>
      <x:c r="G1236" s="11" t="n">
        <x:v>0</x:v>
      </x:c>
      <x:c r="H1236" s="11" t="n">
        <x:v>0</x:v>
      </x:c>
      <x:c r="I1236" s="11"/>
      <x:c r="J1236" s="11"/>
      <x:c r="K1236" s="11" t="n">
        <x:v>0</x:v>
      </x:c>
      <x:c r="L1236" s="11" t="n">
        <x:f>IF(B1236="NED",1,IF(OR(B1236="ED",B1236="UN"),0,""))</x:f>
        <x:v>0</x:v>
      </x:c>
      <x:c r="M1236" s="11" t="n">
        <x:f>IF(AND(K1236=1,OR(B1236="ED",B1236="NED")),1,0)</x:f>
        <x:v>0</x:v>
      </x:c>
      <x:c r="N1236" s="11" t="n">
        <x:f>IF(K1236=1,1,0)</x:f>
        <x:v>0</x:v>
      </x:c>
      <x:c r="O1236" s="12" t="str">
        <x:v>Require exact native accession match</x:v>
      </x:c>
      <x:c r="P1236" s="11" t="n">
        <x:v>0</x:v>
      </x:c>
      <x:c r="Q1236" s="12"/>
      <x:c r="R1236" s="12"/>
      <x:c r="S1236" s="11" t="n">
        <x:v>843</x:v>
      </x:c>
      <x:c r="T1236" s="11"/>
    </x:row>
    <x:row r="1237" ht="23" customHeight="1">
      <x:c r="A1237" s="2" t="str">
        <x:v>Q3TFK5-2</x:v>
      </x:c>
      <x:c r="B1237" s="2" t="str">
        <x:v>ED</x:v>
      </x:c>
      <x:c r="C1237" s="2"/>
      <x:c r="D1237" s="2"/>
      <x:c r="E1237" s="10"/>
      <x:c r="F1237" s="11"/>
      <x:c r="G1237" s="11" t="n">
        <x:v>0</x:v>
      </x:c>
      <x:c r="H1237" s="11" t="n">
        <x:v>0</x:v>
      </x:c>
      <x:c r="I1237" s="11"/>
      <x:c r="J1237" s="11"/>
      <x:c r="K1237" s="11" t="n">
        <x:v>0</x:v>
      </x:c>
      <x:c r="L1237" s="11" t="n">
        <x:f>IF(B1237="NED",1,IF(OR(B1237="ED",B1237="UN"),0,""))</x:f>
        <x:v>0</x:v>
      </x:c>
      <x:c r="M1237" s="11" t="n">
        <x:f>IF(AND(K1237=1,OR(B1237="ED",B1237="NED")),1,0)</x:f>
        <x:v>0</x:v>
      </x:c>
      <x:c r="N1237" s="11" t="n">
        <x:f>IF(K1237=1,1,0)</x:f>
        <x:v>0</x:v>
      </x:c>
      <x:c r="O1237" s="12" t="str">
        <x:v>Require exact native accession match</x:v>
      </x:c>
      <x:c r="P1237" s="11" t="n">
        <x:v>0</x:v>
      </x:c>
      <x:c r="Q1237" s="12"/>
      <x:c r="R1237" s="12"/>
      <x:c r="S1237" s="11" t="n">
        <x:v>844</x:v>
      </x:c>
      <x:c r="T1237" s="11"/>
    </x:row>
    <x:row r="1238" ht="23" customHeight="1">
      <x:c r="A1238" s="2" t="str">
        <x:v>Q3TFP0</x:v>
      </x:c>
      <x:c r="B1238" s="2" t="str">
        <x:v>UN</x:v>
      </x:c>
      <x:c r="C1238" s="2"/>
      <x:c r="D1238" s="2"/>
      <x:c r="E1238" s="10"/>
      <x:c r="F1238" s="11"/>
      <x:c r="G1238" s="11" t="n">
        <x:v>0</x:v>
      </x:c>
      <x:c r="H1238" s="11" t="n">
        <x:v>0</x:v>
      </x:c>
      <x:c r="I1238" s="11" t="n">
        <x:v>0</x:v>
      </x:c>
      <x:c r="J1238" s="11" t="n">
        <x:v>0</x:v>
      </x:c>
      <x:c r="K1238" s="11" t="n">
        <x:v>0</x:v>
      </x:c>
      <x:c r="L1238" s="11" t="n">
        <x:f>IF(B1238="NED",1,IF(OR(B1238="ED",B1238="UN"),0,""))</x:f>
        <x:v>0</x:v>
      </x:c>
      <x:c r="M1238" s="11" t="n">
        <x:f>IF(AND(K1238=1,OR(B1238="ED",B1238="NED")),1,0)</x:f>
        <x:v>0</x:v>
      </x:c>
      <x:c r="N1238" s="11" t="n">
        <x:f>IF(K1238=1,1,0)</x:f>
        <x:v>0</x:v>
      </x:c>
      <x:c r="O1238" s="12" t="str">
        <x:v>Require exact native accession match</x:v>
      </x:c>
      <x:c r="P1238" s="11" t="n">
        <x:v>0</x:v>
      </x:c>
      <x:c r="Q1238" s="12"/>
      <x:c r="R1238" s="12"/>
      <x:c r="S1238" s="11" t="n">
        <x:v>3136</x:v>
      </x:c>
      <x:c r="T1238" s="11" t="n">
        <x:v>182</x:v>
      </x:c>
    </x:row>
    <x:row r="1239" ht="23" customHeight="1">
      <x:c r="A1239" s="2" t="str">
        <x:v>Q3TGF2</x:v>
      </x:c>
      <x:c r="B1239" s="2" t="str">
        <x:v>ED</x:v>
      </x:c>
      <x:c r="C1239" s="2" t="n">
        <x:v>0</x:v>
      </x:c>
      <x:c r="D1239" s="2" t="n">
        <x:v>0</x:v>
      </x:c>
      <x:c r="E1239" s="10" t="n">
        <x:v>82.54923664122138</x:v>
      </x:c>
      <x:c r="F1239" s="11" t="n">
        <x:v>131</x:v>
      </x:c>
      <x:c r="G1239" s="11" t="n">
        <x:v>0</x:v>
      </x:c>
      <x:c r="H1239" s="11" t="n">
        <x:v>0</x:v>
      </x:c>
      <x:c r="I1239" s="11" t="n">
        <x:v>0</x:v>
      </x:c>
      <x:c r="J1239" s="11" t="n">
        <x:v>0</x:v>
      </x:c>
      <x:c r="K1239" s="11" t="n">
        <x:v>1</x:v>
      </x:c>
      <x:c r="L1239" s="11" t="n">
        <x:f>IF(B1239="NED",1,IF(OR(B1239="ED",B1239="UN"),0,""))</x:f>
        <x:v>0</x:v>
      </x:c>
      <x:c r="M1239" s="11" t="n">
        <x:f>IF(AND(K1239=1,OR(B1239="ED",B1239="NED")),1,0)</x:f>
        <x:v>1</x:v>
      </x:c>
      <x:c r="N1239" s="11" t="n">
        <x:f>IF(K1239=1,1,0)</x:f>
        <x:v>1</x:v>
      </x:c>
      <x:c r="O1239" s="12"/>
      <x:c r="P1239" s="11" t="n">
        <x:v>0</x:v>
      </x:c>
      <x:c r="Q1239" s="12" t="str">
        <x:v>AF-Q3TGF2-F1-model_v6</x:v>
      </x:c>
      <x:c r="R1239" s="12" t="str">
        <x:v>ok</x:v>
      </x:c>
      <x:c r="S1239" s="11" t="n">
        <x:v>845</x:v>
      </x:c>
      <x:c r="T1239" s="11" t="n">
        <x:v>131</x:v>
      </x:c>
    </x:row>
    <x:row r="1240" ht="23" customHeight="1">
      <x:c r="A1240" s="2" t="str">
        <x:v>Q3TH73-2</x:v>
      </x:c>
      <x:c r="B1240" s="2" t="str">
        <x:v>ED</x:v>
      </x:c>
      <x:c r="C1240" s="2"/>
      <x:c r="D1240" s="2"/>
      <x:c r="E1240" s="10"/>
      <x:c r="F1240" s="11"/>
      <x:c r="G1240" s="11" t="n">
        <x:v>0</x:v>
      </x:c>
      <x:c r="H1240" s="11" t="n">
        <x:v>0</x:v>
      </x:c>
      <x:c r="I1240" s="11"/>
      <x:c r="J1240" s="11"/>
      <x:c r="K1240" s="11" t="n">
        <x:v>0</x:v>
      </x:c>
      <x:c r="L1240" s="11" t="n">
        <x:f>IF(B1240="NED",1,IF(OR(B1240="ED",B1240="UN"),0,""))</x:f>
        <x:v>0</x:v>
      </x:c>
      <x:c r="M1240" s="11" t="n">
        <x:f>IF(AND(K1240=1,OR(B1240="ED",B1240="NED")),1,0)</x:f>
        <x:v>0</x:v>
      </x:c>
      <x:c r="N1240" s="11" t="n">
        <x:f>IF(K1240=1,1,0)</x:f>
        <x:v>0</x:v>
      </x:c>
      <x:c r="O1240" s="12" t="str">
        <x:v>Require exact native accession match</x:v>
      </x:c>
      <x:c r="P1240" s="11" t="n">
        <x:v>0</x:v>
      </x:c>
      <x:c r="Q1240" s="12"/>
      <x:c r="R1240" s="12"/>
      <x:c r="S1240" s="11" t="n">
        <x:v>846</x:v>
      </x:c>
      <x:c r="T1240" s="11"/>
    </x:row>
    <x:row r="1241" ht="23" customHeight="1">
      <x:c r="A1241" s="2" t="str">
        <x:v>Q3THJ3</x:v>
      </x:c>
      <x:c r="B1241" s="2" t="str">
        <x:v>ED</x:v>
      </x:c>
      <x:c r="C1241" s="2" t="n">
        <x:v>1</x:v>
      </x:c>
      <x:c r="D1241" s="2" t="n">
        <x:v>1</x:v>
      </x:c>
      <x:c r="E1241" s="10" t="n">
        <x:v>74.10723529411764</x:v>
      </x:c>
      <x:c r="F1241" s="11" t="n">
        <x:v>170</x:v>
      </x:c>
      <x:c r="G1241" s="11" t="n">
        <x:v>0</x:v>
      </x:c>
      <x:c r="H1241" s="11" t="n">
        <x:v>0</x:v>
      </x:c>
      <x:c r="I1241" s="11" t="n">
        <x:v>0</x:v>
      </x:c>
      <x:c r="J1241" s="11" t="n">
        <x:v>0</x:v>
      </x:c>
      <x:c r="K1241" s="11" t="n">
        <x:v>1</x:v>
      </x:c>
      <x:c r="L1241" s="11" t="n">
        <x:f>IF(B1241="NED",1,IF(OR(B1241="ED",B1241="UN"),0,""))</x:f>
        <x:v>0</x:v>
      </x:c>
      <x:c r="M1241" s="11" t="n">
        <x:f>IF(AND(K1241=1,OR(B1241="ED",B1241="NED")),1,0)</x:f>
        <x:v>1</x:v>
      </x:c>
      <x:c r="N1241" s="11" t="n">
        <x:f>IF(K1241=1,1,0)</x:f>
        <x:v>1</x:v>
      </x:c>
      <x:c r="O1241" s="12"/>
      <x:c r="P1241" s="11" t="n">
        <x:v>0</x:v>
      </x:c>
      <x:c r="Q1241" s="12" t="str">
        <x:v>AF-Q3THJ3-F1-model_v6</x:v>
      </x:c>
      <x:c r="R1241" s="12" t="str">
        <x:v>ok</x:v>
      </x:c>
      <x:c r="S1241" s="11" t="n">
        <x:v>847</x:v>
      </x:c>
      <x:c r="T1241" s="11" t="n">
        <x:v>170</x:v>
      </x:c>
    </x:row>
    <x:row r="1242" ht="23" customHeight="1">
      <x:c r="A1242" s="2" t="str">
        <x:v>Q3THK3</x:v>
      </x:c>
      <x:c r="B1242" s="2" t="str">
        <x:v>NED</x:v>
      </x:c>
      <x:c r="C1242" s="2" t="n">
        <x:v>1</x:v>
      </x:c>
      <x:c r="D1242" s="2" t="n">
        <x:v>1</x:v>
      </x:c>
      <x:c r="E1242" s="10" t="n">
        <x:v>62.09263779527559</x:v>
      </x:c>
      <x:c r="F1242" s="11" t="n">
        <x:v>508</x:v>
      </x:c>
      <x:c r="G1242" s="11" t="n">
        <x:v>0</x:v>
      </x:c>
      <x:c r="H1242" s="11" t="n">
        <x:v>0</x:v>
      </x:c>
      <x:c r="I1242" s="11" t="n">
        <x:v>0</x:v>
      </x:c>
      <x:c r="J1242" s="11" t="n">
        <x:v>0</x:v>
      </x:c>
      <x:c r="K1242" s="11" t="n">
        <x:v>0</x:v>
      </x:c>
      <x:c r="L1242" s="11" t="n">
        <x:f>IF(B1242="NED",1,IF(OR(B1242="ED",B1242="UN"),0,""))</x:f>
        <x:v>1</x:v>
      </x:c>
      <x:c r="M1242" s="11" t="n">
        <x:f>IF(AND(K1242=1,OR(B1242="ED",B1242="NED")),1,0)</x:f>
        <x:v>0</x:v>
      </x:c>
      <x:c r="N1242" s="11" t="n">
        <x:f>IF(K1242=1,1,0)</x:f>
        <x:v>0</x:v>
      </x:c>
      <x:c r="O1242" s="12" t="str">
        <x:v>Retain protein mean pLDDT &gt;=70</x:v>
      </x:c>
      <x:c r="P1242" s="11" t="n">
        <x:v>0</x:v>
      </x:c>
      <x:c r="Q1242" s="12" t="str">
        <x:v>AF-Q3THK3-F1-model_v6</x:v>
      </x:c>
      <x:c r="R1242" s="12" t="str">
        <x:v>ok</x:v>
      </x:c>
      <x:c r="S1242" s="11" t="n">
        <x:v>848</x:v>
      </x:c>
      <x:c r="T1242" s="11" t="n">
        <x:v>508</x:v>
      </x:c>
    </x:row>
    <x:row r="1243" ht="23" customHeight="1">
      <x:c r="A1243" s="2" t="str">
        <x:v>Q3THK7</x:v>
      </x:c>
      <x:c r="B1243" s="2" t="str">
        <x:v>ED</x:v>
      </x:c>
      <x:c r="C1243" s="2" t="n">
        <x:v>1</x:v>
      </x:c>
      <x:c r="D1243" s="2" t="n">
        <x:v>1</x:v>
      </x:c>
      <x:c r="E1243" s="10" t="n">
        <x:v>86.70797979797979</x:v>
      </x:c>
      <x:c r="F1243" s="11" t="n">
        <x:v>693</x:v>
      </x:c>
      <x:c r="G1243" s="11" t="n">
        <x:v>0</x:v>
      </x:c>
      <x:c r="H1243" s="11" t="n">
        <x:v>0</x:v>
      </x:c>
      <x:c r="I1243" s="11" t="n">
        <x:v>0</x:v>
      </x:c>
      <x:c r="J1243" s="11" t="n">
        <x:v>0</x:v>
      </x:c>
      <x:c r="K1243" s="11" t="n">
        <x:v>1</x:v>
      </x:c>
      <x:c r="L1243" s="11" t="n">
        <x:f>IF(B1243="NED",1,IF(OR(B1243="ED",B1243="UN"),0,""))</x:f>
        <x:v>0</x:v>
      </x:c>
      <x:c r="M1243" s="11" t="n">
        <x:f>IF(AND(K1243=1,OR(B1243="ED",B1243="NED")),1,0)</x:f>
        <x:v>1</x:v>
      </x:c>
      <x:c r="N1243" s="11" t="n">
        <x:f>IF(K1243=1,1,0)</x:f>
        <x:v>1</x:v>
      </x:c>
      <x:c r="O1243" s="12"/>
      <x:c r="P1243" s="11" t="n">
        <x:v>0</x:v>
      </x:c>
      <x:c r="Q1243" s="12" t="str">
        <x:v>AF-Q3THK7-F1-model_v6</x:v>
      </x:c>
      <x:c r="R1243" s="12" t="str">
        <x:v>ok</x:v>
      </x:c>
      <x:c r="S1243" s="11" t="n">
        <x:v>849</x:v>
      </x:c>
      <x:c r="T1243" s="11" t="n">
        <x:v>693</x:v>
      </x:c>
    </x:row>
    <x:row r="1244" ht="23" customHeight="1">
      <x:c r="A1244" s="2" t="str">
        <x:v>Q3THS6</x:v>
      </x:c>
      <x:c r="B1244" s="2" t="str">
        <x:v>ED</x:v>
      </x:c>
      <x:c r="C1244" s="2" t="n">
        <x:v>1</x:v>
      </x:c>
      <x:c r="D1244" s="2" t="n">
        <x:v>1</x:v>
      </x:c>
      <x:c r="E1244" s="10"/>
      <x:c r="F1244" s="11" t="n">
        <x:v>395</x:v>
      </x:c>
      <x:c r="G1244" s="11" t="n">
        <x:v>1</x:v>
      </x:c>
      <x:c r="H1244" s="11" t="n">
        <x:v>0</x:v>
      </x:c>
      <x:c r="I1244" s="11" t="n">
        <x:v>0</x:v>
      </x:c>
      <x:c r="J1244" s="11" t="n">
        <x:v>0</x:v>
      </x:c>
      <x:c r="K1244" s="11" t="n">
        <x:v>0</x:v>
      </x:c>
      <x:c r="L1244" s="11" t="n">
        <x:f>IF(B1244="NED",1,IF(OR(B1244="ED",B1244="UN"),0,""))</x:f>
        <x:v>0</x:v>
      </x:c>
      <x:c r="M1244" s="11" t="n">
        <x:f>IF(AND(K1244=1,OR(B1244="ED",B1244="NED")),1,0)</x:f>
        <x:v>0</x:v>
      </x:c>
      <x:c r="N1244" s="11" t="n">
        <x:f>IF(K1244=1,1,0)</x:f>
        <x:v>0</x:v>
      </x:c>
      <x:c r="O1244" s="12" t="str">
        <x:v>Exclude supplied knotted proteins</x:v>
      </x:c>
      <x:c r="P1244" s="11" t="n">
        <x:v>0</x:v>
      </x:c>
      <x:c r="Q1244" s="12" t="str">
        <x:v>AF-Q3THS6-F1-model_v6</x:v>
      </x:c>
      <x:c r="R1244" s="12" t="str">
        <x:v>ok</x:v>
      </x:c>
      <x:c r="S1244" s="11" t="n">
        <x:v>850</x:v>
      </x:c>
      <x:c r="T1244" s="11" t="n">
        <x:v>395</x:v>
      </x:c>
    </x:row>
    <x:row r="1245" ht="23" customHeight="1">
      <x:c r="A1245" s="2" t="str">
        <x:v>Q3TIR3</x:v>
      </x:c>
      <x:c r="B1245" s="2" t="str">
        <x:v>ED</x:v>
      </x:c>
      <x:c r="C1245" s="2" t="n">
        <x:v>1</x:v>
      </x:c>
      <x:c r="D1245" s="2" t="n">
        <x:v>1</x:v>
      </x:c>
      <x:c r="E1245" s="10" t="n">
        <x:v>90.26356603773586</x:v>
      </x:c>
      <x:c r="F1245" s="11" t="n">
        <x:v>530</x:v>
      </x:c>
      <x:c r="G1245" s="11" t="n">
        <x:v>0</x:v>
      </x:c>
      <x:c r="H1245" s="11" t="n">
        <x:v>0</x:v>
      </x:c>
      <x:c r="I1245" s="11" t="n">
        <x:v>0</x:v>
      </x:c>
      <x:c r="J1245" s="11" t="n">
        <x:v>0</x:v>
      </x:c>
      <x:c r="K1245" s="11" t="n">
        <x:v>1</x:v>
      </x:c>
      <x:c r="L1245" s="11" t="n">
        <x:f>IF(B1245="NED",1,IF(OR(B1245="ED",B1245="UN"),0,""))</x:f>
        <x:v>0</x:v>
      </x:c>
      <x:c r="M1245" s="11" t="n">
        <x:f>IF(AND(K1245=1,OR(B1245="ED",B1245="NED")),1,0)</x:f>
        <x:v>1</x:v>
      </x:c>
      <x:c r="N1245" s="11" t="n">
        <x:f>IF(K1245=1,1,0)</x:f>
        <x:v>1</x:v>
      </x:c>
      <x:c r="O1245" s="12"/>
      <x:c r="P1245" s="11" t="n">
        <x:v>0</x:v>
      </x:c>
      <x:c r="Q1245" s="12" t="str">
        <x:v>AF-Q3TIR3-F1-model_v6</x:v>
      </x:c>
      <x:c r="R1245" s="12" t="str">
        <x:v>ok</x:v>
      </x:c>
      <x:c r="S1245" s="11" t="n">
        <x:v>851</x:v>
      </x:c>
      <x:c r="T1245" s="11" t="n">
        <x:v>530</x:v>
      </x:c>
    </x:row>
    <x:row r="1246" ht="23" customHeight="1">
      <x:c r="A1246" s="2" t="str">
        <x:v>Q3TIU4</x:v>
      </x:c>
      <x:c r="B1246" s="2" t="str">
        <x:v>ED</x:v>
      </x:c>
      <x:c r="C1246" s="2" t="n">
        <x:v>1</x:v>
      </x:c>
      <x:c r="D1246" s="2" t="n">
        <x:v>1</x:v>
      </x:c>
      <x:c r="E1246" s="10" t="n">
        <x:v>89.00208881578946</x:v>
      </x:c>
      <x:c r="F1246" s="11" t="n">
        <x:v>608</x:v>
      </x:c>
      <x:c r="G1246" s="11" t="n">
        <x:v>0</x:v>
      </x:c>
      <x:c r="H1246" s="11" t="n">
        <x:v>0</x:v>
      </x:c>
      <x:c r="I1246" s="11" t="n">
        <x:v>0</x:v>
      </x:c>
      <x:c r="J1246" s="11" t="n">
        <x:v>0</x:v>
      </x:c>
      <x:c r="K1246" s="11" t="n">
        <x:v>1</x:v>
      </x:c>
      <x:c r="L1246" s="11" t="n">
        <x:f>IF(B1246="NED",1,IF(OR(B1246="ED",B1246="UN"),0,""))</x:f>
        <x:v>0</x:v>
      </x:c>
      <x:c r="M1246" s="11" t="n">
        <x:f>IF(AND(K1246=1,OR(B1246="ED",B1246="NED")),1,0)</x:f>
        <x:v>1</x:v>
      </x:c>
      <x:c r="N1246" s="11" t="n">
        <x:f>IF(K1246=1,1,0)</x:f>
        <x:v>1</x:v>
      </x:c>
      <x:c r="O1246" s="12"/>
      <x:c r="P1246" s="11" t="n">
        <x:v>0</x:v>
      </x:c>
      <x:c r="Q1246" s="12" t="str">
        <x:v>AF-Q3TIU4-F1-model_v6</x:v>
      </x:c>
      <x:c r="R1246" s="12" t="str">
        <x:v>ok</x:v>
      </x:c>
      <x:c r="S1246" s="11" t="n">
        <x:v>852</x:v>
      </x:c>
      <x:c r="T1246" s="11" t="n">
        <x:v>608</x:v>
      </x:c>
    </x:row>
    <x:row r="1247" ht="23" customHeight="1">
      <x:c r="A1247" s="2" t="str">
        <x:v>Q3TIV5</x:v>
      </x:c>
      <x:c r="B1247" s="2" t="str">
        <x:v>ED</x:v>
      </x:c>
      <x:c r="C1247" s="2" t="n">
        <x:v>1</x:v>
      </x:c>
      <x:c r="D1247" s="2" t="n">
        <x:v>1</x:v>
      </x:c>
      <x:c r="E1247" s="10" t="n">
        <x:v>70.58849765258216</x:v>
      </x:c>
      <x:c r="F1247" s="11" t="n">
        <x:v>426</x:v>
      </x:c>
      <x:c r="G1247" s="11" t="n">
        <x:v>0</x:v>
      </x:c>
      <x:c r="H1247" s="11" t="n">
        <x:v>0</x:v>
      </x:c>
      <x:c r="I1247" s="11" t="n">
        <x:v>0</x:v>
      </x:c>
      <x:c r="J1247" s="11" t="n">
        <x:v>0</x:v>
      </x:c>
      <x:c r="K1247" s="11" t="n">
        <x:v>1</x:v>
      </x:c>
      <x:c r="L1247" s="11" t="n">
        <x:f>IF(B1247="NED",1,IF(OR(B1247="ED",B1247="UN"),0,""))</x:f>
        <x:v>0</x:v>
      </x:c>
      <x:c r="M1247" s="11" t="n">
        <x:f>IF(AND(K1247=1,OR(B1247="ED",B1247="NED")),1,0)</x:f>
        <x:v>1</x:v>
      </x:c>
      <x:c r="N1247" s="11" t="n">
        <x:f>IF(K1247=1,1,0)</x:f>
        <x:v>1</x:v>
      </x:c>
      <x:c r="O1247" s="12"/>
      <x:c r="P1247" s="11" t="n">
        <x:v>0</x:v>
      </x:c>
      <x:c r="Q1247" s="12" t="str">
        <x:v>AF-Q3TIV5-F1-model_v6</x:v>
      </x:c>
      <x:c r="R1247" s="12" t="str">
        <x:v>ok</x:v>
      </x:c>
      <x:c r="S1247" s="11" t="n">
        <x:v>853</x:v>
      </x:c>
      <x:c r="T1247" s="11" t="n">
        <x:v>426</x:v>
      </x:c>
    </x:row>
    <x:row r="1248" ht="23" customHeight="1">
      <x:c r="A1248" s="2" t="str">
        <x:v>Q3TIX9</x:v>
      </x:c>
      <x:c r="B1248" s="2" t="str">
        <x:v>NED</x:v>
      </x:c>
      <x:c r="C1248" s="2" t="n">
        <x:v>1</x:v>
      </x:c>
      <x:c r="D1248" s="2" t="n">
        <x:v>1</x:v>
      </x:c>
      <x:c r="E1248" s="10" t="n">
        <x:v>80.7643085106383</x:v>
      </x:c>
      <x:c r="F1248" s="11" t="n">
        <x:v>564</x:v>
      </x:c>
      <x:c r="G1248" s="11" t="n">
        <x:v>0</x:v>
      </x:c>
      <x:c r="H1248" s="11" t="n">
        <x:v>0</x:v>
      </x:c>
      <x:c r="I1248" s="11" t="n">
        <x:v>0</x:v>
      </x:c>
      <x:c r="J1248" s="11" t="n">
        <x:v>0</x:v>
      </x:c>
      <x:c r="K1248" s="11" t="n">
        <x:v>1</x:v>
      </x:c>
      <x:c r="L1248" s="11" t="n">
        <x:f>IF(B1248="NED",1,IF(OR(B1248="ED",B1248="UN"),0,""))</x:f>
        <x:v>1</x:v>
      </x:c>
      <x:c r="M1248" s="11" t="n">
        <x:f>IF(AND(K1248=1,OR(B1248="ED",B1248="NED")),1,0)</x:f>
        <x:v>1</x:v>
      </x:c>
      <x:c r="N1248" s="11" t="n">
        <x:f>IF(K1248=1,1,0)</x:f>
        <x:v>1</x:v>
      </x:c>
      <x:c r="O1248" s="12"/>
      <x:c r="P1248" s="11" t="n">
        <x:v>0</x:v>
      </x:c>
      <x:c r="Q1248" s="12" t="str">
        <x:v>AF-Q3TIX9-F1-model_v6</x:v>
      </x:c>
      <x:c r="R1248" s="12" t="str">
        <x:v>ok</x:v>
      </x:c>
      <x:c r="S1248" s="11" t="n">
        <x:v>854</x:v>
      </x:c>
      <x:c r="T1248" s="11" t="n">
        <x:v>564</x:v>
      </x:c>
    </x:row>
    <x:row r="1249" ht="23" customHeight="1">
      <x:c r="A1249" s="2" t="str">
        <x:v>Q3TIZ5</x:v>
      </x:c>
      <x:c r="B1249" s="2" t="str">
        <x:v>UN</x:v>
      </x:c>
      <x:c r="C1249" s="2"/>
      <x:c r="D1249" s="2"/>
      <x:c r="E1249" s="10"/>
      <x:c r="F1249" s="11"/>
      <x:c r="G1249" s="11" t="n">
        <x:v>0</x:v>
      </x:c>
      <x:c r="H1249" s="11" t="n">
        <x:v>0</x:v>
      </x:c>
      <x:c r="I1249" s="11" t="n">
        <x:v>0</x:v>
      </x:c>
      <x:c r="J1249" s="11" t="n">
        <x:v>0</x:v>
      </x:c>
      <x:c r="K1249" s="11" t="n">
        <x:v>0</x:v>
      </x:c>
      <x:c r="L1249" s="11" t="n">
        <x:f>IF(B1249="NED",1,IF(OR(B1249="ED",B1249="UN"),0,""))</x:f>
        <x:v>0</x:v>
      </x:c>
      <x:c r="M1249" s="11" t="n">
        <x:f>IF(AND(K1249=1,OR(B1249="ED",B1249="NED")),1,0)</x:f>
        <x:v>0</x:v>
      </x:c>
      <x:c r="N1249" s="11" t="n">
        <x:f>IF(K1249=1,1,0)</x:f>
        <x:v>0</x:v>
      </x:c>
      <x:c r="O1249" s="12" t="str">
        <x:v>Require exact native accession match</x:v>
      </x:c>
      <x:c r="P1249" s="11" t="n">
        <x:v>0</x:v>
      </x:c>
      <x:c r="Q1249" s="12"/>
      <x:c r="R1249" s="12"/>
      <x:c r="S1249" s="11" t="n">
        <x:v>3137</x:v>
      </x:c>
      <x:c r="T1249" s="11" t="n">
        <x:v>758</x:v>
      </x:c>
    </x:row>
    <x:row r="1250" ht="23" customHeight="1">
      <x:c r="A1250" s="2" t="str">
        <x:v>Q3TJ22</x:v>
      </x:c>
      <x:c r="B1250" s="2" t="str">
        <x:v>ED</x:v>
      </x:c>
      <x:c r="C1250" s="2" t="n">
        <x:v>1</x:v>
      </x:c>
      <x:c r="D1250" s="2"/>
      <x:c r="E1250" s="10" t="n">
        <x:v>84.13466666666667</x:v>
      </x:c>
      <x:c r="F1250" s="11" t="n">
        <x:v>435</x:v>
      </x:c>
      <x:c r="G1250" s="11" t="n">
        <x:v>0</x:v>
      </x:c>
      <x:c r="H1250" s="11" t="n">
        <x:v>0</x:v>
      </x:c>
      <x:c r="I1250" s="11" t="n">
        <x:v>0</x:v>
      </x:c>
      <x:c r="J1250" s="11" t="n">
        <x:v>0</x:v>
      </x:c>
      <x:c r="K1250" s="11" t="n">
        <x:v>1</x:v>
      </x:c>
      <x:c r="L1250" s="11" t="n">
        <x:f>IF(B1250="NED",1,IF(OR(B1250="ED",B1250="UN"),0,""))</x:f>
        <x:v>0</x:v>
      </x:c>
      <x:c r="M1250" s="11" t="n">
        <x:f>IF(AND(K1250=1,OR(B1250="ED",B1250="NED")),1,0)</x:f>
        <x:v>1</x:v>
      </x:c>
      <x:c r="N1250" s="11" t="n">
        <x:f>IF(K1250=1,1,0)</x:f>
        <x:v>1</x:v>
      </x:c>
      <x:c r="O1250" s="12"/>
      <x:c r="P1250" s="11" t="n">
        <x:v>0</x:v>
      </x:c>
      <x:c r="Q1250" s="12" t="str">
        <x:v>AF-Q3TJ22-F1-model_v6</x:v>
      </x:c>
      <x:c r="R1250" s="12" t="str">
        <x:v>ok</x:v>
      </x:c>
      <x:c r="S1250" s="11" t="n">
        <x:v>3138</x:v>
      </x:c>
      <x:c r="T1250" s="11" t="n">
        <x:v>435</x:v>
      </x:c>
    </x:row>
    <x:row r="1251" ht="23" customHeight="1">
      <x:c r="A1251" s="2" t="str">
        <x:v>Q3TJ91</x:v>
      </x:c>
      <x:c r="B1251" s="2" t="str">
        <x:v>ED</x:v>
      </x:c>
      <x:c r="C1251" s="2" t="n">
        <x:v>1</x:v>
      </x:c>
      <x:c r="D1251" s="2" t="n">
        <x:v>1</x:v>
      </x:c>
      <x:c r="E1251" s="10" t="n">
        <x:v>84.03516066212269</x:v>
      </x:c>
      <x:c r="F1251" s="11" t="n">
        <x:v>1027</x:v>
      </x:c>
      <x:c r="G1251" s="11" t="n">
        <x:v>0</x:v>
      </x:c>
      <x:c r="H1251" s="11" t="n">
        <x:v>0</x:v>
      </x:c>
      <x:c r="I1251" s="11" t="n">
        <x:v>0</x:v>
      </x:c>
      <x:c r="J1251" s="11" t="n">
        <x:v>0</x:v>
      </x:c>
      <x:c r="K1251" s="11" t="n">
        <x:v>1</x:v>
      </x:c>
      <x:c r="L1251" s="11" t="n">
        <x:f>IF(B1251="NED",1,IF(OR(B1251="ED",B1251="UN"),0,""))</x:f>
        <x:v>0</x:v>
      </x:c>
      <x:c r="M1251" s="11" t="n">
        <x:f>IF(AND(K1251=1,OR(B1251="ED",B1251="NED")),1,0)</x:f>
        <x:v>1</x:v>
      </x:c>
      <x:c r="N1251" s="11" t="n">
        <x:f>IF(K1251=1,1,0)</x:f>
        <x:v>1</x:v>
      </x:c>
      <x:c r="O1251" s="12"/>
      <x:c r="P1251" s="11" t="n">
        <x:v>0</x:v>
      </x:c>
      <x:c r="Q1251" s="12" t="str">
        <x:v>AF-Q3TJ91-F1-model_v6</x:v>
      </x:c>
      <x:c r="R1251" s="12" t="str">
        <x:v>ok</x:v>
      </x:c>
      <x:c r="S1251" s="11" t="n">
        <x:v>855</x:v>
      </x:c>
      <x:c r="T1251" s="11" t="n">
        <x:v>1027</x:v>
      </x:c>
    </x:row>
    <x:row r="1252" ht="23" customHeight="1">
      <x:c r="A1252" s="2" t="str">
        <x:v>Q3TJD7</x:v>
      </x:c>
      <x:c r="B1252" s="2" t="str">
        <x:v>ED</x:v>
      </x:c>
      <x:c r="C1252" s="2" t="n">
        <x:v>1</x:v>
      </x:c>
      <x:c r="D1252" s="2" t="n">
        <x:v>1</x:v>
      </x:c>
      <x:c r="E1252" s="10" t="n">
        <x:v>70.35512035010942</x:v>
      </x:c>
      <x:c r="F1252" s="11" t="n">
        <x:v>457</x:v>
      </x:c>
      <x:c r="G1252" s="11" t="n">
        <x:v>0</x:v>
      </x:c>
      <x:c r="H1252" s="11" t="n">
        <x:v>0</x:v>
      </x:c>
      <x:c r="I1252" s="11" t="n">
        <x:v>0</x:v>
      </x:c>
      <x:c r="J1252" s="11" t="n">
        <x:v>0</x:v>
      </x:c>
      <x:c r="K1252" s="11" t="n">
        <x:v>1</x:v>
      </x:c>
      <x:c r="L1252" s="11" t="n">
        <x:f>IF(B1252="NED",1,IF(OR(B1252="ED",B1252="UN"),0,""))</x:f>
        <x:v>0</x:v>
      </x:c>
      <x:c r="M1252" s="11" t="n">
        <x:f>IF(AND(K1252=1,OR(B1252="ED",B1252="NED")),1,0)</x:f>
        <x:v>1</x:v>
      </x:c>
      <x:c r="N1252" s="11" t="n">
        <x:f>IF(K1252=1,1,0)</x:f>
        <x:v>1</x:v>
      </x:c>
      <x:c r="O1252" s="12"/>
      <x:c r="P1252" s="11" t="n">
        <x:v>0</x:v>
      </x:c>
      <x:c r="Q1252" s="12" t="str">
        <x:v>AF-Q3TJD7-F1-model_v6</x:v>
      </x:c>
      <x:c r="R1252" s="12" t="str">
        <x:v>ok</x:v>
      </x:c>
      <x:c r="S1252" s="11" t="n">
        <x:v>856</x:v>
      </x:c>
      <x:c r="T1252" s="11" t="n">
        <x:v>457</x:v>
      </x:c>
    </x:row>
    <x:row r="1253" ht="23" customHeight="1">
      <x:c r="A1253" s="2" t="str">
        <x:v>Q3TKT4</x:v>
      </x:c>
      <x:c r="B1253" s="2" t="str">
        <x:v>NED</x:v>
      </x:c>
      <x:c r="C1253" s="2" t="n">
        <x:v>1</x:v>
      </x:c>
      <x:c r="D1253" s="2" t="n">
        <x:v>1</x:v>
      </x:c>
      <x:c r="E1253" s="10" t="n">
        <x:v>65.02170489770613</x:v>
      </x:c>
      <x:c r="F1253" s="11" t="n">
        <x:v>1613</x:v>
      </x:c>
      <x:c r="G1253" s="11" t="n">
        <x:v>0</x:v>
      </x:c>
      <x:c r="H1253" s="11" t="n">
        <x:v>0</x:v>
      </x:c>
      <x:c r="I1253" s="11" t="n">
        <x:v>0</x:v>
      </x:c>
      <x:c r="J1253" s="11" t="n">
        <x:v>0</x:v>
      </x:c>
      <x:c r="K1253" s="11" t="n">
        <x:v>0</x:v>
      </x:c>
      <x:c r="L1253" s="11" t="n">
        <x:f>IF(B1253="NED",1,IF(OR(B1253="ED",B1253="UN"),0,""))</x:f>
        <x:v>1</x:v>
      </x:c>
      <x:c r="M1253" s="11" t="n">
        <x:f>IF(AND(K1253=1,OR(B1253="ED",B1253="NED")),1,0)</x:f>
        <x:v>0</x:v>
      </x:c>
      <x:c r="N1253" s="11" t="n">
        <x:f>IF(K1253=1,1,0)</x:f>
        <x:v>0</x:v>
      </x:c>
      <x:c r="O1253" s="12" t="str">
        <x:v>Retain protein mean pLDDT &gt;=70</x:v>
      </x:c>
      <x:c r="P1253" s="11" t="n">
        <x:v>0</x:v>
      </x:c>
      <x:c r="Q1253" s="12" t="str">
        <x:v>AF-Q3TKT4-F1-model_v6</x:v>
      </x:c>
      <x:c r="R1253" s="12" t="str">
        <x:v>ok</x:v>
      </x:c>
      <x:c r="S1253" s="11" t="n">
        <x:v>857</x:v>
      </x:c>
      <x:c r="T1253" s="11" t="n">
        <x:v>1613</x:v>
      </x:c>
    </x:row>
    <x:row r="1254" ht="23" customHeight="1">
      <x:c r="A1254" s="2" t="str">
        <x:v>Q3TL26</x:v>
      </x:c>
      <x:c r="B1254" s="2" t="str">
        <x:v>ED</x:v>
      </x:c>
      <x:c r="C1254" s="2" t="n">
        <x:v>1</x:v>
      </x:c>
      <x:c r="D1254" s="2" t="n">
        <x:v>1</x:v>
      </x:c>
      <x:c r="E1254" s="10" t="n">
        <x:v>79.96863636363636</x:v>
      </x:c>
      <x:c r="F1254" s="11" t="n">
        <x:v>396</x:v>
      </x:c>
      <x:c r="G1254" s="11" t="n">
        <x:v>0</x:v>
      </x:c>
      <x:c r="H1254" s="11" t="n">
        <x:v>0</x:v>
      </x:c>
      <x:c r="I1254" s="11" t="n">
        <x:v>0</x:v>
      </x:c>
      <x:c r="J1254" s="11" t="n">
        <x:v>0</x:v>
      </x:c>
      <x:c r="K1254" s="11" t="n">
        <x:v>1</x:v>
      </x:c>
      <x:c r="L1254" s="11" t="n">
        <x:f>IF(B1254="NED",1,IF(OR(B1254="ED",B1254="UN"),0,""))</x:f>
        <x:v>0</x:v>
      </x:c>
      <x:c r="M1254" s="11" t="n">
        <x:f>IF(AND(K1254=1,OR(B1254="ED",B1254="NED")),1,0)</x:f>
        <x:v>1</x:v>
      </x:c>
      <x:c r="N1254" s="11" t="n">
        <x:f>IF(K1254=1,1,0)</x:f>
        <x:v>1</x:v>
      </x:c>
      <x:c r="O1254" s="12"/>
      <x:c r="P1254" s="11" t="n">
        <x:v>0</x:v>
      </x:c>
      <x:c r="Q1254" s="12" t="str">
        <x:v>AF-Q3TL26-F1-model_v6</x:v>
      </x:c>
      <x:c r="R1254" s="12" t="str">
        <x:v>ok</x:v>
      </x:c>
      <x:c r="S1254" s="11" t="n">
        <x:v>858</x:v>
      </x:c>
      <x:c r="T1254" s="11" t="n">
        <x:v>396</x:v>
      </x:c>
    </x:row>
    <x:row r="1255" ht="23" customHeight="1">
      <x:c r="A1255" s="2" t="str">
        <x:v>Q3TLP8</x:v>
      </x:c>
      <x:c r="B1255" s="2" t="str">
        <x:v>ED</x:v>
      </x:c>
      <x:c r="C1255" s="2"/>
      <x:c r="D1255" s="2"/>
      <x:c r="E1255" s="10"/>
      <x:c r="F1255" s="11"/>
      <x:c r="G1255" s="11" t="n">
        <x:v>0</x:v>
      </x:c>
      <x:c r="H1255" s="11" t="n">
        <x:v>0</x:v>
      </x:c>
      <x:c r="I1255" s="11" t="n">
        <x:v>0</x:v>
      </x:c>
      <x:c r="J1255" s="11" t="n">
        <x:v>0</x:v>
      </x:c>
      <x:c r="K1255" s="11" t="n">
        <x:v>0</x:v>
      </x:c>
      <x:c r="L1255" s="11" t="n">
        <x:f>IF(B1255="NED",1,IF(OR(B1255="ED",B1255="UN"),0,""))</x:f>
        <x:v>0</x:v>
      </x:c>
      <x:c r="M1255" s="11" t="n">
        <x:f>IF(AND(K1255=1,OR(B1255="ED",B1255="NED")),1,0)</x:f>
        <x:v>0</x:v>
      </x:c>
      <x:c r="N1255" s="11" t="n">
        <x:f>IF(K1255=1,1,0)</x:f>
        <x:v>0</x:v>
      </x:c>
      <x:c r="O1255" s="12" t="str">
        <x:v>Require exact native accession match</x:v>
      </x:c>
      <x:c r="P1255" s="11" t="n">
        <x:v>0</x:v>
      </x:c>
      <x:c r="Q1255" s="12"/>
      <x:c r="R1255" s="12"/>
      <x:c r="S1255" s="11" t="n">
        <x:v>3139</x:v>
      </x:c>
      <x:c r="T1255" s="11" t="n">
        <x:v>211</x:v>
      </x:c>
    </x:row>
    <x:row r="1256" ht="23" customHeight="1">
      <x:c r="A1256" s="2" t="str">
        <x:v>Q3TMX0</x:v>
      </x:c>
      <x:c r="B1256" s="2" t="str">
        <x:v>ED</x:v>
      </x:c>
      <x:c r="C1256" s="2"/>
      <x:c r="D1256" s="2"/>
      <x:c r="E1256" s="10"/>
      <x:c r="F1256" s="11"/>
      <x:c r="G1256" s="11" t="n">
        <x:v>0</x:v>
      </x:c>
      <x:c r="H1256" s="11" t="n">
        <x:v>0</x:v>
      </x:c>
      <x:c r="I1256" s="11" t="n">
        <x:v>1</x:v>
      </x:c>
      <x:c r="J1256" s="11" t="n">
        <x:v>0</x:v>
      </x:c>
      <x:c r="K1256" s="11" t="n">
        <x:v>0</x:v>
      </x:c>
      <x:c r="L1256" s="11" t="n">
        <x:f>IF(B1256="NED",1,IF(OR(B1256="ED",B1256="UN"),0,""))</x:f>
        <x:v>0</x:v>
      </x:c>
      <x:c r="M1256" s="11" t="n">
        <x:f>IF(AND(K1256=1,OR(B1256="ED",B1256="NED")),1,0)</x:f>
        <x:v>0</x:v>
      </x:c>
      <x:c r="N1256" s="11" t="n">
        <x:f>IF(K1256=1,1,0)</x:f>
        <x:v>0</x:v>
      </x:c>
      <x:c r="O1256" s="12" t="str">
        <x:v>Require exact native accession match</x:v>
      </x:c>
      <x:c r="P1256" s="11" t="n">
        <x:v>0</x:v>
      </x:c>
      <x:c r="Q1256" s="12"/>
      <x:c r="R1256" s="12"/>
      <x:c r="S1256" s="11" t="n">
        <x:v>3140</x:v>
      </x:c>
      <x:c r="T1256" s="11" t="n">
        <x:v>298</x:v>
      </x:c>
    </x:row>
    <x:row r="1257" ht="23" customHeight="1">
      <x:c r="A1257" s="2" t="str">
        <x:v>Q3TN34</x:v>
      </x:c>
      <x:c r="B1257" s="2" t="str">
        <x:v>ED</x:v>
      </x:c>
      <x:c r="C1257" s="2" t="n">
        <x:v>1</x:v>
      </x:c>
      <x:c r="D1257" s="2" t="n">
        <x:v>1</x:v>
      </x:c>
      <x:c r="E1257" s="10"/>
      <x:c r="F1257" s="11" t="n">
        <x:v>1009</x:v>
      </x:c>
      <x:c r="G1257" s="11" t="n">
        <x:v>0</x:v>
      </x:c>
      <x:c r="H1257" s="11" t="n">
        <x:v>0</x:v>
      </x:c>
      <x:c r="I1257" s="11" t="n">
        <x:v>1</x:v>
      </x:c>
      <x:c r="J1257" s="11" t="n">
        <x:v>0</x:v>
      </x:c>
      <x:c r="K1257" s="11" t="n">
        <x:v>0</x:v>
      </x:c>
      <x:c r="L1257" s="11" t="n">
        <x:f>IF(B1257="NED",1,IF(OR(B1257="ED",B1257="UN"),0,""))</x:f>
        <x:v>0</x:v>
      </x:c>
      <x:c r="M1257" s="11" t="n">
        <x:f>IF(AND(K1257=1,OR(B1257="ED",B1257="NED")),1,0)</x:f>
        <x:v>0</x:v>
      </x:c>
      <x:c r="N1257" s="11" t="n">
        <x:f>IF(K1257=1,1,0)</x:f>
        <x:v>0</x:v>
      </x:c>
      <x:c r="O1257" s="12" t="str">
        <x:v>Exclude UniProt Membrane keyword</x:v>
      </x:c>
      <x:c r="P1257" s="11" t="n">
        <x:v>0</x:v>
      </x:c>
      <x:c r="Q1257" s="12" t="str">
        <x:v>AF-Q3TN34-F1-model_v6</x:v>
      </x:c>
      <x:c r="R1257" s="12" t="str">
        <x:v>ok</x:v>
      </x:c>
      <x:c r="S1257" s="11" t="n">
        <x:v>859</x:v>
      </x:c>
      <x:c r="T1257" s="11" t="n">
        <x:v>1009</x:v>
      </x:c>
    </x:row>
    <x:row r="1258" ht="23" customHeight="1">
      <x:c r="A1258" s="2" t="str">
        <x:v>Q3TNL8-2</x:v>
      </x:c>
      <x:c r="B1258" s="2" t="str">
        <x:v>UN</x:v>
      </x:c>
      <x:c r="C1258" s="2"/>
      <x:c r="D1258" s="2"/>
      <x:c r="E1258" s="10"/>
      <x:c r="F1258" s="11"/>
      <x:c r="G1258" s="11" t="n">
        <x:v>0</x:v>
      </x:c>
      <x:c r="H1258" s="11" t="n">
        <x:v>0</x:v>
      </x:c>
      <x:c r="I1258" s="11"/>
      <x:c r="J1258" s="11"/>
      <x:c r="K1258" s="11" t="n">
        <x:v>0</x:v>
      </x:c>
      <x:c r="L1258" s="11" t="n">
        <x:f>IF(B1258="NED",1,IF(OR(B1258="ED",B1258="UN"),0,""))</x:f>
        <x:v>0</x:v>
      </x:c>
      <x:c r="M1258" s="11" t="n">
        <x:f>IF(AND(K1258=1,OR(B1258="ED",B1258="NED")),1,0)</x:f>
        <x:v>0</x:v>
      </x:c>
      <x:c r="N1258" s="11" t="n">
        <x:f>IF(K1258=1,1,0)</x:f>
        <x:v>0</x:v>
      </x:c>
      <x:c r="O1258" s="12" t="str">
        <x:v>Require exact native accession match</x:v>
      </x:c>
      <x:c r="P1258" s="11" t="n">
        <x:v>0</x:v>
      </x:c>
      <x:c r="Q1258" s="12"/>
      <x:c r="R1258" s="12"/>
      <x:c r="S1258" s="11" t="n">
        <x:v>860</x:v>
      </x:c>
      <x:c r="T1258" s="11"/>
    </x:row>
    <x:row r="1259" ht="23" customHeight="1">
      <x:c r="A1259" s="2" t="str">
        <x:v>Q3TQ29</x:v>
      </x:c>
      <x:c r="B1259" s="2" t="str">
        <x:v>ED</x:v>
      </x:c>
      <x:c r="C1259" s="2"/>
      <x:c r="D1259" s="2"/>
      <x:c r="E1259" s="10"/>
      <x:c r="F1259" s="11"/>
      <x:c r="G1259" s="11" t="n">
        <x:v>0</x:v>
      </x:c>
      <x:c r="H1259" s="11" t="n">
        <x:v>0</x:v>
      </x:c>
      <x:c r="I1259" s="11" t="n">
        <x:v>0</x:v>
      </x:c>
      <x:c r="J1259" s="11" t="n">
        <x:v>0</x:v>
      </x:c>
      <x:c r="K1259" s="11" t="n">
        <x:v>0</x:v>
      </x:c>
      <x:c r="L1259" s="11" t="n">
        <x:f>IF(B1259="NED",1,IF(OR(B1259="ED",B1259="UN"),0,""))</x:f>
        <x:v>0</x:v>
      </x:c>
      <x:c r="M1259" s="11" t="n">
        <x:f>IF(AND(K1259=1,OR(B1259="ED",B1259="NED")),1,0)</x:f>
        <x:v>0</x:v>
      </x:c>
      <x:c r="N1259" s="11" t="n">
        <x:f>IF(K1259=1,1,0)</x:f>
        <x:v>0</x:v>
      </x:c>
      <x:c r="O1259" s="12" t="str">
        <x:v>Require exact native accession match</x:v>
      </x:c>
      <x:c r="P1259" s="11" t="n">
        <x:v>0</x:v>
      </x:c>
      <x:c r="Q1259" s="12"/>
      <x:c r="R1259" s="12"/>
      <x:c r="S1259" s="11" t="n">
        <x:v>3141</x:v>
      </x:c>
      <x:c r="T1259" s="11" t="n">
        <x:v>980</x:v>
      </x:c>
    </x:row>
    <x:row r="1260" ht="23" customHeight="1">
      <x:c r="A1260" s="2" t="str">
        <x:v>Q3TQI7</x:v>
      </x:c>
      <x:c r="B1260" s="2" t="str">
        <x:v>ED</x:v>
      </x:c>
      <x:c r="C1260" s="2" t="n">
        <x:v>0</x:v>
      </x:c>
      <x:c r="D1260" s="2" t="n">
        <x:v>0</x:v>
      </x:c>
      <x:c r="E1260" s="10" t="n">
        <x:v>69.26349480968858</x:v>
      </x:c>
      <x:c r="F1260" s="11" t="n">
        <x:v>289</x:v>
      </x:c>
      <x:c r="G1260" s="11" t="n">
        <x:v>0</x:v>
      </x:c>
      <x:c r="H1260" s="11" t="n">
        <x:v>0</x:v>
      </x:c>
      <x:c r="I1260" s="11" t="n">
        <x:v>0</x:v>
      </x:c>
      <x:c r="J1260" s="11" t="n">
        <x:v>0</x:v>
      </x:c>
      <x:c r="K1260" s="11" t="n">
        <x:v>0</x:v>
      </x:c>
      <x:c r="L1260" s="11" t="n">
        <x:f>IF(B1260="NED",1,IF(OR(B1260="ED",B1260="UN"),0,""))</x:f>
        <x:v>0</x:v>
      </x:c>
      <x:c r="M1260" s="11" t="n">
        <x:f>IF(AND(K1260=1,OR(B1260="ED",B1260="NED")),1,0)</x:f>
        <x:v>0</x:v>
      </x:c>
      <x:c r="N1260" s="11" t="n">
        <x:f>IF(K1260=1,1,0)</x:f>
        <x:v>0</x:v>
      </x:c>
      <x:c r="O1260" s="12" t="str">
        <x:v>Retain protein mean pLDDT &gt;=70</x:v>
      </x:c>
      <x:c r="P1260" s="11" t="n">
        <x:v>0</x:v>
      </x:c>
      <x:c r="Q1260" s="12" t="str">
        <x:v>AF-Q3TQI7-F1-model_v6</x:v>
      </x:c>
      <x:c r="R1260" s="12" t="str">
        <x:v>ok</x:v>
      </x:c>
      <x:c r="S1260" s="11" t="n">
        <x:v>861</x:v>
      </x:c>
      <x:c r="T1260" s="11" t="n">
        <x:v>289</x:v>
      </x:c>
    </x:row>
    <x:row r="1261" ht="23" customHeight="1">
      <x:c r="A1261" s="2" t="str">
        <x:v>Q3TRL2</x:v>
      </x:c>
      <x:c r="B1261" s="2" t="str">
        <x:v>UN</x:v>
      </x:c>
      <x:c r="C1261" s="2"/>
      <x:c r="D1261" s="2"/>
      <x:c r="E1261" s="10"/>
      <x:c r="F1261" s="11"/>
      <x:c r="G1261" s="11" t="n">
        <x:v>0</x:v>
      </x:c>
      <x:c r="H1261" s="11" t="n">
        <x:v>0</x:v>
      </x:c>
      <x:c r="I1261" s="11" t="n">
        <x:v>1</x:v>
      </x:c>
      <x:c r="J1261" s="11" t="n">
        <x:v>0</x:v>
      </x:c>
      <x:c r="K1261" s="11" t="n">
        <x:v>0</x:v>
      </x:c>
      <x:c r="L1261" s="11" t="n">
        <x:f>IF(B1261="NED",1,IF(OR(B1261="ED",B1261="UN"),0,""))</x:f>
        <x:v>0</x:v>
      </x:c>
      <x:c r="M1261" s="11" t="n">
        <x:f>IF(AND(K1261=1,OR(B1261="ED",B1261="NED")),1,0)</x:f>
        <x:v>0</x:v>
      </x:c>
      <x:c r="N1261" s="11" t="n">
        <x:f>IF(K1261=1,1,0)</x:f>
        <x:v>0</x:v>
      </x:c>
      <x:c r="O1261" s="12" t="str">
        <x:v>Require exact native accession match</x:v>
      </x:c>
      <x:c r="P1261" s="11" t="n">
        <x:v>0</x:v>
      </x:c>
      <x:c r="Q1261" s="12"/>
      <x:c r="R1261" s="12"/>
      <x:c r="S1261" s="11" t="n">
        <x:v>3142</x:v>
      </x:c>
      <x:c r="T1261" s="11" t="n">
        <x:v>522</x:v>
      </x:c>
    </x:row>
    <x:row r="1262" ht="23" customHeight="1">
      <x:c r="A1262" s="2" t="str">
        <x:v>Q3TUE1</x:v>
      </x:c>
      <x:c r="B1262" s="2" t="str">
        <x:v>ED</x:v>
      </x:c>
      <x:c r="C1262" s="2"/>
      <x:c r="D1262" s="2"/>
      <x:c r="E1262" s="10"/>
      <x:c r="F1262" s="11"/>
      <x:c r="G1262" s="11" t="n">
        <x:v>0</x:v>
      </x:c>
      <x:c r="H1262" s="11" t="n">
        <x:v>0</x:v>
      </x:c>
      <x:c r="I1262" s="11" t="n">
        <x:v>0</x:v>
      </x:c>
      <x:c r="J1262" s="11" t="n">
        <x:v>0</x:v>
      </x:c>
      <x:c r="K1262" s="11" t="n">
        <x:v>0</x:v>
      </x:c>
      <x:c r="L1262" s="11" t="n">
        <x:f>IF(B1262="NED",1,IF(OR(B1262="ED",B1262="UN"),0,""))</x:f>
        <x:v>0</x:v>
      </x:c>
      <x:c r="M1262" s="11" t="n">
        <x:f>IF(AND(K1262=1,OR(B1262="ED",B1262="NED")),1,0)</x:f>
        <x:v>0</x:v>
      </x:c>
      <x:c r="N1262" s="11" t="n">
        <x:f>IF(K1262=1,1,0)</x:f>
        <x:v>0</x:v>
      </x:c>
      <x:c r="O1262" s="12" t="str">
        <x:v>Require exact native accession match</x:v>
      </x:c>
      <x:c r="P1262" s="11" t="n">
        <x:v>0</x:v>
      </x:c>
      <x:c r="Q1262" s="12"/>
      <x:c r="R1262" s="12"/>
      <x:c r="S1262" s="11" t="n">
        <x:v>3143</x:v>
      </x:c>
      <x:c r="T1262" s="11" t="n">
        <x:v>642</x:v>
      </x:c>
    </x:row>
    <x:row r="1263" ht="23" customHeight="1">
      <x:c r="A1263" s="2" t="str">
        <x:v>Q3TUF7-3</x:v>
      </x:c>
      <x:c r="B1263" s="2" t="str">
        <x:v>UN</x:v>
      </x:c>
      <x:c r="C1263" s="2"/>
      <x:c r="D1263" s="2"/>
      <x:c r="E1263" s="10"/>
      <x:c r="F1263" s="11"/>
      <x:c r="G1263" s="11" t="n">
        <x:v>0</x:v>
      </x:c>
      <x:c r="H1263" s="11" t="n">
        <x:v>0</x:v>
      </x:c>
      <x:c r="I1263" s="11"/>
      <x:c r="J1263" s="11"/>
      <x:c r="K1263" s="11" t="n">
        <x:v>0</x:v>
      </x:c>
      <x:c r="L1263" s="11" t="n">
        <x:f>IF(B1263="NED",1,IF(OR(B1263="ED",B1263="UN"),0,""))</x:f>
        <x:v>0</x:v>
      </x:c>
      <x:c r="M1263" s="11" t="n">
        <x:f>IF(AND(K1263=1,OR(B1263="ED",B1263="NED")),1,0)</x:f>
        <x:v>0</x:v>
      </x:c>
      <x:c r="N1263" s="11" t="n">
        <x:f>IF(K1263=1,1,0)</x:f>
        <x:v>0</x:v>
      </x:c>
      <x:c r="O1263" s="12" t="str">
        <x:v>Require exact native accession match</x:v>
      </x:c>
      <x:c r="P1263" s="11" t="n">
        <x:v>0</x:v>
      </x:c>
      <x:c r="Q1263" s="12"/>
      <x:c r="R1263" s="12"/>
      <x:c r="S1263" s="11" t="n">
        <x:v>862</x:v>
      </x:c>
      <x:c r="T1263" s="11"/>
    </x:row>
    <x:row r="1264" ht="23" customHeight="1">
      <x:c r="A1264" s="2" t="str">
        <x:v>Q3TUU5</x:v>
      </x:c>
      <x:c r="B1264" s="2" t="str">
        <x:v>UN</x:v>
      </x:c>
      <x:c r="C1264" s="2" t="n">
        <x:v>1</x:v>
      </x:c>
      <x:c r="D1264" s="2" t="n">
        <x:v>1</x:v>
      </x:c>
      <x:c r="E1264" s="10" t="n">
        <x:v>94.04777777777778</x:v>
      </x:c>
      <x:c r="F1264" s="11" t="n">
        <x:v>225</x:v>
      </x:c>
      <x:c r="G1264" s="11" t="n">
        <x:v>0</x:v>
      </x:c>
      <x:c r="H1264" s="11" t="n">
        <x:v>0</x:v>
      </x:c>
      <x:c r="I1264" s="11" t="n">
        <x:v>0</x:v>
      </x:c>
      <x:c r="J1264" s="11" t="n">
        <x:v>0</x:v>
      </x:c>
      <x:c r="K1264" s="11" t="n">
        <x:v>1</x:v>
      </x:c>
      <x:c r="L1264" s="11" t="n">
        <x:f>IF(B1264="NED",1,IF(OR(B1264="ED",B1264="UN"),0,""))</x:f>
        <x:v>0</x:v>
      </x:c>
      <x:c r="M1264" s="11" t="n">
        <x:f>IF(AND(K1264=1,OR(B1264="ED",B1264="NED")),1,0)</x:f>
        <x:v>0</x:v>
      </x:c>
      <x:c r="N1264" s="11" t="n">
        <x:f>IF(K1264=1,1,0)</x:f>
        <x:v>1</x:v>
      </x:c>
      <x:c r="O1264" s="12"/>
      <x:c r="P1264" s="11" t="n">
        <x:v>0</x:v>
      </x:c>
      <x:c r="Q1264" s="12" t="str">
        <x:v>AF-Q3TUU5-F1-model_v6</x:v>
      </x:c>
      <x:c r="R1264" s="12" t="str">
        <x:v>ok</x:v>
      </x:c>
      <x:c r="S1264" s="11" t="n">
        <x:v>863</x:v>
      </x:c>
      <x:c r="T1264" s="11" t="n">
        <x:v>225</x:v>
      </x:c>
    </x:row>
    <x:row r="1265" ht="23" customHeight="1">
      <x:c r="A1265" s="2" t="str">
        <x:v>Q3TVI8</x:v>
      </x:c>
      <x:c r="B1265" s="2" t="str">
        <x:v>UN</x:v>
      </x:c>
      <x:c r="C1265" s="2" t="n">
        <x:v>1</x:v>
      </x:c>
      <x:c r="D1265" s="2"/>
      <x:c r="E1265" s="10"/>
      <x:c r="F1265" s="11" t="n">
        <x:v>727</x:v>
      </x:c>
      <x:c r="G1265" s="11" t="n">
        <x:v>1</x:v>
      </x:c>
      <x:c r="H1265" s="11" t="n">
        <x:v>0</x:v>
      </x:c>
      <x:c r="I1265" s="11" t="n">
        <x:v>0</x:v>
      </x:c>
      <x:c r="J1265" s="11" t="n">
        <x:v>0</x:v>
      </x:c>
      <x:c r="K1265" s="11" t="n">
        <x:v>0</x:v>
      </x:c>
      <x:c r="L1265" s="11" t="n">
        <x:f>IF(B1265="NED",1,IF(OR(B1265="ED",B1265="UN"),0,""))</x:f>
        <x:v>0</x:v>
      </x:c>
      <x:c r="M1265" s="11" t="n">
        <x:f>IF(AND(K1265=1,OR(B1265="ED",B1265="NED")),1,0)</x:f>
        <x:v>0</x:v>
      </x:c>
      <x:c r="N1265" s="11" t="n">
        <x:f>IF(K1265=1,1,0)</x:f>
        <x:v>0</x:v>
      </x:c>
      <x:c r="O1265" s="12" t="str">
        <x:v>Exclude supplied knotted proteins</x:v>
      </x:c>
      <x:c r="P1265" s="11" t="n">
        <x:v>0</x:v>
      </x:c>
      <x:c r="Q1265" s="12" t="str">
        <x:v>AF-Q3TVI8-F1-model_v6</x:v>
      </x:c>
      <x:c r="R1265" s="12" t="str">
        <x:v>ok</x:v>
      </x:c>
      <x:c r="S1265" s="11" t="n">
        <x:v>864</x:v>
      </x:c>
      <x:c r="T1265" s="11" t="n">
        <x:v>727</x:v>
      </x:c>
    </x:row>
    <x:row r="1266" ht="23" customHeight="1">
      <x:c r="A1266" s="2" t="str">
        <x:v>Q3TW96</x:v>
      </x:c>
      <x:c r="B1266" s="2" t="str">
        <x:v>UN</x:v>
      </x:c>
      <x:c r="C1266" s="2" t="n">
        <x:v>1</x:v>
      </x:c>
      <x:c r="D1266" s="2" t="n">
        <x:v>1</x:v>
      </x:c>
      <x:c r="E1266" s="10" t="n">
        <x:v>93.57702169625249</x:v>
      </x:c>
      <x:c r="F1266" s="11" t="n">
        <x:v>507</x:v>
      </x:c>
      <x:c r="G1266" s="11" t="n">
        <x:v>0</x:v>
      </x:c>
      <x:c r="H1266" s="11" t="n">
        <x:v>0</x:v>
      </x:c>
      <x:c r="I1266" s="11" t="n">
        <x:v>0</x:v>
      </x:c>
      <x:c r="J1266" s="11" t="n">
        <x:v>0</x:v>
      </x:c>
      <x:c r="K1266" s="11" t="n">
        <x:v>1</x:v>
      </x:c>
      <x:c r="L1266" s="11" t="n">
        <x:f>IF(B1266="NED",1,IF(OR(B1266="ED",B1266="UN"),0,""))</x:f>
        <x:v>0</x:v>
      </x:c>
      <x:c r="M1266" s="11" t="n">
        <x:f>IF(AND(K1266=1,OR(B1266="ED",B1266="NED")),1,0)</x:f>
        <x:v>0</x:v>
      </x:c>
      <x:c r="N1266" s="11" t="n">
        <x:f>IF(K1266=1,1,0)</x:f>
        <x:v>1</x:v>
      </x:c>
      <x:c r="O1266" s="12"/>
      <x:c r="P1266" s="11" t="n">
        <x:v>0</x:v>
      </x:c>
      <x:c r="Q1266" s="12" t="str">
        <x:v>AF-Q3TW96-F1-model_v6</x:v>
      </x:c>
      <x:c r="R1266" s="12" t="str">
        <x:v>ok</x:v>
      </x:c>
      <x:c r="S1266" s="11" t="n">
        <x:v>865</x:v>
      </x:c>
      <x:c r="T1266" s="11" t="n">
        <x:v>507</x:v>
      </x:c>
    </x:row>
    <x:row r="1267" ht="23" customHeight="1">
      <x:c r="A1267" s="2" t="str">
        <x:v>Q3TWF6</x:v>
      </x:c>
      <x:c r="B1267" s="2" t="str">
        <x:v>ED</x:v>
      </x:c>
      <x:c r="C1267" s="2" t="n">
        <x:v>1</x:v>
      </x:c>
      <x:c r="D1267" s="2" t="n">
        <x:v>1</x:v>
      </x:c>
      <x:c r="E1267" s="10" t="n">
        <x:v>77.75187214611873</x:v>
      </x:c>
      <x:c r="F1267" s="11" t="n">
        <x:v>657</x:v>
      </x:c>
      <x:c r="G1267" s="11" t="n">
        <x:v>0</x:v>
      </x:c>
      <x:c r="H1267" s="11" t="n">
        <x:v>0</x:v>
      </x:c>
      <x:c r="I1267" s="11" t="n">
        <x:v>0</x:v>
      </x:c>
      <x:c r="J1267" s="11" t="n">
        <x:v>0</x:v>
      </x:c>
      <x:c r="K1267" s="11" t="n">
        <x:v>1</x:v>
      </x:c>
      <x:c r="L1267" s="11" t="n">
        <x:f>IF(B1267="NED",1,IF(OR(B1267="ED",B1267="UN"),0,""))</x:f>
        <x:v>0</x:v>
      </x:c>
      <x:c r="M1267" s="11" t="n">
        <x:f>IF(AND(K1267=1,OR(B1267="ED",B1267="NED")),1,0)</x:f>
        <x:v>1</x:v>
      </x:c>
      <x:c r="N1267" s="11" t="n">
        <x:f>IF(K1267=1,1,0)</x:f>
        <x:v>1</x:v>
      </x:c>
      <x:c r="O1267" s="12"/>
      <x:c r="P1267" s="11" t="n">
        <x:v>0</x:v>
      </x:c>
      <x:c r="Q1267" s="12" t="str">
        <x:v>AF-Q3TWF6-F1-model_v6</x:v>
      </x:c>
      <x:c r="R1267" s="12" t="str">
        <x:v>ok</x:v>
      </x:c>
      <x:c r="S1267" s="11" t="n">
        <x:v>866</x:v>
      </x:c>
      <x:c r="T1267" s="11" t="n">
        <x:v>657</x:v>
      </x:c>
    </x:row>
    <x:row r="1268" ht="23" customHeight="1">
      <x:c r="A1268" s="2" t="str">
        <x:v>Q3TWV4</x:v>
      </x:c>
      <x:c r="B1268" s="2" t="str">
        <x:v>ED</x:v>
      </x:c>
      <x:c r="C1268" s="2"/>
      <x:c r="D1268" s="2"/>
      <x:c r="E1268" s="10"/>
      <x:c r="F1268" s="11"/>
      <x:c r="G1268" s="11" t="n">
        <x:v>0</x:v>
      </x:c>
      <x:c r="H1268" s="11" t="n">
        <x:v>0</x:v>
      </x:c>
      <x:c r="I1268" s="11" t="n">
        <x:v>1</x:v>
      </x:c>
      <x:c r="J1268" s="11" t="n">
        <x:v>0</x:v>
      </x:c>
      <x:c r="K1268" s="11" t="n">
        <x:v>0</x:v>
      </x:c>
      <x:c r="L1268" s="11" t="n">
        <x:f>IF(B1268="NED",1,IF(OR(B1268="ED",B1268="UN"),0,""))</x:f>
        <x:v>0</x:v>
      </x:c>
      <x:c r="M1268" s="11" t="n">
        <x:f>IF(AND(K1268=1,OR(B1268="ED",B1268="NED")),1,0)</x:f>
        <x:v>0</x:v>
      </x:c>
      <x:c r="N1268" s="11" t="n">
        <x:f>IF(K1268=1,1,0)</x:f>
        <x:v>0</x:v>
      </x:c>
      <x:c r="O1268" s="12" t="str">
        <x:v>Require exact native accession match</x:v>
      </x:c>
      <x:c r="P1268" s="11" t="n">
        <x:v>0</x:v>
      </x:c>
      <x:c r="Q1268" s="12"/>
      <x:c r="R1268" s="12"/>
      <x:c r="S1268" s="11" t="n">
        <x:v>3144</x:v>
      </x:c>
      <x:c r="T1268" s="11" t="n">
        <x:v>433</x:v>
      </x:c>
    </x:row>
    <x:row r="1269" ht="23" customHeight="1">
      <x:c r="A1269" s="2" t="str">
        <x:v>Q3TWW8</x:v>
      </x:c>
      <x:c r="B1269" s="2" t="str">
        <x:v>ED</x:v>
      </x:c>
      <x:c r="C1269" s="2" t="n">
        <x:v>1</x:v>
      </x:c>
      <x:c r="D1269" s="2" t="n">
        <x:v>1</x:v>
      </x:c>
      <x:c r="E1269" s="10" t="n">
        <x:v>62.51560471976401</x:v>
      </x:c>
      <x:c r="F1269" s="11" t="n">
        <x:v>339</x:v>
      </x:c>
      <x:c r="G1269" s="11" t="n">
        <x:v>0</x:v>
      </x:c>
      <x:c r="H1269" s="11" t="n">
        <x:v>0</x:v>
      </x:c>
      <x:c r="I1269" s="11" t="n">
        <x:v>0</x:v>
      </x:c>
      <x:c r="J1269" s="11" t="n">
        <x:v>0</x:v>
      </x:c>
      <x:c r="K1269" s="11" t="n">
        <x:v>0</x:v>
      </x:c>
      <x:c r="L1269" s="11" t="n">
        <x:f>IF(B1269="NED",1,IF(OR(B1269="ED",B1269="UN"),0,""))</x:f>
        <x:v>0</x:v>
      </x:c>
      <x:c r="M1269" s="11" t="n">
        <x:f>IF(AND(K1269=1,OR(B1269="ED",B1269="NED")),1,0)</x:f>
        <x:v>0</x:v>
      </x:c>
      <x:c r="N1269" s="11" t="n">
        <x:f>IF(K1269=1,1,0)</x:f>
        <x:v>0</x:v>
      </x:c>
      <x:c r="O1269" s="12" t="str">
        <x:v>Retain protein mean pLDDT &gt;=70</x:v>
      </x:c>
      <x:c r="P1269" s="11" t="n">
        <x:v>0</x:v>
      </x:c>
      <x:c r="Q1269" s="12" t="str">
        <x:v>AF-Q3TWW8-F1-model_v6</x:v>
      </x:c>
      <x:c r="R1269" s="12" t="str">
        <x:v>ok</x:v>
      </x:c>
      <x:c r="S1269" s="11" t="n">
        <x:v>867</x:v>
      </x:c>
      <x:c r="T1269" s="11" t="n">
        <x:v>339</x:v>
      </x:c>
    </x:row>
    <x:row r="1270" ht="23" customHeight="1">
      <x:c r="A1270" s="2" t="str">
        <x:v>Q3TX08</x:v>
      </x:c>
      <x:c r="B1270" s="2" t="str">
        <x:v>ED</x:v>
      </x:c>
      <x:c r="C1270" s="2" t="n">
        <x:v>1</x:v>
      </x:c>
      <x:c r="D1270" s="2" t="n">
        <x:v>1</x:v>
      </x:c>
      <x:c r="E1270" s="10" t="n">
        <x:v>81.54834087481147</x:v>
      </x:c>
      <x:c r="F1270" s="11" t="n">
        <x:v>663</x:v>
      </x:c>
      <x:c r="G1270" s="11" t="n">
        <x:v>0</x:v>
      </x:c>
      <x:c r="H1270" s="11" t="n">
        <x:v>0</x:v>
      </x:c>
      <x:c r="I1270" s="11" t="n">
        <x:v>0</x:v>
      </x:c>
      <x:c r="J1270" s="11" t="n">
        <x:v>0</x:v>
      </x:c>
      <x:c r="K1270" s="11" t="n">
        <x:v>1</x:v>
      </x:c>
      <x:c r="L1270" s="11" t="n">
        <x:f>IF(B1270="NED",1,IF(OR(B1270="ED",B1270="UN"),0,""))</x:f>
        <x:v>0</x:v>
      </x:c>
      <x:c r="M1270" s="11" t="n">
        <x:f>IF(AND(K1270=1,OR(B1270="ED",B1270="NED")),1,0)</x:f>
        <x:v>1</x:v>
      </x:c>
      <x:c r="N1270" s="11" t="n">
        <x:f>IF(K1270=1,1,0)</x:f>
        <x:v>1</x:v>
      </x:c>
      <x:c r="O1270" s="12"/>
      <x:c r="P1270" s="11" t="n">
        <x:v>0</x:v>
      </x:c>
      <x:c r="Q1270" s="12" t="str">
        <x:v>AF-Q3TX08-F1-model_v6</x:v>
      </x:c>
      <x:c r="R1270" s="12" t="str">
        <x:v>ok</x:v>
      </x:c>
      <x:c r="S1270" s="11" t="n">
        <x:v>868</x:v>
      </x:c>
      <x:c r="T1270" s="11" t="n">
        <x:v>663</x:v>
      </x:c>
    </x:row>
    <x:row r="1271" ht="23" customHeight="1">
      <x:c r="A1271" s="2" t="str">
        <x:v>Q3TXS7</x:v>
      </x:c>
      <x:c r="B1271" s="2" t="str">
        <x:v>NED</x:v>
      </x:c>
      <x:c r="C1271" s="2" t="n">
        <x:v>1</x:v>
      </x:c>
      <x:c r="D1271" s="2" t="n">
        <x:v>1</x:v>
      </x:c>
      <x:c r="E1271" s="10" t="n">
        <x:v>80.31064008394543</x:v>
      </x:c>
      <x:c r="F1271" s="11" t="n">
        <x:v>953</x:v>
      </x:c>
      <x:c r="G1271" s="11" t="n">
        <x:v>0</x:v>
      </x:c>
      <x:c r="H1271" s="11" t="n">
        <x:v>0</x:v>
      </x:c>
      <x:c r="I1271" s="11" t="n">
        <x:v>0</x:v>
      </x:c>
      <x:c r="J1271" s="11" t="n">
        <x:v>0</x:v>
      </x:c>
      <x:c r="K1271" s="11" t="n">
        <x:v>1</x:v>
      </x:c>
      <x:c r="L1271" s="11" t="n">
        <x:f>IF(B1271="NED",1,IF(OR(B1271="ED",B1271="UN"),0,""))</x:f>
        <x:v>1</x:v>
      </x:c>
      <x:c r="M1271" s="11" t="n">
        <x:f>IF(AND(K1271=1,OR(B1271="ED",B1271="NED")),1,0)</x:f>
        <x:v>1</x:v>
      </x:c>
      <x:c r="N1271" s="11" t="n">
        <x:f>IF(K1271=1,1,0)</x:f>
        <x:v>1</x:v>
      </x:c>
      <x:c r="O1271" s="12"/>
      <x:c r="P1271" s="11" t="n">
        <x:v>0</x:v>
      </x:c>
      <x:c r="Q1271" s="12" t="str">
        <x:v>AF-Q3TXS7-F1-model_v6</x:v>
      </x:c>
      <x:c r="R1271" s="12" t="str">
        <x:v>ok</x:v>
      </x:c>
      <x:c r="S1271" s="11" t="n">
        <x:v>869</x:v>
      </x:c>
      <x:c r="T1271" s="11" t="n">
        <x:v>953</x:v>
      </x:c>
    </x:row>
    <x:row r="1272" ht="23" customHeight="1">
      <x:c r="A1272" s="2" t="str">
        <x:v>Q3TYK3</x:v>
      </x:c>
      <x:c r="B1272" s="2" t="str">
        <x:v>UN</x:v>
      </x:c>
      <x:c r="C1272" s="2"/>
      <x:c r="D1272" s="2"/>
      <x:c r="E1272" s="10"/>
      <x:c r="F1272" s="11"/>
      <x:c r="G1272" s="11" t="n">
        <x:v>0</x:v>
      </x:c>
      <x:c r="H1272" s="11" t="n">
        <x:v>0</x:v>
      </x:c>
      <x:c r="I1272" s="11" t="n">
        <x:v>0</x:v>
      </x:c>
      <x:c r="J1272" s="11" t="n">
        <x:v>0</x:v>
      </x:c>
      <x:c r="K1272" s="11" t="n">
        <x:v>0</x:v>
      </x:c>
      <x:c r="L1272" s="11" t="n">
        <x:f>IF(B1272="NED",1,IF(OR(B1272="ED",B1272="UN"),0,""))</x:f>
        <x:v>0</x:v>
      </x:c>
      <x:c r="M1272" s="11" t="n">
        <x:f>IF(AND(K1272=1,OR(B1272="ED",B1272="NED")),1,0)</x:f>
        <x:v>0</x:v>
      </x:c>
      <x:c r="N1272" s="11" t="n">
        <x:f>IF(K1272=1,1,0)</x:f>
        <x:v>0</x:v>
      </x:c>
      <x:c r="O1272" s="12" t="str">
        <x:v>Require exact native accession match</x:v>
      </x:c>
      <x:c r="P1272" s="11" t="n">
        <x:v>0</x:v>
      </x:c>
      <x:c r="Q1272" s="12"/>
      <x:c r="R1272" s="12"/>
      <x:c r="S1272" s="11" t="n">
        <x:v>3145</x:v>
      </x:c>
      <x:c r="T1272" s="11" t="n">
        <x:v>391</x:v>
      </x:c>
    </x:row>
    <x:row r="1273" ht="23" customHeight="1">
      <x:c r="A1273" s="2" t="str">
        <x:v>Q3TYS2</x:v>
      </x:c>
      <x:c r="B1273" s="2" t="str">
        <x:v>UN</x:v>
      </x:c>
      <x:c r="C1273" s="2" t="n">
        <x:v>0</x:v>
      </x:c>
      <x:c r="D1273" s="2" t="n">
        <x:v>0</x:v>
      </x:c>
      <x:c r="E1273" s="10"/>
      <x:c r="F1273" s="11" t="n">
        <x:v>187</x:v>
      </x:c>
      <x:c r="G1273" s="11" t="n">
        <x:v>0</x:v>
      </x:c>
      <x:c r="H1273" s="11" t="n">
        <x:v>0</x:v>
      </x:c>
      <x:c r="I1273" s="11" t="n">
        <x:v>1</x:v>
      </x:c>
      <x:c r="J1273" s="11" t="n">
        <x:v>0</x:v>
      </x:c>
      <x:c r="K1273" s="11" t="n">
        <x:v>0</x:v>
      </x:c>
      <x:c r="L1273" s="11" t="n">
        <x:f>IF(B1273="NED",1,IF(OR(B1273="ED",B1273="UN"),0,""))</x:f>
        <x:v>0</x:v>
      </x:c>
      <x:c r="M1273" s="11" t="n">
        <x:f>IF(AND(K1273=1,OR(B1273="ED",B1273="NED")),1,0)</x:f>
        <x:v>0</x:v>
      </x:c>
      <x:c r="N1273" s="11" t="n">
        <x:f>IF(K1273=1,1,0)</x:f>
        <x:v>0</x:v>
      </x:c>
      <x:c r="O1273" s="12" t="str">
        <x:v>Exclude UniProt Membrane keyword</x:v>
      </x:c>
      <x:c r="P1273" s="11" t="n">
        <x:v>0</x:v>
      </x:c>
      <x:c r="Q1273" s="12" t="str">
        <x:v>AF-Q3TYS2-F1-model_v6</x:v>
      </x:c>
      <x:c r="R1273" s="12" t="str">
        <x:v>ok</x:v>
      </x:c>
      <x:c r="S1273" s="11" t="n">
        <x:v>870</x:v>
      </x:c>
      <x:c r="T1273" s="11" t="n">
        <x:v>187</x:v>
      </x:c>
    </x:row>
    <x:row r="1274" ht="23" customHeight="1">
      <x:c r="A1274" s="2" t="str">
        <x:v>Q3TYX3</x:v>
      </x:c>
      <x:c r="B1274" s="2" t="str">
        <x:v>UN</x:v>
      </x:c>
      <x:c r="C1274" s="2" t="n">
        <x:v>1</x:v>
      </x:c>
      <x:c r="D1274" s="2" t="n">
        <x:v>1</x:v>
      </x:c>
      <x:c r="E1274" s="10" t="n">
        <x:v>87.60939903846155</x:v>
      </x:c>
      <x:c r="F1274" s="11" t="n">
        <x:v>416</x:v>
      </x:c>
      <x:c r="G1274" s="11" t="n">
        <x:v>0</x:v>
      </x:c>
      <x:c r="H1274" s="11" t="n">
        <x:v>0</x:v>
      </x:c>
      <x:c r="I1274" s="11" t="n">
        <x:v>0</x:v>
      </x:c>
      <x:c r="J1274" s="11" t="n">
        <x:v>0</x:v>
      </x:c>
      <x:c r="K1274" s="11" t="n">
        <x:v>1</x:v>
      </x:c>
      <x:c r="L1274" s="11" t="n">
        <x:f>IF(B1274="NED",1,IF(OR(B1274="ED",B1274="UN"),0,""))</x:f>
        <x:v>0</x:v>
      </x:c>
      <x:c r="M1274" s="11" t="n">
        <x:f>IF(AND(K1274=1,OR(B1274="ED",B1274="NED")),1,0)</x:f>
        <x:v>0</x:v>
      </x:c>
      <x:c r="N1274" s="11" t="n">
        <x:f>IF(K1274=1,1,0)</x:f>
        <x:v>1</x:v>
      </x:c>
      <x:c r="O1274" s="12"/>
      <x:c r="P1274" s="11" t="n">
        <x:v>0</x:v>
      </x:c>
      <x:c r="Q1274" s="12" t="str">
        <x:v>AF-Q3TYX3-F1-model_v6</x:v>
      </x:c>
      <x:c r="R1274" s="12" t="str">
        <x:v>ok</x:v>
      </x:c>
      <x:c r="S1274" s="11" t="n">
        <x:v>871</x:v>
      </x:c>
      <x:c r="T1274" s="11" t="n">
        <x:v>416</x:v>
      </x:c>
    </x:row>
    <x:row r="1275" ht="23" customHeight="1">
      <x:c r="A1275" s="2" t="str">
        <x:v>Q3TZR9</x:v>
      </x:c>
      <x:c r="B1275" s="2" t="str">
        <x:v>ED</x:v>
      </x:c>
      <x:c r="C1275" s="2"/>
      <x:c r="D1275" s="2"/>
      <x:c r="E1275" s="10"/>
      <x:c r="F1275" s="11"/>
      <x:c r="G1275" s="11" t="n">
        <x:v>0</x:v>
      </x:c>
      <x:c r="H1275" s="11" t="n">
        <x:v>0</x:v>
      </x:c>
      <x:c r="I1275" s="11" t="n">
        <x:v>0</x:v>
      </x:c>
      <x:c r="J1275" s="11" t="n">
        <x:v>0</x:v>
      </x:c>
      <x:c r="K1275" s="11" t="n">
        <x:v>0</x:v>
      </x:c>
      <x:c r="L1275" s="11" t="n">
        <x:f>IF(B1275="NED",1,IF(OR(B1275="ED",B1275="UN"),0,""))</x:f>
        <x:v>0</x:v>
      </x:c>
      <x:c r="M1275" s="11" t="n">
        <x:f>IF(AND(K1275=1,OR(B1275="ED",B1275="NED")),1,0)</x:f>
        <x:v>0</x:v>
      </x:c>
      <x:c r="N1275" s="11" t="n">
        <x:f>IF(K1275=1,1,0)</x:f>
        <x:v>0</x:v>
      </x:c>
      <x:c r="O1275" s="12" t="str">
        <x:v>Require exact native accession match</x:v>
      </x:c>
      <x:c r="P1275" s="11" t="n">
        <x:v>0</x:v>
      </x:c>
      <x:c r="Q1275" s="12"/>
      <x:c r="R1275" s="12"/>
      <x:c r="S1275" s="11" t="n">
        <x:v>3146</x:v>
      </x:c>
      <x:c r="T1275" s="11" t="n">
        <x:v>483</x:v>
      </x:c>
    </x:row>
    <x:row r="1276" ht="23" customHeight="1">
      <x:c r="A1276" s="2" t="str">
        <x:v>Q3TZX8-2</x:v>
      </x:c>
      <x:c r="B1276" s="2" t="str">
        <x:v>ED</x:v>
      </x:c>
      <x:c r="C1276" s="2"/>
      <x:c r="D1276" s="2"/>
      <x:c r="E1276" s="10"/>
      <x:c r="F1276" s="11"/>
      <x:c r="G1276" s="11" t="n">
        <x:v>0</x:v>
      </x:c>
      <x:c r="H1276" s="11" t="n">
        <x:v>0</x:v>
      </x:c>
      <x:c r="I1276" s="11"/>
      <x:c r="J1276" s="11"/>
      <x:c r="K1276" s="11" t="n">
        <x:v>0</x:v>
      </x:c>
      <x:c r="L1276" s="11" t="n">
        <x:f>IF(B1276="NED",1,IF(OR(B1276="ED",B1276="UN"),0,""))</x:f>
        <x:v>0</x:v>
      </x:c>
      <x:c r="M1276" s="11" t="n">
        <x:f>IF(AND(K1276=1,OR(B1276="ED",B1276="NED")),1,0)</x:f>
        <x:v>0</x:v>
      </x:c>
      <x:c r="N1276" s="11" t="n">
        <x:f>IF(K1276=1,1,0)</x:f>
        <x:v>0</x:v>
      </x:c>
      <x:c r="O1276" s="12" t="str">
        <x:v>Require exact native accession match</x:v>
      </x:c>
      <x:c r="P1276" s="11" t="n">
        <x:v>0</x:v>
      </x:c>
      <x:c r="Q1276" s="12"/>
      <x:c r="R1276" s="12"/>
      <x:c r="S1276" s="11" t="n">
        <x:v>872</x:v>
      </x:c>
      <x:c r="T1276" s="11"/>
    </x:row>
    <x:row r="1277" ht="23" customHeight="1">
      <x:c r="A1277" s="2" t="str">
        <x:v>Q3TZZ7</x:v>
      </x:c>
      <x:c r="B1277" s="2" t="str">
        <x:v>ED</x:v>
      </x:c>
      <x:c r="C1277" s="2" t="n">
        <x:v>1</x:v>
      </x:c>
      <x:c r="D1277" s="2" t="n">
        <x:v>1</x:v>
      </x:c>
      <x:c r="E1277" s="10"/>
      <x:c r="F1277" s="11" t="n">
        <x:v>845</x:v>
      </x:c>
      <x:c r="G1277" s="11" t="n">
        <x:v>0</x:v>
      </x:c>
      <x:c r="H1277" s="11" t="n">
        <x:v>0</x:v>
      </x:c>
      <x:c r="I1277" s="11" t="n">
        <x:v>1</x:v>
      </x:c>
      <x:c r="J1277" s="11" t="n">
        <x:v>0</x:v>
      </x:c>
      <x:c r="K1277" s="11" t="n">
        <x:v>0</x:v>
      </x:c>
      <x:c r="L1277" s="11" t="n">
        <x:f>IF(B1277="NED",1,IF(OR(B1277="ED",B1277="UN"),0,""))</x:f>
        <x:v>0</x:v>
      </x:c>
      <x:c r="M1277" s="11" t="n">
        <x:f>IF(AND(K1277=1,OR(B1277="ED",B1277="NED")),1,0)</x:f>
        <x:v>0</x:v>
      </x:c>
      <x:c r="N1277" s="11" t="n">
        <x:f>IF(K1277=1,1,0)</x:f>
        <x:v>0</x:v>
      </x:c>
      <x:c r="O1277" s="12" t="str">
        <x:v>Exclude UniProt Membrane keyword</x:v>
      </x:c>
      <x:c r="P1277" s="11" t="n">
        <x:v>0</x:v>
      </x:c>
      <x:c r="Q1277" s="12" t="str">
        <x:v>AF-Q3TZZ7-F1-model_v6</x:v>
      </x:c>
      <x:c r="R1277" s="12" t="str">
        <x:v>ok</x:v>
      </x:c>
      <x:c r="S1277" s="11" t="n">
        <x:v>873</x:v>
      </x:c>
      <x:c r="T1277" s="11" t="n">
        <x:v>845</x:v>
      </x:c>
    </x:row>
    <x:row r="1278" ht="23" customHeight="1">
      <x:c r="A1278" s="2" t="str">
        <x:v>Q3U0P5</x:v>
      </x:c>
      <x:c r="B1278" s="2" t="str">
        <x:v>ED</x:v>
      </x:c>
      <x:c r="C1278" s="2" t="n">
        <x:v>1</x:v>
      </x:c>
      <x:c r="D1278" s="2" t="n">
        <x:v>1</x:v>
      </x:c>
      <x:c r="E1278" s="10"/>
      <x:c r="F1278" s="11" t="n">
        <x:v>455</x:v>
      </x:c>
      <x:c r="G1278" s="11" t="n">
        <x:v>0</x:v>
      </x:c>
      <x:c r="H1278" s="11" t="n">
        <x:v>0</x:v>
      </x:c>
      <x:c r="I1278" s="11" t="n">
        <x:v>1</x:v>
      </x:c>
      <x:c r="J1278" s="11" t="n">
        <x:v>1</x:v>
      </x:c>
      <x:c r="K1278" s="11" t="n">
        <x:v>0</x:v>
      </x:c>
      <x:c r="L1278" s="11" t="n">
        <x:f>IF(B1278="NED",1,IF(OR(B1278="ED",B1278="UN"),0,""))</x:f>
        <x:v>0</x:v>
      </x:c>
      <x:c r="M1278" s="11" t="n">
        <x:f>IF(AND(K1278=1,OR(B1278="ED",B1278="NED")),1,0)</x:f>
        <x:v>0</x:v>
      </x:c>
      <x:c r="N1278" s="11" t="n">
        <x:f>IF(K1278=1,1,0)</x:f>
        <x:v>0</x:v>
      </x:c>
      <x:c r="O1278" s="12" t="str">
        <x:v>Exclude UniProt Membrane keyword</x:v>
      </x:c>
      <x:c r="P1278" s="11" t="n">
        <x:v>0</x:v>
      </x:c>
      <x:c r="Q1278" s="12" t="str">
        <x:v>AF-Q3U0P5-F1-model_v6</x:v>
      </x:c>
      <x:c r="R1278" s="12" t="str">
        <x:v>ok</x:v>
      </x:c>
      <x:c r="S1278" s="11" t="n">
        <x:v>3147</x:v>
      </x:c>
      <x:c r="T1278" s="11" t="n">
        <x:v>455</x:v>
      </x:c>
    </x:row>
    <x:row r="1279" ht="23" customHeight="1">
      <x:c r="A1279" s="2" t="str">
        <x:v>Q3U0V1</x:v>
      </x:c>
      <x:c r="B1279" s="2" t="str">
        <x:v>ED</x:v>
      </x:c>
      <x:c r="C1279" s="2" t="n">
        <x:v>1</x:v>
      </x:c>
      <x:c r="D1279" s="2" t="n">
        <x:v>1</x:v>
      </x:c>
      <x:c r="E1279" s="10" t="n">
        <x:v>61.580762032085566</x:v>
      </x:c>
      <x:c r="F1279" s="11" t="n">
        <x:v>748</x:v>
      </x:c>
      <x:c r="G1279" s="11" t="n">
        <x:v>0</x:v>
      </x:c>
      <x:c r="H1279" s="11" t="n">
        <x:v>0</x:v>
      </x:c>
      <x:c r="I1279" s="11" t="n">
        <x:v>0</x:v>
      </x:c>
      <x:c r="J1279" s="11" t="n">
        <x:v>0</x:v>
      </x:c>
      <x:c r="K1279" s="11" t="n">
        <x:v>0</x:v>
      </x:c>
      <x:c r="L1279" s="11" t="n">
        <x:f>IF(B1279="NED",1,IF(OR(B1279="ED",B1279="UN"),0,""))</x:f>
        <x:v>0</x:v>
      </x:c>
      <x:c r="M1279" s="11" t="n">
        <x:f>IF(AND(K1279=1,OR(B1279="ED",B1279="NED")),1,0)</x:f>
        <x:v>0</x:v>
      </x:c>
      <x:c r="N1279" s="11" t="n">
        <x:f>IF(K1279=1,1,0)</x:f>
        <x:v>0</x:v>
      </x:c>
      <x:c r="O1279" s="12" t="str">
        <x:v>Retain protein mean pLDDT &gt;=70</x:v>
      </x:c>
      <x:c r="P1279" s="11" t="n">
        <x:v>0</x:v>
      </x:c>
      <x:c r="Q1279" s="12" t="str">
        <x:v>AF-Q3U0V1-F1-model_v6</x:v>
      </x:c>
      <x:c r="R1279" s="12" t="str">
        <x:v>ok</x:v>
      </x:c>
      <x:c r="S1279" s="11" t="n">
        <x:v>874</x:v>
      </x:c>
      <x:c r="T1279" s="11" t="n">
        <x:v>748</x:v>
      </x:c>
    </x:row>
    <x:row r="1280" ht="23" customHeight="1">
      <x:c r="A1280" s="2" t="str">
        <x:v>Q3U155</x:v>
      </x:c>
      <x:c r="B1280" s="2" t="str">
        <x:v>ED</x:v>
      </x:c>
      <x:c r="C1280" s="2" t="n">
        <x:v>0</x:v>
      </x:c>
      <x:c r="D1280" s="2" t="n">
        <x:v>0</x:v>
      </x:c>
      <x:c r="E1280" s="10" t="n">
        <x:v>71.7562312633833</x:v>
      </x:c>
      <x:c r="F1280" s="11" t="n">
        <x:v>467</x:v>
      </x:c>
      <x:c r="G1280" s="11" t="n">
        <x:v>0</x:v>
      </x:c>
      <x:c r="H1280" s="11" t="n">
        <x:v>0</x:v>
      </x:c>
      <x:c r="I1280" s="11" t="n">
        <x:v>0</x:v>
      </x:c>
      <x:c r="J1280" s="11" t="n">
        <x:v>0</x:v>
      </x:c>
      <x:c r="K1280" s="11" t="n">
        <x:v>1</x:v>
      </x:c>
      <x:c r="L1280" s="11" t="n">
        <x:f>IF(B1280="NED",1,IF(OR(B1280="ED",B1280="UN"),0,""))</x:f>
        <x:v>0</x:v>
      </x:c>
      <x:c r="M1280" s="11" t="n">
        <x:f>IF(AND(K1280=1,OR(B1280="ED",B1280="NED")),1,0)</x:f>
        <x:v>1</x:v>
      </x:c>
      <x:c r="N1280" s="11" t="n">
        <x:f>IF(K1280=1,1,0)</x:f>
        <x:v>1</x:v>
      </x:c>
      <x:c r="O1280" s="12"/>
      <x:c r="P1280" s="11" t="n">
        <x:v>0</x:v>
      </x:c>
      <x:c r="Q1280" s="12" t="str">
        <x:v>AF-Q3U155-F1-model_v6</x:v>
      </x:c>
      <x:c r="R1280" s="12" t="str">
        <x:v>ok</x:v>
      </x:c>
      <x:c r="S1280" s="11" t="n">
        <x:v>875</x:v>
      </x:c>
      <x:c r="T1280" s="11" t="n">
        <x:v>467</x:v>
      </x:c>
    </x:row>
    <x:row r="1281" ht="23" customHeight="1">
      <x:c r="A1281" s="2" t="str">
        <x:v>Q3U186</x:v>
      </x:c>
      <x:c r="B1281" s="2" t="str">
        <x:v>ED</x:v>
      </x:c>
      <x:c r="C1281" s="2" t="n">
        <x:v>1</x:v>
      </x:c>
      <x:c r="D1281" s="2" t="n">
        <x:v>1</x:v>
      </x:c>
      <x:c r="E1281" s="10"/>
      <x:c r="F1281" s="11" t="n">
        <x:v>578</x:v>
      </x:c>
      <x:c r="G1281" s="11" t="n">
        <x:v>0</x:v>
      </x:c>
      <x:c r="H1281" s="11" t="n">
        <x:v>0</x:v>
      </x:c>
      <x:c r="I1281" s="11" t="n">
        <x:v>1</x:v>
      </x:c>
      <x:c r="J1281" s="11" t="n">
        <x:v>0</x:v>
      </x:c>
      <x:c r="K1281" s="11" t="n">
        <x:v>0</x:v>
      </x:c>
      <x:c r="L1281" s="11" t="n">
        <x:f>IF(B1281="NED",1,IF(OR(B1281="ED",B1281="UN"),0,""))</x:f>
        <x:v>0</x:v>
      </x:c>
      <x:c r="M1281" s="11" t="n">
        <x:f>IF(AND(K1281=1,OR(B1281="ED",B1281="NED")),1,0)</x:f>
        <x:v>0</x:v>
      </x:c>
      <x:c r="N1281" s="11" t="n">
        <x:f>IF(K1281=1,1,0)</x:f>
        <x:v>0</x:v>
      </x:c>
      <x:c r="O1281" s="12" t="str">
        <x:v>Exclude UniProt Membrane keyword</x:v>
      </x:c>
      <x:c r="P1281" s="11" t="n">
        <x:v>0</x:v>
      </x:c>
      <x:c r="Q1281" s="12" t="str">
        <x:v>AF-Q3U186-F1-model_v6</x:v>
      </x:c>
      <x:c r="R1281" s="12" t="str">
        <x:v>ok</x:v>
      </x:c>
      <x:c r="S1281" s="11" t="n">
        <x:v>876</x:v>
      </x:c>
      <x:c r="T1281" s="11" t="n">
        <x:v>578</x:v>
      </x:c>
    </x:row>
    <x:row r="1282" ht="23" customHeight="1">
      <x:c r="A1282" s="2" t="str">
        <x:v>Q3U1J4</x:v>
      </x:c>
      <x:c r="B1282" s="2" t="str">
        <x:v>NED</x:v>
      </x:c>
      <x:c r="C1282" s="2" t="n">
        <x:v>1</x:v>
      </x:c>
      <x:c r="D1282" s="2" t="n">
        <x:v>1</x:v>
      </x:c>
      <x:c r="E1282" s="10" t="n">
        <x:v>93.02363157894736</x:v>
      </x:c>
      <x:c r="F1282" s="11" t="n">
        <x:v>1140</x:v>
      </x:c>
      <x:c r="G1282" s="11" t="n">
        <x:v>0</x:v>
      </x:c>
      <x:c r="H1282" s="11" t="n">
        <x:v>0</x:v>
      </x:c>
      <x:c r="I1282" s="11" t="n">
        <x:v>0</x:v>
      </x:c>
      <x:c r="J1282" s="11" t="n">
        <x:v>0</x:v>
      </x:c>
      <x:c r="K1282" s="11" t="n">
        <x:v>1</x:v>
      </x:c>
      <x:c r="L1282" s="11" t="n">
        <x:f>IF(B1282="NED",1,IF(OR(B1282="ED",B1282="UN"),0,""))</x:f>
        <x:v>1</x:v>
      </x:c>
      <x:c r="M1282" s="11" t="n">
        <x:f>IF(AND(K1282=1,OR(B1282="ED",B1282="NED")),1,0)</x:f>
        <x:v>1</x:v>
      </x:c>
      <x:c r="N1282" s="11" t="n">
        <x:f>IF(K1282=1,1,0)</x:f>
        <x:v>1</x:v>
      </x:c>
      <x:c r="O1282" s="12"/>
      <x:c r="P1282" s="11" t="n">
        <x:v>0</x:v>
      </x:c>
      <x:c r="Q1282" s="12" t="str">
        <x:v>AF-Q3U1J4-F1-model_v6</x:v>
      </x:c>
      <x:c r="R1282" s="12" t="str">
        <x:v>ok</x:v>
      </x:c>
      <x:c r="S1282" s="11" t="n">
        <x:v>877</x:v>
      </x:c>
      <x:c r="T1282" s="11" t="n">
        <x:v>1140</x:v>
      </x:c>
    </x:row>
    <x:row r="1283" ht="23" customHeight="1">
      <x:c r="A1283" s="2" t="str">
        <x:v>Q3U2G2</x:v>
      </x:c>
      <x:c r="B1283" s="2" t="str">
        <x:v>ED</x:v>
      </x:c>
      <x:c r="C1283" s="2"/>
      <x:c r="D1283" s="2"/>
      <x:c r="E1283" s="10"/>
      <x:c r="F1283" s="11"/>
      <x:c r="G1283" s="11" t="n">
        <x:v>0</x:v>
      </x:c>
      <x:c r="H1283" s="11" t="n">
        <x:v>0</x:v>
      </x:c>
      <x:c r="I1283" s="11" t="n">
        <x:v>0</x:v>
      </x:c>
      <x:c r="J1283" s="11" t="n">
        <x:v>0</x:v>
      </x:c>
      <x:c r="K1283" s="11" t="n">
        <x:v>0</x:v>
      </x:c>
      <x:c r="L1283" s="11" t="n">
        <x:f>IF(B1283="NED",1,IF(OR(B1283="ED",B1283="UN"),0,""))</x:f>
        <x:v>0</x:v>
      </x:c>
      <x:c r="M1283" s="11" t="n">
        <x:f>IF(AND(K1283=1,OR(B1283="ED",B1283="NED")),1,0)</x:f>
        <x:v>0</x:v>
      </x:c>
      <x:c r="N1283" s="11" t="n">
        <x:f>IF(K1283=1,1,0)</x:f>
        <x:v>0</x:v>
      </x:c>
      <x:c r="O1283" s="12" t="str">
        <x:v>Require exact native accession match</x:v>
      </x:c>
      <x:c r="P1283" s="11" t="n">
        <x:v>0</x:v>
      </x:c>
      <x:c r="Q1283" s="12"/>
      <x:c r="R1283" s="12"/>
      <x:c r="S1283" s="11" t="n">
        <x:v>3148</x:v>
      </x:c>
      <x:c r="T1283" s="11" t="n">
        <x:v>842</x:v>
      </x:c>
    </x:row>
    <x:row r="1284" ht="23" customHeight="1">
      <x:c r="A1284" s="2" t="str">
        <x:v>Q3U2P1</x:v>
      </x:c>
      <x:c r="B1284" s="2" t="str">
        <x:v>ED</x:v>
      </x:c>
      <x:c r="C1284" s="2" t="n">
        <x:v>1</x:v>
      </x:c>
      <x:c r="D1284" s="2" t="n">
        <x:v>1</x:v>
      </x:c>
      <x:c r="E1284" s="10"/>
      <x:c r="F1284" s="11" t="n">
        <x:v>1090</x:v>
      </x:c>
      <x:c r="G1284" s="11" t="n">
        <x:v>0</x:v>
      </x:c>
      <x:c r="H1284" s="11" t="n">
        <x:v>0</x:v>
      </x:c>
      <x:c r="I1284" s="11" t="n">
        <x:v>1</x:v>
      </x:c>
      <x:c r="J1284" s="11" t="n">
        <x:v>0</x:v>
      </x:c>
      <x:c r="K1284" s="11" t="n">
        <x:v>0</x:v>
      </x:c>
      <x:c r="L1284" s="11" t="n">
        <x:f>IF(B1284="NED",1,IF(OR(B1284="ED",B1284="UN"),0,""))</x:f>
        <x:v>0</x:v>
      </x:c>
      <x:c r="M1284" s="11" t="n">
        <x:f>IF(AND(K1284=1,OR(B1284="ED",B1284="NED")),1,0)</x:f>
        <x:v>0</x:v>
      </x:c>
      <x:c r="N1284" s="11" t="n">
        <x:f>IF(K1284=1,1,0)</x:f>
        <x:v>0</x:v>
      </x:c>
      <x:c r="O1284" s="12" t="str">
        <x:v>Exclude UniProt Membrane keyword</x:v>
      </x:c>
      <x:c r="P1284" s="11" t="n">
        <x:v>0</x:v>
      </x:c>
      <x:c r="Q1284" s="12" t="str">
        <x:v>AF-Q3U2P1-F1-model_v6</x:v>
      </x:c>
      <x:c r="R1284" s="12" t="str">
        <x:v>ok</x:v>
      </x:c>
      <x:c r="S1284" s="11" t="n">
        <x:v>878</x:v>
      </x:c>
      <x:c r="T1284" s="11" t="n">
        <x:v>1090</x:v>
      </x:c>
    </x:row>
    <x:row r="1285" ht="23" customHeight="1">
      <x:c r="A1285" s="2" t="str">
        <x:v>Q3U308</x:v>
      </x:c>
      <x:c r="B1285" s="2" t="str">
        <x:v>ED</x:v>
      </x:c>
      <x:c r="C1285" s="2" t="n">
        <x:v>1</x:v>
      </x:c>
      <x:c r="D1285" s="2" t="n">
        <x:v>1</x:v>
      </x:c>
      <x:c r="E1285" s="10" t="n">
        <x:v>80.53480544747082</x:v>
      </x:c>
      <x:c r="F1285" s="11" t="n">
        <x:v>514</x:v>
      </x:c>
      <x:c r="G1285" s="11" t="n">
        <x:v>0</x:v>
      </x:c>
      <x:c r="H1285" s="11" t="n">
        <x:v>0</x:v>
      </x:c>
      <x:c r="I1285" s="11" t="n">
        <x:v>0</x:v>
      </x:c>
      <x:c r="J1285" s="11" t="n">
        <x:v>0</x:v>
      </x:c>
      <x:c r="K1285" s="11" t="n">
        <x:v>1</x:v>
      </x:c>
      <x:c r="L1285" s="11" t="n">
        <x:f>IF(B1285="NED",1,IF(OR(B1285="ED",B1285="UN"),0,""))</x:f>
        <x:v>0</x:v>
      </x:c>
      <x:c r="M1285" s="11" t="n">
        <x:f>IF(AND(K1285=1,OR(B1285="ED",B1285="NED")),1,0)</x:f>
        <x:v>1</x:v>
      </x:c>
      <x:c r="N1285" s="11" t="n">
        <x:f>IF(K1285=1,1,0)</x:f>
        <x:v>1</x:v>
      </x:c>
      <x:c r="O1285" s="12"/>
      <x:c r="P1285" s="11" t="n">
        <x:v>0</x:v>
      </x:c>
      <x:c r="Q1285" s="12" t="str">
        <x:v>AF-Q3U308-F1-model_v6</x:v>
      </x:c>
      <x:c r="R1285" s="12" t="str">
        <x:v>ok</x:v>
      </x:c>
      <x:c r="S1285" s="11" t="n">
        <x:v>879</x:v>
      </x:c>
      <x:c r="T1285" s="11" t="n">
        <x:v>514</x:v>
      </x:c>
    </x:row>
    <x:row r="1286" ht="23" customHeight="1">
      <x:c r="A1286" s="2" t="str">
        <x:v>Q3U3C9-3</x:v>
      </x:c>
      <x:c r="B1286" s="2" t="str">
        <x:v>ED</x:v>
      </x:c>
      <x:c r="C1286" s="2"/>
      <x:c r="D1286" s="2"/>
      <x:c r="E1286" s="10"/>
      <x:c r="F1286" s="11"/>
      <x:c r="G1286" s="11" t="n">
        <x:v>0</x:v>
      </x:c>
      <x:c r="H1286" s="11" t="n">
        <x:v>0</x:v>
      </x:c>
      <x:c r="I1286" s="11"/>
      <x:c r="J1286" s="11"/>
      <x:c r="K1286" s="11" t="n">
        <x:v>0</x:v>
      </x:c>
      <x:c r="L1286" s="11" t="n">
        <x:f>IF(B1286="NED",1,IF(OR(B1286="ED",B1286="UN"),0,""))</x:f>
        <x:v>0</x:v>
      </x:c>
      <x:c r="M1286" s="11" t="n">
        <x:f>IF(AND(K1286=1,OR(B1286="ED",B1286="NED")),1,0)</x:f>
        <x:v>0</x:v>
      </x:c>
      <x:c r="N1286" s="11" t="n">
        <x:f>IF(K1286=1,1,0)</x:f>
        <x:v>0</x:v>
      </x:c>
      <x:c r="O1286" s="12" t="str">
        <x:v>Require exact native accession match</x:v>
      </x:c>
      <x:c r="P1286" s="11" t="n">
        <x:v>0</x:v>
      </x:c>
      <x:c r="Q1286" s="12"/>
      <x:c r="R1286" s="12"/>
      <x:c r="S1286" s="11" t="n">
        <x:v>880</x:v>
      </x:c>
      <x:c r="T1286" s="11"/>
    </x:row>
    <x:row r="1287" ht="23" customHeight="1">
      <x:c r="A1287" s="2" t="str">
        <x:v>Q3U4W8</x:v>
      </x:c>
      <x:c r="B1287" s="2" t="str">
        <x:v>UN</x:v>
      </x:c>
      <x:c r="C1287" s="2"/>
      <x:c r="D1287" s="2"/>
      <x:c r="E1287" s="10"/>
      <x:c r="F1287" s="11"/>
      <x:c r="G1287" s="11" t="n">
        <x:v>0</x:v>
      </x:c>
      <x:c r="H1287" s="11" t="n">
        <x:v>0</x:v>
      </x:c>
      <x:c r="I1287" s="11" t="n">
        <x:v>0</x:v>
      </x:c>
      <x:c r="J1287" s="11" t="n">
        <x:v>0</x:v>
      </x:c>
      <x:c r="K1287" s="11" t="n">
        <x:v>0</x:v>
      </x:c>
      <x:c r="L1287" s="11" t="n">
        <x:f>IF(B1287="NED",1,IF(OR(B1287="ED",B1287="UN"),0,""))</x:f>
        <x:v>0</x:v>
      </x:c>
      <x:c r="M1287" s="11" t="n">
        <x:f>IF(AND(K1287=1,OR(B1287="ED",B1287="NED")),1,0)</x:f>
        <x:v>0</x:v>
      </x:c>
      <x:c r="N1287" s="11" t="n">
        <x:f>IF(K1287=1,1,0)</x:f>
        <x:v>0</x:v>
      </x:c>
      <x:c r="O1287" s="12" t="str">
        <x:v>Require exact native accession match</x:v>
      </x:c>
      <x:c r="P1287" s="11" t="n">
        <x:v>0</x:v>
      </x:c>
      <x:c r="Q1287" s="12"/>
      <x:c r="R1287" s="12"/>
      <x:c r="S1287" s="11" t="n">
        <x:v>3149</x:v>
      </x:c>
      <x:c r="T1287" s="11" t="n">
        <x:v>835</x:v>
      </x:c>
    </x:row>
    <x:row r="1288" ht="23" customHeight="1">
      <x:c r="A1288" s="2" t="str">
        <x:v>Q3U5F4</x:v>
      </x:c>
      <x:c r="B1288" s="2" t="str">
        <x:v>ED</x:v>
      </x:c>
      <x:c r="C1288" s="2" t="n">
        <x:v>1</x:v>
      </x:c>
      <x:c r="D1288" s="2" t="n">
        <x:v>1</x:v>
      </x:c>
      <x:c r="E1288" s="10"/>
      <x:c r="F1288" s="11" t="n">
        <x:v>280</x:v>
      </x:c>
      <x:c r="G1288" s="11" t="n">
        <x:v>0</x:v>
      </x:c>
      <x:c r="H1288" s="11" t="n">
        <x:v>0</x:v>
      </x:c>
      <x:c r="I1288" s="11" t="n">
        <x:v>1</x:v>
      </x:c>
      <x:c r="J1288" s="11" t="n">
        <x:v>0</x:v>
      </x:c>
      <x:c r="K1288" s="11" t="n">
        <x:v>0</x:v>
      </x:c>
      <x:c r="L1288" s="11" t="n">
        <x:f>IF(B1288="NED",1,IF(OR(B1288="ED",B1288="UN"),0,""))</x:f>
        <x:v>0</x:v>
      </x:c>
      <x:c r="M1288" s="11" t="n">
        <x:f>IF(AND(K1288=1,OR(B1288="ED",B1288="NED")),1,0)</x:f>
        <x:v>0</x:v>
      </x:c>
      <x:c r="N1288" s="11" t="n">
        <x:f>IF(K1288=1,1,0)</x:f>
        <x:v>0</x:v>
      </x:c>
      <x:c r="O1288" s="12" t="str">
        <x:v>Exclude UniProt Membrane keyword</x:v>
      </x:c>
      <x:c r="P1288" s="11" t="n">
        <x:v>0</x:v>
      </x:c>
      <x:c r="Q1288" s="12" t="str">
        <x:v>AF-Q3U5F4-F1-model_v6</x:v>
      </x:c>
      <x:c r="R1288" s="12" t="str">
        <x:v>ok</x:v>
      </x:c>
      <x:c r="S1288" s="11" t="n">
        <x:v>881</x:v>
      </x:c>
      <x:c r="T1288" s="11" t="n">
        <x:v>280</x:v>
      </x:c>
    </x:row>
    <x:row r="1289" ht="23" customHeight="1">
      <x:c r="A1289" s="2" t="str">
        <x:v>Q3U7U3</x:v>
      </x:c>
      <x:c r="B1289" s="2" t="str">
        <x:v>UN</x:v>
      </x:c>
      <x:c r="C1289" s="2" t="n">
        <x:v>0</x:v>
      </x:c>
      <x:c r="D1289" s="2" t="n">
        <x:v>0</x:v>
      </x:c>
      <x:c r="E1289" s="10" t="n">
        <x:v>66.89051625239006</x:v>
      </x:c>
      <x:c r="F1289" s="11" t="n">
        <x:v>523</x:v>
      </x:c>
      <x:c r="G1289" s="11" t="n">
        <x:v>0</x:v>
      </x:c>
      <x:c r="H1289" s="11" t="n">
        <x:v>0</x:v>
      </x:c>
      <x:c r="I1289" s="11" t="n">
        <x:v>0</x:v>
      </x:c>
      <x:c r="J1289" s="11" t="n">
        <x:v>0</x:v>
      </x:c>
      <x:c r="K1289" s="11" t="n">
        <x:v>0</x:v>
      </x:c>
      <x:c r="L1289" s="11" t="n">
        <x:f>IF(B1289="NED",1,IF(OR(B1289="ED",B1289="UN"),0,""))</x:f>
        <x:v>0</x:v>
      </x:c>
      <x:c r="M1289" s="11" t="n">
        <x:f>IF(AND(K1289=1,OR(B1289="ED",B1289="NED")),1,0)</x:f>
        <x:v>0</x:v>
      </x:c>
      <x:c r="N1289" s="11" t="n">
        <x:f>IF(K1289=1,1,0)</x:f>
        <x:v>0</x:v>
      </x:c>
      <x:c r="O1289" s="12" t="str">
        <x:v>Retain protein mean pLDDT &gt;=70</x:v>
      </x:c>
      <x:c r="P1289" s="11" t="n">
        <x:v>0</x:v>
      </x:c>
      <x:c r="Q1289" s="12" t="str">
        <x:v>AF-Q3U7U3-F1-model_v6</x:v>
      </x:c>
      <x:c r="R1289" s="12" t="str">
        <x:v>ok</x:v>
      </x:c>
      <x:c r="S1289" s="11" t="n">
        <x:v>882</x:v>
      </x:c>
      <x:c r="T1289" s="11" t="n">
        <x:v>523</x:v>
      </x:c>
    </x:row>
    <x:row r="1290" ht="23" customHeight="1">
      <x:c r="A1290" s="2" t="str">
        <x:v>Q3U821</x:v>
      </x:c>
      <x:c r="B1290" s="2" t="str">
        <x:v>UN</x:v>
      </x:c>
      <x:c r="C1290" s="2" t="n">
        <x:v>1</x:v>
      </x:c>
      <x:c r="D1290" s="2" t="n">
        <x:v>1</x:v>
      </x:c>
      <x:c r="E1290" s="10" t="n">
        <x:v>80.33793975903615</x:v>
      </x:c>
      <x:c r="F1290" s="11" t="n">
        <x:v>830</x:v>
      </x:c>
      <x:c r="G1290" s="11" t="n">
        <x:v>0</x:v>
      </x:c>
      <x:c r="H1290" s="11" t="n">
        <x:v>0</x:v>
      </x:c>
      <x:c r="I1290" s="11" t="n">
        <x:v>0</x:v>
      </x:c>
      <x:c r="J1290" s="11" t="n">
        <x:v>0</x:v>
      </x:c>
      <x:c r="K1290" s="11" t="n">
        <x:v>1</x:v>
      </x:c>
      <x:c r="L1290" s="11" t="n">
        <x:f>IF(B1290="NED",1,IF(OR(B1290="ED",B1290="UN"),0,""))</x:f>
        <x:v>0</x:v>
      </x:c>
      <x:c r="M1290" s="11" t="n">
        <x:f>IF(AND(K1290=1,OR(B1290="ED",B1290="NED")),1,0)</x:f>
        <x:v>0</x:v>
      </x:c>
      <x:c r="N1290" s="11" t="n">
        <x:f>IF(K1290=1,1,0)</x:f>
        <x:v>1</x:v>
      </x:c>
      <x:c r="O1290" s="12"/>
      <x:c r="P1290" s="11" t="n">
        <x:v>0</x:v>
      </x:c>
      <x:c r="Q1290" s="12" t="str">
        <x:v>AF-Q3U821-F1-model_v6</x:v>
      </x:c>
      <x:c r="R1290" s="12" t="str">
        <x:v>ok</x:v>
      </x:c>
      <x:c r="S1290" s="11" t="n">
        <x:v>3150</x:v>
      </x:c>
      <x:c r="T1290" s="11" t="n">
        <x:v>830</x:v>
      </x:c>
    </x:row>
    <x:row r="1291" ht="23" customHeight="1">
      <x:c r="A1291" s="2" t="str">
        <x:v>Q3U8S1</x:v>
      </x:c>
      <x:c r="B1291" s="2" t="str">
        <x:v>NED</x:v>
      </x:c>
      <x:c r="C1291" s="2"/>
      <x:c r="D1291" s="2"/>
      <x:c r="E1291" s="10"/>
      <x:c r="F1291" s="11"/>
      <x:c r="G1291" s="11" t="n">
        <x:v>0</x:v>
      </x:c>
      <x:c r="H1291" s="11" t="n">
        <x:v>0</x:v>
      </x:c>
      <x:c r="I1291" s="11" t="n">
        <x:v>1</x:v>
      </x:c>
      <x:c r="J1291" s="11" t="n">
        <x:v>1</x:v>
      </x:c>
      <x:c r="K1291" s="11" t="n">
        <x:v>0</x:v>
      </x:c>
      <x:c r="L1291" s="11" t="n">
        <x:f>IF(B1291="NED",1,IF(OR(B1291="ED",B1291="UN"),0,""))</x:f>
        <x:v>1</x:v>
      </x:c>
      <x:c r="M1291" s="11" t="n">
        <x:f>IF(AND(K1291=1,OR(B1291="ED",B1291="NED")),1,0)</x:f>
        <x:v>0</x:v>
      </x:c>
      <x:c r="N1291" s="11" t="n">
        <x:f>IF(K1291=1,1,0)</x:f>
        <x:v>0</x:v>
      </x:c>
      <x:c r="O1291" s="12" t="str">
        <x:v>Require exact native accession match</x:v>
      </x:c>
      <x:c r="P1291" s="11" t="n">
        <x:v>0</x:v>
      </x:c>
      <x:c r="Q1291" s="12"/>
      <x:c r="R1291" s="12"/>
      <x:c r="S1291" s="11" t="n">
        <x:v>3151</x:v>
      </x:c>
      <x:c r="T1291" s="11" t="n">
        <x:v>365</x:v>
      </x:c>
    </x:row>
    <x:row r="1292" ht="23" customHeight="1">
      <x:c r="A1292" s="2" t="str">
        <x:v>Q3UA06</x:v>
      </x:c>
      <x:c r="B1292" s="2" t="str">
        <x:v>ED</x:v>
      </x:c>
      <x:c r="C1292" s="2" t="n">
        <x:v>1</x:v>
      </x:c>
      <x:c r="D1292" s="2" t="n">
        <x:v>1</x:v>
      </x:c>
      <x:c r="E1292" s="10" t="n">
        <x:v>87.17185185185184</x:v>
      </x:c>
      <x:c r="F1292" s="11" t="n">
        <x:v>432</x:v>
      </x:c>
      <x:c r="G1292" s="11" t="n">
        <x:v>0</x:v>
      </x:c>
      <x:c r="H1292" s="11" t="n">
        <x:v>0</x:v>
      </x:c>
      <x:c r="I1292" s="11" t="n">
        <x:v>0</x:v>
      </x:c>
      <x:c r="J1292" s="11" t="n">
        <x:v>0</x:v>
      </x:c>
      <x:c r="K1292" s="11" t="n">
        <x:v>1</x:v>
      </x:c>
      <x:c r="L1292" s="11" t="n">
        <x:f>IF(B1292="NED",1,IF(OR(B1292="ED",B1292="UN"),0,""))</x:f>
        <x:v>0</x:v>
      </x:c>
      <x:c r="M1292" s="11" t="n">
        <x:f>IF(AND(K1292=1,OR(B1292="ED",B1292="NED")),1,0)</x:f>
        <x:v>1</x:v>
      </x:c>
      <x:c r="N1292" s="11" t="n">
        <x:f>IF(K1292=1,1,0)</x:f>
        <x:v>1</x:v>
      </x:c>
      <x:c r="O1292" s="12"/>
      <x:c r="P1292" s="11" t="n">
        <x:v>0</x:v>
      </x:c>
      <x:c r="Q1292" s="12" t="str">
        <x:v>AF-Q3UA06-F1-model_v6</x:v>
      </x:c>
      <x:c r="R1292" s="12" t="str">
        <x:v>ok</x:v>
      </x:c>
      <x:c r="S1292" s="11" t="n">
        <x:v>883</x:v>
      </x:c>
      <x:c r="T1292" s="11" t="n">
        <x:v>432</x:v>
      </x:c>
    </x:row>
    <x:row r="1293" ht="23" customHeight="1">
      <x:c r="A1293" s="2" t="str">
        <x:v>Q3UC82</x:v>
      </x:c>
      <x:c r="B1293" s="2" t="str">
        <x:v>UN</x:v>
      </x:c>
      <x:c r="C1293" s="2"/>
      <x:c r="D1293" s="2"/>
      <x:c r="E1293" s="10"/>
      <x:c r="F1293" s="11"/>
      <x:c r="G1293" s="11" t="n">
        <x:v>0</x:v>
      </x:c>
      <x:c r="H1293" s="11" t="n">
        <x:v>0</x:v>
      </x:c>
      <x:c r="I1293" s="11" t="n">
        <x:v>0</x:v>
      </x:c>
      <x:c r="J1293" s="11" t="n">
        <x:v>0</x:v>
      </x:c>
      <x:c r="K1293" s="11" t="n">
        <x:v>0</x:v>
      </x:c>
      <x:c r="L1293" s="11" t="n">
        <x:f>IF(B1293="NED",1,IF(OR(B1293="ED",B1293="UN"),0,""))</x:f>
        <x:v>0</x:v>
      </x:c>
      <x:c r="M1293" s="11" t="n">
        <x:f>IF(AND(K1293=1,OR(B1293="ED",B1293="NED")),1,0)</x:f>
        <x:v>0</x:v>
      </x:c>
      <x:c r="N1293" s="11" t="n">
        <x:f>IF(K1293=1,1,0)</x:f>
        <x:v>0</x:v>
      </x:c>
      <x:c r="O1293" s="12" t="str">
        <x:v>Require exact native accession match</x:v>
      </x:c>
      <x:c r="P1293" s="11" t="n">
        <x:v>0</x:v>
      </x:c>
      <x:c r="Q1293" s="12"/>
      <x:c r="R1293" s="12"/>
      <x:c r="S1293" s="11" t="n">
        <x:v>3152</x:v>
      </x:c>
      <x:c r="T1293" s="11" t="n">
        <x:v>1011</x:v>
      </x:c>
    </x:row>
    <x:row r="1294" ht="23" customHeight="1">
      <x:c r="A1294" s="2" t="str">
        <x:v>Q3UCQ1</x:v>
      </x:c>
      <x:c r="B1294" s="2" t="str">
        <x:v>ED</x:v>
      </x:c>
      <x:c r="C1294" s="2" t="n">
        <x:v>1</x:v>
      </x:c>
      <x:c r="D1294" s="2" t="n">
        <x:v>1</x:v>
      </x:c>
      <x:c r="E1294" s="10" t="n">
        <x:v>57.47605222734256</x:v>
      </x:c>
      <x:c r="F1294" s="11" t="n">
        <x:v>651</x:v>
      </x:c>
      <x:c r="G1294" s="11" t="n">
        <x:v>0</x:v>
      </x:c>
      <x:c r="H1294" s="11" t="n">
        <x:v>0</x:v>
      </x:c>
      <x:c r="I1294" s="11" t="n">
        <x:v>0</x:v>
      </x:c>
      <x:c r="J1294" s="11" t="n">
        <x:v>0</x:v>
      </x:c>
      <x:c r="K1294" s="11" t="n">
        <x:v>0</x:v>
      </x:c>
      <x:c r="L1294" s="11" t="n">
        <x:f>IF(B1294="NED",1,IF(OR(B1294="ED",B1294="UN"),0,""))</x:f>
        <x:v>0</x:v>
      </x:c>
      <x:c r="M1294" s="11" t="n">
        <x:f>IF(AND(K1294=1,OR(B1294="ED",B1294="NED")),1,0)</x:f>
        <x:v>0</x:v>
      </x:c>
      <x:c r="N1294" s="11" t="n">
        <x:f>IF(K1294=1,1,0)</x:f>
        <x:v>0</x:v>
      </x:c>
      <x:c r="O1294" s="12" t="str">
        <x:v>Retain protein mean pLDDT &gt;=70</x:v>
      </x:c>
      <x:c r="P1294" s="11" t="n">
        <x:v>0</x:v>
      </x:c>
      <x:c r="Q1294" s="12" t="str">
        <x:v>AF-Q3UCQ1-F1-model_v6</x:v>
      </x:c>
      <x:c r="R1294" s="12" t="str">
        <x:v>ok</x:v>
      </x:c>
      <x:c r="S1294" s="11" t="n">
        <x:v>884</x:v>
      </x:c>
      <x:c r="T1294" s="11" t="n">
        <x:v>651</x:v>
      </x:c>
    </x:row>
    <x:row r="1295" ht="23" customHeight="1">
      <x:c r="A1295" s="2" t="str">
        <x:v>Q3UDE2</x:v>
      </x:c>
      <x:c r="B1295" s="2" t="str">
        <x:v>ED</x:v>
      </x:c>
      <x:c r="C1295" s="2" t="n">
        <x:v>1</x:v>
      </x:c>
      <x:c r="D1295" s="2" t="n">
        <x:v>1</x:v>
      </x:c>
      <x:c r="E1295" s="10" t="n">
        <x:v>92.0829890453834</x:v>
      </x:c>
      <x:c r="F1295" s="11" t="n">
        <x:v>639</x:v>
      </x:c>
      <x:c r="G1295" s="11" t="n">
        <x:v>0</x:v>
      </x:c>
      <x:c r="H1295" s="11" t="n">
        <x:v>0</x:v>
      </x:c>
      <x:c r="I1295" s="11" t="n">
        <x:v>0</x:v>
      </x:c>
      <x:c r="J1295" s="11" t="n">
        <x:v>0</x:v>
      </x:c>
      <x:c r="K1295" s="11" t="n">
        <x:v>1</x:v>
      </x:c>
      <x:c r="L1295" s="11" t="n">
        <x:f>IF(B1295="NED",1,IF(OR(B1295="ED",B1295="UN"),0,""))</x:f>
        <x:v>0</x:v>
      </x:c>
      <x:c r="M1295" s="11" t="n">
        <x:f>IF(AND(K1295=1,OR(B1295="ED",B1295="NED")),1,0)</x:f>
        <x:v>1</x:v>
      </x:c>
      <x:c r="N1295" s="11" t="n">
        <x:f>IF(K1295=1,1,0)</x:f>
        <x:v>1</x:v>
      </x:c>
      <x:c r="O1295" s="12"/>
      <x:c r="P1295" s="11" t="n">
        <x:v>0</x:v>
      </x:c>
      <x:c r="Q1295" s="12" t="str">
        <x:v>AF-Q3UDE2-F1-model_v6</x:v>
      </x:c>
      <x:c r="R1295" s="12" t="str">
        <x:v>ok</x:v>
      </x:c>
      <x:c r="S1295" s="11" t="n">
        <x:v>885</x:v>
      </x:c>
      <x:c r="T1295" s="11" t="n">
        <x:v>639</x:v>
      </x:c>
    </x:row>
    <x:row r="1296" ht="23" customHeight="1">
      <x:c r="A1296" s="2" t="str">
        <x:v>Q3UDK1-2</x:v>
      </x:c>
      <x:c r="B1296" s="2" t="str">
        <x:v>ED</x:v>
      </x:c>
      <x:c r="C1296" s="2"/>
      <x:c r="D1296" s="2"/>
      <x:c r="E1296" s="10"/>
      <x:c r="F1296" s="11"/>
      <x:c r="G1296" s="11" t="n">
        <x:v>0</x:v>
      </x:c>
      <x:c r="H1296" s="11" t="n">
        <x:v>0</x:v>
      </x:c>
      <x:c r="I1296" s="11"/>
      <x:c r="J1296" s="11"/>
      <x:c r="K1296" s="11" t="n">
        <x:v>0</x:v>
      </x:c>
      <x:c r="L1296" s="11" t="n">
        <x:f>IF(B1296="NED",1,IF(OR(B1296="ED",B1296="UN"),0,""))</x:f>
        <x:v>0</x:v>
      </x:c>
      <x:c r="M1296" s="11" t="n">
        <x:f>IF(AND(K1296=1,OR(B1296="ED",B1296="NED")),1,0)</x:f>
        <x:v>0</x:v>
      </x:c>
      <x:c r="N1296" s="11" t="n">
        <x:f>IF(K1296=1,1,0)</x:f>
        <x:v>0</x:v>
      </x:c>
      <x:c r="O1296" s="12" t="str">
        <x:v>Require exact native accession match</x:v>
      </x:c>
      <x:c r="P1296" s="11" t="n">
        <x:v>0</x:v>
      </x:c>
      <x:c r="Q1296" s="12"/>
      <x:c r="R1296" s="12"/>
      <x:c r="S1296" s="11" t="n">
        <x:v>886</x:v>
      </x:c>
      <x:c r="T1296" s="11"/>
    </x:row>
    <x:row r="1297" ht="23" customHeight="1">
      <x:c r="A1297" s="2" t="str">
        <x:v>Q3UE37</x:v>
      </x:c>
      <x:c r="B1297" s="2" t="str">
        <x:v>UN</x:v>
      </x:c>
      <x:c r="C1297" s="2" t="n">
        <x:v>0</x:v>
      </x:c>
      <x:c r="D1297" s="2" t="n">
        <x:v>0</x:v>
      </x:c>
      <x:c r="E1297" s="10" t="n">
        <x:v>79.49932584269662</x:v>
      </x:c>
      <x:c r="F1297" s="11" t="n">
        <x:v>356</x:v>
      </x:c>
      <x:c r="G1297" s="11" t="n">
        <x:v>0</x:v>
      </x:c>
      <x:c r="H1297" s="11" t="n">
        <x:v>0</x:v>
      </x:c>
      <x:c r="I1297" s="11" t="n">
        <x:v>0</x:v>
      </x:c>
      <x:c r="J1297" s="11" t="n">
        <x:v>0</x:v>
      </x:c>
      <x:c r="K1297" s="11" t="n">
        <x:v>1</x:v>
      </x:c>
      <x:c r="L1297" s="11" t="n">
        <x:f>IF(B1297="NED",1,IF(OR(B1297="ED",B1297="UN"),0,""))</x:f>
        <x:v>0</x:v>
      </x:c>
      <x:c r="M1297" s="11" t="n">
        <x:f>IF(AND(K1297=1,OR(B1297="ED",B1297="NED")),1,0)</x:f>
        <x:v>0</x:v>
      </x:c>
      <x:c r="N1297" s="11" t="n">
        <x:f>IF(K1297=1,1,0)</x:f>
        <x:v>1</x:v>
      </x:c>
      <x:c r="O1297" s="12"/>
      <x:c r="P1297" s="11" t="n">
        <x:v>0</x:v>
      </x:c>
      <x:c r="Q1297" s="12" t="str">
        <x:v>AF-Q3UE37-F1-model_v6</x:v>
      </x:c>
      <x:c r="R1297" s="12" t="str">
        <x:v>ok</x:v>
      </x:c>
      <x:c r="S1297" s="11" t="n">
        <x:v>887</x:v>
      </x:c>
      <x:c r="T1297" s="11" t="n">
        <x:v>356</x:v>
      </x:c>
    </x:row>
    <x:row r="1298" ht="23" customHeight="1">
      <x:c r="A1298" s="2" t="str">
        <x:v>Q3UE92</x:v>
      </x:c>
      <x:c r="B1298" s="2" t="str">
        <x:v>UN</x:v>
      </x:c>
      <x:c r="C1298" s="2"/>
      <x:c r="D1298" s="2"/>
      <x:c r="E1298" s="10"/>
      <x:c r="F1298" s="11"/>
      <x:c r="G1298" s="11" t="n">
        <x:v>0</x:v>
      </x:c>
      <x:c r="H1298" s="11" t="n">
        <x:v>0</x:v>
      </x:c>
      <x:c r="I1298" s="11" t="n">
        <x:v>0</x:v>
      </x:c>
      <x:c r="J1298" s="11" t="n">
        <x:v>0</x:v>
      </x:c>
      <x:c r="K1298" s="11" t="n">
        <x:v>0</x:v>
      </x:c>
      <x:c r="L1298" s="11" t="n">
        <x:f>IF(B1298="NED",1,IF(OR(B1298="ED",B1298="UN"),0,""))</x:f>
        <x:v>0</x:v>
      </x:c>
      <x:c r="M1298" s="11" t="n">
        <x:f>IF(AND(K1298=1,OR(B1298="ED",B1298="NED")),1,0)</x:f>
        <x:v>0</x:v>
      </x:c>
      <x:c r="N1298" s="11" t="n">
        <x:f>IF(K1298=1,1,0)</x:f>
        <x:v>0</x:v>
      </x:c>
      <x:c r="O1298" s="12" t="str">
        <x:v>Require exact native accession match</x:v>
      </x:c>
      <x:c r="P1298" s="11" t="n">
        <x:v>0</x:v>
      </x:c>
      <x:c r="Q1298" s="12"/>
      <x:c r="R1298" s="12"/>
      <x:c r="S1298" s="11" t="n">
        <x:v>3153</x:v>
      </x:c>
      <x:c r="T1298" s="11" t="n">
        <x:v>666</x:v>
      </x:c>
    </x:row>
    <x:row r="1299" ht="23" customHeight="1">
      <x:c r="A1299" s="2" t="str">
        <x:v>Q3UEB3-2</x:v>
      </x:c>
      <x:c r="B1299" s="2" t="str">
        <x:v>ED</x:v>
      </x:c>
      <x:c r="C1299" s="2"/>
      <x:c r="D1299" s="2"/>
      <x:c r="E1299" s="10"/>
      <x:c r="F1299" s="11"/>
      <x:c r="G1299" s="11" t="n">
        <x:v>0</x:v>
      </x:c>
      <x:c r="H1299" s="11" t="n">
        <x:v>0</x:v>
      </x:c>
      <x:c r="I1299" s="11"/>
      <x:c r="J1299" s="11"/>
      <x:c r="K1299" s="11" t="n">
        <x:v>0</x:v>
      </x:c>
      <x:c r="L1299" s="11" t="n">
        <x:f>IF(B1299="NED",1,IF(OR(B1299="ED",B1299="UN"),0,""))</x:f>
        <x:v>0</x:v>
      </x:c>
      <x:c r="M1299" s="11" t="n">
        <x:f>IF(AND(K1299=1,OR(B1299="ED",B1299="NED")),1,0)</x:f>
        <x:v>0</x:v>
      </x:c>
      <x:c r="N1299" s="11" t="n">
        <x:f>IF(K1299=1,1,0)</x:f>
        <x:v>0</x:v>
      </x:c>
      <x:c r="O1299" s="12" t="str">
        <x:v>Require exact native accession match</x:v>
      </x:c>
      <x:c r="P1299" s="11" t="n">
        <x:v>0</x:v>
      </x:c>
      <x:c r="Q1299" s="12"/>
      <x:c r="R1299" s="12"/>
      <x:c r="S1299" s="11" t="n">
        <x:v>888</x:v>
      </x:c>
      <x:c r="T1299" s="11"/>
    </x:row>
    <x:row r="1300" ht="23" customHeight="1">
      <x:c r="A1300" s="2" t="str">
        <x:v>Q3UEB4</x:v>
      </x:c>
      <x:c r="B1300" s="2" t="str">
        <x:v>ED</x:v>
      </x:c>
      <x:c r="C1300" s="2"/>
      <x:c r="D1300" s="2"/>
      <x:c r="E1300" s="10"/>
      <x:c r="F1300" s="11"/>
      <x:c r="G1300" s="11" t="n">
        <x:v>0</x:v>
      </x:c>
      <x:c r="H1300" s="11" t="n">
        <x:v>0</x:v>
      </x:c>
      <x:c r="I1300" s="11" t="n">
        <x:v>0</x:v>
      </x:c>
      <x:c r="J1300" s="11" t="n">
        <x:v>0</x:v>
      </x:c>
      <x:c r="K1300" s="11" t="n">
        <x:v>0</x:v>
      </x:c>
      <x:c r="L1300" s="11" t="n">
        <x:f>IF(B1300="NED",1,IF(OR(B1300="ED",B1300="UN"),0,""))</x:f>
        <x:v>0</x:v>
      </x:c>
      <x:c r="M1300" s="11" t="n">
        <x:f>IF(AND(K1300=1,OR(B1300="ED",B1300="NED")),1,0)</x:f>
        <x:v>0</x:v>
      </x:c>
      <x:c r="N1300" s="11" t="n">
        <x:f>IF(K1300=1,1,0)</x:f>
        <x:v>0</x:v>
      </x:c>
      <x:c r="O1300" s="12" t="str">
        <x:v>Require exact native accession match</x:v>
      </x:c>
      <x:c r="P1300" s="11" t="n">
        <x:v>0</x:v>
      </x:c>
      <x:c r="Q1300" s="12"/>
      <x:c r="R1300" s="12"/>
      <x:c r="S1300" s="11" t="n">
        <x:v>3154</x:v>
      </x:c>
      <x:c r="T1300" s="11" t="n">
        <x:v>407</x:v>
      </x:c>
    </x:row>
    <x:row r="1301" ht="23" customHeight="1">
      <x:c r="A1301" s="2" t="str">
        <x:v>Q3UF75</x:v>
      </x:c>
      <x:c r="B1301" s="2" t="str">
        <x:v>UN</x:v>
      </x:c>
      <x:c r="C1301" s="2"/>
      <x:c r="D1301" s="2"/>
      <x:c r="E1301" s="10"/>
      <x:c r="F1301" s="11"/>
      <x:c r="G1301" s="11" t="n">
        <x:v>0</x:v>
      </x:c>
      <x:c r="H1301" s="11" t="n">
        <x:v>0</x:v>
      </x:c>
      <x:c r="I1301" s="11" t="n">
        <x:v>0</x:v>
      </x:c>
      <x:c r="J1301" s="11" t="n">
        <x:v>0</x:v>
      </x:c>
      <x:c r="K1301" s="11" t="n">
        <x:v>0</x:v>
      </x:c>
      <x:c r="L1301" s="11" t="n">
        <x:f>IF(B1301="NED",1,IF(OR(B1301="ED",B1301="UN"),0,""))</x:f>
        <x:v>0</x:v>
      </x:c>
      <x:c r="M1301" s="11" t="n">
        <x:f>IF(AND(K1301=1,OR(B1301="ED",B1301="NED")),1,0)</x:f>
        <x:v>0</x:v>
      </x:c>
      <x:c r="N1301" s="11" t="n">
        <x:f>IF(K1301=1,1,0)</x:f>
        <x:v>0</x:v>
      </x:c>
      <x:c r="O1301" s="12" t="str">
        <x:v>Require exact native accession match</x:v>
      </x:c>
      <x:c r="P1301" s="11" t="n">
        <x:v>0</x:v>
      </x:c>
      <x:c r="Q1301" s="12"/>
      <x:c r="R1301" s="12"/>
      <x:c r="S1301" s="11" t="n">
        <x:v>3155</x:v>
      </x:c>
      <x:c r="T1301" s="11" t="n">
        <x:v>336</x:v>
      </x:c>
    </x:row>
    <x:row r="1302" ht="23" customHeight="1">
      <x:c r="A1302" s="2" t="str">
        <x:v>Q3UF95</x:v>
      </x:c>
      <x:c r="B1302" s="2" t="str">
        <x:v>UN</x:v>
      </x:c>
      <x:c r="C1302" s="2"/>
      <x:c r="D1302" s="2"/>
      <x:c r="E1302" s="10"/>
      <x:c r="F1302" s="11"/>
      <x:c r="G1302" s="11" t="n">
        <x:v>0</x:v>
      </x:c>
      <x:c r="H1302" s="11" t="n">
        <x:v>0</x:v>
      </x:c>
      <x:c r="I1302" s="11" t="n">
        <x:v>0</x:v>
      </x:c>
      <x:c r="J1302" s="11" t="n">
        <x:v>1</x:v>
      </x:c>
      <x:c r="K1302" s="11" t="n">
        <x:v>0</x:v>
      </x:c>
      <x:c r="L1302" s="11" t="n">
        <x:f>IF(B1302="NED",1,IF(OR(B1302="ED",B1302="UN"),0,""))</x:f>
        <x:v>0</x:v>
      </x:c>
      <x:c r="M1302" s="11" t="n">
        <x:f>IF(AND(K1302=1,OR(B1302="ED",B1302="NED")),1,0)</x:f>
        <x:v>0</x:v>
      </x:c>
      <x:c r="N1302" s="11" t="n">
        <x:f>IF(K1302=1,1,0)</x:f>
        <x:v>0</x:v>
      </x:c>
      <x:c r="O1302" s="12" t="str">
        <x:v>Require exact native accession match</x:v>
      </x:c>
      <x:c r="P1302" s="11" t="n">
        <x:v>0</x:v>
      </x:c>
      <x:c r="Q1302" s="12"/>
      <x:c r="R1302" s="12"/>
      <x:c r="S1302" s="11" t="n">
        <x:v>3156</x:v>
      </x:c>
      <x:c r="T1302" s="11" t="n">
        <x:v>1136</x:v>
      </x:c>
    </x:row>
    <x:row r="1303" ht="23" customHeight="1">
      <x:c r="A1303" s="2" t="str">
        <x:v>Q3UFB2-2</x:v>
      </x:c>
      <x:c r="B1303" s="2" t="str">
        <x:v>ED</x:v>
      </x:c>
      <x:c r="C1303" s="2"/>
      <x:c r="D1303" s="2"/>
      <x:c r="E1303" s="10"/>
      <x:c r="F1303" s="11"/>
      <x:c r="G1303" s="11" t="n">
        <x:v>0</x:v>
      </x:c>
      <x:c r="H1303" s="11" t="n">
        <x:v>0</x:v>
      </x:c>
      <x:c r="I1303" s="11"/>
      <x:c r="J1303" s="11"/>
      <x:c r="K1303" s="11" t="n">
        <x:v>0</x:v>
      </x:c>
      <x:c r="L1303" s="11" t="n">
        <x:f>IF(B1303="NED",1,IF(OR(B1303="ED",B1303="UN"),0,""))</x:f>
        <x:v>0</x:v>
      </x:c>
      <x:c r="M1303" s="11" t="n">
        <x:f>IF(AND(K1303=1,OR(B1303="ED",B1303="NED")),1,0)</x:f>
        <x:v>0</x:v>
      </x:c>
      <x:c r="N1303" s="11" t="n">
        <x:f>IF(K1303=1,1,0)</x:f>
        <x:v>0</x:v>
      </x:c>
      <x:c r="O1303" s="12" t="str">
        <x:v>Require exact native accession match</x:v>
      </x:c>
      <x:c r="P1303" s="11" t="n">
        <x:v>0</x:v>
      </x:c>
      <x:c r="Q1303" s="12"/>
      <x:c r="R1303" s="12"/>
      <x:c r="S1303" s="11" t="n">
        <x:v>889</x:v>
      </x:c>
      <x:c r="T1303" s="11"/>
    </x:row>
    <x:row r="1304" ht="23" customHeight="1">
      <x:c r="A1304" s="2" t="str">
        <x:v>Q3UFS0</x:v>
      </x:c>
      <x:c r="B1304" s="2" t="str">
        <x:v>ED</x:v>
      </x:c>
      <x:c r="C1304" s="2" t="n">
        <x:v>0</x:v>
      </x:c>
      <x:c r="D1304" s="2" t="n">
        <x:v>0</x:v>
      </x:c>
      <x:c r="E1304" s="10" t="n">
        <x:v>92.4846370967742</x:v>
      </x:c>
      <x:c r="F1304" s="11" t="n">
        <x:v>744</x:v>
      </x:c>
      <x:c r="G1304" s="11" t="n">
        <x:v>0</x:v>
      </x:c>
      <x:c r="H1304" s="11" t="n">
        <x:v>0</x:v>
      </x:c>
      <x:c r="I1304" s="11" t="n">
        <x:v>0</x:v>
      </x:c>
      <x:c r="J1304" s="11" t="n">
        <x:v>0</x:v>
      </x:c>
      <x:c r="K1304" s="11" t="n">
        <x:v>1</x:v>
      </x:c>
      <x:c r="L1304" s="11" t="n">
        <x:f>IF(B1304="NED",1,IF(OR(B1304="ED",B1304="UN"),0,""))</x:f>
        <x:v>0</x:v>
      </x:c>
      <x:c r="M1304" s="11" t="n">
        <x:f>IF(AND(K1304=1,OR(B1304="ED",B1304="NED")),1,0)</x:f>
        <x:v>1</x:v>
      </x:c>
      <x:c r="N1304" s="11" t="n">
        <x:f>IF(K1304=1,1,0)</x:f>
        <x:v>1</x:v>
      </x:c>
      <x:c r="O1304" s="12"/>
      <x:c r="P1304" s="11" t="n">
        <x:v>0</x:v>
      </x:c>
      <x:c r="Q1304" s="12" t="str">
        <x:v>AF-Q3UFS0-F1-model_v6</x:v>
      </x:c>
      <x:c r="R1304" s="12" t="str">
        <x:v>ok</x:v>
      </x:c>
      <x:c r="S1304" s="11" t="n">
        <x:v>890</x:v>
      </x:c>
      <x:c r="T1304" s="11" t="n">
        <x:v>744</x:v>
      </x:c>
    </x:row>
    <x:row r="1305" ht="23" customHeight="1">
      <x:c r="A1305" s="2" t="str">
        <x:v>Q3UFY7-4</x:v>
      </x:c>
      <x:c r="B1305" s="2" t="str">
        <x:v>ED</x:v>
      </x:c>
      <x:c r="C1305" s="2"/>
      <x:c r="D1305" s="2"/>
      <x:c r="E1305" s="10"/>
      <x:c r="F1305" s="11"/>
      <x:c r="G1305" s="11" t="n">
        <x:v>0</x:v>
      </x:c>
      <x:c r="H1305" s="11" t="n">
        <x:v>0</x:v>
      </x:c>
      <x:c r="I1305" s="11"/>
      <x:c r="J1305" s="11"/>
      <x:c r="K1305" s="11" t="n">
        <x:v>0</x:v>
      </x:c>
      <x:c r="L1305" s="11" t="n">
        <x:f>IF(B1305="NED",1,IF(OR(B1305="ED",B1305="UN"),0,""))</x:f>
        <x:v>0</x:v>
      </x:c>
      <x:c r="M1305" s="11" t="n">
        <x:f>IF(AND(K1305=1,OR(B1305="ED",B1305="NED")),1,0)</x:f>
        <x:v>0</x:v>
      </x:c>
      <x:c r="N1305" s="11" t="n">
        <x:f>IF(K1305=1,1,0)</x:f>
        <x:v>0</x:v>
      </x:c>
      <x:c r="O1305" s="12" t="str">
        <x:v>Require exact native accession match</x:v>
      </x:c>
      <x:c r="P1305" s="11" t="n">
        <x:v>0</x:v>
      </x:c>
      <x:c r="Q1305" s="12"/>
      <x:c r="R1305" s="12"/>
      <x:c r="S1305" s="11" t="n">
        <x:v>891</x:v>
      </x:c>
      <x:c r="T1305" s="11"/>
    </x:row>
    <x:row r="1306" ht="23" customHeight="1">
      <x:c r="A1306" s="2" t="str">
        <x:v>Q3UGC7</x:v>
      </x:c>
      <x:c r="B1306" s="2" t="str">
        <x:v>ED</x:v>
      </x:c>
      <x:c r="C1306" s="2" t="n">
        <x:v>0</x:v>
      </x:c>
      <x:c r="D1306" s="2" t="n">
        <x:v>0</x:v>
      </x:c>
      <x:c r="E1306" s="10" t="n">
        <x:v>67.50524904214559</x:v>
      </x:c>
      <x:c r="F1306" s="11" t="n">
        <x:v>261</x:v>
      </x:c>
      <x:c r="G1306" s="11" t="n">
        <x:v>0</x:v>
      </x:c>
      <x:c r="H1306" s="11" t="n">
        <x:v>0</x:v>
      </x:c>
      <x:c r="I1306" s="11" t="n">
        <x:v>0</x:v>
      </x:c>
      <x:c r="J1306" s="11" t="n">
        <x:v>0</x:v>
      </x:c>
      <x:c r="K1306" s="11" t="n">
        <x:v>0</x:v>
      </x:c>
      <x:c r="L1306" s="11" t="n">
        <x:f>IF(B1306="NED",1,IF(OR(B1306="ED",B1306="UN"),0,""))</x:f>
        <x:v>0</x:v>
      </x:c>
      <x:c r="M1306" s="11" t="n">
        <x:f>IF(AND(K1306=1,OR(B1306="ED",B1306="NED")),1,0)</x:f>
        <x:v>0</x:v>
      </x:c>
      <x:c r="N1306" s="11" t="n">
        <x:f>IF(K1306=1,1,0)</x:f>
        <x:v>0</x:v>
      </x:c>
      <x:c r="O1306" s="12" t="str">
        <x:v>Retain protein mean pLDDT &gt;=70</x:v>
      </x:c>
      <x:c r="P1306" s="11" t="n">
        <x:v>0</x:v>
      </x:c>
      <x:c r="Q1306" s="12" t="str">
        <x:v>AF-Q3UGC7-F1-model_v6</x:v>
      </x:c>
      <x:c r="R1306" s="12" t="str">
        <x:v>ok</x:v>
      </x:c>
      <x:c r="S1306" s="11" t="n">
        <x:v>892</x:v>
      </x:c>
      <x:c r="T1306" s="11" t="n">
        <x:v>261</x:v>
      </x:c>
    </x:row>
    <x:row r="1307" ht="23" customHeight="1">
      <x:c r="A1307" s="2" t="str">
        <x:v>Q3UGR5</x:v>
      </x:c>
      <x:c r="B1307" s="2" t="str">
        <x:v>ED</x:v>
      </x:c>
      <x:c r="C1307" s="2" t="n">
        <x:v>1</x:v>
      </x:c>
      <x:c r="D1307" s="2" t="n">
        <x:v>1</x:v>
      </x:c>
      <x:c r="E1307" s="10" t="n">
        <x:v>95.95752895752896</x:v>
      </x:c>
      <x:c r="F1307" s="11" t="n">
        <x:v>259</x:v>
      </x:c>
      <x:c r="G1307" s="11" t="n">
        <x:v>0</x:v>
      </x:c>
      <x:c r="H1307" s="11" t="n">
        <x:v>0</x:v>
      </x:c>
      <x:c r="I1307" s="11" t="n">
        <x:v>0</x:v>
      </x:c>
      <x:c r="J1307" s="11" t="n">
        <x:v>0</x:v>
      </x:c>
      <x:c r="K1307" s="11" t="n">
        <x:v>1</x:v>
      </x:c>
      <x:c r="L1307" s="11" t="n">
        <x:f>IF(B1307="NED",1,IF(OR(B1307="ED",B1307="UN"),0,""))</x:f>
        <x:v>0</x:v>
      </x:c>
      <x:c r="M1307" s="11" t="n">
        <x:f>IF(AND(K1307=1,OR(B1307="ED",B1307="NED")),1,0)</x:f>
        <x:v>1</x:v>
      </x:c>
      <x:c r="N1307" s="11" t="n">
        <x:f>IF(K1307=1,1,0)</x:f>
        <x:v>1</x:v>
      </x:c>
      <x:c r="O1307" s="12"/>
      <x:c r="P1307" s="11" t="n">
        <x:v>0</x:v>
      </x:c>
      <x:c r="Q1307" s="12" t="str">
        <x:v>AF-Q3UGR5-F1-model_v6</x:v>
      </x:c>
      <x:c r="R1307" s="12" t="str">
        <x:v>ok</x:v>
      </x:c>
      <x:c r="S1307" s="11" t="n">
        <x:v>893</x:v>
      </x:c>
      <x:c r="T1307" s="11" t="n">
        <x:v>259</x:v>
      </x:c>
    </x:row>
    <x:row r="1308" ht="23" customHeight="1">
      <x:c r="A1308" s="2" t="str">
        <x:v>Q3UH60</x:v>
      </x:c>
      <x:c r="B1308" s="2" t="str">
        <x:v>ED</x:v>
      </x:c>
      <x:c r="C1308" s="2" t="n">
        <x:v>1</x:v>
      </x:c>
      <x:c r="D1308" s="2" t="n">
        <x:v>1</x:v>
      </x:c>
      <x:c r="E1308" s="10" t="n">
        <x:v>78.74669631512072</x:v>
      </x:c>
      <x:c r="F1308" s="11" t="n">
        <x:v>1574</x:v>
      </x:c>
      <x:c r="G1308" s="11" t="n">
        <x:v>0</x:v>
      </x:c>
      <x:c r="H1308" s="11" t="n">
        <x:v>0</x:v>
      </x:c>
      <x:c r="I1308" s="11" t="n">
        <x:v>0</x:v>
      </x:c>
      <x:c r="J1308" s="11" t="n">
        <x:v>0</x:v>
      </x:c>
      <x:c r="K1308" s="11" t="n">
        <x:v>1</x:v>
      </x:c>
      <x:c r="L1308" s="11" t="n">
        <x:f>IF(B1308="NED",1,IF(OR(B1308="ED",B1308="UN"),0,""))</x:f>
        <x:v>0</x:v>
      </x:c>
      <x:c r="M1308" s="11" t="n">
        <x:f>IF(AND(K1308=1,OR(B1308="ED",B1308="NED")),1,0)</x:f>
        <x:v>1</x:v>
      </x:c>
      <x:c r="N1308" s="11" t="n">
        <x:f>IF(K1308=1,1,0)</x:f>
        <x:v>1</x:v>
      </x:c>
      <x:c r="O1308" s="12"/>
      <x:c r="P1308" s="11" t="n">
        <x:v>0</x:v>
      </x:c>
      <x:c r="Q1308" s="12" t="str">
        <x:v>AF-Q3UH60-F1-model_v6</x:v>
      </x:c>
      <x:c r="R1308" s="12" t="str">
        <x:v>ok</x:v>
      </x:c>
      <x:c r="S1308" s="11" t="n">
        <x:v>894</x:v>
      </x:c>
      <x:c r="T1308" s="11" t="n">
        <x:v>1574</x:v>
      </x:c>
    </x:row>
    <x:row r="1309" ht="23" customHeight="1">
      <x:c r="A1309" s="2" t="str">
        <x:v>Q3UHB1</x:v>
      </x:c>
      <x:c r="B1309" s="2" t="str">
        <x:v>UN</x:v>
      </x:c>
      <x:c r="C1309" s="2" t="n">
        <x:v>1</x:v>
      </x:c>
      <x:c r="D1309" s="2" t="n">
        <x:v>1</x:v>
      </x:c>
      <x:c r="E1309" s="10" t="n">
        <x:v>86.28626373626375</x:v>
      </x:c>
      <x:c r="F1309" s="11" t="n">
        <x:v>546</x:v>
      </x:c>
      <x:c r="G1309" s="11" t="n">
        <x:v>0</x:v>
      </x:c>
      <x:c r="H1309" s="11" t="n">
        <x:v>0</x:v>
      </x:c>
      <x:c r="I1309" s="11" t="n">
        <x:v>0</x:v>
      </x:c>
      <x:c r="J1309" s="11" t="n">
        <x:v>0</x:v>
      </x:c>
      <x:c r="K1309" s="11" t="n">
        <x:v>1</x:v>
      </x:c>
      <x:c r="L1309" s="11" t="n">
        <x:f>IF(B1309="NED",1,IF(OR(B1309="ED",B1309="UN"),0,""))</x:f>
        <x:v>0</x:v>
      </x:c>
      <x:c r="M1309" s="11" t="n">
        <x:f>IF(AND(K1309=1,OR(B1309="ED",B1309="NED")),1,0)</x:f>
        <x:v>0</x:v>
      </x:c>
      <x:c r="N1309" s="11" t="n">
        <x:f>IF(K1309=1,1,0)</x:f>
        <x:v>1</x:v>
      </x:c>
      <x:c r="O1309" s="12"/>
      <x:c r="P1309" s="11" t="n">
        <x:v>0</x:v>
      </x:c>
      <x:c r="Q1309" s="12" t="str">
        <x:v>AF-Q3UHB1-F1-model_v6</x:v>
      </x:c>
      <x:c r="R1309" s="12" t="str">
        <x:v>ok</x:v>
      </x:c>
      <x:c r="S1309" s="11" t="n">
        <x:v>895</x:v>
      </x:c>
      <x:c r="T1309" s="11" t="n">
        <x:v>546</x:v>
      </x:c>
    </x:row>
    <x:row r="1310" ht="23" customHeight="1">
      <x:c r="A1310" s="2" t="str">
        <x:v>Q3UHC2</x:v>
      </x:c>
      <x:c r="B1310" s="2" t="str">
        <x:v>ED</x:v>
      </x:c>
      <x:c r="C1310" s="2" t="n">
        <x:v>1</x:v>
      </x:c>
      <x:c r="D1310" s="2" t="n">
        <x:v>1</x:v>
      </x:c>
      <x:c r="E1310" s="10"/>
      <x:c r="F1310" s="11" t="n">
        <x:v>2014</x:v>
      </x:c>
      <x:c r="G1310" s="11" t="n">
        <x:v>0</x:v>
      </x:c>
      <x:c r="H1310" s="11" t="n">
        <x:v>0</x:v>
      </x:c>
      <x:c r="I1310" s="11" t="n">
        <x:v>1</x:v>
      </x:c>
      <x:c r="J1310" s="11" t="n">
        <x:v>0</x:v>
      </x:c>
      <x:c r="K1310" s="11" t="n">
        <x:v>0</x:v>
      </x:c>
      <x:c r="L1310" s="11" t="n">
        <x:f>IF(B1310="NED",1,IF(OR(B1310="ED",B1310="UN"),0,""))</x:f>
        <x:v>0</x:v>
      </x:c>
      <x:c r="M1310" s="11" t="n">
        <x:f>IF(AND(K1310=1,OR(B1310="ED",B1310="NED")),1,0)</x:f>
        <x:v>0</x:v>
      </x:c>
      <x:c r="N1310" s="11" t="n">
        <x:f>IF(K1310=1,1,0)</x:f>
        <x:v>0</x:v>
      </x:c>
      <x:c r="O1310" s="12" t="str">
        <x:v>Exclude UniProt Membrane keyword</x:v>
      </x:c>
      <x:c r="P1310" s="11" t="n">
        <x:v>0</x:v>
      </x:c>
      <x:c r="Q1310" s="12" t="str">
        <x:v>AF-Q3UHC2-F1-model_v6</x:v>
      </x:c>
      <x:c r="R1310" s="12" t="str">
        <x:v>ok</x:v>
      </x:c>
      <x:c r="S1310" s="11" t="n">
        <x:v>896</x:v>
      </x:c>
      <x:c r="T1310" s="11" t="n">
        <x:v>2014</x:v>
      </x:c>
    </x:row>
    <x:row r="1311" ht="23" customHeight="1">
      <x:c r="A1311" s="2" t="str">
        <x:v>Q3UHD6-2</x:v>
      </x:c>
      <x:c r="B1311" s="2" t="str">
        <x:v>UN</x:v>
      </x:c>
      <x:c r="C1311" s="2"/>
      <x:c r="D1311" s="2"/>
      <x:c r="E1311" s="10"/>
      <x:c r="F1311" s="11"/>
      <x:c r="G1311" s="11" t="n">
        <x:v>0</x:v>
      </x:c>
      <x:c r="H1311" s="11" t="n">
        <x:v>0</x:v>
      </x:c>
      <x:c r="I1311" s="11"/>
      <x:c r="J1311" s="11"/>
      <x:c r="K1311" s="11" t="n">
        <x:v>0</x:v>
      </x:c>
      <x:c r="L1311" s="11" t="n">
        <x:f>IF(B1311="NED",1,IF(OR(B1311="ED",B1311="UN"),0,""))</x:f>
        <x:v>0</x:v>
      </x:c>
      <x:c r="M1311" s="11" t="n">
        <x:f>IF(AND(K1311=1,OR(B1311="ED",B1311="NED")),1,0)</x:f>
        <x:v>0</x:v>
      </x:c>
      <x:c r="N1311" s="11" t="n">
        <x:f>IF(K1311=1,1,0)</x:f>
        <x:v>0</x:v>
      </x:c>
      <x:c r="O1311" s="12" t="str">
        <x:v>Require exact native accession match</x:v>
      </x:c>
      <x:c r="P1311" s="11" t="n">
        <x:v>0</x:v>
      </x:c>
      <x:c r="Q1311" s="12"/>
      <x:c r="R1311" s="12"/>
      <x:c r="S1311" s="11" t="n">
        <x:v>897</x:v>
      </x:c>
      <x:c r="T1311" s="11"/>
    </x:row>
    <x:row r="1312" ht="23" customHeight="1">
      <x:c r="A1312" s="2" t="str">
        <x:v>Q3UHH1-2</x:v>
      </x:c>
      <x:c r="B1312" s="2" t="str">
        <x:v>ED</x:v>
      </x:c>
      <x:c r="C1312" s="2"/>
      <x:c r="D1312" s="2"/>
      <x:c r="E1312" s="10"/>
      <x:c r="F1312" s="11"/>
      <x:c r="G1312" s="11" t="n">
        <x:v>0</x:v>
      </x:c>
      <x:c r="H1312" s="11" t="n">
        <x:v>0</x:v>
      </x:c>
      <x:c r="I1312" s="11"/>
      <x:c r="J1312" s="11"/>
      <x:c r="K1312" s="11" t="n">
        <x:v>0</x:v>
      </x:c>
      <x:c r="L1312" s="11" t="n">
        <x:f>IF(B1312="NED",1,IF(OR(B1312="ED",B1312="UN"),0,""))</x:f>
        <x:v>0</x:v>
      </x:c>
      <x:c r="M1312" s="11" t="n">
        <x:f>IF(AND(K1312=1,OR(B1312="ED",B1312="NED")),1,0)</x:f>
        <x:v>0</x:v>
      </x:c>
      <x:c r="N1312" s="11" t="n">
        <x:f>IF(K1312=1,1,0)</x:f>
        <x:v>0</x:v>
      </x:c>
      <x:c r="O1312" s="12" t="str">
        <x:v>Require exact native accession match</x:v>
      </x:c>
      <x:c r="P1312" s="11" t="n">
        <x:v>0</x:v>
      </x:c>
      <x:c r="Q1312" s="12"/>
      <x:c r="R1312" s="12"/>
      <x:c r="S1312" s="11" t="n">
        <x:v>898</x:v>
      </x:c>
      <x:c r="T1312" s="11"/>
    </x:row>
    <x:row r="1313" ht="23" customHeight="1">
      <x:c r="A1313" s="2" t="str">
        <x:v>Q3UHH8</x:v>
      </x:c>
      <x:c r="B1313" s="2" t="str">
        <x:v>UN</x:v>
      </x:c>
      <x:c r="C1313" s="2" t="n">
        <x:v>1</x:v>
      </x:c>
      <x:c r="D1313" s="2" t="n">
        <x:v>1</x:v>
      </x:c>
      <x:c r="E1313" s="10"/>
      <x:c r="F1313" s="11" t="n">
        <x:v>404</x:v>
      </x:c>
      <x:c r="G1313" s="11" t="n">
        <x:v>0</x:v>
      </x:c>
      <x:c r="H1313" s="11" t="n">
        <x:v>0</x:v>
      </x:c>
      <x:c r="I1313" s="11" t="n">
        <x:v>1</x:v>
      </x:c>
      <x:c r="J1313" s="11" t="n">
        <x:v>0</x:v>
      </x:c>
      <x:c r="K1313" s="11" t="n">
        <x:v>0</x:v>
      </x:c>
      <x:c r="L1313" s="11" t="n">
        <x:f>IF(B1313="NED",1,IF(OR(B1313="ED",B1313="UN"),0,""))</x:f>
        <x:v>0</x:v>
      </x:c>
      <x:c r="M1313" s="11" t="n">
        <x:f>IF(AND(K1313=1,OR(B1313="ED",B1313="NED")),1,0)</x:f>
        <x:v>0</x:v>
      </x:c>
      <x:c r="N1313" s="11" t="n">
        <x:f>IF(K1313=1,1,0)</x:f>
        <x:v>0</x:v>
      </x:c>
      <x:c r="O1313" s="12" t="str">
        <x:v>Exclude UniProt Membrane keyword</x:v>
      </x:c>
      <x:c r="P1313" s="11" t="n">
        <x:v>0</x:v>
      </x:c>
      <x:c r="Q1313" s="12" t="str">
        <x:v>AF-Q3UHH8-F1-model_v6</x:v>
      </x:c>
      <x:c r="R1313" s="12" t="str">
        <x:v>ok</x:v>
      </x:c>
      <x:c r="S1313" s="11" t="n">
        <x:v>899</x:v>
      </x:c>
      <x:c r="T1313" s="11" t="n">
        <x:v>404</x:v>
      </x:c>
    </x:row>
    <x:row r="1314" ht="23" customHeight="1">
      <x:c r="A1314" s="2" t="str">
        <x:v>Q3UHJ0-2</x:v>
      </x:c>
      <x:c r="B1314" s="2" t="str">
        <x:v>UN</x:v>
      </x:c>
      <x:c r="C1314" s="2"/>
      <x:c r="D1314" s="2"/>
      <x:c r="E1314" s="10"/>
      <x:c r="F1314" s="11"/>
      <x:c r="G1314" s="11" t="n">
        <x:v>0</x:v>
      </x:c>
      <x:c r="H1314" s="11" t="n">
        <x:v>0</x:v>
      </x:c>
      <x:c r="I1314" s="11"/>
      <x:c r="J1314" s="11"/>
      <x:c r="K1314" s="11" t="n">
        <x:v>0</x:v>
      </x:c>
      <x:c r="L1314" s="11" t="n">
        <x:f>IF(B1314="NED",1,IF(OR(B1314="ED",B1314="UN"),0,""))</x:f>
        <x:v>0</x:v>
      </x:c>
      <x:c r="M1314" s="11" t="n">
        <x:f>IF(AND(K1314=1,OR(B1314="ED",B1314="NED")),1,0)</x:f>
        <x:v>0</x:v>
      </x:c>
      <x:c r="N1314" s="11" t="n">
        <x:f>IF(K1314=1,1,0)</x:f>
        <x:v>0</x:v>
      </x:c>
      <x:c r="O1314" s="12" t="str">
        <x:v>Require exact native accession match</x:v>
      </x:c>
      <x:c r="P1314" s="11" t="n">
        <x:v>0</x:v>
      </x:c>
      <x:c r="Q1314" s="12"/>
      <x:c r="R1314" s="12"/>
      <x:c r="S1314" s="11" t="n">
        <x:v>900</x:v>
      </x:c>
      <x:c r="T1314" s="11"/>
    </x:row>
    <x:row r="1315" ht="23" customHeight="1">
      <x:c r="A1315" s="2" t="str">
        <x:v>Q3UHK8</x:v>
      </x:c>
      <x:c r="B1315" s="2" t="str">
        <x:v>UN</x:v>
      </x:c>
      <x:c r="C1315" s="2" t="n">
        <x:v>1</x:v>
      </x:c>
      <x:c r="D1315" s="2" t="n">
        <x:v>1</x:v>
      </x:c>
      <x:c r="E1315" s="10"/>
      <x:c r="F1315" s="11" t="n">
        <x:v>1896</x:v>
      </x:c>
      <x:c r="G1315" s="11" t="n">
        <x:v>1</x:v>
      </x:c>
      <x:c r="H1315" s="11" t="n">
        <x:v>0</x:v>
      </x:c>
      <x:c r="I1315" s="11" t="n">
        <x:v>0</x:v>
      </x:c>
      <x:c r="J1315" s="11" t="n">
        <x:v>0</x:v>
      </x:c>
      <x:c r="K1315" s="11" t="n">
        <x:v>0</x:v>
      </x:c>
      <x:c r="L1315" s="11" t="n">
        <x:f>IF(B1315="NED",1,IF(OR(B1315="ED",B1315="UN"),0,""))</x:f>
        <x:v>0</x:v>
      </x:c>
      <x:c r="M1315" s="11" t="n">
        <x:f>IF(AND(K1315=1,OR(B1315="ED",B1315="NED")),1,0)</x:f>
        <x:v>0</x:v>
      </x:c>
      <x:c r="N1315" s="11" t="n">
        <x:f>IF(K1315=1,1,0)</x:f>
        <x:v>0</x:v>
      </x:c>
      <x:c r="O1315" s="12" t="str">
        <x:v>Exclude supplied knotted proteins</x:v>
      </x:c>
      <x:c r="P1315" s="11" t="n">
        <x:v>0</x:v>
      </x:c>
      <x:c r="Q1315" s="12" t="str">
        <x:v>AF-Q3UHK8-F1-model_v6</x:v>
      </x:c>
      <x:c r="R1315" s="12" t="str">
        <x:v>ok</x:v>
      </x:c>
      <x:c r="S1315" s="11" t="n">
        <x:v>901</x:v>
      </x:c>
      <x:c r="T1315" s="11" t="n">
        <x:v>1896</x:v>
      </x:c>
    </x:row>
    <x:row r="1316" ht="23" customHeight="1">
      <x:c r="A1316" s="2" t="str">
        <x:v>Q3UHU8</x:v>
      </x:c>
      <x:c r="B1316" s="2" t="str">
        <x:v>ED</x:v>
      </x:c>
      <x:c r="C1316" s="2"/>
      <x:c r="D1316" s="2"/>
      <x:c r="E1316" s="10"/>
      <x:c r="F1316" s="11"/>
      <x:c r="G1316" s="11" t="n">
        <x:v>0</x:v>
      </x:c>
      <x:c r="H1316" s="11" t="n">
        <x:v>0</x:v>
      </x:c>
      <x:c r="I1316" s="11" t="n">
        <x:v>0</x:v>
      </x:c>
      <x:c r="J1316" s="11" t="n">
        <x:v>0</x:v>
      </x:c>
      <x:c r="K1316" s="11" t="n">
        <x:v>0</x:v>
      </x:c>
      <x:c r="L1316" s="11" t="n">
        <x:f>IF(B1316="NED",1,IF(OR(B1316="ED",B1316="UN"),0,""))</x:f>
        <x:v>0</x:v>
      </x:c>
      <x:c r="M1316" s="11" t="n">
        <x:f>IF(AND(K1316=1,OR(B1316="ED",B1316="NED")),1,0)</x:f>
        <x:v>0</x:v>
      </x:c>
      <x:c r="N1316" s="11" t="n">
        <x:f>IF(K1316=1,1,0)</x:f>
        <x:v>0</x:v>
      </x:c>
      <x:c r="O1316" s="12" t="str">
        <x:v>Require exact native accession match</x:v>
      </x:c>
      <x:c r="P1316" s="11" t="n">
        <x:v>0</x:v>
      </x:c>
      <x:c r="Q1316" s="12"/>
      <x:c r="R1316" s="12"/>
      <x:c r="S1316" s="11" t="n">
        <x:v>3157</x:v>
      </x:c>
      <x:c r="T1316" s="11" t="n">
        <x:v>962</x:v>
      </x:c>
    </x:row>
    <x:row r="1317" ht="23" customHeight="1">
      <x:c r="A1317" s="2" t="str">
        <x:v>Q3UHX2</x:v>
      </x:c>
      <x:c r="B1317" s="2" t="str">
        <x:v>ED</x:v>
      </x:c>
      <x:c r="C1317" s="2" t="n">
        <x:v>0</x:v>
      </x:c>
      <x:c r="D1317" s="2" t="n">
        <x:v>0</x:v>
      </x:c>
      <x:c r="E1317" s="10" t="n">
        <x:v>75.86342541436464</x:v>
      </x:c>
      <x:c r="F1317" s="11" t="n">
        <x:v>181</x:v>
      </x:c>
      <x:c r="G1317" s="11" t="n">
        <x:v>0</x:v>
      </x:c>
      <x:c r="H1317" s="11" t="n">
        <x:v>0</x:v>
      </x:c>
      <x:c r="I1317" s="11" t="n">
        <x:v>0</x:v>
      </x:c>
      <x:c r="J1317" s="11" t="n">
        <x:v>0</x:v>
      </x:c>
      <x:c r="K1317" s="11" t="n">
        <x:v>1</x:v>
      </x:c>
      <x:c r="L1317" s="11" t="n">
        <x:f>IF(B1317="NED",1,IF(OR(B1317="ED",B1317="UN"),0,""))</x:f>
        <x:v>0</x:v>
      </x:c>
      <x:c r="M1317" s="11" t="n">
        <x:f>IF(AND(K1317=1,OR(B1317="ED",B1317="NED")),1,0)</x:f>
        <x:v>1</x:v>
      </x:c>
      <x:c r="N1317" s="11" t="n">
        <x:f>IF(K1317=1,1,0)</x:f>
        <x:v>1</x:v>
      </x:c>
      <x:c r="O1317" s="12"/>
      <x:c r="P1317" s="11" t="n">
        <x:v>0</x:v>
      </x:c>
      <x:c r="Q1317" s="12" t="str">
        <x:v>AF-Q3UHX2-F1-model_v6</x:v>
      </x:c>
      <x:c r="R1317" s="12" t="str">
        <x:v>ok</x:v>
      </x:c>
      <x:c r="S1317" s="11" t="n">
        <x:v>902</x:v>
      </x:c>
      <x:c r="T1317" s="11" t="n">
        <x:v>181</x:v>
      </x:c>
    </x:row>
    <x:row r="1318" ht="23" customHeight="1">
      <x:c r="A1318" s="2" t="str">
        <x:v>Q3UIA2</x:v>
      </x:c>
      <x:c r="B1318" s="2" t="str">
        <x:v>UN</x:v>
      </x:c>
      <x:c r="C1318" s="2" t="n">
        <x:v>1</x:v>
      </x:c>
      <x:c r="D1318" s="2" t="n">
        <x:v>1</x:v>
      </x:c>
      <x:c r="E1318" s="10"/>
      <x:c r="F1318" s="11" t="n">
        <x:v>846</x:v>
      </x:c>
      <x:c r="G1318" s="11" t="n">
        <x:v>0</x:v>
      </x:c>
      <x:c r="H1318" s="11" t="n">
        <x:v>0</x:v>
      </x:c>
      <x:c r="I1318" s="11" t="n">
        <x:v>1</x:v>
      </x:c>
      <x:c r="J1318" s="11" t="n">
        <x:v>0</x:v>
      </x:c>
      <x:c r="K1318" s="11" t="n">
        <x:v>0</x:v>
      </x:c>
      <x:c r="L1318" s="11" t="n">
        <x:f>IF(B1318="NED",1,IF(OR(B1318="ED",B1318="UN"),0,""))</x:f>
        <x:v>0</x:v>
      </x:c>
      <x:c r="M1318" s="11" t="n">
        <x:f>IF(AND(K1318=1,OR(B1318="ED",B1318="NED")),1,0)</x:f>
        <x:v>0</x:v>
      </x:c>
      <x:c r="N1318" s="11" t="n">
        <x:f>IF(K1318=1,1,0)</x:f>
        <x:v>0</x:v>
      </x:c>
      <x:c r="O1318" s="12" t="str">
        <x:v>Exclude UniProt Membrane keyword</x:v>
      </x:c>
      <x:c r="P1318" s="11" t="n">
        <x:v>0</x:v>
      </x:c>
      <x:c r="Q1318" s="12" t="str">
        <x:v>AF-Q3UIA2-F1-model_v6</x:v>
      </x:c>
      <x:c r="R1318" s="12" t="str">
        <x:v>ok</x:v>
      </x:c>
      <x:c r="S1318" s="11" t="n">
        <x:v>903</x:v>
      </x:c>
      <x:c r="T1318" s="11" t="n">
        <x:v>846</x:v>
      </x:c>
    </x:row>
    <x:row r="1319" ht="23" customHeight="1">
      <x:c r="A1319" s="2" t="str">
        <x:v>Q3UIX4</x:v>
      </x:c>
      <x:c r="B1319" s="2" t="str">
        <x:v>ED</x:v>
      </x:c>
      <x:c r="C1319" s="2" t="n">
        <x:v>1</x:v>
      </x:c>
      <x:c r="D1319" s="2" t="n">
        <x:v>1</x:v>
      </x:c>
      <x:c r="E1319" s="10" t="n">
        <x:v>55.74892857142857</x:v>
      </x:c>
      <x:c r="F1319" s="11" t="n">
        <x:v>476</x:v>
      </x:c>
      <x:c r="G1319" s="11" t="n">
        <x:v>0</x:v>
      </x:c>
      <x:c r="H1319" s="11" t="n">
        <x:v>0</x:v>
      </x:c>
      <x:c r="I1319" s="11" t="n">
        <x:v>0</x:v>
      </x:c>
      <x:c r="J1319" s="11" t="n">
        <x:v>0</x:v>
      </x:c>
      <x:c r="K1319" s="11" t="n">
        <x:v>0</x:v>
      </x:c>
      <x:c r="L1319" s="11" t="n">
        <x:f>IF(B1319="NED",1,IF(OR(B1319="ED",B1319="UN"),0,""))</x:f>
        <x:v>0</x:v>
      </x:c>
      <x:c r="M1319" s="11" t="n">
        <x:f>IF(AND(K1319=1,OR(B1319="ED",B1319="NED")),1,0)</x:f>
        <x:v>0</x:v>
      </x:c>
      <x:c r="N1319" s="11" t="n">
        <x:f>IF(K1319=1,1,0)</x:f>
        <x:v>0</x:v>
      </x:c>
      <x:c r="O1319" s="12" t="str">
        <x:v>Retain protein mean pLDDT &gt;=70</x:v>
      </x:c>
      <x:c r="P1319" s="11" t="n">
        <x:v>0</x:v>
      </x:c>
      <x:c r="Q1319" s="12" t="str">
        <x:v>AF-Q3UIX4-F1-model_v6</x:v>
      </x:c>
      <x:c r="R1319" s="12" t="str">
        <x:v>ok</x:v>
      </x:c>
      <x:c r="S1319" s="11" t="n">
        <x:v>3158</x:v>
      </x:c>
      <x:c r="T1319" s="11" t="n">
        <x:v>476</x:v>
      </x:c>
    </x:row>
    <x:row r="1320" ht="23" customHeight="1">
      <x:c r="A1320" s="2" t="str">
        <x:v>Q3UJD6-2</x:v>
      </x:c>
      <x:c r="B1320" s="2" t="str">
        <x:v>UN</x:v>
      </x:c>
      <x:c r="C1320" s="2"/>
      <x:c r="D1320" s="2"/>
      <x:c r="E1320" s="10"/>
      <x:c r="F1320" s="11"/>
      <x:c r="G1320" s="11" t="n">
        <x:v>0</x:v>
      </x:c>
      <x:c r="H1320" s="11" t="n">
        <x:v>0</x:v>
      </x:c>
      <x:c r="I1320" s="11"/>
      <x:c r="J1320" s="11"/>
      <x:c r="K1320" s="11" t="n">
        <x:v>0</x:v>
      </x:c>
      <x:c r="L1320" s="11" t="n">
        <x:f>IF(B1320="NED",1,IF(OR(B1320="ED",B1320="UN"),0,""))</x:f>
        <x:v>0</x:v>
      </x:c>
      <x:c r="M1320" s="11" t="n">
        <x:f>IF(AND(K1320=1,OR(B1320="ED",B1320="NED")),1,0)</x:f>
        <x:v>0</x:v>
      </x:c>
      <x:c r="N1320" s="11" t="n">
        <x:f>IF(K1320=1,1,0)</x:f>
        <x:v>0</x:v>
      </x:c>
      <x:c r="O1320" s="12" t="str">
        <x:v>Require exact native accession match</x:v>
      </x:c>
      <x:c r="P1320" s="11" t="n">
        <x:v>0</x:v>
      </x:c>
      <x:c r="Q1320" s="12"/>
      <x:c r="R1320" s="12"/>
      <x:c r="S1320" s="11" t="n">
        <x:v>904</x:v>
      </x:c>
      <x:c r="T1320" s="11"/>
    </x:row>
    <x:row r="1321" ht="23" customHeight="1">
      <x:c r="A1321" s="2" t="str">
        <x:v>Q3UKC1</x:v>
      </x:c>
      <x:c r="B1321" s="2" t="str">
        <x:v>UN</x:v>
      </x:c>
      <x:c r="C1321" s="2" t="n">
        <x:v>1</x:v>
      </x:c>
      <x:c r="D1321" s="2" t="n">
        <x:v>1</x:v>
      </x:c>
      <x:c r="E1321" s="10" t="n">
        <x:v>75.98464373464374</x:v>
      </x:c>
      <x:c r="F1321" s="11" t="n">
        <x:v>814</x:v>
      </x:c>
      <x:c r="G1321" s="11" t="n">
        <x:v>0</x:v>
      </x:c>
      <x:c r="H1321" s="11" t="n">
        <x:v>0</x:v>
      </x:c>
      <x:c r="I1321" s="11" t="n">
        <x:v>0</x:v>
      </x:c>
      <x:c r="J1321" s="11" t="n">
        <x:v>0</x:v>
      </x:c>
      <x:c r="K1321" s="11" t="n">
        <x:v>1</x:v>
      </x:c>
      <x:c r="L1321" s="11" t="n">
        <x:f>IF(B1321="NED",1,IF(OR(B1321="ED",B1321="UN"),0,""))</x:f>
        <x:v>0</x:v>
      </x:c>
      <x:c r="M1321" s="11" t="n">
        <x:f>IF(AND(K1321=1,OR(B1321="ED",B1321="NED")),1,0)</x:f>
        <x:v>0</x:v>
      </x:c>
      <x:c r="N1321" s="11" t="n">
        <x:f>IF(K1321=1,1,0)</x:f>
        <x:v>1</x:v>
      </x:c>
      <x:c r="O1321" s="12"/>
      <x:c r="P1321" s="11" t="n">
        <x:v>0</x:v>
      </x:c>
      <x:c r="Q1321" s="12" t="str">
        <x:v>AF-Q3UKC1-F1-model_v6</x:v>
      </x:c>
      <x:c r="R1321" s="12" t="str">
        <x:v>ok</x:v>
      </x:c>
      <x:c r="S1321" s="11" t="n">
        <x:v>905</x:v>
      </x:c>
      <x:c r="T1321" s="11" t="n">
        <x:v>814</x:v>
      </x:c>
    </x:row>
    <x:row r="1322" ht="23" customHeight="1">
      <x:c r="A1322" s="2" t="str">
        <x:v>Q3UKJ7</x:v>
      </x:c>
      <x:c r="B1322" s="2" t="str">
        <x:v>NED</x:v>
      </x:c>
      <x:c r="C1322" s="2" t="n">
        <x:v>1</x:v>
      </x:c>
      <x:c r="D1322" s="2" t="n">
        <x:v>1</x:v>
      </x:c>
      <x:c r="E1322" s="10" t="n">
        <x:v>82.8359649122807</x:v>
      </x:c>
      <x:c r="F1322" s="11" t="n">
        <x:v>513</x:v>
      </x:c>
      <x:c r="G1322" s="11" t="n">
        <x:v>0</x:v>
      </x:c>
      <x:c r="H1322" s="11" t="n">
        <x:v>0</x:v>
      </x:c>
      <x:c r="I1322" s="11" t="n">
        <x:v>0</x:v>
      </x:c>
      <x:c r="J1322" s="11" t="n">
        <x:v>0</x:v>
      </x:c>
      <x:c r="K1322" s="11" t="n">
        <x:v>1</x:v>
      </x:c>
      <x:c r="L1322" s="11" t="n">
        <x:f>IF(B1322="NED",1,IF(OR(B1322="ED",B1322="UN"),0,""))</x:f>
        <x:v>1</x:v>
      </x:c>
      <x:c r="M1322" s="11" t="n">
        <x:f>IF(AND(K1322=1,OR(B1322="ED",B1322="NED")),1,0)</x:f>
        <x:v>1</x:v>
      </x:c>
      <x:c r="N1322" s="11" t="n">
        <x:f>IF(K1322=1,1,0)</x:f>
        <x:v>1</x:v>
      </x:c>
      <x:c r="O1322" s="12"/>
      <x:c r="P1322" s="11" t="n">
        <x:v>0</x:v>
      </x:c>
      <x:c r="Q1322" s="12" t="str">
        <x:v>AF-Q3UKJ7-F1-model_v6</x:v>
      </x:c>
      <x:c r="R1322" s="12" t="str">
        <x:v>ok</x:v>
      </x:c>
      <x:c r="S1322" s="11" t="n">
        <x:v>906</x:v>
      </x:c>
      <x:c r="T1322" s="11" t="n">
        <x:v>513</x:v>
      </x:c>
    </x:row>
    <x:row r="1323" ht="23" customHeight="1">
      <x:c r="A1323" s="2" t="str">
        <x:v>Q3UKN6</x:v>
      </x:c>
      <x:c r="B1323" s="2" t="str">
        <x:v>UN</x:v>
      </x:c>
      <x:c r="C1323" s="2"/>
      <x:c r="D1323" s="2"/>
      <x:c r="E1323" s="10"/>
      <x:c r="F1323" s="11"/>
      <x:c r="G1323" s="11" t="n">
        <x:v>0</x:v>
      </x:c>
      <x:c r="H1323" s="11" t="n">
        <x:v>0</x:v>
      </x:c>
      <x:c r="I1323" s="11" t="n">
        <x:v>1</x:v>
      </x:c>
      <x:c r="J1323" s="11" t="n">
        <x:v>0</x:v>
      </x:c>
      <x:c r="K1323" s="11" t="n">
        <x:v>0</x:v>
      </x:c>
      <x:c r="L1323" s="11" t="n">
        <x:f>IF(B1323="NED",1,IF(OR(B1323="ED",B1323="UN"),0,""))</x:f>
        <x:v>0</x:v>
      </x:c>
      <x:c r="M1323" s="11" t="n">
        <x:f>IF(AND(K1323=1,OR(B1323="ED",B1323="NED")),1,0)</x:f>
        <x:v>0</x:v>
      </x:c>
      <x:c r="N1323" s="11" t="n">
        <x:f>IF(K1323=1,1,0)</x:f>
        <x:v>0</x:v>
      </x:c>
      <x:c r="O1323" s="12" t="str">
        <x:v>Require exact native accession match</x:v>
      </x:c>
      <x:c r="P1323" s="11" t="n">
        <x:v>0</x:v>
      </x:c>
      <x:c r="Q1323" s="12"/>
      <x:c r="R1323" s="12"/>
      <x:c r="S1323" s="11" t="n">
        <x:v>3159</x:v>
      </x:c>
      <x:c r="T1323" s="11" t="n">
        <x:v>420</x:v>
      </x:c>
    </x:row>
    <x:row r="1324" ht="23" customHeight="1">
      <x:c r="A1324" s="2" t="str">
        <x:v>Q3UL36</x:v>
      </x:c>
      <x:c r="B1324" s="2" t="str">
        <x:v>ED</x:v>
      </x:c>
      <x:c r="C1324" s="2" t="n">
        <x:v>0</x:v>
      </x:c>
      <x:c r="D1324" s="2" t="n">
        <x:v>0</x:v>
      </x:c>
      <x:c r="E1324" s="10" t="n">
        <x:v>75.08169741697417</x:v>
      </x:c>
      <x:c r="F1324" s="11" t="n">
        <x:v>271</x:v>
      </x:c>
      <x:c r="G1324" s="11" t="n">
        <x:v>0</x:v>
      </x:c>
      <x:c r="H1324" s="11" t="n">
        <x:v>0</x:v>
      </x:c>
      <x:c r="I1324" s="11" t="n">
        <x:v>0</x:v>
      </x:c>
      <x:c r="J1324" s="11" t="n">
        <x:v>0</x:v>
      </x:c>
      <x:c r="K1324" s="11" t="n">
        <x:v>1</x:v>
      </x:c>
      <x:c r="L1324" s="11" t="n">
        <x:f>IF(B1324="NED",1,IF(OR(B1324="ED",B1324="UN"),0,""))</x:f>
        <x:v>0</x:v>
      </x:c>
      <x:c r="M1324" s="11" t="n">
        <x:f>IF(AND(K1324=1,OR(B1324="ED",B1324="NED")),1,0)</x:f>
        <x:v>1</x:v>
      </x:c>
      <x:c r="N1324" s="11" t="n">
        <x:f>IF(K1324=1,1,0)</x:f>
        <x:v>1</x:v>
      </x:c>
      <x:c r="O1324" s="12"/>
      <x:c r="P1324" s="11" t="n">
        <x:v>0</x:v>
      </x:c>
      <x:c r="Q1324" s="12" t="str">
        <x:v>AF-Q3UL36-F1-model_v6</x:v>
      </x:c>
      <x:c r="R1324" s="12" t="str">
        <x:v>ok</x:v>
      </x:c>
      <x:c r="S1324" s="11" t="n">
        <x:v>907</x:v>
      </x:c>
      <x:c r="T1324" s="11" t="n">
        <x:v>271</x:v>
      </x:c>
    </x:row>
    <x:row r="1325" ht="23" customHeight="1">
      <x:c r="A1325" s="2" t="str">
        <x:v>Q3ULB1</x:v>
      </x:c>
      <x:c r="B1325" s="2" t="str">
        <x:v>ED</x:v>
      </x:c>
      <x:c r="C1325" s="2"/>
      <x:c r="D1325" s="2"/>
      <x:c r="E1325" s="10"/>
      <x:c r="F1325" s="11"/>
      <x:c r="G1325" s="11" t="n">
        <x:v>0</x:v>
      </x:c>
      <x:c r="H1325" s="11" t="n">
        <x:v>0</x:v>
      </x:c>
      <x:c r="I1325" s="11" t="n">
        <x:v>0</x:v>
      </x:c>
      <x:c r="J1325" s="11" t="n">
        <x:v>0</x:v>
      </x:c>
      <x:c r="K1325" s="11" t="n">
        <x:v>0</x:v>
      </x:c>
      <x:c r="L1325" s="11" t="n">
        <x:f>IF(B1325="NED",1,IF(OR(B1325="ED",B1325="UN"),0,""))</x:f>
        <x:v>0</x:v>
      </x:c>
      <x:c r="M1325" s="11" t="n">
        <x:f>IF(AND(K1325=1,OR(B1325="ED",B1325="NED")),1,0)</x:f>
        <x:v>0</x:v>
      </x:c>
      <x:c r="N1325" s="11" t="n">
        <x:f>IF(K1325=1,1,0)</x:f>
        <x:v>0</x:v>
      </x:c>
      <x:c r="O1325" s="12" t="str">
        <x:v>Require exact native accession match</x:v>
      </x:c>
      <x:c r="P1325" s="11" t="n">
        <x:v>0</x:v>
      </x:c>
      <x:c r="Q1325" s="12"/>
      <x:c r="R1325" s="12"/>
      <x:c r="S1325" s="11" t="n">
        <x:v>3160</x:v>
      </x:c>
      <x:c r="T1325" s="11" t="n">
        <x:v>410</x:v>
      </x:c>
    </x:row>
    <x:row r="1326" ht="23" customHeight="1">
      <x:c r="A1326" s="2" t="str">
        <x:v>Q3ULD5</x:v>
      </x:c>
      <x:c r="B1326" s="2" t="str">
        <x:v>UN</x:v>
      </x:c>
      <x:c r="C1326" s="2" t="n">
        <x:v>1</x:v>
      </x:c>
      <x:c r="D1326" s="2" t="n">
        <x:v>1</x:v>
      </x:c>
      <x:c r="E1326" s="10" t="n">
        <x:v>94.7109591474245</x:v>
      </x:c>
      <x:c r="F1326" s="11" t="n">
        <x:v>563</x:v>
      </x:c>
      <x:c r="G1326" s="11" t="n">
        <x:v>0</x:v>
      </x:c>
      <x:c r="H1326" s="11" t="n">
        <x:v>0</x:v>
      </x:c>
      <x:c r="I1326" s="11" t="n">
        <x:v>0</x:v>
      </x:c>
      <x:c r="J1326" s="11" t="n">
        <x:v>0</x:v>
      </x:c>
      <x:c r="K1326" s="11" t="n">
        <x:v>1</x:v>
      </x:c>
      <x:c r="L1326" s="11" t="n">
        <x:f>IF(B1326="NED",1,IF(OR(B1326="ED",B1326="UN"),0,""))</x:f>
        <x:v>0</x:v>
      </x:c>
      <x:c r="M1326" s="11" t="n">
        <x:f>IF(AND(K1326=1,OR(B1326="ED",B1326="NED")),1,0)</x:f>
        <x:v>0</x:v>
      </x:c>
      <x:c r="N1326" s="11" t="n">
        <x:f>IF(K1326=1,1,0)</x:f>
        <x:v>1</x:v>
      </x:c>
      <x:c r="O1326" s="12"/>
      <x:c r="P1326" s="11" t="n">
        <x:v>0</x:v>
      </x:c>
      <x:c r="Q1326" s="12" t="str">
        <x:v>AF-Q3ULD5-F1-model_v6</x:v>
      </x:c>
      <x:c r="R1326" s="12" t="str">
        <x:v>ok</x:v>
      </x:c>
      <x:c r="S1326" s="11" t="n">
        <x:v>908</x:v>
      </x:c>
      <x:c r="T1326" s="11" t="n">
        <x:v>563</x:v>
      </x:c>
    </x:row>
    <x:row r="1327" ht="23" customHeight="1">
      <x:c r="A1327" s="2" t="str">
        <x:v>Q3ULJ0</x:v>
      </x:c>
      <x:c r="B1327" s="2" t="str">
        <x:v>ED</x:v>
      </x:c>
      <x:c r="C1327" s="2" t="n">
        <x:v>1</x:v>
      </x:c>
      <x:c r="D1327" s="2" t="n">
        <x:v>1</x:v>
      </x:c>
      <x:c r="E1327" s="10" t="n">
        <x:v>96.22142450142452</x:v>
      </x:c>
      <x:c r="F1327" s="11" t="n">
        <x:v>351</x:v>
      </x:c>
      <x:c r="G1327" s="11" t="n">
        <x:v>0</x:v>
      </x:c>
      <x:c r="H1327" s="11" t="n">
        <x:v>0</x:v>
      </x:c>
      <x:c r="I1327" s="11" t="n">
        <x:v>0</x:v>
      </x:c>
      <x:c r="J1327" s="11" t="n">
        <x:v>0</x:v>
      </x:c>
      <x:c r="K1327" s="11" t="n">
        <x:v>1</x:v>
      </x:c>
      <x:c r="L1327" s="11" t="n">
        <x:f>IF(B1327="NED",1,IF(OR(B1327="ED",B1327="UN"),0,""))</x:f>
        <x:v>0</x:v>
      </x:c>
      <x:c r="M1327" s="11" t="n">
        <x:f>IF(AND(K1327=1,OR(B1327="ED",B1327="NED")),1,0)</x:f>
        <x:v>1</x:v>
      </x:c>
      <x:c r="N1327" s="11" t="n">
        <x:f>IF(K1327=1,1,0)</x:f>
        <x:v>1</x:v>
      </x:c>
      <x:c r="O1327" s="12"/>
      <x:c r="P1327" s="11" t="n">
        <x:v>0</x:v>
      </x:c>
      <x:c r="Q1327" s="12" t="str">
        <x:v>AF-Q3ULJ0-F1-model_v6</x:v>
      </x:c>
      <x:c r="R1327" s="12" t="str">
        <x:v>ok</x:v>
      </x:c>
      <x:c r="S1327" s="11" t="n">
        <x:v>909</x:v>
      </x:c>
      <x:c r="T1327" s="11" t="n">
        <x:v>351</x:v>
      </x:c>
    </x:row>
    <x:row r="1328" ht="23" customHeight="1">
      <x:c r="A1328" s="2" t="str">
        <x:v>Q3ULL6</x:v>
      </x:c>
      <x:c r="B1328" s="2" t="str">
        <x:v>ED</x:v>
      </x:c>
      <x:c r="C1328" s="2" t="n">
        <x:v>1</x:v>
      </x:c>
      <x:c r="D1328" s="2" t="n">
        <x:v>1</x:v>
      </x:c>
      <x:c r="E1328" s="10" t="n">
        <x:v>66.65156779661017</x:v>
      </x:c>
      <x:c r="F1328" s="11" t="n">
        <x:v>472</x:v>
      </x:c>
      <x:c r="G1328" s="11" t="n">
        <x:v>0</x:v>
      </x:c>
      <x:c r="H1328" s="11" t="n">
        <x:v>0</x:v>
      </x:c>
      <x:c r="I1328" s="11" t="n">
        <x:v>0</x:v>
      </x:c>
      <x:c r="J1328" s="11" t="n">
        <x:v>0</x:v>
      </x:c>
      <x:c r="K1328" s="11" t="n">
        <x:v>0</x:v>
      </x:c>
      <x:c r="L1328" s="11" t="n">
        <x:f>IF(B1328="NED",1,IF(OR(B1328="ED",B1328="UN"),0,""))</x:f>
        <x:v>0</x:v>
      </x:c>
      <x:c r="M1328" s="11" t="n">
        <x:f>IF(AND(K1328=1,OR(B1328="ED",B1328="NED")),1,0)</x:f>
        <x:v>0</x:v>
      </x:c>
      <x:c r="N1328" s="11" t="n">
        <x:f>IF(K1328=1,1,0)</x:f>
        <x:v>0</x:v>
      </x:c>
      <x:c r="O1328" s="12" t="str">
        <x:v>Retain protein mean pLDDT &gt;=70</x:v>
      </x:c>
      <x:c r="P1328" s="11" t="n">
        <x:v>0</x:v>
      </x:c>
      <x:c r="Q1328" s="12" t="str">
        <x:v>AF-Q3ULL6-F1-model_v6</x:v>
      </x:c>
      <x:c r="R1328" s="12" t="str">
        <x:v>ok</x:v>
      </x:c>
      <x:c r="S1328" s="11" t="n">
        <x:v>3161</x:v>
      </x:c>
      <x:c r="T1328" s="11" t="n">
        <x:v>472</x:v>
      </x:c>
    </x:row>
    <x:row r="1329" ht="23" customHeight="1">
      <x:c r="A1329" s="2" t="str">
        <x:v>Q3UM18</x:v>
      </x:c>
      <x:c r="B1329" s="2" t="str">
        <x:v>ED</x:v>
      </x:c>
      <x:c r="C1329" s="2" t="n">
        <x:v>1</x:v>
      </x:c>
      <x:c r="D1329" s="2" t="n">
        <x:v>1</x:v>
      </x:c>
      <x:c r="E1329" s="10" t="n">
        <x:v>71.25386645962733</x:v>
      </x:c>
      <x:c r="F1329" s="11" t="n">
        <x:v>644</x:v>
      </x:c>
      <x:c r="G1329" s="11" t="n">
        <x:v>0</x:v>
      </x:c>
      <x:c r="H1329" s="11" t="n">
        <x:v>0</x:v>
      </x:c>
      <x:c r="I1329" s="11" t="n">
        <x:v>0</x:v>
      </x:c>
      <x:c r="J1329" s="11" t="n">
        <x:v>0</x:v>
      </x:c>
      <x:c r="K1329" s="11" t="n">
        <x:v>1</x:v>
      </x:c>
      <x:c r="L1329" s="11" t="n">
        <x:f>IF(B1329="NED",1,IF(OR(B1329="ED",B1329="UN"),0,""))</x:f>
        <x:v>0</x:v>
      </x:c>
      <x:c r="M1329" s="11" t="n">
        <x:f>IF(AND(K1329=1,OR(B1329="ED",B1329="NED")),1,0)</x:f>
        <x:v>1</x:v>
      </x:c>
      <x:c r="N1329" s="11" t="n">
        <x:f>IF(K1329=1,1,0)</x:f>
        <x:v>1</x:v>
      </x:c>
      <x:c r="O1329" s="12"/>
      <x:c r="P1329" s="11" t="n">
        <x:v>0</x:v>
      </x:c>
      <x:c r="Q1329" s="12" t="str">
        <x:v>AF-Q3UM18-F1-model_v6</x:v>
      </x:c>
      <x:c r="R1329" s="12" t="str">
        <x:v>ok</x:v>
      </x:c>
      <x:c r="S1329" s="11" t="n">
        <x:v>910</x:v>
      </x:c>
      <x:c r="T1329" s="11" t="n">
        <x:v>644</x:v>
      </x:c>
    </x:row>
    <x:row r="1330" ht="23" customHeight="1">
      <x:c r="A1330" s="2" t="str">
        <x:v>Q3UM45</x:v>
      </x:c>
      <x:c r="B1330" s="2" t="str">
        <x:v>ED</x:v>
      </x:c>
      <x:c r="C1330" s="2" t="n">
        <x:v>0</x:v>
      </x:c>
      <x:c r="D1330" s="2" t="n">
        <x:v>0</x:v>
      </x:c>
      <x:c r="E1330" s="10" t="n">
        <x:v>86.1735457063712</x:v>
      </x:c>
      <x:c r="F1330" s="11" t="n">
        <x:v>361</x:v>
      </x:c>
      <x:c r="G1330" s="11" t="n">
        <x:v>0</x:v>
      </x:c>
      <x:c r="H1330" s="11" t="n">
        <x:v>0</x:v>
      </x:c>
      <x:c r="I1330" s="11" t="n">
        <x:v>0</x:v>
      </x:c>
      <x:c r="J1330" s="11" t="n">
        <x:v>0</x:v>
      </x:c>
      <x:c r="K1330" s="11" t="n">
        <x:v>1</x:v>
      </x:c>
      <x:c r="L1330" s="11" t="n">
        <x:f>IF(B1330="NED",1,IF(OR(B1330="ED",B1330="UN"),0,""))</x:f>
        <x:v>0</x:v>
      </x:c>
      <x:c r="M1330" s="11" t="n">
        <x:f>IF(AND(K1330=1,OR(B1330="ED",B1330="NED")),1,0)</x:f>
        <x:v>1</x:v>
      </x:c>
      <x:c r="N1330" s="11" t="n">
        <x:f>IF(K1330=1,1,0)</x:f>
        <x:v>1</x:v>
      </x:c>
      <x:c r="O1330" s="12"/>
      <x:c r="P1330" s="11" t="n">
        <x:v>0</x:v>
      </x:c>
      <x:c r="Q1330" s="12" t="str">
        <x:v>AF-Q3UM45-F1-model_v6</x:v>
      </x:c>
      <x:c r="R1330" s="12" t="str">
        <x:v>ok</x:v>
      </x:c>
      <x:c r="S1330" s="11" t="n">
        <x:v>911</x:v>
      </x:c>
      <x:c r="T1330" s="11" t="n">
        <x:v>361</x:v>
      </x:c>
    </x:row>
    <x:row r="1331" ht="23" customHeight="1">
      <x:c r="A1331" s="2" t="str">
        <x:v>Q3UMB5</x:v>
      </x:c>
      <x:c r="B1331" s="2" t="str">
        <x:v>UN</x:v>
      </x:c>
      <x:c r="C1331" s="2" t="n">
        <x:v>1</x:v>
      </x:c>
      <x:c r="D1331" s="2" t="n">
        <x:v>1</x:v>
      </x:c>
      <x:c r="E1331" s="10" t="n">
        <x:v>61.90104812834225</x:v>
      </x:c>
      <x:c r="F1331" s="11" t="n">
        <x:v>935</x:v>
      </x:c>
      <x:c r="G1331" s="11" t="n">
        <x:v>0</x:v>
      </x:c>
      <x:c r="H1331" s="11" t="n">
        <x:v>0</x:v>
      </x:c>
      <x:c r="I1331" s="11" t="n">
        <x:v>0</x:v>
      </x:c>
      <x:c r="J1331" s="11" t="n">
        <x:v>0</x:v>
      </x:c>
      <x:c r="K1331" s="11" t="n">
        <x:v>0</x:v>
      </x:c>
      <x:c r="L1331" s="11" t="n">
        <x:f>IF(B1331="NED",1,IF(OR(B1331="ED",B1331="UN"),0,""))</x:f>
        <x:v>0</x:v>
      </x:c>
      <x:c r="M1331" s="11" t="n">
        <x:f>IF(AND(K1331=1,OR(B1331="ED",B1331="NED")),1,0)</x:f>
        <x:v>0</x:v>
      </x:c>
      <x:c r="N1331" s="11" t="n">
        <x:f>IF(K1331=1,1,0)</x:f>
        <x:v>0</x:v>
      </x:c>
      <x:c r="O1331" s="12" t="str">
        <x:v>Retain protein mean pLDDT &gt;=70</x:v>
      </x:c>
      <x:c r="P1331" s="11" t="n">
        <x:v>0</x:v>
      </x:c>
      <x:c r="Q1331" s="12" t="str">
        <x:v>AF-Q3UMB5-F1-model_v6</x:v>
      </x:c>
      <x:c r="R1331" s="12" t="str">
        <x:v>ok</x:v>
      </x:c>
      <x:c r="S1331" s="11" t="n">
        <x:v>912</x:v>
      </x:c>
      <x:c r="T1331" s="11" t="n">
        <x:v>935</x:v>
      </x:c>
    </x:row>
    <x:row r="1332" ht="23" customHeight="1">
      <x:c r="A1332" s="2" t="str">
        <x:v>Q3UMB9</x:v>
      </x:c>
      <x:c r="B1332" s="2" t="str">
        <x:v>UN</x:v>
      </x:c>
      <x:c r="C1332" s="2" t="n">
        <x:v>1</x:v>
      </x:c>
      <x:c r="D1332" s="2" t="n">
        <x:v>1</x:v>
      </x:c>
      <x:c r="E1332" s="10" t="n">
        <x:v>83.67611253196931</x:v>
      </x:c>
      <x:c r="F1332" s="11" t="n">
        <x:v>1173</x:v>
      </x:c>
      <x:c r="G1332" s="11" t="n">
        <x:v>0</x:v>
      </x:c>
      <x:c r="H1332" s="11" t="n">
        <x:v>0</x:v>
      </x:c>
      <x:c r="I1332" s="11" t="n">
        <x:v>0</x:v>
      </x:c>
      <x:c r="J1332" s="11" t="n">
        <x:v>0</x:v>
      </x:c>
      <x:c r="K1332" s="11" t="n">
        <x:v>1</x:v>
      </x:c>
      <x:c r="L1332" s="11" t="n">
        <x:f>IF(B1332="NED",1,IF(OR(B1332="ED",B1332="UN"),0,""))</x:f>
        <x:v>0</x:v>
      </x:c>
      <x:c r="M1332" s="11" t="n">
        <x:f>IF(AND(K1332=1,OR(B1332="ED",B1332="NED")),1,0)</x:f>
        <x:v>0</x:v>
      </x:c>
      <x:c r="N1332" s="11" t="n">
        <x:f>IF(K1332=1,1,0)</x:f>
        <x:v>1</x:v>
      </x:c>
      <x:c r="O1332" s="12"/>
      <x:c r="P1332" s="11" t="n">
        <x:v>0</x:v>
      </x:c>
      <x:c r="Q1332" s="12" t="str">
        <x:v>AF-Q3UMB9-F1-model_v6</x:v>
      </x:c>
      <x:c r="R1332" s="12" t="str">
        <x:v>ok</x:v>
      </x:c>
      <x:c r="S1332" s="11" t="n">
        <x:v>913</x:v>
      </x:c>
      <x:c r="T1332" s="11" t="n">
        <x:v>1173</x:v>
      </x:c>
    </x:row>
    <x:row r="1333" ht="23" customHeight="1">
      <x:c r="A1333" s="2" t="str">
        <x:v>Q3UMF0-3</x:v>
      </x:c>
      <x:c r="B1333" s="2" t="str">
        <x:v>ED</x:v>
      </x:c>
      <x:c r="C1333" s="2"/>
      <x:c r="D1333" s="2"/>
      <x:c r="E1333" s="10"/>
      <x:c r="F1333" s="11"/>
      <x:c r="G1333" s="11" t="n">
        <x:v>0</x:v>
      </x:c>
      <x:c r="H1333" s="11" t="n">
        <x:v>0</x:v>
      </x:c>
      <x:c r="I1333" s="11"/>
      <x:c r="J1333" s="11"/>
      <x:c r="K1333" s="11" t="n">
        <x:v>0</x:v>
      </x:c>
      <x:c r="L1333" s="11" t="n">
        <x:f>IF(B1333="NED",1,IF(OR(B1333="ED",B1333="UN"),0,""))</x:f>
        <x:v>0</x:v>
      </x:c>
      <x:c r="M1333" s="11" t="n">
        <x:f>IF(AND(K1333=1,OR(B1333="ED",B1333="NED")),1,0)</x:f>
        <x:v>0</x:v>
      </x:c>
      <x:c r="N1333" s="11" t="n">
        <x:f>IF(K1333=1,1,0)</x:f>
        <x:v>0</x:v>
      </x:c>
      <x:c r="O1333" s="12" t="str">
        <x:v>Require exact native accession match</x:v>
      </x:c>
      <x:c r="P1333" s="11" t="n">
        <x:v>0</x:v>
      </x:c>
      <x:c r="Q1333" s="12"/>
      <x:c r="R1333" s="12"/>
      <x:c r="S1333" s="11" t="n">
        <x:v>914</x:v>
      </x:c>
      <x:c r="T1333" s="11"/>
    </x:row>
    <x:row r="1334" ht="23" customHeight="1">
      <x:c r="A1334" s="2" t="str">
        <x:v>Q3UMU9-4</x:v>
      </x:c>
      <x:c r="B1334" s="2" t="str">
        <x:v>ED</x:v>
      </x:c>
      <x:c r="C1334" s="2"/>
      <x:c r="D1334" s="2"/>
      <x:c r="E1334" s="10"/>
      <x:c r="F1334" s="11"/>
      <x:c r="G1334" s="11" t="n">
        <x:v>0</x:v>
      </x:c>
      <x:c r="H1334" s="11" t="n">
        <x:v>0</x:v>
      </x:c>
      <x:c r="I1334" s="11"/>
      <x:c r="J1334" s="11"/>
      <x:c r="K1334" s="11" t="n">
        <x:v>0</x:v>
      </x:c>
      <x:c r="L1334" s="11" t="n">
        <x:f>IF(B1334="NED",1,IF(OR(B1334="ED",B1334="UN"),0,""))</x:f>
        <x:v>0</x:v>
      </x:c>
      <x:c r="M1334" s="11" t="n">
        <x:f>IF(AND(K1334=1,OR(B1334="ED",B1334="NED")),1,0)</x:f>
        <x:v>0</x:v>
      </x:c>
      <x:c r="N1334" s="11" t="n">
        <x:f>IF(K1334=1,1,0)</x:f>
        <x:v>0</x:v>
      </x:c>
      <x:c r="O1334" s="12" t="str">
        <x:v>Require exact native accession match</x:v>
      </x:c>
      <x:c r="P1334" s="11" t="n">
        <x:v>0</x:v>
      </x:c>
      <x:c r="Q1334" s="12"/>
      <x:c r="R1334" s="12"/>
      <x:c r="S1334" s="11" t="n">
        <x:v>915</x:v>
      </x:c>
      <x:c r="T1334" s="11"/>
    </x:row>
    <x:row r="1335" ht="23" customHeight="1">
      <x:c r="A1335" s="2" t="str">
        <x:v>Q3UMY5-4</x:v>
      </x:c>
      <x:c r="B1335" s="2" t="str">
        <x:v>UN</x:v>
      </x:c>
      <x:c r="C1335" s="2"/>
      <x:c r="D1335" s="2"/>
      <x:c r="E1335" s="10"/>
      <x:c r="F1335" s="11"/>
      <x:c r="G1335" s="11" t="n">
        <x:v>0</x:v>
      </x:c>
      <x:c r="H1335" s="11" t="n">
        <x:v>0</x:v>
      </x:c>
      <x:c r="I1335" s="11"/>
      <x:c r="J1335" s="11"/>
      <x:c r="K1335" s="11" t="n">
        <x:v>0</x:v>
      </x:c>
      <x:c r="L1335" s="11" t="n">
        <x:f>IF(B1335="NED",1,IF(OR(B1335="ED",B1335="UN"),0,""))</x:f>
        <x:v>0</x:v>
      </x:c>
      <x:c r="M1335" s="11" t="n">
        <x:f>IF(AND(K1335=1,OR(B1335="ED",B1335="NED")),1,0)</x:f>
        <x:v>0</x:v>
      </x:c>
      <x:c r="N1335" s="11" t="n">
        <x:f>IF(K1335=1,1,0)</x:f>
        <x:v>0</x:v>
      </x:c>
      <x:c r="O1335" s="12" t="str">
        <x:v>Require exact native accession match</x:v>
      </x:c>
      <x:c r="P1335" s="11" t="n">
        <x:v>0</x:v>
      </x:c>
      <x:c r="Q1335" s="12"/>
      <x:c r="R1335" s="12"/>
      <x:c r="S1335" s="11" t="n">
        <x:v>916</x:v>
      </x:c>
      <x:c r="T1335" s="11"/>
    </x:row>
    <x:row r="1336" ht="23" customHeight="1">
      <x:c r="A1336" s="2" t="str">
        <x:v>Q3UN04</x:v>
      </x:c>
      <x:c r="B1336" s="2" t="str">
        <x:v>UN</x:v>
      </x:c>
      <x:c r="C1336" s="2" t="n">
        <x:v>1</x:v>
      </x:c>
      <x:c r="D1336" s="2" t="n">
        <x:v>1</x:v>
      </x:c>
      <x:c r="E1336" s="10"/>
      <x:c r="F1336" s="11" t="n">
        <x:v>517</x:v>
      </x:c>
      <x:c r="G1336" s="11" t="n">
        <x:v>0</x:v>
      </x:c>
      <x:c r="H1336" s="11" t="n">
        <x:v>0</x:v>
      </x:c>
      <x:c r="I1336" s="11" t="n">
        <x:v>1</x:v>
      </x:c>
      <x:c r="J1336" s="11" t="n">
        <x:v>0</x:v>
      </x:c>
      <x:c r="K1336" s="11" t="n">
        <x:v>0</x:v>
      </x:c>
      <x:c r="L1336" s="11" t="n">
        <x:f>IF(B1336="NED",1,IF(OR(B1336="ED",B1336="UN"),0,""))</x:f>
        <x:v>0</x:v>
      </x:c>
      <x:c r="M1336" s="11" t="n">
        <x:f>IF(AND(K1336=1,OR(B1336="ED",B1336="NED")),1,0)</x:f>
        <x:v>0</x:v>
      </x:c>
      <x:c r="N1336" s="11" t="n">
        <x:f>IF(K1336=1,1,0)</x:f>
        <x:v>0</x:v>
      </x:c>
      <x:c r="O1336" s="12" t="str">
        <x:v>Exclude UniProt Membrane keyword</x:v>
      </x:c>
      <x:c r="P1336" s="11" t="n">
        <x:v>0</x:v>
      </x:c>
      <x:c r="Q1336" s="12" t="str">
        <x:v>AF-Q3UN04-F1-model_v6</x:v>
      </x:c>
      <x:c r="R1336" s="12" t="str">
        <x:v>ok</x:v>
      </x:c>
      <x:c r="S1336" s="11" t="n">
        <x:v>917</x:v>
      </x:c>
      <x:c r="T1336" s="11" t="n">
        <x:v>517</x:v>
      </x:c>
    </x:row>
    <x:row r="1337" ht="23" customHeight="1">
      <x:c r="A1337" s="2" t="str">
        <x:v>Q3UPH7</x:v>
      </x:c>
      <x:c r="B1337" s="2" t="str">
        <x:v>ED</x:v>
      </x:c>
      <x:c r="C1337" s="2" t="n">
        <x:v>1</x:v>
      </x:c>
      <x:c r="D1337" s="2" t="n">
        <x:v>1</x:v>
      </x:c>
      <x:c r="E1337" s="10" t="n">
        <x:v>62.561601845748186</x:v>
      </x:c>
      <x:c r="F1337" s="11" t="n">
        <x:v>1517</x:v>
      </x:c>
      <x:c r="G1337" s="11" t="n">
        <x:v>0</x:v>
      </x:c>
      <x:c r="H1337" s="11" t="n">
        <x:v>0</x:v>
      </x:c>
      <x:c r="I1337" s="11" t="n">
        <x:v>0</x:v>
      </x:c>
      <x:c r="J1337" s="11" t="n">
        <x:v>0</x:v>
      </x:c>
      <x:c r="K1337" s="11" t="n">
        <x:v>0</x:v>
      </x:c>
      <x:c r="L1337" s="11" t="n">
        <x:f>IF(B1337="NED",1,IF(OR(B1337="ED",B1337="UN"),0,""))</x:f>
        <x:v>0</x:v>
      </x:c>
      <x:c r="M1337" s="11" t="n">
        <x:f>IF(AND(K1337=1,OR(B1337="ED",B1337="NED")),1,0)</x:f>
        <x:v>0</x:v>
      </x:c>
      <x:c r="N1337" s="11" t="n">
        <x:f>IF(K1337=1,1,0)</x:f>
        <x:v>0</x:v>
      </x:c>
      <x:c r="O1337" s="12" t="str">
        <x:v>Retain protein mean pLDDT &gt;=70</x:v>
      </x:c>
      <x:c r="P1337" s="11" t="n">
        <x:v>0</x:v>
      </x:c>
      <x:c r="Q1337" s="12" t="str">
        <x:v>AF-Q3UPH7-F1-model_v6</x:v>
      </x:c>
      <x:c r="R1337" s="12" t="str">
        <x:v>ok</x:v>
      </x:c>
      <x:c r="S1337" s="11" t="n">
        <x:v>918</x:v>
      </x:c>
      <x:c r="T1337" s="11" t="n">
        <x:v>1517</x:v>
      </x:c>
    </x:row>
    <x:row r="1338" ht="23" customHeight="1">
      <x:c r="A1338" s="2" t="str">
        <x:v>Q3UPL0</x:v>
      </x:c>
      <x:c r="B1338" s="2" t="str">
        <x:v>ED</x:v>
      </x:c>
      <x:c r="C1338" s="2" t="n">
        <x:v>1</x:v>
      </x:c>
      <x:c r="D1338" s="2" t="n">
        <x:v>1</x:v>
      </x:c>
      <x:c r="E1338" s="10"/>
      <x:c r="F1338" s="11" t="n">
        <x:v>1230</x:v>
      </x:c>
      <x:c r="G1338" s="11" t="n">
        <x:v>0</x:v>
      </x:c>
      <x:c r="H1338" s="11" t="n">
        <x:v>0</x:v>
      </x:c>
      <x:c r="I1338" s="11" t="n">
        <x:v>1</x:v>
      </x:c>
      <x:c r="J1338" s="11" t="n">
        <x:v>0</x:v>
      </x:c>
      <x:c r="K1338" s="11" t="n">
        <x:v>0</x:v>
      </x:c>
      <x:c r="L1338" s="11" t="n">
        <x:f>IF(B1338="NED",1,IF(OR(B1338="ED",B1338="UN"),0,""))</x:f>
        <x:v>0</x:v>
      </x:c>
      <x:c r="M1338" s="11" t="n">
        <x:f>IF(AND(K1338=1,OR(B1338="ED",B1338="NED")),1,0)</x:f>
        <x:v>0</x:v>
      </x:c>
      <x:c r="N1338" s="11" t="n">
        <x:f>IF(K1338=1,1,0)</x:f>
        <x:v>0</x:v>
      </x:c>
      <x:c r="O1338" s="12" t="str">
        <x:v>Exclude UniProt Membrane keyword</x:v>
      </x:c>
      <x:c r="P1338" s="11" t="n">
        <x:v>0</x:v>
      </x:c>
      <x:c r="Q1338" s="12" t="str">
        <x:v>AF-Q3UPL0-F1-model_v6</x:v>
      </x:c>
      <x:c r="R1338" s="12" t="str">
        <x:v>ok</x:v>
      </x:c>
      <x:c r="S1338" s="11" t="n">
        <x:v>919</x:v>
      </x:c>
      <x:c r="T1338" s="11" t="n">
        <x:v>1230</x:v>
      </x:c>
    </x:row>
    <x:row r="1339" ht="23" customHeight="1">
      <x:c r="A1339" s="2" t="str">
        <x:v>Q3UPN1</x:v>
      </x:c>
      <x:c r="B1339" s="2" t="str">
        <x:v>UN</x:v>
      </x:c>
      <x:c r="C1339" s="2"/>
      <x:c r="D1339" s="2"/>
      <x:c r="E1339" s="10"/>
      <x:c r="F1339" s="11"/>
      <x:c r="G1339" s="11" t="n">
        <x:v>0</x:v>
      </x:c>
      <x:c r="H1339" s="11" t="n">
        <x:v>0</x:v>
      </x:c>
      <x:c r="I1339" s="11" t="n">
        <x:v>1</x:v>
      </x:c>
      <x:c r="J1339" s="11" t="n">
        <x:v>1</x:v>
      </x:c>
      <x:c r="K1339" s="11" t="n">
        <x:v>0</x:v>
      </x:c>
      <x:c r="L1339" s="11" t="n">
        <x:f>IF(B1339="NED",1,IF(OR(B1339="ED",B1339="UN"),0,""))</x:f>
        <x:v>0</x:v>
      </x:c>
      <x:c r="M1339" s="11" t="n">
        <x:f>IF(AND(K1339=1,OR(B1339="ED",B1339="NED")),1,0)</x:f>
        <x:v>0</x:v>
      </x:c>
      <x:c r="N1339" s="11" t="n">
        <x:f>IF(K1339=1,1,0)</x:f>
        <x:v>0</x:v>
      </x:c>
      <x:c r="O1339" s="12" t="str">
        <x:v>Require exact native accession match</x:v>
      </x:c>
      <x:c r="P1339" s="11" t="n">
        <x:v>0</x:v>
      </x:c>
      <x:c r="Q1339" s="12"/>
      <x:c r="R1339" s="12"/>
      <x:c r="S1339" s="11" t="n">
        <x:v>3162</x:v>
      </x:c>
      <x:c r="T1339" s="11" t="n">
        <x:v>739</x:v>
      </x:c>
    </x:row>
    <x:row r="1340" ht="23" customHeight="1">
      <x:c r="A1340" s="2" t="str">
        <x:v>Q3UPV6</x:v>
      </x:c>
      <x:c r="B1340" s="2" t="str">
        <x:v>ED</x:v>
      </x:c>
      <x:c r="C1340" s="2"/>
      <x:c r="D1340" s="2"/>
      <x:c r="E1340" s="10"/>
      <x:c r="F1340" s="11"/>
      <x:c r="G1340" s="11" t="n">
        <x:v>0</x:v>
      </x:c>
      <x:c r="H1340" s="11" t="n">
        <x:v>0</x:v>
      </x:c>
      <x:c r="I1340" s="11" t="n">
        <x:v>1</x:v>
      </x:c>
      <x:c r="J1340" s="11" t="n">
        <x:v>0</x:v>
      </x:c>
      <x:c r="K1340" s="11" t="n">
        <x:v>0</x:v>
      </x:c>
      <x:c r="L1340" s="11" t="n">
        <x:f>IF(B1340="NED",1,IF(OR(B1340="ED",B1340="UN"),0,""))</x:f>
        <x:v>0</x:v>
      </x:c>
      <x:c r="M1340" s="11" t="n">
        <x:f>IF(AND(K1340=1,OR(B1340="ED",B1340="NED")),1,0)</x:f>
        <x:v>0</x:v>
      </x:c>
      <x:c r="N1340" s="11" t="n">
        <x:f>IF(K1340=1,1,0)</x:f>
        <x:v>0</x:v>
      </x:c>
      <x:c r="O1340" s="12" t="str">
        <x:v>Require exact native accession match</x:v>
      </x:c>
      <x:c r="P1340" s="11" t="n">
        <x:v>0</x:v>
      </x:c>
      <x:c r="Q1340" s="12"/>
      <x:c r="R1340" s="12"/>
      <x:c r="S1340" s="11" t="n">
        <x:v>3163</x:v>
      </x:c>
      <x:c r="T1340" s="11" t="n">
        <x:v>353</x:v>
      </x:c>
    </x:row>
    <x:row r="1341" ht="23" customHeight="1">
      <x:c r="A1341" s="2" t="str">
        <x:v>Q3UQ28</x:v>
      </x:c>
      <x:c r="B1341" s="2" t="str">
        <x:v>UN</x:v>
      </x:c>
      <x:c r="C1341" s="2"/>
      <x:c r="D1341" s="2"/>
      <x:c r="E1341" s="10"/>
      <x:c r="F1341" s="11" t="n">
        <x:v>1475</x:v>
      </x:c>
      <x:c r="G1341" s="11" t="n">
        <x:v>0</x:v>
      </x:c>
      <x:c r="H1341" s="11" t="n">
        <x:v>1</x:v>
      </x:c>
      <x:c r="I1341" s="11" t="n">
        <x:v>0</x:v>
      </x:c>
      <x:c r="J1341" s="11" t="n">
        <x:v>1</x:v>
      </x:c>
      <x:c r="K1341" s="11" t="n">
        <x:v>0</x:v>
      </x:c>
      <x:c r="L1341" s="11" t="n">
        <x:f>IF(B1341="NED",1,IF(OR(B1341="ED",B1341="UN"),0,""))</x:f>
        <x:v>0</x:v>
      </x:c>
      <x:c r="M1341" s="11" t="n">
        <x:f>IF(AND(K1341=1,OR(B1341="ED",B1341="NED")),1,0)</x:f>
        <x:v>0</x:v>
      </x:c>
      <x:c r="N1341" s="11" t="n">
        <x:f>IF(K1341=1,1,0)</x:f>
        <x:v>0</x:v>
      </x:c>
      <x:c r="O1341" s="12" t="str">
        <x:v>Require binary native NCLE status</x:v>
      </x:c>
      <x:c r="P1341" s="11" t="n">
        <x:v>0</x:v>
      </x:c>
      <x:c r="Q1341" s="12" t="str">
        <x:v>AF-Q3UQ28-F1-model_v6</x:v>
      </x:c>
      <x:c r="R1341" s="12" t="str">
        <x:v>ok</x:v>
      </x:c>
      <x:c r="S1341" s="11" t="n">
        <x:v>920</x:v>
      </x:c>
      <x:c r="T1341" s="11" t="n">
        <x:v>1475</x:v>
      </x:c>
    </x:row>
    <x:row r="1342" ht="23" customHeight="1">
      <x:c r="A1342" s="2" t="str">
        <x:v>Q3UQN2</x:v>
      </x:c>
      <x:c r="B1342" s="2" t="str">
        <x:v>UN</x:v>
      </x:c>
      <x:c r="C1342" s="2" t="n">
        <x:v>1</x:v>
      </x:c>
      <x:c r="D1342" s="2"/>
      <x:c r="E1342" s="10"/>
      <x:c r="F1342" s="11" t="n">
        <x:v>809</x:v>
      </x:c>
      <x:c r="G1342" s="11" t="n">
        <x:v>0</x:v>
      </x:c>
      <x:c r="H1342" s="11" t="n">
        <x:v>0</x:v>
      </x:c>
      <x:c r="I1342" s="11" t="n">
        <x:v>1</x:v>
      </x:c>
      <x:c r="J1342" s="11" t="n">
        <x:v>0</x:v>
      </x:c>
      <x:c r="K1342" s="11" t="n">
        <x:v>0</x:v>
      </x:c>
      <x:c r="L1342" s="11" t="n">
        <x:f>IF(B1342="NED",1,IF(OR(B1342="ED",B1342="UN"),0,""))</x:f>
        <x:v>0</x:v>
      </x:c>
      <x:c r="M1342" s="11" t="n">
        <x:f>IF(AND(K1342=1,OR(B1342="ED",B1342="NED")),1,0)</x:f>
        <x:v>0</x:v>
      </x:c>
      <x:c r="N1342" s="11" t="n">
        <x:f>IF(K1342=1,1,0)</x:f>
        <x:v>0</x:v>
      </x:c>
      <x:c r="O1342" s="12" t="str">
        <x:v>Exclude UniProt Membrane keyword</x:v>
      </x:c>
      <x:c r="P1342" s="11" t="n">
        <x:v>0</x:v>
      </x:c>
      <x:c r="Q1342" s="12" t="str">
        <x:v>AF-Q3UQN2-F1-model_v6</x:v>
      </x:c>
      <x:c r="R1342" s="12" t="str">
        <x:v>ok</x:v>
      </x:c>
      <x:c r="S1342" s="11" t="n">
        <x:v>921</x:v>
      </x:c>
      <x:c r="T1342" s="11" t="n">
        <x:v>809</x:v>
      </x:c>
    </x:row>
    <x:row r="1343" ht="23" customHeight="1">
      <x:c r="A1343" s="2" t="str">
        <x:v>Q3URQ0</x:v>
      </x:c>
      <x:c r="B1343" s="2" t="str">
        <x:v>NED</x:v>
      </x:c>
      <x:c r="C1343" s="2" t="n">
        <x:v>0</x:v>
      </x:c>
      <x:c r="D1343" s="2" t="n">
        <x:v>0</x:v>
      </x:c>
      <x:c r="E1343" s="10" t="n">
        <x:v>79.56359913793104</x:v>
      </x:c>
      <x:c r="F1343" s="11" t="n">
        <x:v>928</x:v>
      </x:c>
      <x:c r="G1343" s="11" t="n">
        <x:v>0</x:v>
      </x:c>
      <x:c r="H1343" s="11" t="n">
        <x:v>0</x:v>
      </x:c>
      <x:c r="I1343" s="11" t="n">
        <x:v>0</x:v>
      </x:c>
      <x:c r="J1343" s="11" t="n">
        <x:v>0</x:v>
      </x:c>
      <x:c r="K1343" s="11" t="n">
        <x:v>1</x:v>
      </x:c>
      <x:c r="L1343" s="11" t="n">
        <x:f>IF(B1343="NED",1,IF(OR(B1343="ED",B1343="UN"),0,""))</x:f>
        <x:v>1</x:v>
      </x:c>
      <x:c r="M1343" s="11" t="n">
        <x:f>IF(AND(K1343=1,OR(B1343="ED",B1343="NED")),1,0)</x:f>
        <x:v>1</x:v>
      </x:c>
      <x:c r="N1343" s="11" t="n">
        <x:f>IF(K1343=1,1,0)</x:f>
        <x:v>1</x:v>
      </x:c>
      <x:c r="O1343" s="12"/>
      <x:c r="P1343" s="11" t="n">
        <x:v>0</x:v>
      </x:c>
      <x:c r="Q1343" s="12" t="str">
        <x:v>AF-Q3URQ0-F1-model_v6</x:v>
      </x:c>
      <x:c r="R1343" s="12" t="str">
        <x:v>ok</x:v>
      </x:c>
      <x:c r="S1343" s="11" t="n">
        <x:v>922</x:v>
      </x:c>
      <x:c r="T1343" s="11" t="n">
        <x:v>928</x:v>
      </x:c>
    </x:row>
    <x:row r="1344" ht="23" customHeight="1">
      <x:c r="A1344" s="2" t="str">
        <x:v>Q3URU2</x:v>
      </x:c>
      <x:c r="B1344" s="2" t="str">
        <x:v>UN</x:v>
      </x:c>
      <x:c r="C1344" s="2" t="n">
        <x:v>1</x:v>
      </x:c>
      <x:c r="D1344" s="2"/>
      <x:c r="E1344" s="10" t="n">
        <x:v>43.264252068746025</x:v>
      </x:c>
      <x:c r="F1344" s="11" t="n">
        <x:v>1571</x:v>
      </x:c>
      <x:c r="G1344" s="11" t="n">
        <x:v>0</x:v>
      </x:c>
      <x:c r="H1344" s="11" t="n">
        <x:v>0</x:v>
      </x:c>
      <x:c r="I1344" s="11" t="n">
        <x:v>0</x:v>
      </x:c>
      <x:c r="J1344" s="11" t="n">
        <x:v>0</x:v>
      </x:c>
      <x:c r="K1344" s="11" t="n">
        <x:v>0</x:v>
      </x:c>
      <x:c r="L1344" s="11" t="n">
        <x:f>IF(B1344="NED",1,IF(OR(B1344="ED",B1344="UN"),0,""))</x:f>
        <x:v>0</x:v>
      </x:c>
      <x:c r="M1344" s="11" t="n">
        <x:f>IF(AND(K1344=1,OR(B1344="ED",B1344="NED")),1,0)</x:f>
        <x:v>0</x:v>
      </x:c>
      <x:c r="N1344" s="11" t="n">
        <x:f>IF(K1344=1,1,0)</x:f>
        <x:v>0</x:v>
      </x:c>
      <x:c r="O1344" s="12" t="str">
        <x:v>Retain protein mean pLDDT &gt;=70</x:v>
      </x:c>
      <x:c r="P1344" s="11" t="n">
        <x:v>0</x:v>
      </x:c>
      <x:c r="Q1344" s="12" t="str">
        <x:v>AF-Q3URU2-F1-model_v6</x:v>
      </x:c>
      <x:c r="R1344" s="12" t="str">
        <x:v>ok</x:v>
      </x:c>
      <x:c r="S1344" s="11" t="n">
        <x:v>923</x:v>
      </x:c>
      <x:c r="T1344" s="11" t="n">
        <x:v>1571</x:v>
      </x:c>
    </x:row>
    <x:row r="1345" ht="23" customHeight="1">
      <x:c r="A1345" s="2" t="str">
        <x:v>Q3USH5</x:v>
      </x:c>
      <x:c r="B1345" s="2" t="str">
        <x:v>ED</x:v>
      </x:c>
      <x:c r="C1345" s="2" t="n">
        <x:v>0</x:v>
      </x:c>
      <x:c r="D1345" s="2" t="n">
        <x:v>0</x:v>
      </x:c>
      <x:c r="E1345" s="10" t="n">
        <x:v>60.13492063492063</x:v>
      </x:c>
      <x:c r="F1345" s="11" t="n">
        <x:v>945</x:v>
      </x:c>
      <x:c r="G1345" s="11" t="n">
        <x:v>0</x:v>
      </x:c>
      <x:c r="H1345" s="11" t="n">
        <x:v>0</x:v>
      </x:c>
      <x:c r="I1345" s="11" t="n">
        <x:v>0</x:v>
      </x:c>
      <x:c r="J1345" s="11" t="n">
        <x:v>0</x:v>
      </x:c>
      <x:c r="K1345" s="11" t="n">
        <x:v>0</x:v>
      </x:c>
      <x:c r="L1345" s="11" t="n">
        <x:f>IF(B1345="NED",1,IF(OR(B1345="ED",B1345="UN"),0,""))</x:f>
        <x:v>0</x:v>
      </x:c>
      <x:c r="M1345" s="11" t="n">
        <x:f>IF(AND(K1345=1,OR(B1345="ED",B1345="NED")),1,0)</x:f>
        <x:v>0</x:v>
      </x:c>
      <x:c r="N1345" s="11" t="n">
        <x:f>IF(K1345=1,1,0)</x:f>
        <x:v>0</x:v>
      </x:c>
      <x:c r="O1345" s="12" t="str">
        <x:v>Retain protein mean pLDDT &gt;=70</x:v>
      </x:c>
      <x:c r="P1345" s="11" t="n">
        <x:v>0</x:v>
      </x:c>
      <x:c r="Q1345" s="12" t="str">
        <x:v>AF-Q3USH5-F1-model_v6</x:v>
      </x:c>
      <x:c r="R1345" s="12" t="str">
        <x:v>ok</x:v>
      </x:c>
      <x:c r="S1345" s="11" t="n">
        <x:v>924</x:v>
      </x:c>
      <x:c r="T1345" s="11" t="n">
        <x:v>945</x:v>
      </x:c>
    </x:row>
    <x:row r="1346" ht="23" customHeight="1">
      <x:c r="A1346" s="2" t="str">
        <x:v>Q3UUQ7</x:v>
      </x:c>
      <x:c r="B1346" s="2" t="str">
        <x:v>UN</x:v>
      </x:c>
      <x:c r="C1346" s="2" t="n">
        <x:v>1</x:v>
      </x:c>
      <x:c r="D1346" s="2" t="n">
        <x:v>1</x:v>
      </x:c>
      <x:c r="E1346" s="10"/>
      <x:c r="F1346" s="11" t="n">
        <x:v>922</x:v>
      </x:c>
      <x:c r="G1346" s="11" t="n">
        <x:v>0</x:v>
      </x:c>
      <x:c r="H1346" s="11" t="n">
        <x:v>0</x:v>
      </x:c>
      <x:c r="I1346" s="11" t="n">
        <x:v>1</x:v>
      </x:c>
      <x:c r="J1346" s="11" t="n">
        <x:v>0</x:v>
      </x:c>
      <x:c r="K1346" s="11" t="n">
        <x:v>0</x:v>
      </x:c>
      <x:c r="L1346" s="11" t="n">
        <x:f>IF(B1346="NED",1,IF(OR(B1346="ED",B1346="UN"),0,""))</x:f>
        <x:v>0</x:v>
      </x:c>
      <x:c r="M1346" s="11" t="n">
        <x:f>IF(AND(K1346=1,OR(B1346="ED",B1346="NED")),1,0)</x:f>
        <x:v>0</x:v>
      </x:c>
      <x:c r="N1346" s="11" t="n">
        <x:f>IF(K1346=1,1,0)</x:f>
        <x:v>0</x:v>
      </x:c>
      <x:c r="O1346" s="12" t="str">
        <x:v>Exclude UniProt Membrane keyword</x:v>
      </x:c>
      <x:c r="P1346" s="11" t="n">
        <x:v>0</x:v>
      </x:c>
      <x:c r="Q1346" s="12" t="str">
        <x:v>AF-Q3UUQ7-F1-model_v6</x:v>
      </x:c>
      <x:c r="R1346" s="12" t="str">
        <x:v>ok</x:v>
      </x:c>
      <x:c r="S1346" s="11" t="n">
        <x:v>925</x:v>
      </x:c>
      <x:c r="T1346" s="11" t="n">
        <x:v>922</x:v>
      </x:c>
    </x:row>
    <x:row r="1347" ht="23" customHeight="1">
      <x:c r="A1347" s="2" t="str">
        <x:v>Q3UV16</x:v>
      </x:c>
      <x:c r="B1347" s="2" t="str">
        <x:v>UN</x:v>
      </x:c>
      <x:c r="C1347" s="2" t="n">
        <x:v>1</x:v>
      </x:c>
      <x:c r="D1347" s="2" t="n">
        <x:v>1</x:v>
      </x:c>
      <x:c r="E1347" s="10"/>
      <x:c r="F1347" s="11" t="n">
        <x:v>535</x:v>
      </x:c>
      <x:c r="G1347" s="11" t="n">
        <x:v>0</x:v>
      </x:c>
      <x:c r="H1347" s="11" t="n">
        <x:v>0</x:v>
      </x:c>
      <x:c r="I1347" s="11" t="n">
        <x:v>1</x:v>
      </x:c>
      <x:c r="J1347" s="11" t="n">
        <x:v>0</x:v>
      </x:c>
      <x:c r="K1347" s="11" t="n">
        <x:v>0</x:v>
      </x:c>
      <x:c r="L1347" s="11" t="n">
        <x:f>IF(B1347="NED",1,IF(OR(B1347="ED",B1347="UN"),0,""))</x:f>
        <x:v>0</x:v>
      </x:c>
      <x:c r="M1347" s="11" t="n">
        <x:f>IF(AND(K1347=1,OR(B1347="ED",B1347="NED")),1,0)</x:f>
        <x:v>0</x:v>
      </x:c>
      <x:c r="N1347" s="11" t="n">
        <x:f>IF(K1347=1,1,0)</x:f>
        <x:v>0</x:v>
      </x:c>
      <x:c r="O1347" s="12" t="str">
        <x:v>Exclude UniProt Membrane keyword</x:v>
      </x:c>
      <x:c r="P1347" s="11" t="n">
        <x:v>0</x:v>
      </x:c>
      <x:c r="Q1347" s="12" t="str">
        <x:v>AF-Q3UV16-F1-model_v6</x:v>
      </x:c>
      <x:c r="R1347" s="12" t="str">
        <x:v>ok</x:v>
      </x:c>
      <x:c r="S1347" s="11" t="n">
        <x:v>926</x:v>
      </x:c>
      <x:c r="T1347" s="11" t="n">
        <x:v>535</x:v>
      </x:c>
    </x:row>
    <x:row r="1348" ht="23" customHeight="1">
      <x:c r="A1348" s="2" t="str">
        <x:v>Q3UVG3</x:v>
      </x:c>
      <x:c r="B1348" s="2" t="str">
        <x:v>ED</x:v>
      </x:c>
      <x:c r="C1348" s="2" t="n">
        <x:v>1</x:v>
      </x:c>
      <x:c r="D1348" s="2" t="n">
        <x:v>1</x:v>
      </x:c>
      <x:c r="E1348" s="10" t="n">
        <x:v>77.08252090800478</x:v>
      </x:c>
      <x:c r="F1348" s="11" t="n">
        <x:v>837</x:v>
      </x:c>
      <x:c r="G1348" s="11" t="n">
        <x:v>0</x:v>
      </x:c>
      <x:c r="H1348" s="11" t="n">
        <x:v>0</x:v>
      </x:c>
      <x:c r="I1348" s="11" t="n">
        <x:v>0</x:v>
      </x:c>
      <x:c r="J1348" s="11" t="n">
        <x:v>0</x:v>
      </x:c>
      <x:c r="K1348" s="11" t="n">
        <x:v>1</x:v>
      </x:c>
      <x:c r="L1348" s="11" t="n">
        <x:f>IF(B1348="NED",1,IF(OR(B1348="ED",B1348="UN"),0,""))</x:f>
        <x:v>0</x:v>
      </x:c>
      <x:c r="M1348" s="11" t="n">
        <x:f>IF(AND(K1348=1,OR(B1348="ED",B1348="NED")),1,0)</x:f>
        <x:v>1</x:v>
      </x:c>
      <x:c r="N1348" s="11" t="n">
        <x:f>IF(K1348=1,1,0)</x:f>
        <x:v>1</x:v>
      </x:c>
      <x:c r="O1348" s="12"/>
      <x:c r="P1348" s="11" t="n">
        <x:v>0</x:v>
      </x:c>
      <x:c r="Q1348" s="12" t="str">
        <x:v>AF-Q3UVG3-F1-model_v6</x:v>
      </x:c>
      <x:c r="R1348" s="12" t="str">
        <x:v>ok</x:v>
      </x:c>
      <x:c r="S1348" s="11" t="n">
        <x:v>927</x:v>
      </x:c>
      <x:c r="T1348" s="11" t="n">
        <x:v>837</x:v>
      </x:c>
    </x:row>
    <x:row r="1349" ht="23" customHeight="1">
      <x:c r="A1349" s="2" t="str">
        <x:v>Q3UXG7</x:v>
      </x:c>
      <x:c r="B1349" s="2" t="str">
        <x:v>UN</x:v>
      </x:c>
      <x:c r="C1349" s="2"/>
      <x:c r="D1349" s="2"/>
      <x:c r="E1349" s="10"/>
      <x:c r="F1349" s="11"/>
      <x:c r="G1349" s="11" t="n">
        <x:v>0</x:v>
      </x:c>
      <x:c r="H1349" s="11" t="n">
        <x:v>0</x:v>
      </x:c>
      <x:c r="I1349" s="11" t="n">
        <x:v>0</x:v>
      </x:c>
      <x:c r="J1349" s="11" t="n">
        <x:v>0</x:v>
      </x:c>
      <x:c r="K1349" s="11" t="n">
        <x:v>0</x:v>
      </x:c>
      <x:c r="L1349" s="11" t="n">
        <x:f>IF(B1349="NED",1,IF(OR(B1349="ED",B1349="UN"),0,""))</x:f>
        <x:v>0</x:v>
      </x:c>
      <x:c r="M1349" s="11" t="n">
        <x:f>IF(AND(K1349=1,OR(B1349="ED",B1349="NED")),1,0)</x:f>
        <x:v>0</x:v>
      </x:c>
      <x:c r="N1349" s="11" t="n">
        <x:f>IF(K1349=1,1,0)</x:f>
        <x:v>0</x:v>
      </x:c>
      <x:c r="O1349" s="12" t="str">
        <x:v>Require exact native accession match</x:v>
      </x:c>
      <x:c r="P1349" s="11" t="n">
        <x:v>0</x:v>
      </x:c>
      <x:c r="Q1349" s="12"/>
      <x:c r="R1349" s="12"/>
      <x:c r="S1349" s="11" t="n">
        <x:v>3164</x:v>
      </x:c>
      <x:c r="T1349" s="11" t="n">
        <x:v>353</x:v>
      </x:c>
    </x:row>
    <x:row r="1350" ht="23" customHeight="1">
      <x:c r="A1350" s="2" t="str">
        <x:v>Q3UYU2</x:v>
      </x:c>
      <x:c r="B1350" s="2" t="str">
        <x:v>ED</x:v>
      </x:c>
      <x:c r="C1350" s="2"/>
      <x:c r="D1350" s="2"/>
      <x:c r="E1350" s="10"/>
      <x:c r="F1350" s="11"/>
      <x:c r="G1350" s="11" t="n">
        <x:v>0</x:v>
      </x:c>
      <x:c r="H1350" s="11" t="n">
        <x:v>0</x:v>
      </x:c>
      <x:c r="I1350" s="11"/>
      <x:c r="J1350" s="11"/>
      <x:c r="K1350" s="11" t="n">
        <x:v>0</x:v>
      </x:c>
      <x:c r="L1350" s="11" t="n">
        <x:f>IF(B1350="NED",1,IF(OR(B1350="ED",B1350="UN"),0,""))</x:f>
        <x:v>0</x:v>
      </x:c>
      <x:c r="M1350" s="11" t="n">
        <x:f>IF(AND(K1350=1,OR(B1350="ED",B1350="NED")),1,0)</x:f>
        <x:v>0</x:v>
      </x:c>
      <x:c r="N1350" s="11" t="n">
        <x:f>IF(K1350=1,1,0)</x:f>
        <x:v>0</x:v>
      </x:c>
      <x:c r="O1350" s="12" t="str">
        <x:v>Require exact native accession match</x:v>
      </x:c>
      <x:c r="P1350" s="11" t="n">
        <x:v>0</x:v>
      </x:c>
      <x:c r="Q1350" s="12"/>
      <x:c r="R1350" s="12"/>
      <x:c r="S1350" s="11" t="n">
        <x:v>3165</x:v>
      </x:c>
      <x:c r="T1350" s="11"/>
    </x:row>
    <x:row r="1351" ht="23" customHeight="1">
      <x:c r="A1351" s="2" t="str">
        <x:v>Q3UYV9</x:v>
      </x:c>
      <x:c r="B1351" s="2" t="str">
        <x:v>NED</x:v>
      </x:c>
      <x:c r="C1351" s="2" t="n">
        <x:v>1</x:v>
      </x:c>
      <x:c r="D1351" s="2" t="n">
        <x:v>1</x:v>
      </x:c>
      <x:c r="E1351" s="10" t="n">
        <x:v>94.08784810126582</x:v>
      </x:c>
      <x:c r="F1351" s="11" t="n">
        <x:v>790</x:v>
      </x:c>
      <x:c r="G1351" s="11" t="n">
        <x:v>0</x:v>
      </x:c>
      <x:c r="H1351" s="11" t="n">
        <x:v>0</x:v>
      </x:c>
      <x:c r="I1351" s="11" t="n">
        <x:v>0</x:v>
      </x:c>
      <x:c r="J1351" s="11" t="n">
        <x:v>0</x:v>
      </x:c>
      <x:c r="K1351" s="11" t="n">
        <x:v>1</x:v>
      </x:c>
      <x:c r="L1351" s="11" t="n">
        <x:f>IF(B1351="NED",1,IF(OR(B1351="ED",B1351="UN"),0,""))</x:f>
        <x:v>1</x:v>
      </x:c>
      <x:c r="M1351" s="11" t="n">
        <x:f>IF(AND(K1351=1,OR(B1351="ED",B1351="NED")),1,0)</x:f>
        <x:v>1</x:v>
      </x:c>
      <x:c r="N1351" s="11" t="n">
        <x:f>IF(K1351=1,1,0)</x:f>
        <x:v>1</x:v>
      </x:c>
      <x:c r="O1351" s="12"/>
      <x:c r="P1351" s="11" t="n">
        <x:v>0</x:v>
      </x:c>
      <x:c r="Q1351" s="12" t="str">
        <x:v>AF-Q3UYV9-F1-model_v6</x:v>
      </x:c>
      <x:c r="R1351" s="12" t="str">
        <x:v>ok</x:v>
      </x:c>
      <x:c r="S1351" s="11" t="n">
        <x:v>928</x:v>
      </x:c>
      <x:c r="T1351" s="11" t="n">
        <x:v>790</x:v>
      </x:c>
    </x:row>
    <x:row r="1352" ht="23" customHeight="1">
      <x:c r="A1352" s="2" t="str">
        <x:v>Q3UZ39</x:v>
      </x:c>
      <x:c r="B1352" s="2" t="str">
        <x:v>ED</x:v>
      </x:c>
      <x:c r="C1352" s="2" t="n">
        <x:v>0</x:v>
      </x:c>
      <x:c r="D1352" s="2" t="n">
        <x:v>0</x:v>
      </x:c>
      <x:c r="E1352" s="10" t="n">
        <x:v>53.440493827160495</x:v>
      </x:c>
      <x:c r="F1352" s="11" t="n">
        <x:v>729</x:v>
      </x:c>
      <x:c r="G1352" s="11" t="n">
        <x:v>0</x:v>
      </x:c>
      <x:c r="H1352" s="11" t="n">
        <x:v>0</x:v>
      </x:c>
      <x:c r="I1352" s="11" t="n">
        <x:v>0</x:v>
      </x:c>
      <x:c r="J1352" s="11" t="n">
        <x:v>0</x:v>
      </x:c>
      <x:c r="K1352" s="11" t="n">
        <x:v>0</x:v>
      </x:c>
      <x:c r="L1352" s="11" t="n">
        <x:f>IF(B1352="NED",1,IF(OR(B1352="ED",B1352="UN"),0,""))</x:f>
        <x:v>0</x:v>
      </x:c>
      <x:c r="M1352" s="11" t="n">
        <x:f>IF(AND(K1352=1,OR(B1352="ED",B1352="NED")),1,0)</x:f>
        <x:v>0</x:v>
      </x:c>
      <x:c r="N1352" s="11" t="n">
        <x:f>IF(K1352=1,1,0)</x:f>
        <x:v>0</x:v>
      </x:c>
      <x:c r="O1352" s="12" t="str">
        <x:v>Retain protein mean pLDDT &gt;=70</x:v>
      </x:c>
      <x:c r="P1352" s="11" t="n">
        <x:v>0</x:v>
      </x:c>
      <x:c r="Q1352" s="12" t="str">
        <x:v>AF-Q3UZ39-F1-model_v6</x:v>
      </x:c>
      <x:c r="R1352" s="12" t="str">
        <x:v>ok</x:v>
      </x:c>
      <x:c r="S1352" s="11" t="n">
        <x:v>929</x:v>
      </x:c>
      <x:c r="T1352" s="11" t="n">
        <x:v>729</x:v>
      </x:c>
    </x:row>
    <x:row r="1353" ht="23" customHeight="1">
      <x:c r="A1353" s="2" t="str">
        <x:v>Q3V117</x:v>
      </x:c>
      <x:c r="B1353" s="2" t="str">
        <x:v>UN</x:v>
      </x:c>
      <x:c r="C1353" s="2"/>
      <x:c r="D1353" s="2"/>
      <x:c r="E1353" s="10"/>
      <x:c r="F1353" s="11"/>
      <x:c r="G1353" s="11" t="n">
        <x:v>0</x:v>
      </x:c>
      <x:c r="H1353" s="11" t="n">
        <x:v>0</x:v>
      </x:c>
      <x:c r="I1353" s="11" t="n">
        <x:v>0</x:v>
      </x:c>
      <x:c r="J1353" s="11" t="n">
        <x:v>0</x:v>
      </x:c>
      <x:c r="K1353" s="11" t="n">
        <x:v>0</x:v>
      </x:c>
      <x:c r="L1353" s="11" t="n">
        <x:f>IF(B1353="NED",1,IF(OR(B1353="ED",B1353="UN"),0,""))</x:f>
        <x:v>0</x:v>
      </x:c>
      <x:c r="M1353" s="11" t="n">
        <x:f>IF(AND(K1353=1,OR(B1353="ED",B1353="NED")),1,0)</x:f>
        <x:v>0</x:v>
      </x:c>
      <x:c r="N1353" s="11" t="n">
        <x:f>IF(K1353=1,1,0)</x:f>
        <x:v>0</x:v>
      </x:c>
      <x:c r="O1353" s="12" t="str">
        <x:v>Require exact native accession match</x:v>
      </x:c>
      <x:c r="P1353" s="11" t="n">
        <x:v>0</x:v>
      </x:c>
      <x:c r="Q1353" s="12"/>
      <x:c r="R1353" s="12"/>
      <x:c r="S1353" s="11" t="n">
        <x:v>3166</x:v>
      </x:c>
      <x:c r="T1353" s="11" t="n">
        <x:v>1101</x:v>
      </x:c>
    </x:row>
    <x:row r="1354" ht="23" customHeight="1">
      <x:c r="A1354" s="2" t="str">
        <x:v>Q3V1H1</x:v>
      </x:c>
      <x:c r="B1354" s="2" t="str">
        <x:v>UN</x:v>
      </x:c>
      <x:c r="C1354" s="2" t="n">
        <x:v>1</x:v>
      </x:c>
      <x:c r="D1354" s="2" t="n">
        <x:v>1</x:v>
      </x:c>
      <x:c r="E1354" s="10" t="n">
        <x:v>57.38010542168674</x:v>
      </x:c>
      <x:c r="F1354" s="11" t="n">
        <x:v>664</x:v>
      </x:c>
      <x:c r="G1354" s="11" t="n">
        <x:v>0</x:v>
      </x:c>
      <x:c r="H1354" s="11" t="n">
        <x:v>0</x:v>
      </x:c>
      <x:c r="I1354" s="11" t="n">
        <x:v>0</x:v>
      </x:c>
      <x:c r="J1354" s="11" t="n">
        <x:v>0</x:v>
      </x:c>
      <x:c r="K1354" s="11" t="n">
        <x:v>0</x:v>
      </x:c>
      <x:c r="L1354" s="11" t="n">
        <x:f>IF(B1354="NED",1,IF(OR(B1354="ED",B1354="UN"),0,""))</x:f>
        <x:v>0</x:v>
      </x:c>
      <x:c r="M1354" s="11" t="n">
        <x:f>IF(AND(K1354=1,OR(B1354="ED",B1354="NED")),1,0)</x:f>
        <x:v>0</x:v>
      </x:c>
      <x:c r="N1354" s="11" t="n">
        <x:f>IF(K1354=1,1,0)</x:f>
        <x:v>0</x:v>
      </x:c>
      <x:c r="O1354" s="12" t="str">
        <x:v>Retain protein mean pLDDT &gt;=70</x:v>
      </x:c>
      <x:c r="P1354" s="11" t="n">
        <x:v>0</x:v>
      </x:c>
      <x:c r="Q1354" s="12" t="str">
        <x:v>AF-Q3V1H1-F1-model_v6</x:v>
      </x:c>
      <x:c r="R1354" s="12" t="str">
        <x:v>ok</x:v>
      </x:c>
      <x:c r="S1354" s="11" t="n">
        <x:v>930</x:v>
      </x:c>
      <x:c r="T1354" s="11" t="n">
        <x:v>664</x:v>
      </x:c>
    </x:row>
    <x:row r="1355" ht="23" customHeight="1">
      <x:c r="A1355" s="2" t="str">
        <x:v>Q3V1T4</x:v>
      </x:c>
      <x:c r="B1355" s="2" t="str">
        <x:v>ED</x:v>
      </x:c>
      <x:c r="C1355" s="2"/>
      <x:c r="D1355" s="2"/>
      <x:c r="E1355" s="10"/>
      <x:c r="F1355" s="11" t="n">
        <x:v>739</x:v>
      </x:c>
      <x:c r="G1355" s="11" t="n">
        <x:v>0</x:v>
      </x:c>
      <x:c r="H1355" s="11" t="n">
        <x:v>1</x:v>
      </x:c>
      <x:c r="I1355" s="11" t="n">
        <x:v>0</x:v>
      </x:c>
      <x:c r="J1355" s="11" t="n">
        <x:v>1</x:v>
      </x:c>
      <x:c r="K1355" s="11" t="n">
        <x:v>0</x:v>
      </x:c>
      <x:c r="L1355" s="11" t="n">
        <x:f>IF(B1355="NED",1,IF(OR(B1355="ED",B1355="UN"),0,""))</x:f>
        <x:v>0</x:v>
      </x:c>
      <x:c r="M1355" s="11" t="n">
        <x:f>IF(AND(K1355=1,OR(B1355="ED",B1355="NED")),1,0)</x:f>
        <x:v>0</x:v>
      </x:c>
      <x:c r="N1355" s="11" t="n">
        <x:f>IF(K1355=1,1,0)</x:f>
        <x:v>0</x:v>
      </x:c>
      <x:c r="O1355" s="12" t="str">
        <x:v>Require binary native NCLE status</x:v>
      </x:c>
      <x:c r="P1355" s="11" t="n">
        <x:v>0</x:v>
      </x:c>
      <x:c r="Q1355" s="12" t="str">
        <x:v>AF-Q3V1T4-F1-model_v6</x:v>
      </x:c>
      <x:c r="R1355" s="12" t="str">
        <x:v>ok</x:v>
      </x:c>
      <x:c r="S1355" s="11" t="n">
        <x:v>931</x:v>
      </x:c>
      <x:c r="T1355" s="11" t="n">
        <x:v>739</x:v>
      </x:c>
    </x:row>
    <x:row r="1356" ht="23" customHeight="1">
      <x:c r="A1356" s="2" t="str">
        <x:v>Q3V1V3</x:v>
      </x:c>
      <x:c r="B1356" s="2" t="str">
        <x:v>UN</x:v>
      </x:c>
      <x:c r="C1356" s="2" t="n">
        <x:v>1</x:v>
      </x:c>
      <x:c r="D1356" s="2" t="n">
        <x:v>1</x:v>
      </x:c>
      <x:c r="E1356" s="10" t="n">
        <x:v>64.45452071005917</x:v>
      </x:c>
      <x:c r="F1356" s="11" t="n">
        <x:v>845</x:v>
      </x:c>
      <x:c r="G1356" s="11" t="n">
        <x:v>0</x:v>
      </x:c>
      <x:c r="H1356" s="11" t="n">
        <x:v>0</x:v>
      </x:c>
      <x:c r="I1356" s="11" t="n">
        <x:v>0</x:v>
      </x:c>
      <x:c r="J1356" s="11" t="n">
        <x:v>0</x:v>
      </x:c>
      <x:c r="K1356" s="11" t="n">
        <x:v>0</x:v>
      </x:c>
      <x:c r="L1356" s="11" t="n">
        <x:f>IF(B1356="NED",1,IF(OR(B1356="ED",B1356="UN"),0,""))</x:f>
        <x:v>0</x:v>
      </x:c>
      <x:c r="M1356" s="11" t="n">
        <x:f>IF(AND(K1356=1,OR(B1356="ED",B1356="NED")),1,0)</x:f>
        <x:v>0</x:v>
      </x:c>
      <x:c r="N1356" s="11" t="n">
        <x:f>IF(K1356=1,1,0)</x:f>
        <x:v>0</x:v>
      </x:c>
      <x:c r="O1356" s="12" t="str">
        <x:v>Retain protein mean pLDDT &gt;=70</x:v>
      </x:c>
      <x:c r="P1356" s="11" t="n">
        <x:v>0</x:v>
      </x:c>
      <x:c r="Q1356" s="12" t="str">
        <x:v>AF-Q3V1V3-F1-model_v6</x:v>
      </x:c>
      <x:c r="R1356" s="12" t="str">
        <x:v>ok</x:v>
      </x:c>
      <x:c r="S1356" s="11" t="n">
        <x:v>932</x:v>
      </x:c>
      <x:c r="T1356" s="11" t="n">
        <x:v>845</x:v>
      </x:c>
    </x:row>
    <x:row r="1357" ht="23" customHeight="1">
      <x:c r="A1357" s="2" t="str">
        <x:v>Q3V300</x:v>
      </x:c>
      <x:c r="B1357" s="2" t="str">
        <x:v>UN</x:v>
      </x:c>
      <x:c r="C1357" s="2" t="n">
        <x:v>1</x:v>
      </x:c>
      <x:c r="D1357" s="2" t="n">
        <x:v>1</x:v>
      </x:c>
      <x:c r="E1357" s="10" t="n">
        <x:v>72.54153030303031</x:v>
      </x:c>
      <x:c r="F1357" s="11" t="n">
        <x:v>660</x:v>
      </x:c>
      <x:c r="G1357" s="11" t="n">
        <x:v>0</x:v>
      </x:c>
      <x:c r="H1357" s="11" t="n">
        <x:v>0</x:v>
      </x:c>
      <x:c r="I1357" s="11" t="n">
        <x:v>0</x:v>
      </x:c>
      <x:c r="J1357" s="11" t="n">
        <x:v>0</x:v>
      </x:c>
      <x:c r="K1357" s="11" t="n">
        <x:v>1</x:v>
      </x:c>
      <x:c r="L1357" s="11" t="n">
        <x:f>IF(B1357="NED",1,IF(OR(B1357="ED",B1357="UN"),0,""))</x:f>
        <x:v>0</x:v>
      </x:c>
      <x:c r="M1357" s="11" t="n">
        <x:f>IF(AND(K1357=1,OR(B1357="ED",B1357="NED")),1,0)</x:f>
        <x:v>0</x:v>
      </x:c>
      <x:c r="N1357" s="11" t="n">
        <x:f>IF(K1357=1,1,0)</x:f>
        <x:v>1</x:v>
      </x:c>
      <x:c r="O1357" s="12"/>
      <x:c r="P1357" s="11" t="n">
        <x:v>0</x:v>
      </x:c>
      <x:c r="Q1357" s="12" t="str">
        <x:v>AF-Q3V300-F1-model_v6</x:v>
      </x:c>
      <x:c r="R1357" s="12" t="str">
        <x:v>ok</x:v>
      </x:c>
      <x:c r="S1357" s="11" t="n">
        <x:v>933</x:v>
      </x:c>
      <x:c r="T1357" s="11" t="n">
        <x:v>660</x:v>
      </x:c>
    </x:row>
    <x:row r="1358" ht="23" customHeight="1">
      <x:c r="A1358" s="2" t="str">
        <x:v>Q3V3R1</x:v>
      </x:c>
      <x:c r="B1358" s="2" t="str">
        <x:v>UN</x:v>
      </x:c>
      <x:c r="C1358" s="2" t="n">
        <x:v>1</x:v>
      </x:c>
      <x:c r="D1358" s="2" t="n">
        <x:v>1</x:v>
      </x:c>
      <x:c r="E1358" s="10" t="n">
        <x:v>87.17111566018423</x:v>
      </x:c>
      <x:c r="F1358" s="11" t="n">
        <x:v>977</x:v>
      </x:c>
      <x:c r="G1358" s="11" t="n">
        <x:v>0</x:v>
      </x:c>
      <x:c r="H1358" s="11" t="n">
        <x:v>0</x:v>
      </x:c>
      <x:c r="I1358" s="11" t="n">
        <x:v>0</x:v>
      </x:c>
      <x:c r="J1358" s="11" t="n">
        <x:v>0</x:v>
      </x:c>
      <x:c r="K1358" s="11" t="n">
        <x:v>1</x:v>
      </x:c>
      <x:c r="L1358" s="11" t="n">
        <x:f>IF(B1358="NED",1,IF(OR(B1358="ED",B1358="UN"),0,""))</x:f>
        <x:v>0</x:v>
      </x:c>
      <x:c r="M1358" s="11" t="n">
        <x:f>IF(AND(K1358=1,OR(B1358="ED",B1358="NED")),1,0)</x:f>
        <x:v>0</x:v>
      </x:c>
      <x:c r="N1358" s="11" t="n">
        <x:f>IF(K1358=1,1,0)</x:f>
        <x:v>1</x:v>
      </x:c>
      <x:c r="O1358" s="12"/>
      <x:c r="P1358" s="11" t="n">
        <x:v>0</x:v>
      </x:c>
      <x:c r="Q1358" s="12" t="str">
        <x:v>AF-Q3V3R1-F1-model_v6</x:v>
      </x:c>
      <x:c r="R1358" s="12" t="str">
        <x:v>ok</x:v>
      </x:c>
      <x:c r="S1358" s="11" t="n">
        <x:v>934</x:v>
      </x:c>
      <x:c r="T1358" s="11" t="n">
        <x:v>977</x:v>
      </x:c>
    </x:row>
    <x:row r="1359" ht="23" customHeight="1">
      <x:c r="A1359" s="2" t="str">
        <x:v>Q499E4-2</x:v>
      </x:c>
      <x:c r="B1359" s="2" t="str">
        <x:v>ED</x:v>
      </x:c>
      <x:c r="C1359" s="2"/>
      <x:c r="D1359" s="2"/>
      <x:c r="E1359" s="10"/>
      <x:c r="F1359" s="11"/>
      <x:c r="G1359" s="11" t="n">
        <x:v>0</x:v>
      </x:c>
      <x:c r="H1359" s="11" t="n">
        <x:v>0</x:v>
      </x:c>
      <x:c r="I1359" s="11"/>
      <x:c r="J1359" s="11"/>
      <x:c r="K1359" s="11" t="n">
        <x:v>0</x:v>
      </x:c>
      <x:c r="L1359" s="11" t="n">
        <x:f>IF(B1359="NED",1,IF(OR(B1359="ED",B1359="UN"),0,""))</x:f>
        <x:v>0</x:v>
      </x:c>
      <x:c r="M1359" s="11" t="n">
        <x:f>IF(AND(K1359=1,OR(B1359="ED",B1359="NED")),1,0)</x:f>
        <x:v>0</x:v>
      </x:c>
      <x:c r="N1359" s="11" t="n">
        <x:f>IF(K1359=1,1,0)</x:f>
        <x:v>0</x:v>
      </x:c>
      <x:c r="O1359" s="12" t="str">
        <x:v>Require exact native accession match</x:v>
      </x:c>
      <x:c r="P1359" s="11" t="n">
        <x:v>0</x:v>
      </x:c>
      <x:c r="Q1359" s="12"/>
      <x:c r="R1359" s="12"/>
      <x:c r="S1359" s="11" t="n">
        <x:v>935</x:v>
      </x:c>
      <x:c r="T1359" s="11"/>
    </x:row>
    <x:row r="1360" ht="23" customHeight="1">
      <x:c r="A1360" s="2" t="str">
        <x:v>Q4FE56</x:v>
      </x:c>
      <x:c r="B1360" s="2" t="str">
        <x:v>UN</x:v>
      </x:c>
      <x:c r="C1360" s="2"/>
      <x:c r="D1360" s="2"/>
      <x:c r="E1360" s="10"/>
      <x:c r="F1360" s="11"/>
      <x:c r="G1360" s="11" t="n">
        <x:v>0</x:v>
      </x:c>
      <x:c r="H1360" s="11" t="n">
        <x:v>0</x:v>
      </x:c>
      <x:c r="I1360" s="11" t="n">
        <x:v>0</x:v>
      </x:c>
      <x:c r="J1360" s="11" t="n">
        <x:v>0</x:v>
      </x:c>
      <x:c r="K1360" s="11" t="n">
        <x:v>0</x:v>
      </x:c>
      <x:c r="L1360" s="11" t="n">
        <x:f>IF(B1360="NED",1,IF(OR(B1360="ED",B1360="UN"),0,""))</x:f>
        <x:v>0</x:v>
      </x:c>
      <x:c r="M1360" s="11" t="n">
        <x:f>IF(AND(K1360=1,OR(B1360="ED",B1360="NED")),1,0)</x:f>
        <x:v>0</x:v>
      </x:c>
      <x:c r="N1360" s="11" t="n">
        <x:f>IF(K1360=1,1,0)</x:f>
        <x:v>0</x:v>
      </x:c>
      <x:c r="O1360" s="12" t="str">
        <x:v>Require exact native accession match</x:v>
      </x:c>
      <x:c r="P1360" s="11" t="n">
        <x:v>0</x:v>
      </x:c>
      <x:c r="Q1360" s="12"/>
      <x:c r="R1360" s="12"/>
      <x:c r="S1360" s="11" t="n">
        <x:v>3167</x:v>
      </x:c>
      <x:c r="T1360" s="11" t="n">
        <x:v>2554</x:v>
      </x:c>
    </x:row>
    <x:row r="1361" ht="23" customHeight="1">
      <x:c r="A1361" s="2" t="str">
        <x:v>Q4FJZ2</x:v>
      </x:c>
      <x:c r="B1361" s="2" t="str">
        <x:v>ED</x:v>
      </x:c>
      <x:c r="C1361" s="2"/>
      <x:c r="D1361" s="2"/>
      <x:c r="E1361" s="10"/>
      <x:c r="F1361" s="11"/>
      <x:c r="G1361" s="11" t="n">
        <x:v>0</x:v>
      </x:c>
      <x:c r="H1361" s="11" t="n">
        <x:v>0</x:v>
      </x:c>
      <x:c r="I1361" s="11" t="n">
        <x:v>0</x:v>
      </x:c>
      <x:c r="J1361" s="11" t="n">
        <x:v>0</x:v>
      </x:c>
      <x:c r="K1361" s="11" t="n">
        <x:v>0</x:v>
      </x:c>
      <x:c r="L1361" s="11" t="n">
        <x:f>IF(B1361="NED",1,IF(OR(B1361="ED",B1361="UN"),0,""))</x:f>
        <x:v>0</x:v>
      </x:c>
      <x:c r="M1361" s="11" t="n">
        <x:f>IF(AND(K1361=1,OR(B1361="ED",B1361="NED")),1,0)</x:f>
        <x:v>0</x:v>
      </x:c>
      <x:c r="N1361" s="11" t="n">
        <x:f>IF(K1361=1,1,0)</x:f>
        <x:v>0</x:v>
      </x:c>
      <x:c r="O1361" s="12" t="str">
        <x:v>Require exact native accession match</x:v>
      </x:c>
      <x:c r="P1361" s="11" t="n">
        <x:v>0</x:v>
      </x:c>
      <x:c r="Q1361" s="12"/>
      <x:c r="R1361" s="12"/>
      <x:c r="S1361" s="11" t="n">
        <x:v>3168</x:v>
      </x:c>
      <x:c r="T1361" s="11" t="n">
        <x:v>533</x:v>
      </x:c>
    </x:row>
    <x:row r="1362" ht="23" customHeight="1">
      <x:c r="A1362" s="2" t="str">
        <x:v>Q4FK66</x:v>
      </x:c>
      <x:c r="B1362" s="2" t="str">
        <x:v>NED</x:v>
      </x:c>
      <x:c r="C1362" s="2" t="n">
        <x:v>1</x:v>
      </x:c>
      <x:c r="D1362" s="2" t="n">
        <x:v>1</x:v>
      </x:c>
      <x:c r="E1362" s="10" t="n">
        <x:v>70.8875</x:v>
      </x:c>
      <x:c r="F1362" s="11" t="n">
        <x:v>312</x:v>
      </x:c>
      <x:c r="G1362" s="11" t="n">
        <x:v>0</x:v>
      </x:c>
      <x:c r="H1362" s="11" t="n">
        <x:v>0</x:v>
      </x:c>
      <x:c r="I1362" s="11" t="n">
        <x:v>0</x:v>
      </x:c>
      <x:c r="J1362" s="11" t="n">
        <x:v>0</x:v>
      </x:c>
      <x:c r="K1362" s="11" t="n">
        <x:v>1</x:v>
      </x:c>
      <x:c r="L1362" s="11" t="n">
        <x:f>IF(B1362="NED",1,IF(OR(B1362="ED",B1362="UN"),0,""))</x:f>
        <x:v>1</x:v>
      </x:c>
      <x:c r="M1362" s="11" t="n">
        <x:f>IF(AND(K1362=1,OR(B1362="ED",B1362="NED")),1,0)</x:f>
        <x:v>1</x:v>
      </x:c>
      <x:c r="N1362" s="11" t="n">
        <x:f>IF(K1362=1,1,0)</x:f>
        <x:v>1</x:v>
      </x:c>
      <x:c r="O1362" s="12"/>
      <x:c r="P1362" s="11" t="n">
        <x:v>0</x:v>
      </x:c>
      <x:c r="Q1362" s="12" t="str">
        <x:v>AF-Q4FK66-F1-model_v6</x:v>
      </x:c>
      <x:c r="R1362" s="12" t="str">
        <x:v>ok</x:v>
      </x:c>
      <x:c r="S1362" s="11" t="n">
        <x:v>936</x:v>
      </x:c>
      <x:c r="T1362" s="11" t="n">
        <x:v>312</x:v>
      </x:c>
    </x:row>
    <x:row r="1363" ht="23" customHeight="1">
      <x:c r="A1363" s="2" t="str">
        <x:v>Q4FZF3</x:v>
      </x:c>
      <x:c r="B1363" s="2" t="str">
        <x:v>ED</x:v>
      </x:c>
      <x:c r="C1363" s="2" t="n">
        <x:v>1</x:v>
      </x:c>
      <x:c r="D1363" s="2" t="n">
        <x:v>1</x:v>
      </x:c>
      <x:c r="E1363" s="10" t="n">
        <x:v>85.62083333333334</x:v>
      </x:c>
      <x:c r="F1363" s="11" t="n">
        <x:v>480</x:v>
      </x:c>
      <x:c r="G1363" s="11" t="n">
        <x:v>0</x:v>
      </x:c>
      <x:c r="H1363" s="11" t="n">
        <x:v>0</x:v>
      </x:c>
      <x:c r="I1363" s="11" t="n">
        <x:v>0</x:v>
      </x:c>
      <x:c r="J1363" s="11" t="n">
        <x:v>0</x:v>
      </x:c>
      <x:c r="K1363" s="11" t="n">
        <x:v>1</x:v>
      </x:c>
      <x:c r="L1363" s="11" t="n">
        <x:f>IF(B1363="NED",1,IF(OR(B1363="ED",B1363="UN"),0,""))</x:f>
        <x:v>0</x:v>
      </x:c>
      <x:c r="M1363" s="11" t="n">
        <x:f>IF(AND(K1363=1,OR(B1363="ED",B1363="NED")),1,0)</x:f>
        <x:v>1</x:v>
      </x:c>
      <x:c r="N1363" s="11" t="n">
        <x:f>IF(K1363=1,1,0)</x:f>
        <x:v>1</x:v>
      </x:c>
      <x:c r="O1363" s="12"/>
      <x:c r="P1363" s="11" t="n">
        <x:v>0</x:v>
      </x:c>
      <x:c r="Q1363" s="12" t="str">
        <x:v>AF-Q4FZF3-F1-model_v6</x:v>
      </x:c>
      <x:c r="R1363" s="12" t="str">
        <x:v>ok</x:v>
      </x:c>
      <x:c r="S1363" s="11" t="n">
        <x:v>937</x:v>
      </x:c>
      <x:c r="T1363" s="11" t="n">
        <x:v>480</x:v>
      </x:c>
    </x:row>
    <x:row r="1364" ht="23" customHeight="1">
      <x:c r="A1364" s="2" t="str">
        <x:v>Q4KML4</x:v>
      </x:c>
      <x:c r="B1364" s="2" t="str">
        <x:v>ED</x:v>
      </x:c>
      <x:c r="C1364" s="2" t="n">
        <x:v>0</x:v>
      </x:c>
      <x:c r="D1364" s="2" t="n">
        <x:v>0</x:v>
      </x:c>
      <x:c r="E1364" s="10" t="n">
        <x:v>94.99049382716048</x:v>
      </x:c>
      <x:c r="F1364" s="11" t="n">
        <x:v>81</x:v>
      </x:c>
      <x:c r="G1364" s="11" t="n">
        <x:v>0</x:v>
      </x:c>
      <x:c r="H1364" s="11" t="n">
        <x:v>0</x:v>
      </x:c>
      <x:c r="I1364" s="11" t="n">
        <x:v>0</x:v>
      </x:c>
      <x:c r="J1364" s="11" t="n">
        <x:v>0</x:v>
      </x:c>
      <x:c r="K1364" s="11" t="n">
        <x:v>1</x:v>
      </x:c>
      <x:c r="L1364" s="11" t="n">
        <x:f>IF(B1364="NED",1,IF(OR(B1364="ED",B1364="UN"),0,""))</x:f>
        <x:v>0</x:v>
      </x:c>
      <x:c r="M1364" s="11" t="n">
        <x:f>IF(AND(K1364=1,OR(B1364="ED",B1364="NED")),1,0)</x:f>
        <x:v>1</x:v>
      </x:c>
      <x:c r="N1364" s="11" t="n">
        <x:f>IF(K1364=1,1,0)</x:f>
        <x:v>1</x:v>
      </x:c>
      <x:c r="O1364" s="12"/>
      <x:c r="P1364" s="11" t="n">
        <x:v>0</x:v>
      </x:c>
      <x:c r="Q1364" s="12" t="str">
        <x:v>AF-Q4KML4-F1-model_v6</x:v>
      </x:c>
      <x:c r="R1364" s="12" t="str">
        <x:v>ok</x:v>
      </x:c>
      <x:c r="S1364" s="11" t="n">
        <x:v>938</x:v>
      </x:c>
      <x:c r="T1364" s="11" t="n">
        <x:v>81</x:v>
      </x:c>
    </x:row>
    <x:row r="1365" ht="23" customHeight="1">
      <x:c r="A1365" s="2" t="str">
        <x:v>Q4U221</x:v>
      </x:c>
      <x:c r="B1365" s="2" t="str">
        <x:v>UN</x:v>
      </x:c>
      <x:c r="C1365" s="2"/>
      <x:c r="D1365" s="2"/>
      <x:c r="E1365" s="10"/>
      <x:c r="F1365" s="11"/>
      <x:c r="G1365" s="11" t="n">
        <x:v>0</x:v>
      </x:c>
      <x:c r="H1365" s="11" t="n">
        <x:v>0</x:v>
      </x:c>
      <x:c r="I1365" s="11" t="n">
        <x:v>0</x:v>
      </x:c>
      <x:c r="J1365" s="11" t="n">
        <x:v>0</x:v>
      </x:c>
      <x:c r="K1365" s="11" t="n">
        <x:v>0</x:v>
      </x:c>
      <x:c r="L1365" s="11" t="n">
        <x:f>IF(B1365="NED",1,IF(OR(B1365="ED",B1365="UN"),0,""))</x:f>
        <x:v>0</x:v>
      </x:c>
      <x:c r="M1365" s="11" t="n">
        <x:f>IF(AND(K1365=1,OR(B1365="ED",B1365="NED")),1,0)</x:f>
        <x:v>0</x:v>
      </x:c>
      <x:c r="N1365" s="11" t="n">
        <x:f>IF(K1365=1,1,0)</x:f>
        <x:v>0</x:v>
      </x:c>
      <x:c r="O1365" s="12" t="str">
        <x:v>Require exact native accession match</x:v>
      </x:c>
      <x:c r="P1365" s="11" t="n">
        <x:v>0</x:v>
      </x:c>
      <x:c r="Q1365" s="12"/>
      <x:c r="R1365" s="12"/>
      <x:c r="S1365" s="11" t="n">
        <x:v>3169</x:v>
      </x:c>
      <x:c r="T1365" s="11" t="n">
        <x:v>330</x:v>
      </x:c>
    </x:row>
    <x:row r="1366" ht="23" customHeight="1">
      <x:c r="A1366" s="2" t="str">
        <x:v>Q4U2R1-2</x:v>
      </x:c>
      <x:c r="B1366" s="2" t="str">
        <x:v>UN</x:v>
      </x:c>
      <x:c r="C1366" s="2"/>
      <x:c r="D1366" s="2"/>
      <x:c r="E1366" s="10"/>
      <x:c r="F1366" s="11"/>
      <x:c r="G1366" s="11" t="n">
        <x:v>0</x:v>
      </x:c>
      <x:c r="H1366" s="11" t="n">
        <x:v>0</x:v>
      </x:c>
      <x:c r="I1366" s="11"/>
      <x:c r="J1366" s="11"/>
      <x:c r="K1366" s="11" t="n">
        <x:v>0</x:v>
      </x:c>
      <x:c r="L1366" s="11" t="n">
        <x:f>IF(B1366="NED",1,IF(OR(B1366="ED",B1366="UN"),0,""))</x:f>
        <x:v>0</x:v>
      </x:c>
      <x:c r="M1366" s="11" t="n">
        <x:f>IF(AND(K1366=1,OR(B1366="ED",B1366="NED")),1,0)</x:f>
        <x:v>0</x:v>
      </x:c>
      <x:c r="N1366" s="11" t="n">
        <x:f>IF(K1366=1,1,0)</x:f>
        <x:v>0</x:v>
      </x:c>
      <x:c r="O1366" s="12" t="str">
        <x:v>Require exact native accession match</x:v>
      </x:c>
      <x:c r="P1366" s="11" t="n">
        <x:v>0</x:v>
      </x:c>
      <x:c r="Q1366" s="12"/>
      <x:c r="R1366" s="12"/>
      <x:c r="S1366" s="11" t="n">
        <x:v>939</x:v>
      </x:c>
      <x:c r="T1366" s="11"/>
    </x:row>
    <x:row r="1367" ht="23" customHeight="1">
      <x:c r="A1367" s="2" t="str">
        <x:v>Q4VA53</x:v>
      </x:c>
      <x:c r="B1367" s="2" t="str">
        <x:v>NED</x:v>
      </x:c>
      <x:c r="C1367" s="2" t="n">
        <x:v>1</x:v>
      </x:c>
      <x:c r="D1367" s="2" t="n">
        <x:v>1</x:v>
      </x:c>
      <x:c r="E1367" s="10" t="n">
        <x:v>80.25345781466113</x:v>
      </x:c>
      <x:c r="F1367" s="11" t="n">
        <x:v>1446</x:v>
      </x:c>
      <x:c r="G1367" s="11" t="n">
        <x:v>0</x:v>
      </x:c>
      <x:c r="H1367" s="11" t="n">
        <x:v>0</x:v>
      </x:c>
      <x:c r="I1367" s="11" t="n">
        <x:v>0</x:v>
      </x:c>
      <x:c r="J1367" s="11" t="n">
        <x:v>0</x:v>
      </x:c>
      <x:c r="K1367" s="11" t="n">
        <x:v>1</x:v>
      </x:c>
      <x:c r="L1367" s="11" t="n">
        <x:f>IF(B1367="NED",1,IF(OR(B1367="ED",B1367="UN"),0,""))</x:f>
        <x:v>1</x:v>
      </x:c>
      <x:c r="M1367" s="11" t="n">
        <x:f>IF(AND(K1367=1,OR(B1367="ED",B1367="NED")),1,0)</x:f>
        <x:v>1</x:v>
      </x:c>
      <x:c r="N1367" s="11" t="n">
        <x:f>IF(K1367=1,1,0)</x:f>
        <x:v>1</x:v>
      </x:c>
      <x:c r="O1367" s="12"/>
      <x:c r="P1367" s="11" t="n">
        <x:v>0</x:v>
      </x:c>
      <x:c r="Q1367" s="12" t="str">
        <x:v>AF-Q4VA53-F1-model_v6</x:v>
      </x:c>
      <x:c r="R1367" s="12" t="str">
        <x:v>ok</x:v>
      </x:c>
      <x:c r="S1367" s="11" t="n">
        <x:v>940</x:v>
      </x:c>
      <x:c r="T1367" s="11" t="n">
        <x:v>1446</x:v>
      </x:c>
    </x:row>
    <x:row r="1368" ht="23" customHeight="1">
      <x:c r="A1368" s="2" t="str">
        <x:v>Q4VA93</x:v>
      </x:c>
      <x:c r="B1368" s="2" t="str">
        <x:v>ED</x:v>
      </x:c>
      <x:c r="C1368" s="2"/>
      <x:c r="D1368" s="2"/>
      <x:c r="E1368" s="10"/>
      <x:c r="F1368" s="11"/>
      <x:c r="G1368" s="11" t="n">
        <x:v>0</x:v>
      </x:c>
      <x:c r="H1368" s="11" t="n">
        <x:v>0</x:v>
      </x:c>
      <x:c r="I1368" s="11" t="n">
        <x:v>1</x:v>
      </x:c>
      <x:c r="J1368" s="11" t="n">
        <x:v>0</x:v>
      </x:c>
      <x:c r="K1368" s="11" t="n">
        <x:v>0</x:v>
      </x:c>
      <x:c r="L1368" s="11" t="n">
        <x:f>IF(B1368="NED",1,IF(OR(B1368="ED",B1368="UN"),0,""))</x:f>
        <x:v>0</x:v>
      </x:c>
      <x:c r="M1368" s="11" t="n">
        <x:f>IF(AND(K1368=1,OR(B1368="ED",B1368="NED")),1,0)</x:f>
        <x:v>0</x:v>
      </x:c>
      <x:c r="N1368" s="11" t="n">
        <x:f>IF(K1368=1,1,0)</x:f>
        <x:v>0</x:v>
      </x:c>
      <x:c r="O1368" s="12" t="str">
        <x:v>Require exact native accession match</x:v>
      </x:c>
      <x:c r="P1368" s="11" t="n">
        <x:v>0</x:v>
      </x:c>
      <x:c r="Q1368" s="12"/>
      <x:c r="R1368" s="12"/>
      <x:c r="S1368" s="11" t="n">
        <x:v>3170</x:v>
      </x:c>
      <x:c r="T1368" s="11" t="n">
        <x:v>672</x:v>
      </x:c>
    </x:row>
    <x:row r="1369" ht="23" customHeight="1">
      <x:c r="A1369" s="2" t="str">
        <x:v>Q4VAC9-2</x:v>
      </x:c>
      <x:c r="B1369" s="2" t="str">
        <x:v>ED</x:v>
      </x:c>
      <x:c r="C1369" s="2"/>
      <x:c r="D1369" s="2"/>
      <x:c r="E1369" s="10"/>
      <x:c r="F1369" s="11"/>
      <x:c r="G1369" s="11" t="n">
        <x:v>0</x:v>
      </x:c>
      <x:c r="H1369" s="11" t="n">
        <x:v>0</x:v>
      </x:c>
      <x:c r="I1369" s="11"/>
      <x:c r="J1369" s="11"/>
      <x:c r="K1369" s="11" t="n">
        <x:v>0</x:v>
      </x:c>
      <x:c r="L1369" s="11" t="n">
        <x:f>IF(B1369="NED",1,IF(OR(B1369="ED",B1369="UN"),0,""))</x:f>
        <x:v>0</x:v>
      </x:c>
      <x:c r="M1369" s="11" t="n">
        <x:f>IF(AND(K1369=1,OR(B1369="ED",B1369="NED")),1,0)</x:f>
        <x:v>0</x:v>
      </x:c>
      <x:c r="N1369" s="11" t="n">
        <x:f>IF(K1369=1,1,0)</x:f>
        <x:v>0</x:v>
      </x:c>
      <x:c r="O1369" s="12" t="str">
        <x:v>Require exact native accession match</x:v>
      </x:c>
      <x:c r="P1369" s="11" t="n">
        <x:v>0</x:v>
      </x:c>
      <x:c r="Q1369" s="12"/>
      <x:c r="R1369" s="12"/>
      <x:c r="S1369" s="11" t="n">
        <x:v>941</x:v>
      </x:c>
      <x:c r="T1369" s="11"/>
    </x:row>
    <x:row r="1370" ht="23" customHeight="1">
      <x:c r="A1370" s="2" t="str">
        <x:v>Q4VBE8</x:v>
      </x:c>
      <x:c r="B1370" s="2" t="str">
        <x:v>UN</x:v>
      </x:c>
      <x:c r="C1370" s="2" t="n">
        <x:v>1</x:v>
      </x:c>
      <x:c r="D1370" s="2" t="n">
        <x:v>1</x:v>
      </x:c>
      <x:c r="E1370" s="10" t="n">
        <x:v>84.96744779582367</x:v>
      </x:c>
      <x:c r="F1370" s="11" t="n">
        <x:v>431</x:v>
      </x:c>
      <x:c r="G1370" s="11" t="n">
        <x:v>0</x:v>
      </x:c>
      <x:c r="H1370" s="11" t="n">
        <x:v>0</x:v>
      </x:c>
      <x:c r="I1370" s="11" t="n">
        <x:v>0</x:v>
      </x:c>
      <x:c r="J1370" s="11" t="n">
        <x:v>0</x:v>
      </x:c>
      <x:c r="K1370" s="11" t="n">
        <x:v>1</x:v>
      </x:c>
      <x:c r="L1370" s="11" t="n">
        <x:f>IF(B1370="NED",1,IF(OR(B1370="ED",B1370="UN"),0,""))</x:f>
        <x:v>0</x:v>
      </x:c>
      <x:c r="M1370" s="11" t="n">
        <x:f>IF(AND(K1370=1,OR(B1370="ED",B1370="NED")),1,0)</x:f>
        <x:v>0</x:v>
      </x:c>
      <x:c r="N1370" s="11" t="n">
        <x:f>IF(K1370=1,1,0)</x:f>
        <x:v>1</x:v>
      </x:c>
      <x:c r="O1370" s="12"/>
      <x:c r="P1370" s="11" t="n">
        <x:v>0</x:v>
      </x:c>
      <x:c r="Q1370" s="12" t="str">
        <x:v>AF-Q4VBE8-F1-model_v6</x:v>
      </x:c>
      <x:c r="R1370" s="12" t="str">
        <x:v>ok</x:v>
      </x:c>
      <x:c r="S1370" s="11" t="n">
        <x:v>942</x:v>
      </x:c>
      <x:c r="T1370" s="11" t="n">
        <x:v>431</x:v>
      </x:c>
    </x:row>
    <x:row r="1371" ht="23" customHeight="1">
      <x:c r="A1371" s="2" t="str">
        <x:v>Q501J6</x:v>
      </x:c>
      <x:c r="B1371" s="2" t="str">
        <x:v>ED</x:v>
      </x:c>
      <x:c r="C1371" s="2" t="n">
        <x:v>1</x:v>
      </x:c>
      <x:c r="D1371" s="2" t="n">
        <x:v>1</x:v>
      </x:c>
      <x:c r="E1371" s="10" t="n">
        <x:v>75.47850769230769</x:v>
      </x:c>
      <x:c r="F1371" s="11" t="n">
        <x:v>650</x:v>
      </x:c>
      <x:c r="G1371" s="11" t="n">
        <x:v>0</x:v>
      </x:c>
      <x:c r="H1371" s="11" t="n">
        <x:v>0</x:v>
      </x:c>
      <x:c r="I1371" s="11" t="n">
        <x:v>0</x:v>
      </x:c>
      <x:c r="J1371" s="11" t="n">
        <x:v>0</x:v>
      </x:c>
      <x:c r="K1371" s="11" t="n">
        <x:v>1</x:v>
      </x:c>
      <x:c r="L1371" s="11" t="n">
        <x:f>IF(B1371="NED",1,IF(OR(B1371="ED",B1371="UN"),0,""))</x:f>
        <x:v>0</x:v>
      </x:c>
      <x:c r="M1371" s="11" t="n">
        <x:f>IF(AND(K1371=1,OR(B1371="ED",B1371="NED")),1,0)</x:f>
        <x:v>1</x:v>
      </x:c>
      <x:c r="N1371" s="11" t="n">
        <x:f>IF(K1371=1,1,0)</x:f>
        <x:v>1</x:v>
      </x:c>
      <x:c r="O1371" s="12"/>
      <x:c r="P1371" s="11" t="n">
        <x:v>0</x:v>
      </x:c>
      <x:c r="Q1371" s="12" t="str">
        <x:v>AF-Q501J6-F1-model_v6</x:v>
      </x:c>
      <x:c r="R1371" s="12" t="str">
        <x:v>ok</x:v>
      </x:c>
      <x:c r="S1371" s="11" t="n">
        <x:v>943</x:v>
      </x:c>
      <x:c r="T1371" s="11" t="n">
        <x:v>650</x:v>
      </x:c>
    </x:row>
    <x:row r="1372" ht="23" customHeight="1">
      <x:c r="A1372" s="2" t="str">
        <x:v>Q501J7-2</x:v>
      </x:c>
      <x:c r="B1372" s="2" t="str">
        <x:v>ED</x:v>
      </x:c>
      <x:c r="C1372" s="2"/>
      <x:c r="D1372" s="2"/>
      <x:c r="E1372" s="10"/>
      <x:c r="F1372" s="11"/>
      <x:c r="G1372" s="11" t="n">
        <x:v>0</x:v>
      </x:c>
      <x:c r="H1372" s="11" t="n">
        <x:v>0</x:v>
      </x:c>
      <x:c r="I1372" s="11"/>
      <x:c r="J1372" s="11"/>
      <x:c r="K1372" s="11" t="n">
        <x:v>0</x:v>
      </x:c>
      <x:c r="L1372" s="11" t="n">
        <x:f>IF(B1372="NED",1,IF(OR(B1372="ED",B1372="UN"),0,""))</x:f>
        <x:v>0</x:v>
      </x:c>
      <x:c r="M1372" s="11" t="n">
        <x:f>IF(AND(K1372=1,OR(B1372="ED",B1372="NED")),1,0)</x:f>
        <x:v>0</x:v>
      </x:c>
      <x:c r="N1372" s="11" t="n">
        <x:f>IF(K1372=1,1,0)</x:f>
        <x:v>0</x:v>
      </x:c>
      <x:c r="O1372" s="12" t="str">
        <x:v>Require exact native accession match</x:v>
      </x:c>
      <x:c r="P1372" s="11" t="n">
        <x:v>0</x:v>
      </x:c>
      <x:c r="Q1372" s="12"/>
      <x:c r="R1372" s="12"/>
      <x:c r="S1372" s="11" t="n">
        <x:v>944</x:v>
      </x:c>
      <x:c r="T1372" s="11"/>
    </x:row>
    <x:row r="1373" ht="23" customHeight="1">
      <x:c r="A1373" s="2" t="str">
        <x:v>Q505D1</x:v>
      </x:c>
      <x:c r="B1373" s="2" t="str">
        <x:v>ED</x:v>
      </x:c>
      <x:c r="C1373" s="2" t="n">
        <x:v>0</x:v>
      </x:c>
      <x:c r="D1373" s="2" t="n">
        <x:v>0</x:v>
      </x:c>
      <x:c r="E1373" s="10" t="n">
        <x:v>88.22893637226971</x:v>
      </x:c>
      <x:c r="F1373" s="11" t="n">
        <x:v>1053</x:v>
      </x:c>
      <x:c r="G1373" s="11" t="n">
        <x:v>0</x:v>
      </x:c>
      <x:c r="H1373" s="11" t="n">
        <x:v>0</x:v>
      </x:c>
      <x:c r="I1373" s="11" t="n">
        <x:v>0</x:v>
      </x:c>
      <x:c r="J1373" s="11" t="n">
        <x:v>0</x:v>
      </x:c>
      <x:c r="K1373" s="11" t="n">
        <x:v>1</x:v>
      </x:c>
      <x:c r="L1373" s="11" t="n">
        <x:f>IF(B1373="NED",1,IF(OR(B1373="ED",B1373="UN"),0,""))</x:f>
        <x:v>0</x:v>
      </x:c>
      <x:c r="M1373" s="11" t="n">
        <x:f>IF(AND(K1373=1,OR(B1373="ED",B1373="NED")),1,0)</x:f>
        <x:v>1</x:v>
      </x:c>
      <x:c r="N1373" s="11" t="n">
        <x:f>IF(K1373=1,1,0)</x:f>
        <x:v>1</x:v>
      </x:c>
      <x:c r="O1373" s="12"/>
      <x:c r="P1373" s="11" t="n">
        <x:v>0</x:v>
      </x:c>
      <x:c r="Q1373" s="12" t="str">
        <x:v>AF-Q505D1-F1-model_v6</x:v>
      </x:c>
      <x:c r="R1373" s="12" t="str">
        <x:v>ok</x:v>
      </x:c>
      <x:c r="S1373" s="11" t="n">
        <x:v>945</x:v>
      </x:c>
      <x:c r="T1373" s="11" t="n">
        <x:v>1053</x:v>
      </x:c>
    </x:row>
    <x:row r="1374" ht="23" customHeight="1">
      <x:c r="A1374" s="2" t="str">
        <x:v>Q505F1</x:v>
      </x:c>
      <x:c r="B1374" s="2" t="str">
        <x:v>ED</x:v>
      </x:c>
      <x:c r="C1374" s="2" t="n">
        <x:v>1</x:v>
      </x:c>
      <x:c r="D1374" s="2" t="n">
        <x:v>1</x:v>
      </x:c>
      <x:c r="E1374" s="10" t="n">
        <x:v>65.90594915254238</x:v>
      </x:c>
      <x:c r="F1374" s="11" t="n">
        <x:v>590</x:v>
      </x:c>
      <x:c r="G1374" s="11" t="n">
        <x:v>0</x:v>
      </x:c>
      <x:c r="H1374" s="11" t="n">
        <x:v>0</x:v>
      </x:c>
      <x:c r="I1374" s="11" t="n">
        <x:v>0</x:v>
      </x:c>
      <x:c r="J1374" s="11" t="n">
        <x:v>0</x:v>
      </x:c>
      <x:c r="K1374" s="11" t="n">
        <x:v>0</x:v>
      </x:c>
      <x:c r="L1374" s="11" t="n">
        <x:f>IF(B1374="NED",1,IF(OR(B1374="ED",B1374="UN"),0,""))</x:f>
        <x:v>0</x:v>
      </x:c>
      <x:c r="M1374" s="11" t="n">
        <x:f>IF(AND(K1374=1,OR(B1374="ED",B1374="NED")),1,0)</x:f>
        <x:v>0</x:v>
      </x:c>
      <x:c r="N1374" s="11" t="n">
        <x:f>IF(K1374=1,1,0)</x:f>
        <x:v>0</x:v>
      </x:c>
      <x:c r="O1374" s="12" t="str">
        <x:v>Retain protein mean pLDDT &gt;=70</x:v>
      </x:c>
      <x:c r="P1374" s="11" t="n">
        <x:v>0</x:v>
      </x:c>
      <x:c r="Q1374" s="12" t="str">
        <x:v>AF-Q505F1-F1-model_v6</x:v>
      </x:c>
      <x:c r="R1374" s="12" t="str">
        <x:v>ok</x:v>
      </x:c>
      <x:c r="S1374" s="11" t="n">
        <x:v>946</x:v>
      </x:c>
      <x:c r="T1374" s="11" t="n">
        <x:v>590</x:v>
      </x:c>
    </x:row>
    <x:row r="1375" ht="23" customHeight="1">
      <x:c r="A1375" s="2" t="str">
        <x:v>Q505F5</x:v>
      </x:c>
      <x:c r="B1375" s="2" t="str">
        <x:v>ED</x:v>
      </x:c>
      <x:c r="C1375" s="2" t="n">
        <x:v>1</x:v>
      </x:c>
      <x:c r="D1375" s="2" t="n">
        <x:v>1</x:v>
      </x:c>
      <x:c r="E1375" s="10" t="n">
        <x:v>80.92206540447505</x:v>
      </x:c>
      <x:c r="F1375" s="11" t="n">
        <x:v>581</x:v>
      </x:c>
      <x:c r="G1375" s="11" t="n">
        <x:v>0</x:v>
      </x:c>
      <x:c r="H1375" s="11" t="n">
        <x:v>0</x:v>
      </x:c>
      <x:c r="I1375" s="11" t="n">
        <x:v>0</x:v>
      </x:c>
      <x:c r="J1375" s="11" t="n">
        <x:v>0</x:v>
      </x:c>
      <x:c r="K1375" s="11" t="n">
        <x:v>1</x:v>
      </x:c>
      <x:c r="L1375" s="11" t="n">
        <x:f>IF(B1375="NED",1,IF(OR(B1375="ED",B1375="UN"),0,""))</x:f>
        <x:v>0</x:v>
      </x:c>
      <x:c r="M1375" s="11" t="n">
        <x:f>IF(AND(K1375=1,OR(B1375="ED",B1375="NED")),1,0)</x:f>
        <x:v>1</x:v>
      </x:c>
      <x:c r="N1375" s="11" t="n">
        <x:f>IF(K1375=1,1,0)</x:f>
        <x:v>1</x:v>
      </x:c>
      <x:c r="O1375" s="12"/>
      <x:c r="P1375" s="11" t="n">
        <x:v>0</x:v>
      </x:c>
      <x:c r="Q1375" s="12" t="str">
        <x:v>AF-Q505F5-F1-model_v6</x:v>
      </x:c>
      <x:c r="R1375" s="12" t="str">
        <x:v>ok</x:v>
      </x:c>
      <x:c r="S1375" s="11" t="n">
        <x:v>947</x:v>
      </x:c>
      <x:c r="T1375" s="11" t="n">
        <x:v>581</x:v>
      </x:c>
    </x:row>
    <x:row r="1376" ht="23" customHeight="1">
      <x:c r="A1376" s="2" t="str">
        <x:v>Q52KC3</x:v>
      </x:c>
      <x:c r="B1376" s="2" t="str">
        <x:v>UN</x:v>
      </x:c>
      <x:c r="C1376" s="2"/>
      <x:c r="D1376" s="2"/>
      <x:c r="E1376" s="10"/>
      <x:c r="F1376" s="11"/>
      <x:c r="G1376" s="11" t="n">
        <x:v>0</x:v>
      </x:c>
      <x:c r="H1376" s="11" t="n">
        <x:v>0</x:v>
      </x:c>
      <x:c r="I1376" s="11"/>
      <x:c r="J1376" s="11"/>
      <x:c r="K1376" s="11" t="n">
        <x:v>0</x:v>
      </x:c>
      <x:c r="L1376" s="11" t="n">
        <x:f>IF(B1376="NED",1,IF(OR(B1376="ED",B1376="UN"),0,""))</x:f>
        <x:v>0</x:v>
      </x:c>
      <x:c r="M1376" s="11" t="n">
        <x:f>IF(AND(K1376=1,OR(B1376="ED",B1376="NED")),1,0)</x:f>
        <x:v>0</x:v>
      </x:c>
      <x:c r="N1376" s="11" t="n">
        <x:f>IF(K1376=1,1,0)</x:f>
        <x:v>0</x:v>
      </x:c>
      <x:c r="O1376" s="12" t="str">
        <x:v>Require exact native accession match</x:v>
      </x:c>
      <x:c r="P1376" s="11" t="n">
        <x:v>0</x:v>
      </x:c>
      <x:c r="Q1376" s="12"/>
      <x:c r="R1376" s="12"/>
      <x:c r="S1376" s="11" t="n">
        <x:v>3171</x:v>
      </x:c>
      <x:c r="T1376" s="11"/>
    </x:row>
    <x:row r="1377" ht="23" customHeight="1">
      <x:c r="A1377" s="2" t="str">
        <x:v>Q52KE7</x:v>
      </x:c>
      <x:c r="B1377" s="2" t="str">
        <x:v>UN</x:v>
      </x:c>
      <x:c r="C1377" s="2" t="n">
        <x:v>1</x:v>
      </x:c>
      <x:c r="D1377" s="2" t="n">
        <x:v>1</x:v>
      </x:c>
      <x:c r="E1377" s="10" t="n">
        <x:v>67.53892857142857</x:v>
      </x:c>
      <x:c r="F1377" s="11" t="n">
        <x:v>532</x:v>
      </x:c>
      <x:c r="G1377" s="11" t="n">
        <x:v>0</x:v>
      </x:c>
      <x:c r="H1377" s="11" t="n">
        <x:v>0</x:v>
      </x:c>
      <x:c r="I1377" s="11" t="n">
        <x:v>0</x:v>
      </x:c>
      <x:c r="J1377" s="11" t="n">
        <x:v>0</x:v>
      </x:c>
      <x:c r="K1377" s="11" t="n">
        <x:v>0</x:v>
      </x:c>
      <x:c r="L1377" s="11" t="n">
        <x:f>IF(B1377="NED",1,IF(OR(B1377="ED",B1377="UN"),0,""))</x:f>
        <x:v>0</x:v>
      </x:c>
      <x:c r="M1377" s="11" t="n">
        <x:f>IF(AND(K1377=1,OR(B1377="ED",B1377="NED")),1,0)</x:f>
        <x:v>0</x:v>
      </x:c>
      <x:c r="N1377" s="11" t="n">
        <x:f>IF(K1377=1,1,0)</x:f>
        <x:v>0</x:v>
      </x:c>
      <x:c r="O1377" s="12" t="str">
        <x:v>Retain protein mean pLDDT &gt;=70</x:v>
      </x:c>
      <x:c r="P1377" s="11" t="n">
        <x:v>0</x:v>
      </x:c>
      <x:c r="Q1377" s="12" t="str">
        <x:v>AF-Q52KE7-F1-model_v6</x:v>
      </x:c>
      <x:c r="R1377" s="12" t="str">
        <x:v>ok</x:v>
      </x:c>
      <x:c r="S1377" s="11" t="n">
        <x:v>948</x:v>
      </x:c>
      <x:c r="T1377" s="11" t="n">
        <x:v>532</x:v>
      </x:c>
    </x:row>
    <x:row r="1378" ht="23" customHeight="1">
      <x:c r="A1378" s="2" t="str">
        <x:v>Q52KI8-2</x:v>
      </x:c>
      <x:c r="B1378" s="2" t="str">
        <x:v>UN</x:v>
      </x:c>
      <x:c r="C1378" s="2"/>
      <x:c r="D1378" s="2"/>
      <x:c r="E1378" s="10"/>
      <x:c r="F1378" s="11"/>
      <x:c r="G1378" s="11" t="n">
        <x:v>0</x:v>
      </x:c>
      <x:c r="H1378" s="11" t="n">
        <x:v>0</x:v>
      </x:c>
      <x:c r="I1378" s="11"/>
      <x:c r="J1378" s="11"/>
      <x:c r="K1378" s="11" t="n">
        <x:v>0</x:v>
      </x:c>
      <x:c r="L1378" s="11" t="n">
        <x:f>IF(B1378="NED",1,IF(OR(B1378="ED",B1378="UN"),0,""))</x:f>
        <x:v>0</x:v>
      </x:c>
      <x:c r="M1378" s="11" t="n">
        <x:f>IF(AND(K1378=1,OR(B1378="ED",B1378="NED")),1,0)</x:f>
        <x:v>0</x:v>
      </x:c>
      <x:c r="N1378" s="11" t="n">
        <x:f>IF(K1378=1,1,0)</x:f>
        <x:v>0</x:v>
      </x:c>
      <x:c r="O1378" s="12" t="str">
        <x:v>Require exact native accession match</x:v>
      </x:c>
      <x:c r="P1378" s="11" t="n">
        <x:v>0</x:v>
      </x:c>
      <x:c r="Q1378" s="12"/>
      <x:c r="R1378" s="12"/>
      <x:c r="S1378" s="11" t="n">
        <x:v>949</x:v>
      </x:c>
      <x:c r="T1378" s="11"/>
    </x:row>
    <x:row r="1379" ht="23" customHeight="1">
      <x:c r="A1379" s="2" t="str">
        <x:v>Q52KR3-6</x:v>
      </x:c>
      <x:c r="B1379" s="2" t="str">
        <x:v>ED</x:v>
      </x:c>
      <x:c r="C1379" s="2"/>
      <x:c r="D1379" s="2"/>
      <x:c r="E1379" s="10"/>
      <x:c r="F1379" s="11"/>
      <x:c r="G1379" s="11" t="n">
        <x:v>0</x:v>
      </x:c>
      <x:c r="H1379" s="11" t="n">
        <x:v>0</x:v>
      </x:c>
      <x:c r="I1379" s="11"/>
      <x:c r="J1379" s="11"/>
      <x:c r="K1379" s="11" t="n">
        <x:v>0</x:v>
      </x:c>
      <x:c r="L1379" s="11" t="n">
        <x:f>IF(B1379="NED",1,IF(OR(B1379="ED",B1379="UN"),0,""))</x:f>
        <x:v>0</x:v>
      </x:c>
      <x:c r="M1379" s="11" t="n">
        <x:f>IF(AND(K1379=1,OR(B1379="ED",B1379="NED")),1,0)</x:f>
        <x:v>0</x:v>
      </x:c>
      <x:c r="N1379" s="11" t="n">
        <x:f>IF(K1379=1,1,0)</x:f>
        <x:v>0</x:v>
      </x:c>
      <x:c r="O1379" s="12" t="str">
        <x:v>Require exact native accession match</x:v>
      </x:c>
      <x:c r="P1379" s="11" t="n">
        <x:v>0</x:v>
      </x:c>
      <x:c r="Q1379" s="12"/>
      <x:c r="R1379" s="12"/>
      <x:c r="S1379" s="11" t="n">
        <x:v>950</x:v>
      </x:c>
      <x:c r="T1379" s="11"/>
    </x:row>
    <x:row r="1380" ht="23" customHeight="1">
      <x:c r="A1380" s="2" t="str">
        <x:v>Q52L67</x:v>
      </x:c>
      <x:c r="B1380" s="2" t="str">
        <x:v>UN</x:v>
      </x:c>
      <x:c r="C1380" s="2"/>
      <x:c r="D1380" s="2"/>
      <x:c r="E1380" s="10"/>
      <x:c r="F1380" s="11"/>
      <x:c r="G1380" s="11" t="n">
        <x:v>0</x:v>
      </x:c>
      <x:c r="H1380" s="11" t="n">
        <x:v>0</x:v>
      </x:c>
      <x:c r="I1380" s="11" t="n">
        <x:v>1</x:v>
      </x:c>
      <x:c r="J1380" s="11" t="n">
        <x:v>0</x:v>
      </x:c>
      <x:c r="K1380" s="11" t="n">
        <x:v>0</x:v>
      </x:c>
      <x:c r="L1380" s="11" t="n">
        <x:f>IF(B1380="NED",1,IF(OR(B1380="ED",B1380="UN"),0,""))</x:f>
        <x:v>0</x:v>
      </x:c>
      <x:c r="M1380" s="11" t="n">
        <x:f>IF(AND(K1380=1,OR(B1380="ED",B1380="NED")),1,0)</x:f>
        <x:v>0</x:v>
      </x:c>
      <x:c r="N1380" s="11" t="n">
        <x:f>IF(K1380=1,1,0)</x:f>
        <x:v>0</x:v>
      </x:c>
      <x:c r="O1380" s="12" t="str">
        <x:v>Require exact native accession match</x:v>
      </x:c>
      <x:c r="P1380" s="11" t="n">
        <x:v>0</x:v>
      </x:c>
      <x:c r="Q1380" s="12"/>
      <x:c r="R1380" s="12"/>
      <x:c r="S1380" s="11" t="n">
        <x:v>3172</x:v>
      </x:c>
      <x:c r="T1380" s="11" t="n">
        <x:v>362</x:v>
      </x:c>
    </x:row>
    <x:row r="1381" ht="23" customHeight="1">
      <x:c r="A1381" s="2" t="str">
        <x:v>Q543K9</x:v>
      </x:c>
      <x:c r="B1381" s="2" t="str">
        <x:v>UN</x:v>
      </x:c>
      <x:c r="C1381" s="2"/>
      <x:c r="D1381" s="2"/>
      <x:c r="E1381" s="10"/>
      <x:c r="F1381" s="11"/>
      <x:c r="G1381" s="11" t="n">
        <x:v>0</x:v>
      </x:c>
      <x:c r="H1381" s="11" t="n">
        <x:v>0</x:v>
      </x:c>
      <x:c r="I1381" s="11" t="n">
        <x:v>0</x:v>
      </x:c>
      <x:c r="J1381" s="11" t="n">
        <x:v>0</x:v>
      </x:c>
      <x:c r="K1381" s="11" t="n">
        <x:v>0</x:v>
      </x:c>
      <x:c r="L1381" s="11" t="n">
        <x:f>IF(B1381="NED",1,IF(OR(B1381="ED",B1381="UN"),0,""))</x:f>
        <x:v>0</x:v>
      </x:c>
      <x:c r="M1381" s="11" t="n">
        <x:f>IF(AND(K1381=1,OR(B1381="ED",B1381="NED")),1,0)</x:f>
        <x:v>0</x:v>
      </x:c>
      <x:c r="N1381" s="11" t="n">
        <x:f>IF(K1381=1,1,0)</x:f>
        <x:v>0</x:v>
      </x:c>
      <x:c r="O1381" s="12" t="str">
        <x:v>Require exact native accession match</x:v>
      </x:c>
      <x:c r="P1381" s="11" t="n">
        <x:v>0</x:v>
      </x:c>
      <x:c r="Q1381" s="12"/>
      <x:c r="R1381" s="12"/>
      <x:c r="S1381" s="11" t="n">
        <x:v>3173</x:v>
      </x:c>
      <x:c r="T1381" s="11" t="n">
        <x:v>289</x:v>
      </x:c>
    </x:row>
    <x:row r="1382" ht="23" customHeight="1">
      <x:c r="A1382" s="2" t="str">
        <x:v>Q569Z5</x:v>
      </x:c>
      <x:c r="B1382" s="2" t="str">
        <x:v>ED</x:v>
      </x:c>
      <x:c r="C1382" s="2" t="n">
        <x:v>1</x:v>
      </x:c>
      <x:c r="D1382" s="2" t="n">
        <x:v>1</x:v>
      </x:c>
      <x:c r="E1382" s="10" t="n">
        <x:v>67.87976744186047</x:v>
      </x:c>
      <x:c r="F1382" s="11" t="n">
        <x:v>1032</x:v>
      </x:c>
      <x:c r="G1382" s="11" t="n">
        <x:v>0</x:v>
      </x:c>
      <x:c r="H1382" s="11" t="n">
        <x:v>0</x:v>
      </x:c>
      <x:c r="I1382" s="11" t="n">
        <x:v>0</x:v>
      </x:c>
      <x:c r="J1382" s="11" t="n">
        <x:v>0</x:v>
      </x:c>
      <x:c r="K1382" s="11" t="n">
        <x:v>0</x:v>
      </x:c>
      <x:c r="L1382" s="11" t="n">
        <x:f>IF(B1382="NED",1,IF(OR(B1382="ED",B1382="UN"),0,""))</x:f>
        <x:v>0</x:v>
      </x:c>
      <x:c r="M1382" s="11" t="n">
        <x:f>IF(AND(K1382=1,OR(B1382="ED",B1382="NED")),1,0)</x:f>
        <x:v>0</x:v>
      </x:c>
      <x:c r="N1382" s="11" t="n">
        <x:f>IF(K1382=1,1,0)</x:f>
        <x:v>0</x:v>
      </x:c>
      <x:c r="O1382" s="12" t="str">
        <x:v>Retain protein mean pLDDT &gt;=70</x:v>
      </x:c>
      <x:c r="P1382" s="11" t="n">
        <x:v>0</x:v>
      </x:c>
      <x:c r="Q1382" s="12" t="str">
        <x:v>AF-Q569Z5-F1-model_v6</x:v>
      </x:c>
      <x:c r="R1382" s="12" t="str">
        <x:v>ok</x:v>
      </x:c>
      <x:c r="S1382" s="11" t="n">
        <x:v>951</x:v>
      </x:c>
      <x:c r="T1382" s="11" t="n">
        <x:v>1032</x:v>
      </x:c>
    </x:row>
    <x:row r="1383" ht="23" customHeight="1">
      <x:c r="A1383" s="2" t="str">
        <x:v>Q569Z6</x:v>
      </x:c>
      <x:c r="B1383" s="2" t="str">
        <x:v>UN</x:v>
      </x:c>
      <x:c r="C1383" s="2" t="n">
        <x:v>0</x:v>
      </x:c>
      <x:c r="D1383" s="2" t="n">
        <x:v>0</x:v>
      </x:c>
      <x:c r="E1383" s="10" t="n">
        <x:v>46.31914826498423</x:v>
      </x:c>
      <x:c r="F1383" s="11" t="n">
        <x:v>951</x:v>
      </x:c>
      <x:c r="G1383" s="11" t="n">
        <x:v>0</x:v>
      </x:c>
      <x:c r="H1383" s="11" t="n">
        <x:v>0</x:v>
      </x:c>
      <x:c r="I1383" s="11" t="n">
        <x:v>0</x:v>
      </x:c>
      <x:c r="J1383" s="11" t="n">
        <x:v>0</x:v>
      </x:c>
      <x:c r="K1383" s="11" t="n">
        <x:v>0</x:v>
      </x:c>
      <x:c r="L1383" s="11" t="n">
        <x:f>IF(B1383="NED",1,IF(OR(B1383="ED",B1383="UN"),0,""))</x:f>
        <x:v>0</x:v>
      </x:c>
      <x:c r="M1383" s="11" t="n">
        <x:f>IF(AND(K1383=1,OR(B1383="ED",B1383="NED")),1,0)</x:f>
        <x:v>0</x:v>
      </x:c>
      <x:c r="N1383" s="11" t="n">
        <x:f>IF(K1383=1,1,0)</x:f>
        <x:v>0</x:v>
      </x:c>
      <x:c r="O1383" s="12" t="str">
        <x:v>Retain protein mean pLDDT &gt;=70</x:v>
      </x:c>
      <x:c r="P1383" s="11" t="n">
        <x:v>0</x:v>
      </x:c>
      <x:c r="Q1383" s="12" t="str">
        <x:v>AF-Q569Z6-F1-model_v6</x:v>
      </x:c>
      <x:c r="R1383" s="12" t="str">
        <x:v>ok</x:v>
      </x:c>
      <x:c r="S1383" s="11" t="n">
        <x:v>952</x:v>
      </x:c>
      <x:c r="T1383" s="11" t="n">
        <x:v>951</x:v>
      </x:c>
    </x:row>
    <x:row r="1384" ht="23" customHeight="1">
      <x:c r="A1384" s="2" t="str">
        <x:v>Q571H0</x:v>
      </x:c>
      <x:c r="B1384" s="2" t="str">
        <x:v>NED</x:v>
      </x:c>
      <x:c r="C1384" s="2" t="n">
        <x:v>1</x:v>
      </x:c>
      <x:c r="D1384" s="2" t="n">
        <x:v>1</x:v>
      </x:c>
      <x:c r="E1384" s="10" t="n">
        <x:v>76.82419525065963</x:v>
      </x:c>
      <x:c r="F1384" s="11" t="n">
        <x:v>2274</x:v>
      </x:c>
      <x:c r="G1384" s="11" t="n">
        <x:v>0</x:v>
      </x:c>
      <x:c r="H1384" s="11" t="n">
        <x:v>0</x:v>
      </x:c>
      <x:c r="I1384" s="11" t="n">
        <x:v>0</x:v>
      </x:c>
      <x:c r="J1384" s="11" t="n">
        <x:v>0</x:v>
      </x:c>
      <x:c r="K1384" s="11" t="n">
        <x:v>1</x:v>
      </x:c>
      <x:c r="L1384" s="11" t="n">
        <x:f>IF(B1384="NED",1,IF(OR(B1384="ED",B1384="UN"),0,""))</x:f>
        <x:v>1</x:v>
      </x:c>
      <x:c r="M1384" s="11" t="n">
        <x:f>IF(AND(K1384=1,OR(B1384="ED",B1384="NED")),1,0)</x:f>
        <x:v>1</x:v>
      </x:c>
      <x:c r="N1384" s="11" t="n">
        <x:f>IF(K1384=1,1,0)</x:f>
        <x:v>1</x:v>
      </x:c>
      <x:c r="O1384" s="12"/>
      <x:c r="P1384" s="11" t="n">
        <x:v>0</x:v>
      </x:c>
      <x:c r="Q1384" s="12" t="str">
        <x:v>AF-Q571H0-F1-model_v6</x:v>
      </x:c>
      <x:c r="R1384" s="12" t="str">
        <x:v>ok</x:v>
      </x:c>
      <x:c r="S1384" s="11" t="n">
        <x:v>953</x:v>
      </x:c>
      <x:c r="T1384" s="11" t="n">
        <x:v>2274</x:v>
      </x:c>
    </x:row>
    <x:row r="1385" ht="23" customHeight="1">
      <x:c r="A1385" s="2" t="str">
        <x:v>Q58A65-2</x:v>
      </x:c>
      <x:c r="B1385" s="2" t="str">
        <x:v>ED</x:v>
      </x:c>
      <x:c r="C1385" s="2"/>
      <x:c r="D1385" s="2"/>
      <x:c r="E1385" s="10"/>
      <x:c r="F1385" s="11"/>
      <x:c r="G1385" s="11" t="n">
        <x:v>0</x:v>
      </x:c>
      <x:c r="H1385" s="11" t="n">
        <x:v>0</x:v>
      </x:c>
      <x:c r="I1385" s="11"/>
      <x:c r="J1385" s="11"/>
      <x:c r="K1385" s="11" t="n">
        <x:v>0</x:v>
      </x:c>
      <x:c r="L1385" s="11" t="n">
        <x:f>IF(B1385="NED",1,IF(OR(B1385="ED",B1385="UN"),0,""))</x:f>
        <x:v>0</x:v>
      </x:c>
      <x:c r="M1385" s="11" t="n">
        <x:f>IF(AND(K1385=1,OR(B1385="ED",B1385="NED")),1,0)</x:f>
        <x:v>0</x:v>
      </x:c>
      <x:c r="N1385" s="11" t="n">
        <x:f>IF(K1385=1,1,0)</x:f>
        <x:v>0</x:v>
      </x:c>
      <x:c r="O1385" s="12" t="str">
        <x:v>Require exact native accession match</x:v>
      </x:c>
      <x:c r="P1385" s="11" t="n">
        <x:v>0</x:v>
      </x:c>
      <x:c r="Q1385" s="12"/>
      <x:c r="R1385" s="12"/>
      <x:c r="S1385" s="11" t="n">
        <x:v>954</x:v>
      </x:c>
      <x:c r="T1385" s="11"/>
    </x:row>
    <x:row r="1386" ht="23" customHeight="1">
      <x:c r="A1386" s="2" t="str">
        <x:v>Q5DTM8</x:v>
      </x:c>
      <x:c r="B1386" s="2" t="str">
        <x:v>UN</x:v>
      </x:c>
      <x:c r="C1386" s="2" t="n">
        <x:v>0</x:v>
      </x:c>
      <x:c r="D1386" s="2" t="n">
        <x:v>0</x:v>
      </x:c>
      <x:c r="E1386" s="10" t="n">
        <x:v>74.90014388489209</x:v>
      </x:c>
      <x:c r="F1386" s="11" t="n">
        <x:v>973</x:v>
      </x:c>
      <x:c r="G1386" s="11" t="n">
        <x:v>0</x:v>
      </x:c>
      <x:c r="H1386" s="11" t="n">
        <x:v>0</x:v>
      </x:c>
      <x:c r="I1386" s="11" t="n">
        <x:v>0</x:v>
      </x:c>
      <x:c r="J1386" s="11" t="n">
        <x:v>0</x:v>
      </x:c>
      <x:c r="K1386" s="11" t="n">
        <x:v>1</x:v>
      </x:c>
      <x:c r="L1386" s="11" t="n">
        <x:f>IF(B1386="NED",1,IF(OR(B1386="ED",B1386="UN"),0,""))</x:f>
        <x:v>0</x:v>
      </x:c>
      <x:c r="M1386" s="11" t="n">
        <x:f>IF(AND(K1386=1,OR(B1386="ED",B1386="NED")),1,0)</x:f>
        <x:v>0</x:v>
      </x:c>
      <x:c r="N1386" s="11" t="n">
        <x:f>IF(K1386=1,1,0)</x:f>
        <x:v>1</x:v>
      </x:c>
      <x:c r="O1386" s="12"/>
      <x:c r="P1386" s="11" t="n">
        <x:v>0</x:v>
      </x:c>
      <x:c r="Q1386" s="12" t="str">
        <x:v>AF-Q5DTM8-F1-model_v6</x:v>
      </x:c>
      <x:c r="R1386" s="12" t="str">
        <x:v>ok</x:v>
      </x:c>
      <x:c r="S1386" s="11" t="n">
        <x:v>955</x:v>
      </x:c>
      <x:c r="T1386" s="11" t="n">
        <x:v>973</x:v>
      </x:c>
    </x:row>
    <x:row r="1387" ht="23" customHeight="1">
      <x:c r="A1387" s="2" t="str">
        <x:v>Q5DTT3</x:v>
      </x:c>
      <x:c r="B1387" s="2" t="str">
        <x:v>ED</x:v>
      </x:c>
      <x:c r="C1387" s="2" t="n">
        <x:v>1</x:v>
      </x:c>
      <x:c r="D1387" s="2" t="n">
        <x:v>1</x:v>
      </x:c>
      <x:c r="E1387" s="10"/>
      <x:c r="F1387" s="11" t="n">
        <x:v>2382</x:v>
      </x:c>
      <x:c r="G1387" s="11" t="n">
        <x:v>1</x:v>
      </x:c>
      <x:c r="H1387" s="11" t="n">
        <x:v>0</x:v>
      </x:c>
      <x:c r="I1387" s="11" t="n">
        <x:v>0</x:v>
      </x:c>
      <x:c r="J1387" s="11" t="n">
        <x:v>0</x:v>
      </x:c>
      <x:c r="K1387" s="11" t="n">
        <x:v>0</x:v>
      </x:c>
      <x:c r="L1387" s="11" t="n">
        <x:f>IF(B1387="NED",1,IF(OR(B1387="ED",B1387="UN"),0,""))</x:f>
        <x:v>0</x:v>
      </x:c>
      <x:c r="M1387" s="11" t="n">
        <x:f>IF(AND(K1387=1,OR(B1387="ED",B1387="NED")),1,0)</x:f>
        <x:v>0</x:v>
      </x:c>
      <x:c r="N1387" s="11" t="n">
        <x:f>IF(K1387=1,1,0)</x:f>
        <x:v>0</x:v>
      </x:c>
      <x:c r="O1387" s="12" t="str">
        <x:v>Exclude supplied knotted proteins</x:v>
      </x:c>
      <x:c r="P1387" s="11" t="n">
        <x:v>0</x:v>
      </x:c>
      <x:c r="Q1387" s="12" t="str">
        <x:v>AF-Q5DTT3-F1-model_v6</x:v>
      </x:c>
      <x:c r="R1387" s="12" t="str">
        <x:v>ok</x:v>
      </x:c>
      <x:c r="S1387" s="11" t="n">
        <x:v>956</x:v>
      </x:c>
      <x:c r="T1387" s="11" t="n">
        <x:v>2382</x:v>
      </x:c>
    </x:row>
    <x:row r="1388" ht="23" customHeight="1">
      <x:c r="A1388" s="2" t="str">
        <x:v>Q5DW34-2</x:v>
      </x:c>
      <x:c r="B1388" s="2" t="str">
        <x:v>ED</x:v>
      </x:c>
      <x:c r="C1388" s="2"/>
      <x:c r="D1388" s="2"/>
      <x:c r="E1388" s="10"/>
      <x:c r="F1388" s="11"/>
      <x:c r="G1388" s="11" t="n">
        <x:v>0</x:v>
      </x:c>
      <x:c r="H1388" s="11" t="n">
        <x:v>0</x:v>
      </x:c>
      <x:c r="I1388" s="11"/>
      <x:c r="J1388" s="11"/>
      <x:c r="K1388" s="11" t="n">
        <x:v>0</x:v>
      </x:c>
      <x:c r="L1388" s="11" t="n">
        <x:f>IF(B1388="NED",1,IF(OR(B1388="ED",B1388="UN"),0,""))</x:f>
        <x:v>0</x:v>
      </x:c>
      <x:c r="M1388" s="11" t="n">
        <x:f>IF(AND(K1388=1,OR(B1388="ED",B1388="NED")),1,0)</x:f>
        <x:v>0</x:v>
      </x:c>
      <x:c r="N1388" s="11" t="n">
        <x:f>IF(K1388=1,1,0)</x:f>
        <x:v>0</x:v>
      </x:c>
      <x:c r="O1388" s="12" t="str">
        <x:v>Require exact native accession match</x:v>
      </x:c>
      <x:c r="P1388" s="11" t="n">
        <x:v>0</x:v>
      </x:c>
      <x:c r="Q1388" s="12"/>
      <x:c r="R1388" s="12"/>
      <x:c r="S1388" s="11" t="n">
        <x:v>957</x:v>
      </x:c>
      <x:c r="T1388" s="11"/>
    </x:row>
    <x:row r="1389" ht="23" customHeight="1">
      <x:c r="A1389" s="2" t="str">
        <x:v>Q5EG47</x:v>
      </x:c>
      <x:c r="B1389" s="2" t="str">
        <x:v>UN</x:v>
      </x:c>
      <x:c r="C1389" s="2" t="n">
        <x:v>1</x:v>
      </x:c>
      <x:c r="D1389" s="2" t="n">
        <x:v>1</x:v>
      </x:c>
      <x:c r="E1389" s="10" t="n">
        <x:v>79.48758497316636</x:v>
      </x:c>
      <x:c r="F1389" s="11" t="n">
        <x:v>559</x:v>
      </x:c>
      <x:c r="G1389" s="11" t="n">
        <x:v>0</x:v>
      </x:c>
      <x:c r="H1389" s="11" t="n">
        <x:v>0</x:v>
      </x:c>
      <x:c r="I1389" s="11" t="n">
        <x:v>0</x:v>
      </x:c>
      <x:c r="J1389" s="11" t="n">
        <x:v>0</x:v>
      </x:c>
      <x:c r="K1389" s="11" t="n">
        <x:v>1</x:v>
      </x:c>
      <x:c r="L1389" s="11" t="n">
        <x:f>IF(B1389="NED",1,IF(OR(B1389="ED",B1389="UN"),0,""))</x:f>
        <x:v>0</x:v>
      </x:c>
      <x:c r="M1389" s="11" t="n">
        <x:f>IF(AND(K1389=1,OR(B1389="ED",B1389="NED")),1,0)</x:f>
        <x:v>0</x:v>
      </x:c>
      <x:c r="N1389" s="11" t="n">
        <x:f>IF(K1389=1,1,0)</x:f>
        <x:v>1</x:v>
      </x:c>
      <x:c r="O1389" s="12"/>
      <x:c r="P1389" s="11" t="n">
        <x:v>0</x:v>
      </x:c>
      <x:c r="Q1389" s="12" t="str">
        <x:v>AF-Q5EG47-F1-model_v6</x:v>
      </x:c>
      <x:c r="R1389" s="12" t="str">
        <x:v>ok</x:v>
      </x:c>
      <x:c r="S1389" s="11" t="n">
        <x:v>958</x:v>
      </x:c>
      <x:c r="T1389" s="11" t="n">
        <x:v>559</x:v>
      </x:c>
    </x:row>
    <x:row r="1390" ht="23" customHeight="1">
      <x:c r="A1390" s="2" t="str">
        <x:v>Q5F258</x:v>
      </x:c>
      <x:c r="B1390" s="2" t="str">
        <x:v>ED</x:v>
      </x:c>
      <x:c r="C1390" s="2"/>
      <x:c r="D1390" s="2"/>
      <x:c r="E1390" s="10"/>
      <x:c r="F1390" s="11"/>
      <x:c r="G1390" s="11" t="n">
        <x:v>0</x:v>
      </x:c>
      <x:c r="H1390" s="11" t="n">
        <x:v>0</x:v>
      </x:c>
      <x:c r="I1390" s="11" t="n">
        <x:v>0</x:v>
      </x:c>
      <x:c r="J1390" s="11" t="n">
        <x:v>0</x:v>
      </x:c>
      <x:c r="K1390" s="11" t="n">
        <x:v>0</x:v>
      </x:c>
      <x:c r="L1390" s="11" t="n">
        <x:f>IF(B1390="NED",1,IF(OR(B1390="ED",B1390="UN"),0,""))</x:f>
        <x:v>0</x:v>
      </x:c>
      <x:c r="M1390" s="11" t="n">
        <x:f>IF(AND(K1390=1,OR(B1390="ED",B1390="NED")),1,0)</x:f>
        <x:v>0</x:v>
      </x:c>
      <x:c r="N1390" s="11" t="n">
        <x:f>IF(K1390=1,1,0)</x:f>
        <x:v>0</x:v>
      </x:c>
      <x:c r="O1390" s="12" t="str">
        <x:v>Require exact native accession match</x:v>
      </x:c>
      <x:c r="P1390" s="11" t="n">
        <x:v>0</x:v>
      </x:c>
      <x:c r="Q1390" s="12"/>
      <x:c r="R1390" s="12"/>
      <x:c r="S1390" s="11" t="n">
        <x:v>3174</x:v>
      </x:c>
      <x:c r="T1390" s="11" t="n">
        <x:v>761</x:v>
      </x:c>
    </x:row>
    <x:row r="1391" ht="23" customHeight="1">
      <x:c r="A1391" s="2" t="str">
        <x:v>Q5F2E8</x:v>
      </x:c>
      <x:c r="B1391" s="2" t="str">
        <x:v>ED</x:v>
      </x:c>
      <x:c r="C1391" s="2" t="n">
        <x:v>1</x:v>
      </x:c>
      <x:c r="D1391" s="2" t="n">
        <x:v>1</x:v>
      </x:c>
      <x:c r="E1391" s="10" t="n">
        <x:v>76.14592407592409</x:v>
      </x:c>
      <x:c r="F1391" s="11" t="n">
        <x:v>1001</x:v>
      </x:c>
      <x:c r="G1391" s="11" t="n">
        <x:v>0</x:v>
      </x:c>
      <x:c r="H1391" s="11" t="n">
        <x:v>0</x:v>
      </x:c>
      <x:c r="I1391" s="11" t="n">
        <x:v>0</x:v>
      </x:c>
      <x:c r="J1391" s="11" t="n">
        <x:v>0</x:v>
      </x:c>
      <x:c r="K1391" s="11" t="n">
        <x:v>1</x:v>
      </x:c>
      <x:c r="L1391" s="11" t="n">
        <x:f>IF(B1391="NED",1,IF(OR(B1391="ED",B1391="UN"),0,""))</x:f>
        <x:v>0</x:v>
      </x:c>
      <x:c r="M1391" s="11" t="n">
        <x:f>IF(AND(K1391=1,OR(B1391="ED",B1391="NED")),1,0)</x:f>
        <x:v>1</x:v>
      </x:c>
      <x:c r="N1391" s="11" t="n">
        <x:f>IF(K1391=1,1,0)</x:f>
        <x:v>1</x:v>
      </x:c>
      <x:c r="O1391" s="12"/>
      <x:c r="P1391" s="11" t="n">
        <x:v>0</x:v>
      </x:c>
      <x:c r="Q1391" s="12" t="str">
        <x:v>AF-Q5F2E8-F1-model_v6</x:v>
      </x:c>
      <x:c r="R1391" s="12" t="str">
        <x:v>ok</x:v>
      </x:c>
      <x:c r="S1391" s="11" t="n">
        <x:v>959</x:v>
      </x:c>
      <x:c r="T1391" s="11" t="n">
        <x:v>1001</x:v>
      </x:c>
    </x:row>
    <x:row r="1392" ht="23" customHeight="1">
      <x:c r="A1392" s="2" t="str">
        <x:v>Q5FWI3</x:v>
      </x:c>
      <x:c r="B1392" s="2" t="str">
        <x:v>ED</x:v>
      </x:c>
      <x:c r="C1392" s="2" t="n">
        <x:v>1</x:v>
      </x:c>
      <x:c r="D1392" s="2" t="n">
        <x:v>1</x:v>
      </x:c>
      <x:c r="E1392" s="10"/>
      <x:c r="F1392" s="11" t="n">
        <x:v>1383</x:v>
      </x:c>
      <x:c r="G1392" s="11" t="n">
        <x:v>0</x:v>
      </x:c>
      <x:c r="H1392" s="11" t="n">
        <x:v>1</x:v>
      </x:c>
      <x:c r="I1392" s="11" t="n">
        <x:v>1</x:v>
      </x:c>
      <x:c r="J1392" s="11" t="n">
        <x:v>0</x:v>
      </x:c>
      <x:c r="K1392" s="11" t="n">
        <x:v>0</x:v>
      </x:c>
      <x:c r="L1392" s="11" t="n">
        <x:f>IF(B1392="NED",1,IF(OR(B1392="ED",B1392="UN"),0,""))</x:f>
        <x:v>0</x:v>
      </x:c>
      <x:c r="M1392" s="11" t="n">
        <x:f>IF(AND(K1392=1,OR(B1392="ED",B1392="NED")),1,0)</x:f>
        <x:v>0</x:v>
      </x:c>
      <x:c r="N1392" s="11" t="n">
        <x:f>IF(K1392=1,1,0)</x:f>
        <x:v>0</x:v>
      </x:c>
      <x:c r="O1392" s="12" t="str">
        <x:v>Exclude supplied or detected covalent lassos</x:v>
      </x:c>
      <x:c r="P1392" s="11" t="n">
        <x:v>0</x:v>
      </x:c>
      <x:c r="Q1392" s="12" t="str">
        <x:v>AF-Q5FWI3-F1-model_v6</x:v>
      </x:c>
      <x:c r="R1392" s="12" t="str">
        <x:v>ok</x:v>
      </x:c>
      <x:c r="S1392" s="11" t="n">
        <x:v>960</x:v>
      </x:c>
      <x:c r="T1392" s="11" t="n">
        <x:v>1383</x:v>
      </x:c>
    </x:row>
    <x:row r="1393" ht="23" customHeight="1">
      <x:c r="A1393" s="2" t="str">
        <x:v>Q5FWK3</x:v>
      </x:c>
      <x:c r="B1393" s="2" t="str">
        <x:v>ED</x:v>
      </x:c>
      <x:c r="C1393" s="2" t="n">
        <x:v>1</x:v>
      </x:c>
      <x:c r="D1393" s="2" t="n">
        <x:v>1</x:v>
      </x:c>
      <x:c r="E1393" s="10" t="n">
        <x:v>82.04259681093393</x:v>
      </x:c>
      <x:c r="F1393" s="11" t="n">
        <x:v>439</x:v>
      </x:c>
      <x:c r="G1393" s="11" t="n">
        <x:v>0</x:v>
      </x:c>
      <x:c r="H1393" s="11" t="n">
        <x:v>0</x:v>
      </x:c>
      <x:c r="I1393" s="11" t="n">
        <x:v>0</x:v>
      </x:c>
      <x:c r="J1393" s="11" t="n">
        <x:v>0</x:v>
      </x:c>
      <x:c r="K1393" s="11" t="n">
        <x:v>1</x:v>
      </x:c>
      <x:c r="L1393" s="11" t="n">
        <x:f>IF(B1393="NED",1,IF(OR(B1393="ED",B1393="UN"),0,""))</x:f>
        <x:v>0</x:v>
      </x:c>
      <x:c r="M1393" s="11" t="n">
        <x:f>IF(AND(K1393=1,OR(B1393="ED",B1393="NED")),1,0)</x:f>
        <x:v>1</x:v>
      </x:c>
      <x:c r="N1393" s="11" t="n">
        <x:f>IF(K1393=1,1,0)</x:f>
        <x:v>1</x:v>
      </x:c>
      <x:c r="O1393" s="12"/>
      <x:c r="P1393" s="11" t="n">
        <x:v>0</x:v>
      </x:c>
      <x:c r="Q1393" s="12" t="str">
        <x:v>AF-Q5FWK3-F1-model_v6</x:v>
      </x:c>
      <x:c r="R1393" s="12" t="str">
        <x:v>ok</x:v>
      </x:c>
      <x:c r="S1393" s="11" t="n">
        <x:v>961</x:v>
      </x:c>
      <x:c r="T1393" s="11" t="n">
        <x:v>439</x:v>
      </x:c>
    </x:row>
    <x:row r="1394" ht="23" customHeight="1">
      <x:c r="A1394" s="2" t="str">
        <x:v>Q5H8C4-2</x:v>
      </x:c>
      <x:c r="B1394" s="2" t="str">
        <x:v>ED</x:v>
      </x:c>
      <x:c r="C1394" s="2"/>
      <x:c r="D1394" s="2"/>
      <x:c r="E1394" s="10"/>
      <x:c r="F1394" s="11"/>
      <x:c r="G1394" s="11" t="n">
        <x:v>0</x:v>
      </x:c>
      <x:c r="H1394" s="11" t="n">
        <x:v>0</x:v>
      </x:c>
      <x:c r="I1394" s="11"/>
      <x:c r="J1394" s="11"/>
      <x:c r="K1394" s="11" t="n">
        <x:v>0</x:v>
      </x:c>
      <x:c r="L1394" s="11" t="n">
        <x:f>IF(B1394="NED",1,IF(OR(B1394="ED",B1394="UN"),0,""))</x:f>
        <x:v>0</x:v>
      </x:c>
      <x:c r="M1394" s="11" t="n">
        <x:f>IF(AND(K1394=1,OR(B1394="ED",B1394="NED")),1,0)</x:f>
        <x:v>0</x:v>
      </x:c>
      <x:c r="N1394" s="11" t="n">
        <x:f>IF(K1394=1,1,0)</x:f>
        <x:v>0</x:v>
      </x:c>
      <x:c r="O1394" s="12" t="str">
        <x:v>Require exact native accession match</x:v>
      </x:c>
      <x:c r="P1394" s="11" t="n">
        <x:v>0</x:v>
      </x:c>
      <x:c r="Q1394" s="12"/>
      <x:c r="R1394" s="12"/>
      <x:c r="S1394" s="11" t="n">
        <x:v>962</x:v>
      </x:c>
      <x:c r="T1394" s="11"/>
    </x:row>
    <x:row r="1395" ht="23" customHeight="1">
      <x:c r="A1395" s="2" t="str">
        <x:v>Q5JC28</x:v>
      </x:c>
      <x:c r="B1395" s="2" t="str">
        <x:v>ED</x:v>
      </x:c>
      <x:c r="C1395" s="2"/>
      <x:c r="D1395" s="2"/>
      <x:c r="E1395" s="10"/>
      <x:c r="F1395" s="11"/>
      <x:c r="G1395" s="11" t="n">
        <x:v>0</x:v>
      </x:c>
      <x:c r="H1395" s="11" t="n">
        <x:v>0</x:v>
      </x:c>
      <x:c r="I1395" s="11" t="n">
        <x:v>1</x:v>
      </x:c>
      <x:c r="J1395" s="11" t="n">
        <x:v>0</x:v>
      </x:c>
      <x:c r="K1395" s="11" t="n">
        <x:v>0</x:v>
      </x:c>
      <x:c r="L1395" s="11" t="n">
        <x:f>IF(B1395="NED",1,IF(OR(B1395="ED",B1395="UN"),0,""))</x:f>
        <x:v>0</x:v>
      </x:c>
      <x:c r="M1395" s="11" t="n">
        <x:f>IF(AND(K1395=1,OR(B1395="ED",B1395="NED")),1,0)</x:f>
        <x:v>0</x:v>
      </x:c>
      <x:c r="N1395" s="11" t="n">
        <x:f>IF(K1395=1,1,0)</x:f>
        <x:v>0</x:v>
      </x:c>
      <x:c r="O1395" s="12" t="str">
        <x:v>Require exact native accession match</x:v>
      </x:c>
      <x:c r="P1395" s="11" t="n">
        <x:v>0</x:v>
      </x:c>
      <x:c r="Q1395" s="12"/>
      <x:c r="R1395" s="12"/>
      <x:c r="S1395" s="11" t="n">
        <x:v>3175</x:v>
      </x:c>
      <x:c r="T1395" s="11" t="n">
        <x:v>793</x:v>
      </x:c>
    </x:row>
    <x:row r="1396" ht="23" customHeight="1">
      <x:c r="A1396" s="2" t="str">
        <x:v>Q5NC05</x:v>
      </x:c>
      <x:c r="B1396" s="2" t="str">
        <x:v>ED</x:v>
      </x:c>
      <x:c r="C1396" s="2" t="n">
        <x:v>1</x:v>
      </x:c>
      <x:c r="D1396" s="2" t="n">
        <x:v>1</x:v>
      </x:c>
      <x:c r="E1396" s="10" t="n">
        <x:v>62.55023725834798</x:v>
      </x:c>
      <x:c r="F1396" s="11" t="n">
        <x:v>1138</x:v>
      </x:c>
      <x:c r="G1396" s="11" t="n">
        <x:v>0</x:v>
      </x:c>
      <x:c r="H1396" s="11" t="n">
        <x:v>0</x:v>
      </x:c>
      <x:c r="I1396" s="11" t="n">
        <x:v>0</x:v>
      </x:c>
      <x:c r="J1396" s="11" t="n">
        <x:v>0</x:v>
      </x:c>
      <x:c r="K1396" s="11" t="n">
        <x:v>0</x:v>
      </x:c>
      <x:c r="L1396" s="11" t="n">
        <x:f>IF(B1396="NED",1,IF(OR(B1396="ED",B1396="UN"),0,""))</x:f>
        <x:v>0</x:v>
      </x:c>
      <x:c r="M1396" s="11" t="n">
        <x:f>IF(AND(K1396=1,OR(B1396="ED",B1396="NED")),1,0)</x:f>
        <x:v>0</x:v>
      </x:c>
      <x:c r="N1396" s="11" t="n">
        <x:f>IF(K1396=1,1,0)</x:f>
        <x:v>0</x:v>
      </x:c>
      <x:c r="O1396" s="12" t="str">
        <x:v>Retain protein mean pLDDT &gt;=70</x:v>
      </x:c>
      <x:c r="P1396" s="11" t="n">
        <x:v>0</x:v>
      </x:c>
      <x:c r="Q1396" s="12" t="str">
        <x:v>AF-Q5NC05-F1-model_v6</x:v>
      </x:c>
      <x:c r="R1396" s="12" t="str">
        <x:v>ok</x:v>
      </x:c>
      <x:c r="S1396" s="11" t="n">
        <x:v>963</x:v>
      </x:c>
      <x:c r="T1396" s="11" t="n">
        <x:v>1138</x:v>
      </x:c>
    </x:row>
    <x:row r="1397" ht="23" customHeight="1">
      <x:c r="A1397" s="2" t="str">
        <x:v>Q5NCQ5</x:v>
      </x:c>
      <x:c r="B1397" s="2" t="str">
        <x:v>ED</x:v>
      </x:c>
      <x:c r="C1397" s="2" t="n">
        <x:v>1</x:v>
      </x:c>
      <x:c r="D1397" s="2" t="n">
        <x:v>1</x:v>
      </x:c>
      <x:c r="E1397" s="10" t="n">
        <x:v>86.06059360730593</x:v>
      </x:c>
      <x:c r="F1397" s="11" t="n">
        <x:v>438</x:v>
      </x:c>
      <x:c r="G1397" s="11" t="n">
        <x:v>0</x:v>
      </x:c>
      <x:c r="H1397" s="11" t="n">
        <x:v>0</x:v>
      </x:c>
      <x:c r="I1397" s="11" t="n">
        <x:v>0</x:v>
      </x:c>
      <x:c r="J1397" s="11" t="n">
        <x:v>0</x:v>
      </x:c>
      <x:c r="K1397" s="11" t="n">
        <x:v>1</x:v>
      </x:c>
      <x:c r="L1397" s="11" t="n">
        <x:f>IF(B1397="NED",1,IF(OR(B1397="ED",B1397="UN"),0,""))</x:f>
        <x:v>0</x:v>
      </x:c>
      <x:c r="M1397" s="11" t="n">
        <x:f>IF(AND(K1397=1,OR(B1397="ED",B1397="NED")),1,0)</x:f>
        <x:v>1</x:v>
      </x:c>
      <x:c r="N1397" s="11" t="n">
        <x:f>IF(K1397=1,1,0)</x:f>
        <x:v>1</x:v>
      </x:c>
      <x:c r="O1397" s="12"/>
      <x:c r="P1397" s="11" t="n">
        <x:v>0</x:v>
      </x:c>
      <x:c r="Q1397" s="12" t="str">
        <x:v>AF-Q5NCQ5-F1-model_v6</x:v>
      </x:c>
      <x:c r="R1397" s="12" t="str">
        <x:v>ok</x:v>
      </x:c>
      <x:c r="S1397" s="11" t="n">
        <x:v>964</x:v>
      </x:c>
      <x:c r="T1397" s="11" t="n">
        <x:v>438</x:v>
      </x:c>
    </x:row>
    <x:row r="1398" ht="23" customHeight="1">
      <x:c r="A1398" s="2" t="str">
        <x:v>Q5ND34-3</x:v>
      </x:c>
      <x:c r="B1398" s="2" t="str">
        <x:v>UN</x:v>
      </x:c>
      <x:c r="C1398" s="2"/>
      <x:c r="D1398" s="2"/>
      <x:c r="E1398" s="10"/>
      <x:c r="F1398" s="11"/>
      <x:c r="G1398" s="11" t="n">
        <x:v>0</x:v>
      </x:c>
      <x:c r="H1398" s="11" t="n">
        <x:v>0</x:v>
      </x:c>
      <x:c r="I1398" s="11"/>
      <x:c r="J1398" s="11"/>
      <x:c r="K1398" s="11" t="n">
        <x:v>0</x:v>
      </x:c>
      <x:c r="L1398" s="11" t="n">
        <x:f>IF(B1398="NED",1,IF(OR(B1398="ED",B1398="UN"),0,""))</x:f>
        <x:v>0</x:v>
      </x:c>
      <x:c r="M1398" s="11" t="n">
        <x:f>IF(AND(K1398=1,OR(B1398="ED",B1398="NED")),1,0)</x:f>
        <x:v>0</x:v>
      </x:c>
      <x:c r="N1398" s="11" t="n">
        <x:f>IF(K1398=1,1,0)</x:f>
        <x:v>0</x:v>
      </x:c>
      <x:c r="O1398" s="12" t="str">
        <x:v>Require exact native accession match</x:v>
      </x:c>
      <x:c r="P1398" s="11" t="n">
        <x:v>0</x:v>
      </x:c>
      <x:c r="Q1398" s="12"/>
      <x:c r="R1398" s="12"/>
      <x:c r="S1398" s="11" t="n">
        <x:v>965</x:v>
      </x:c>
      <x:c r="T1398" s="11"/>
    </x:row>
    <x:row r="1399" ht="23" customHeight="1">
      <x:c r="A1399" s="2" t="str">
        <x:v>Q5PRF0</x:v>
      </x:c>
      <x:c r="B1399" s="2" t="str">
        <x:v>ED</x:v>
      </x:c>
      <x:c r="C1399" s="2" t="n">
        <x:v>1</x:v>
      </x:c>
      <x:c r="D1399" s="2" t="n">
        <x:v>1</x:v>
      </x:c>
      <x:c r="E1399" s="10" t="n">
        <x:v>82.16819921491658</x:v>
      </x:c>
      <x:c r="F1399" s="11" t="n">
        <x:v>2038</x:v>
      </x:c>
      <x:c r="G1399" s="11" t="n">
        <x:v>0</x:v>
      </x:c>
      <x:c r="H1399" s="11" t="n">
        <x:v>0</x:v>
      </x:c>
      <x:c r="I1399" s="11" t="n">
        <x:v>0</x:v>
      </x:c>
      <x:c r="J1399" s="11" t="n">
        <x:v>0</x:v>
      </x:c>
      <x:c r="K1399" s="11" t="n">
        <x:v>1</x:v>
      </x:c>
      <x:c r="L1399" s="11" t="n">
        <x:f>IF(B1399="NED",1,IF(OR(B1399="ED",B1399="UN"),0,""))</x:f>
        <x:v>0</x:v>
      </x:c>
      <x:c r="M1399" s="11" t="n">
        <x:f>IF(AND(K1399=1,OR(B1399="ED",B1399="NED")),1,0)</x:f>
        <x:v>1</x:v>
      </x:c>
      <x:c r="N1399" s="11" t="n">
        <x:f>IF(K1399=1,1,0)</x:f>
        <x:v>1</x:v>
      </x:c>
      <x:c r="O1399" s="12"/>
      <x:c r="P1399" s="11" t="n">
        <x:v>0</x:v>
      </x:c>
      <x:c r="Q1399" s="12" t="str">
        <x:v>AF-Q5PRF0-F1-model_v6</x:v>
      </x:c>
      <x:c r="R1399" s="12" t="str">
        <x:v>ok</x:v>
      </x:c>
      <x:c r="S1399" s="11" t="n">
        <x:v>966</x:v>
      </x:c>
      <x:c r="T1399" s="11" t="n">
        <x:v>2038</x:v>
      </x:c>
    </x:row>
    <x:row r="1400" ht="23" customHeight="1">
      <x:c r="A1400" s="2" t="str">
        <x:v>Q5PSV9</x:v>
      </x:c>
      <x:c r="B1400" s="2" t="str">
        <x:v>ED</x:v>
      </x:c>
      <x:c r="C1400" s="2" t="n">
        <x:v>1</x:v>
      </x:c>
      <x:c r="D1400" s="2" t="n">
        <x:v>1</x:v>
      </x:c>
      <x:c r="E1400" s="10" t="n">
        <x:v>42.95741652021089</x:v>
      </x:c>
      <x:c r="F1400" s="11" t="n">
        <x:v>1707</x:v>
      </x:c>
      <x:c r="G1400" s="11" t="n">
        <x:v>0</x:v>
      </x:c>
      <x:c r="H1400" s="11" t="n">
        <x:v>0</x:v>
      </x:c>
      <x:c r="I1400" s="11" t="n">
        <x:v>0</x:v>
      </x:c>
      <x:c r="J1400" s="11" t="n">
        <x:v>0</x:v>
      </x:c>
      <x:c r="K1400" s="11" t="n">
        <x:v>0</x:v>
      </x:c>
      <x:c r="L1400" s="11" t="n">
        <x:f>IF(B1400="NED",1,IF(OR(B1400="ED",B1400="UN"),0,""))</x:f>
        <x:v>0</x:v>
      </x:c>
      <x:c r="M1400" s="11" t="n">
        <x:f>IF(AND(K1400=1,OR(B1400="ED",B1400="NED")),1,0)</x:f>
        <x:v>0</x:v>
      </x:c>
      <x:c r="N1400" s="11" t="n">
        <x:f>IF(K1400=1,1,0)</x:f>
        <x:v>0</x:v>
      </x:c>
      <x:c r="O1400" s="12" t="str">
        <x:v>Retain protein mean pLDDT &gt;=70</x:v>
      </x:c>
      <x:c r="P1400" s="11" t="n">
        <x:v>0</x:v>
      </x:c>
      <x:c r="Q1400" s="12" t="str">
        <x:v>AF-Q5PSV9-F1-model_v6</x:v>
      </x:c>
      <x:c r="R1400" s="12" t="str">
        <x:v>ok</x:v>
      </x:c>
      <x:c r="S1400" s="11" t="n">
        <x:v>967</x:v>
      </x:c>
      <x:c r="T1400" s="11" t="n">
        <x:v>1707</x:v>
      </x:c>
    </x:row>
    <x:row r="1401" ht="23" customHeight="1">
      <x:c r="A1401" s="2" t="str">
        <x:v>Q5RJG1</x:v>
      </x:c>
      <x:c r="B1401" s="2" t="str">
        <x:v>ED</x:v>
      </x:c>
      <x:c r="C1401" s="2" t="n">
        <x:v>1</x:v>
      </x:c>
      <x:c r="D1401" s="2" t="n">
        <x:v>1</x:v>
      </x:c>
      <x:c r="E1401" s="10" t="n">
        <x:v>77.5141193595342</x:v>
      </x:c>
      <x:c r="F1401" s="11" t="n">
        <x:v>687</x:v>
      </x:c>
      <x:c r="G1401" s="11" t="n">
        <x:v>0</x:v>
      </x:c>
      <x:c r="H1401" s="11" t="n">
        <x:v>0</x:v>
      </x:c>
      <x:c r="I1401" s="11" t="n">
        <x:v>0</x:v>
      </x:c>
      <x:c r="J1401" s="11" t="n">
        <x:v>0</x:v>
      </x:c>
      <x:c r="K1401" s="11" t="n">
        <x:v>1</x:v>
      </x:c>
      <x:c r="L1401" s="11" t="n">
        <x:f>IF(B1401="NED",1,IF(OR(B1401="ED",B1401="UN"),0,""))</x:f>
        <x:v>0</x:v>
      </x:c>
      <x:c r="M1401" s="11" t="n">
        <x:f>IF(AND(K1401=1,OR(B1401="ED",B1401="NED")),1,0)</x:f>
        <x:v>1</x:v>
      </x:c>
      <x:c r="N1401" s="11" t="n">
        <x:f>IF(K1401=1,1,0)</x:f>
        <x:v>1</x:v>
      </x:c>
      <x:c r="O1401" s="12"/>
      <x:c r="P1401" s="11" t="n">
        <x:v>0</x:v>
      </x:c>
      <x:c r="Q1401" s="12" t="str">
        <x:v>AF-Q5RJG1-F1-model_v6</x:v>
      </x:c>
      <x:c r="R1401" s="12" t="str">
        <x:v>ok</x:v>
      </x:c>
      <x:c r="S1401" s="11" t="n">
        <x:v>968</x:v>
      </x:c>
      <x:c r="T1401" s="11" t="n">
        <x:v>687</x:v>
      </x:c>
    </x:row>
    <x:row r="1402" ht="23" customHeight="1">
      <x:c r="A1402" s="2" t="str">
        <x:v>Q5RJH6-3</x:v>
      </x:c>
      <x:c r="B1402" s="2" t="str">
        <x:v>ED</x:v>
      </x:c>
      <x:c r="C1402" s="2"/>
      <x:c r="D1402" s="2"/>
      <x:c r="E1402" s="10"/>
      <x:c r="F1402" s="11"/>
      <x:c r="G1402" s="11" t="n">
        <x:v>0</x:v>
      </x:c>
      <x:c r="H1402" s="11" t="n">
        <x:v>0</x:v>
      </x:c>
      <x:c r="I1402" s="11"/>
      <x:c r="J1402" s="11"/>
      <x:c r="K1402" s="11" t="n">
        <x:v>0</x:v>
      </x:c>
      <x:c r="L1402" s="11" t="n">
        <x:f>IF(B1402="NED",1,IF(OR(B1402="ED",B1402="UN"),0,""))</x:f>
        <x:v>0</x:v>
      </x:c>
      <x:c r="M1402" s="11" t="n">
        <x:f>IF(AND(K1402=1,OR(B1402="ED",B1402="NED")),1,0)</x:f>
        <x:v>0</x:v>
      </x:c>
      <x:c r="N1402" s="11" t="n">
        <x:f>IF(K1402=1,1,0)</x:f>
        <x:v>0</x:v>
      </x:c>
      <x:c r="O1402" s="12" t="str">
        <x:v>Require exact native accession match</x:v>
      </x:c>
      <x:c r="P1402" s="11" t="n">
        <x:v>0</x:v>
      </x:c>
      <x:c r="Q1402" s="12"/>
      <x:c r="R1402" s="12"/>
      <x:c r="S1402" s="11" t="n">
        <x:v>969</x:v>
      </x:c>
      <x:c r="T1402" s="11"/>
    </x:row>
    <x:row r="1403" ht="23" customHeight="1">
      <x:c r="A1403" s="2" t="str">
        <x:v>Q5RKN9</x:v>
      </x:c>
      <x:c r="B1403" s="2" t="str">
        <x:v>ED</x:v>
      </x:c>
      <x:c r="C1403" s="2"/>
      <x:c r="D1403" s="2"/>
      <x:c r="E1403" s="10"/>
      <x:c r="F1403" s="11"/>
      <x:c r="G1403" s="11" t="n">
        <x:v>0</x:v>
      </x:c>
      <x:c r="H1403" s="11" t="n">
        <x:v>0</x:v>
      </x:c>
      <x:c r="I1403" s="11" t="n">
        <x:v>0</x:v>
      </x:c>
      <x:c r="J1403" s="11" t="n">
        <x:v>0</x:v>
      </x:c>
      <x:c r="K1403" s="11" t="n">
        <x:v>0</x:v>
      </x:c>
      <x:c r="L1403" s="11" t="n">
        <x:f>IF(B1403="NED",1,IF(OR(B1403="ED",B1403="UN"),0,""))</x:f>
        <x:v>0</x:v>
      </x:c>
      <x:c r="M1403" s="11" t="n">
        <x:f>IF(AND(K1403=1,OR(B1403="ED",B1403="NED")),1,0)</x:f>
        <x:v>0</x:v>
      </x:c>
      <x:c r="N1403" s="11" t="n">
        <x:f>IF(K1403=1,1,0)</x:f>
        <x:v>0</x:v>
      </x:c>
      <x:c r="O1403" s="12" t="str">
        <x:v>Require exact native accession match</x:v>
      </x:c>
      <x:c r="P1403" s="11" t="n">
        <x:v>0</x:v>
      </x:c>
      <x:c r="Q1403" s="12"/>
      <x:c r="R1403" s="12"/>
      <x:c r="S1403" s="11" t="n">
        <x:v>3176</x:v>
      </x:c>
      <x:c r="T1403" s="11" t="n">
        <x:v>286</x:v>
      </x:c>
    </x:row>
    <x:row r="1404" ht="23" customHeight="1">
      <x:c r="A1404" s="2" t="str">
        <x:v>Q5SF07</x:v>
      </x:c>
      <x:c r="B1404" s="2" t="str">
        <x:v>ED</x:v>
      </x:c>
      <x:c r="C1404" s="2" t="n">
        <x:v>1</x:v>
      </x:c>
      <x:c r="D1404" s="2" t="n">
        <x:v>1</x:v>
      </x:c>
      <x:c r="E1404" s="10" t="n">
        <x:v>78.11748310810812</x:v>
      </x:c>
      <x:c r="F1404" s="11" t="n">
        <x:v>592</x:v>
      </x:c>
      <x:c r="G1404" s="11" t="n">
        <x:v>0</x:v>
      </x:c>
      <x:c r="H1404" s="11" t="n">
        <x:v>0</x:v>
      </x:c>
      <x:c r="I1404" s="11" t="n">
        <x:v>0</x:v>
      </x:c>
      <x:c r="J1404" s="11" t="n">
        <x:v>0</x:v>
      </x:c>
      <x:c r="K1404" s="11" t="n">
        <x:v>1</x:v>
      </x:c>
      <x:c r="L1404" s="11" t="n">
        <x:f>IF(B1404="NED",1,IF(OR(B1404="ED",B1404="UN"),0,""))</x:f>
        <x:v>0</x:v>
      </x:c>
      <x:c r="M1404" s="11" t="n">
        <x:f>IF(AND(K1404=1,OR(B1404="ED",B1404="NED")),1,0)</x:f>
        <x:v>1</x:v>
      </x:c>
      <x:c r="N1404" s="11" t="n">
        <x:f>IF(K1404=1,1,0)</x:f>
        <x:v>1</x:v>
      </x:c>
      <x:c r="O1404" s="12"/>
      <x:c r="P1404" s="11" t="n">
        <x:v>0</x:v>
      </x:c>
      <x:c r="Q1404" s="12" t="str">
        <x:v>AF-Q5SF07-F1-model_v6</x:v>
      </x:c>
      <x:c r="R1404" s="12" t="str">
        <x:v>ok</x:v>
      </x:c>
      <x:c r="S1404" s="11" t="n">
        <x:v>970</x:v>
      </x:c>
      <x:c r="T1404" s="11" t="n">
        <x:v>592</x:v>
      </x:c>
    </x:row>
    <x:row r="1405" ht="23" customHeight="1">
      <x:c r="A1405" s="2" t="str">
        <x:v>Q5SFM8</x:v>
      </x:c>
      <x:c r="B1405" s="2" t="str">
        <x:v>ED</x:v>
      </x:c>
      <x:c r="C1405" s="2" t="n">
        <x:v>1</x:v>
      </x:c>
      <x:c r="D1405" s="2" t="n">
        <x:v>1</x:v>
      </x:c>
      <x:c r="E1405" s="10" t="n">
        <x:v>55.066009433962265</x:v>
      </x:c>
      <x:c r="F1405" s="11" t="n">
        <x:v>1060</x:v>
      </x:c>
      <x:c r="G1405" s="11" t="n">
        <x:v>0</x:v>
      </x:c>
      <x:c r="H1405" s="11" t="n">
        <x:v>0</x:v>
      </x:c>
      <x:c r="I1405" s="11" t="n">
        <x:v>0</x:v>
      </x:c>
      <x:c r="J1405" s="11" t="n">
        <x:v>0</x:v>
      </x:c>
      <x:c r="K1405" s="11" t="n">
        <x:v>0</x:v>
      </x:c>
      <x:c r="L1405" s="11" t="n">
        <x:f>IF(B1405="NED",1,IF(OR(B1405="ED",B1405="UN"),0,""))</x:f>
        <x:v>0</x:v>
      </x:c>
      <x:c r="M1405" s="11" t="n">
        <x:f>IF(AND(K1405=1,OR(B1405="ED",B1405="NED")),1,0)</x:f>
        <x:v>0</x:v>
      </x:c>
      <x:c r="N1405" s="11" t="n">
        <x:f>IF(K1405=1,1,0)</x:f>
        <x:v>0</x:v>
      </x:c>
      <x:c r="O1405" s="12" t="str">
        <x:v>Retain protein mean pLDDT &gt;=70</x:v>
      </x:c>
      <x:c r="P1405" s="11" t="n">
        <x:v>0</x:v>
      </x:c>
      <x:c r="Q1405" s="12" t="str">
        <x:v>AF-Q5SFM8-F1-model_v6</x:v>
      </x:c>
      <x:c r="R1405" s="12" t="str">
        <x:v>ok</x:v>
      </x:c>
      <x:c r="S1405" s="11" t="n">
        <x:v>971</x:v>
      </x:c>
      <x:c r="T1405" s="11" t="n">
        <x:v>1060</x:v>
      </x:c>
    </x:row>
    <x:row r="1406" ht="23" customHeight="1">
      <x:c r="A1406" s="2" t="str">
        <x:v>Q5SNZ0-3</x:v>
      </x:c>
      <x:c r="B1406" s="2" t="str">
        <x:v>UN</x:v>
      </x:c>
      <x:c r="C1406" s="2"/>
      <x:c r="D1406" s="2"/>
      <x:c r="E1406" s="10"/>
      <x:c r="F1406" s="11"/>
      <x:c r="G1406" s="11" t="n">
        <x:v>0</x:v>
      </x:c>
      <x:c r="H1406" s="11" t="n">
        <x:v>0</x:v>
      </x:c>
      <x:c r="I1406" s="11"/>
      <x:c r="J1406" s="11"/>
      <x:c r="K1406" s="11" t="n">
        <x:v>0</x:v>
      </x:c>
      <x:c r="L1406" s="11" t="n">
        <x:f>IF(B1406="NED",1,IF(OR(B1406="ED",B1406="UN"),0,""))</x:f>
        <x:v>0</x:v>
      </x:c>
      <x:c r="M1406" s="11" t="n">
        <x:f>IF(AND(K1406=1,OR(B1406="ED",B1406="NED")),1,0)</x:f>
        <x:v>0</x:v>
      </x:c>
      <x:c r="N1406" s="11" t="n">
        <x:f>IF(K1406=1,1,0)</x:f>
        <x:v>0</x:v>
      </x:c>
      <x:c r="O1406" s="12" t="str">
        <x:v>Require exact native accession match</x:v>
      </x:c>
      <x:c r="P1406" s="11" t="n">
        <x:v>0</x:v>
      </x:c>
      <x:c r="Q1406" s="12"/>
      <x:c r="R1406" s="12"/>
      <x:c r="S1406" s="11" t="n">
        <x:v>972</x:v>
      </x:c>
      <x:c r="T1406" s="11"/>
    </x:row>
    <x:row r="1407" ht="23" customHeight="1">
      <x:c r="A1407" s="2" t="str">
        <x:v>Q5SRX1-2</x:v>
      </x:c>
      <x:c r="B1407" s="2" t="str">
        <x:v>ED</x:v>
      </x:c>
      <x:c r="C1407" s="2"/>
      <x:c r="D1407" s="2"/>
      <x:c r="E1407" s="10"/>
      <x:c r="F1407" s="11"/>
      <x:c r="G1407" s="11" t="n">
        <x:v>0</x:v>
      </x:c>
      <x:c r="H1407" s="11" t="n">
        <x:v>0</x:v>
      </x:c>
      <x:c r="I1407" s="11"/>
      <x:c r="J1407" s="11"/>
      <x:c r="K1407" s="11" t="n">
        <x:v>0</x:v>
      </x:c>
      <x:c r="L1407" s="11" t="n">
        <x:f>IF(B1407="NED",1,IF(OR(B1407="ED",B1407="UN"),0,""))</x:f>
        <x:v>0</x:v>
      </x:c>
      <x:c r="M1407" s="11" t="n">
        <x:f>IF(AND(K1407=1,OR(B1407="ED",B1407="NED")),1,0)</x:f>
        <x:v>0</x:v>
      </x:c>
      <x:c r="N1407" s="11" t="n">
        <x:f>IF(K1407=1,1,0)</x:f>
        <x:v>0</x:v>
      </x:c>
      <x:c r="O1407" s="12" t="str">
        <x:v>Require exact native accession match</x:v>
      </x:c>
      <x:c r="P1407" s="11" t="n">
        <x:v>0</x:v>
      </x:c>
      <x:c r="Q1407" s="12"/>
      <x:c r="R1407" s="12"/>
      <x:c r="S1407" s="11" t="n">
        <x:v>973</x:v>
      </x:c>
      <x:c r="T1407" s="11"/>
    </x:row>
    <x:row r="1408" ht="23" customHeight="1">
      <x:c r="A1408" s="2" t="str">
        <x:v>Q5SSH7</x:v>
      </x:c>
      <x:c r="B1408" s="2" t="str">
        <x:v>UN</x:v>
      </x:c>
      <x:c r="C1408" s="2"/>
      <x:c r="D1408" s="2"/>
      <x:c r="E1408" s="10"/>
      <x:c r="F1408" s="11"/>
      <x:c r="G1408" s="11" t="n">
        <x:v>0</x:v>
      </x:c>
      <x:c r="H1408" s="11" t="n">
        <x:v>0</x:v>
      </x:c>
      <x:c r="I1408" s="11" t="n">
        <x:v>0</x:v>
      </x:c>
      <x:c r="J1408" s="11" t="n">
        <x:v>0</x:v>
      </x:c>
      <x:c r="K1408" s="11" t="n">
        <x:v>0</x:v>
      </x:c>
      <x:c r="L1408" s="11" t="n">
        <x:f>IF(B1408="NED",1,IF(OR(B1408="ED",B1408="UN"),0,""))</x:f>
        <x:v>0</x:v>
      </x:c>
      <x:c r="M1408" s="11" t="n">
        <x:f>IF(AND(K1408=1,OR(B1408="ED",B1408="NED")),1,0)</x:f>
        <x:v>0</x:v>
      </x:c>
      <x:c r="N1408" s="11" t="n">
        <x:f>IF(K1408=1,1,0)</x:f>
        <x:v>0</x:v>
      </x:c>
      <x:c r="O1408" s="12" t="str">
        <x:v>Require exact native accession match</x:v>
      </x:c>
      <x:c r="P1408" s="11" t="n">
        <x:v>0</x:v>
      </x:c>
      <x:c r="Q1408" s="12"/>
      <x:c r="R1408" s="12"/>
      <x:c r="S1408" s="11" t="n">
        <x:v>974</x:v>
      </x:c>
      <x:c r="T1408" s="11" t="n">
        <x:v>2924</x:v>
      </x:c>
    </x:row>
    <x:row r="1409" ht="23" customHeight="1">
      <x:c r="A1409" s="2" t="str">
        <x:v>Q5SSI6</x:v>
      </x:c>
      <x:c r="B1409" s="2" t="str">
        <x:v>NED</x:v>
      </x:c>
      <x:c r="C1409" s="2" t="n">
        <x:v>1</x:v>
      </x:c>
      <x:c r="D1409" s="2" t="n">
        <x:v>1</x:v>
      </x:c>
      <x:c r="E1409" s="10" t="n">
        <x:v>77.92144927536232</x:v>
      </x:c>
      <x:c r="F1409" s="11" t="n">
        <x:v>552</x:v>
      </x:c>
      <x:c r="G1409" s="11" t="n">
        <x:v>0</x:v>
      </x:c>
      <x:c r="H1409" s="11" t="n">
        <x:v>0</x:v>
      </x:c>
      <x:c r="I1409" s="11" t="n">
        <x:v>0</x:v>
      </x:c>
      <x:c r="J1409" s="11" t="n">
        <x:v>0</x:v>
      </x:c>
      <x:c r="K1409" s="11" t="n">
        <x:v>1</x:v>
      </x:c>
      <x:c r="L1409" s="11" t="n">
        <x:f>IF(B1409="NED",1,IF(OR(B1409="ED",B1409="UN"),0,""))</x:f>
        <x:v>1</x:v>
      </x:c>
      <x:c r="M1409" s="11" t="n">
        <x:f>IF(AND(K1409=1,OR(B1409="ED",B1409="NED")),1,0)</x:f>
        <x:v>1</x:v>
      </x:c>
      <x:c r="N1409" s="11" t="n">
        <x:f>IF(K1409=1,1,0)</x:f>
        <x:v>1</x:v>
      </x:c>
      <x:c r="O1409" s="12"/>
      <x:c r="P1409" s="11" t="n">
        <x:v>0</x:v>
      </x:c>
      <x:c r="Q1409" s="12" t="str">
        <x:v>AF-Q5SSI6-F1-model_v6</x:v>
      </x:c>
      <x:c r="R1409" s="12" t="str">
        <x:v>ok</x:v>
      </x:c>
      <x:c r="S1409" s="11" t="n">
        <x:v>975</x:v>
      </x:c>
      <x:c r="T1409" s="11" t="n">
        <x:v>552</x:v>
      </x:c>
    </x:row>
    <x:row r="1410" ht="23" customHeight="1">
      <x:c r="A1410" s="2" t="str">
        <x:v>Q5SSW2</x:v>
      </x:c>
      <x:c r="B1410" s="2" t="str">
        <x:v>UN</x:v>
      </x:c>
      <x:c r="C1410" s="2" t="n">
        <x:v>1</x:v>
      </x:c>
      <x:c r="D1410" s="2" t="n">
        <x:v>1</x:v>
      </x:c>
      <x:c r="E1410" s="10" t="n">
        <x:v>89.59844275637548</x:v>
      </x:c>
      <x:c r="F1410" s="11" t="n">
        <x:v>1843</x:v>
      </x:c>
      <x:c r="G1410" s="11" t="n">
        <x:v>0</x:v>
      </x:c>
      <x:c r="H1410" s="11" t="n">
        <x:v>0</x:v>
      </x:c>
      <x:c r="I1410" s="11" t="n">
        <x:v>0</x:v>
      </x:c>
      <x:c r="J1410" s="11" t="n">
        <x:v>0</x:v>
      </x:c>
      <x:c r="K1410" s="11" t="n">
        <x:v>1</x:v>
      </x:c>
      <x:c r="L1410" s="11" t="n">
        <x:f>IF(B1410="NED",1,IF(OR(B1410="ED",B1410="UN"),0,""))</x:f>
        <x:v>0</x:v>
      </x:c>
      <x:c r="M1410" s="11" t="n">
        <x:f>IF(AND(K1410=1,OR(B1410="ED",B1410="NED")),1,0)</x:f>
        <x:v>0</x:v>
      </x:c>
      <x:c r="N1410" s="11" t="n">
        <x:f>IF(K1410=1,1,0)</x:f>
        <x:v>1</x:v>
      </x:c>
      <x:c r="O1410" s="12"/>
      <x:c r="P1410" s="11" t="n">
        <x:v>0</x:v>
      </x:c>
      <x:c r="Q1410" s="12" t="str">
        <x:v>AF-Q5SSW2-F1-model_v6</x:v>
      </x:c>
      <x:c r="R1410" s="12" t="str">
        <x:v>ok</x:v>
      </x:c>
      <x:c r="S1410" s="11" t="n">
        <x:v>976</x:v>
      </x:c>
      <x:c r="T1410" s="11" t="n">
        <x:v>1843</x:v>
      </x:c>
    </x:row>
    <x:row r="1411" ht="23" customHeight="1">
      <x:c r="A1411" s="2" t="str">
        <x:v>Q5SSZ5</x:v>
      </x:c>
      <x:c r="B1411" s="2" t="str">
        <x:v>ED</x:v>
      </x:c>
      <x:c r="C1411" s="2" t="n">
        <x:v>1</x:v>
      </x:c>
      <x:c r="D1411" s="2" t="n">
        <x:v>1</x:v>
      </x:c>
      <x:c r="E1411" s="10" t="n">
        <x:v>56.89719444444445</x:v>
      </x:c>
      <x:c r="F1411" s="11" t="n">
        <x:v>1440</x:v>
      </x:c>
      <x:c r="G1411" s="11" t="n">
        <x:v>0</x:v>
      </x:c>
      <x:c r="H1411" s="11" t="n">
        <x:v>0</x:v>
      </x:c>
      <x:c r="I1411" s="11" t="n">
        <x:v>0</x:v>
      </x:c>
      <x:c r="J1411" s="11" t="n">
        <x:v>0</x:v>
      </x:c>
      <x:c r="K1411" s="11" t="n">
        <x:v>0</x:v>
      </x:c>
      <x:c r="L1411" s="11" t="n">
        <x:f>IF(B1411="NED",1,IF(OR(B1411="ED",B1411="UN"),0,""))</x:f>
        <x:v>0</x:v>
      </x:c>
      <x:c r="M1411" s="11" t="n">
        <x:f>IF(AND(K1411=1,OR(B1411="ED",B1411="NED")),1,0)</x:f>
        <x:v>0</x:v>
      </x:c>
      <x:c r="N1411" s="11" t="n">
        <x:f>IF(K1411=1,1,0)</x:f>
        <x:v>0</x:v>
      </x:c>
      <x:c r="O1411" s="12" t="str">
        <x:v>Retain protein mean pLDDT &gt;=70</x:v>
      </x:c>
      <x:c r="P1411" s="11" t="n">
        <x:v>0</x:v>
      </x:c>
      <x:c r="Q1411" s="12" t="str">
        <x:v>AF-Q5SSZ5-F1-model_v6</x:v>
      </x:c>
      <x:c r="R1411" s="12" t="str">
        <x:v>ok</x:v>
      </x:c>
      <x:c r="S1411" s="11" t="n">
        <x:v>977</x:v>
      </x:c>
      <x:c r="T1411" s="11" t="n">
        <x:v>1440</x:v>
      </x:c>
    </x:row>
    <x:row r="1412" ht="23" customHeight="1">
      <x:c r="A1412" s="2" t="str">
        <x:v>Q5SU73</x:v>
      </x:c>
      <x:c r="B1412" s="2" t="str">
        <x:v>UN</x:v>
      </x:c>
      <x:c r="C1412" s="2" t="n">
        <x:v>1</x:v>
      </x:c>
      <x:c r="D1412" s="2" t="n">
        <x:v>1</x:v>
      </x:c>
      <x:c r="E1412" s="10" t="n">
        <x:v>59.23733333333333</x:v>
      </x:c>
      <x:c r="F1412" s="11" t="n">
        <x:v>570</x:v>
      </x:c>
      <x:c r="G1412" s="11" t="n">
        <x:v>0</x:v>
      </x:c>
      <x:c r="H1412" s="11" t="n">
        <x:v>0</x:v>
      </x:c>
      <x:c r="I1412" s="11" t="n">
        <x:v>0</x:v>
      </x:c>
      <x:c r="J1412" s="11" t="n">
        <x:v>0</x:v>
      </x:c>
      <x:c r="K1412" s="11" t="n">
        <x:v>0</x:v>
      </x:c>
      <x:c r="L1412" s="11" t="n">
        <x:f>IF(B1412="NED",1,IF(OR(B1412="ED",B1412="UN"),0,""))</x:f>
        <x:v>0</x:v>
      </x:c>
      <x:c r="M1412" s="11" t="n">
        <x:f>IF(AND(K1412=1,OR(B1412="ED",B1412="NED")),1,0)</x:f>
        <x:v>0</x:v>
      </x:c>
      <x:c r="N1412" s="11" t="n">
        <x:f>IF(K1412=1,1,0)</x:f>
        <x:v>0</x:v>
      </x:c>
      <x:c r="O1412" s="12" t="str">
        <x:v>Retain protein mean pLDDT &gt;=70</x:v>
      </x:c>
      <x:c r="P1412" s="11" t="n">
        <x:v>0</x:v>
      </x:c>
      <x:c r="Q1412" s="12" t="str">
        <x:v>AF-Q5SU73-F1-model_v6</x:v>
      </x:c>
      <x:c r="R1412" s="12" t="str">
        <x:v>ok</x:v>
      </x:c>
      <x:c r="S1412" s="11" t="n">
        <x:v>978</x:v>
      </x:c>
      <x:c r="T1412" s="11" t="n">
        <x:v>570</x:v>
      </x:c>
    </x:row>
    <x:row r="1413" ht="23" customHeight="1">
      <x:c r="A1413" s="2" t="str">
        <x:v>Q5SUF2</x:v>
      </x:c>
      <x:c r="B1413" s="2" t="str">
        <x:v>UN</x:v>
      </x:c>
      <x:c r="C1413" s="2" t="n">
        <x:v>1</x:v>
      </x:c>
      <x:c r="D1413" s="2" t="n">
        <x:v>1</x:v>
      </x:c>
      <x:c r="E1413" s="10" t="n">
        <x:v>69.97458333333333</x:v>
      </x:c>
      <x:c r="F1413" s="11" t="n">
        <x:v>432</x:v>
      </x:c>
      <x:c r="G1413" s="11" t="n">
        <x:v>0</x:v>
      </x:c>
      <x:c r="H1413" s="11" t="n">
        <x:v>0</x:v>
      </x:c>
      <x:c r="I1413" s="11" t="n">
        <x:v>0</x:v>
      </x:c>
      <x:c r="J1413" s="11" t="n">
        <x:v>0</x:v>
      </x:c>
      <x:c r="K1413" s="11" t="n">
        <x:v>0</x:v>
      </x:c>
      <x:c r="L1413" s="11" t="n">
        <x:f>IF(B1413="NED",1,IF(OR(B1413="ED",B1413="UN"),0,""))</x:f>
        <x:v>0</x:v>
      </x:c>
      <x:c r="M1413" s="11" t="n">
        <x:f>IF(AND(K1413=1,OR(B1413="ED",B1413="NED")),1,0)</x:f>
        <x:v>0</x:v>
      </x:c>
      <x:c r="N1413" s="11" t="n">
        <x:f>IF(K1413=1,1,0)</x:f>
        <x:v>0</x:v>
      </x:c>
      <x:c r="O1413" s="12" t="str">
        <x:v>Retain protein mean pLDDT &gt;=70</x:v>
      </x:c>
      <x:c r="P1413" s="11" t="n">
        <x:v>0</x:v>
      </x:c>
      <x:c r="Q1413" s="12" t="str">
        <x:v>AF-Q5SUF2-F1-model_v6</x:v>
      </x:c>
      <x:c r="R1413" s="12" t="str">
        <x:v>ok</x:v>
      </x:c>
      <x:c r="S1413" s="11" t="n">
        <x:v>979</x:v>
      </x:c>
      <x:c r="T1413" s="11" t="n">
        <x:v>432</x:v>
      </x:c>
    </x:row>
    <x:row r="1414" ht="23" customHeight="1">
      <x:c r="A1414" s="2" t="str">
        <x:v>Q5SUH6</x:v>
      </x:c>
      <x:c r="B1414" s="2" t="str">
        <x:v>ED</x:v>
      </x:c>
      <x:c r="C1414" s="2"/>
      <x:c r="D1414" s="2"/>
      <x:c r="E1414" s="10"/>
      <x:c r="F1414" s="11"/>
      <x:c r="G1414" s="11" t="n">
        <x:v>0</x:v>
      </x:c>
      <x:c r="H1414" s="11" t="n">
        <x:v>0</x:v>
      </x:c>
      <x:c r="I1414" s="11" t="n">
        <x:v>0</x:v>
      </x:c>
      <x:c r="J1414" s="11" t="n">
        <x:v>0</x:v>
      </x:c>
      <x:c r="K1414" s="11" t="n">
        <x:v>0</x:v>
      </x:c>
      <x:c r="L1414" s="11" t="n">
        <x:f>IF(B1414="NED",1,IF(OR(B1414="ED",B1414="UN"),0,""))</x:f>
        <x:v>0</x:v>
      </x:c>
      <x:c r="M1414" s="11" t="n">
        <x:f>IF(AND(K1414=1,OR(B1414="ED",B1414="NED")),1,0)</x:f>
        <x:v>0</x:v>
      </x:c>
      <x:c r="N1414" s="11" t="n">
        <x:f>IF(K1414=1,1,0)</x:f>
        <x:v>0</x:v>
      </x:c>
      <x:c r="O1414" s="12" t="str">
        <x:v>Require exact native accession match</x:v>
      </x:c>
      <x:c r="P1414" s="11" t="n">
        <x:v>0</x:v>
      </x:c>
      <x:c r="Q1414" s="12"/>
      <x:c r="R1414" s="12"/>
      <x:c r="S1414" s="11" t="n">
        <x:v>3177</x:v>
      </x:c>
      <x:c r="T1414" s="11" t="n">
        <x:v>641</x:v>
      </x:c>
    </x:row>
    <x:row r="1415" ht="23" customHeight="1">
      <x:c r="A1415" s="2" t="str">
        <x:v>Q5SUQ9</x:v>
      </x:c>
      <x:c r="B1415" s="2" t="str">
        <x:v>UN</x:v>
      </x:c>
      <x:c r="C1415" s="2" t="n">
        <x:v>1</x:v>
      </x:c>
      <x:c r="D1415" s="2" t="n">
        <x:v>1</x:v>
      </x:c>
      <x:c r="E1415" s="10" t="n">
        <x:v>80.00805280528053</x:v>
      </x:c>
      <x:c r="F1415" s="11" t="n">
        <x:v>1212</x:v>
      </x:c>
      <x:c r="G1415" s="11" t="n">
        <x:v>0</x:v>
      </x:c>
      <x:c r="H1415" s="11" t="n">
        <x:v>0</x:v>
      </x:c>
      <x:c r="I1415" s="11" t="n">
        <x:v>0</x:v>
      </x:c>
      <x:c r="J1415" s="11" t="n">
        <x:v>0</x:v>
      </x:c>
      <x:c r="K1415" s="11" t="n">
        <x:v>1</x:v>
      </x:c>
      <x:c r="L1415" s="11" t="n">
        <x:f>IF(B1415="NED",1,IF(OR(B1415="ED",B1415="UN"),0,""))</x:f>
        <x:v>0</x:v>
      </x:c>
      <x:c r="M1415" s="11" t="n">
        <x:f>IF(AND(K1415=1,OR(B1415="ED",B1415="NED")),1,0)</x:f>
        <x:v>0</x:v>
      </x:c>
      <x:c r="N1415" s="11" t="n">
        <x:f>IF(K1415=1,1,0)</x:f>
        <x:v>1</x:v>
      </x:c>
      <x:c r="O1415" s="12"/>
      <x:c r="P1415" s="11" t="n">
        <x:v>0</x:v>
      </x:c>
      <x:c r="Q1415" s="12" t="str">
        <x:v>AF-Q5SUQ9-F1-model_v6</x:v>
      </x:c>
      <x:c r="R1415" s="12" t="str">
        <x:v>ok</x:v>
      </x:c>
      <x:c r="S1415" s="11" t="n">
        <x:v>980</x:v>
      </x:c>
      <x:c r="T1415" s="11" t="n">
        <x:v>1212</x:v>
      </x:c>
    </x:row>
    <x:row r="1416" ht="23" customHeight="1">
      <x:c r="A1416" s="2" t="str">
        <x:v>Q5SUR0</x:v>
      </x:c>
      <x:c r="B1416" s="2" t="str">
        <x:v>ED</x:v>
      </x:c>
      <x:c r="C1416" s="2" t="n">
        <x:v>1</x:v>
      </x:c>
      <x:c r="D1416" s="2" t="n">
        <x:v>1</x:v>
      </x:c>
      <x:c r="E1416" s="10" t="n">
        <x:v>92.25949887808528</x:v>
      </x:c>
      <x:c r="F1416" s="11" t="n">
        <x:v>1337</x:v>
      </x:c>
      <x:c r="G1416" s="11" t="n">
        <x:v>0</x:v>
      </x:c>
      <x:c r="H1416" s="11" t="n">
        <x:v>0</x:v>
      </x:c>
      <x:c r="I1416" s="11" t="n">
        <x:v>0</x:v>
      </x:c>
      <x:c r="J1416" s="11" t="n">
        <x:v>0</x:v>
      </x:c>
      <x:c r="K1416" s="11" t="n">
        <x:v>1</x:v>
      </x:c>
      <x:c r="L1416" s="11" t="n">
        <x:f>IF(B1416="NED",1,IF(OR(B1416="ED",B1416="UN"),0,""))</x:f>
        <x:v>0</x:v>
      </x:c>
      <x:c r="M1416" s="11" t="n">
        <x:f>IF(AND(K1416=1,OR(B1416="ED",B1416="NED")),1,0)</x:f>
        <x:v>1</x:v>
      </x:c>
      <x:c r="N1416" s="11" t="n">
        <x:f>IF(K1416=1,1,0)</x:f>
        <x:v>1</x:v>
      </x:c>
      <x:c r="O1416" s="12"/>
      <x:c r="P1416" s="11" t="n">
        <x:v>0</x:v>
      </x:c>
      <x:c r="Q1416" s="12" t="str">
        <x:v>AF-Q5SUR0-F1-model_v6</x:v>
      </x:c>
      <x:c r="R1416" s="12" t="str">
        <x:v>ok</x:v>
      </x:c>
      <x:c r="S1416" s="11" t="n">
        <x:v>981</x:v>
      </x:c>
      <x:c r="T1416" s="11" t="n">
        <x:v>1337</x:v>
      </x:c>
    </x:row>
    <x:row r="1417" ht="23" customHeight="1">
      <x:c r="A1417" s="2" t="str">
        <x:v>Q5SUT0</x:v>
      </x:c>
      <x:c r="B1417" s="2" t="str">
        <x:v>ED</x:v>
      </x:c>
      <x:c r="C1417" s="2"/>
      <x:c r="D1417" s="2"/>
      <x:c r="E1417" s="10"/>
      <x:c r="F1417" s="11"/>
      <x:c r="G1417" s="11" t="n">
        <x:v>0</x:v>
      </x:c>
      <x:c r="H1417" s="11" t="n">
        <x:v>0</x:v>
      </x:c>
      <x:c r="I1417" s="11" t="n">
        <x:v>1</x:v>
      </x:c>
      <x:c r="J1417" s="11" t="n">
        <x:v>0</x:v>
      </x:c>
      <x:c r="K1417" s="11" t="n">
        <x:v>0</x:v>
      </x:c>
      <x:c r="L1417" s="11" t="n">
        <x:f>IF(B1417="NED",1,IF(OR(B1417="ED",B1417="UN"),0,""))</x:f>
        <x:v>0</x:v>
      </x:c>
      <x:c r="M1417" s="11" t="n">
        <x:f>IF(AND(K1417=1,OR(B1417="ED",B1417="NED")),1,0)</x:f>
        <x:v>0</x:v>
      </x:c>
      <x:c r="N1417" s="11" t="n">
        <x:f>IF(K1417=1,1,0)</x:f>
        <x:v>0</x:v>
      </x:c>
      <x:c r="O1417" s="12" t="str">
        <x:v>Require exact native accession match</x:v>
      </x:c>
      <x:c r="P1417" s="11" t="n">
        <x:v>0</x:v>
      </x:c>
      <x:c r="Q1417" s="12"/>
      <x:c r="R1417" s="12"/>
      <x:c r="S1417" s="11" t="n">
        <x:v>3178</x:v>
      </x:c>
      <x:c r="T1417" s="11" t="n">
        <x:v>618</x:v>
      </x:c>
    </x:row>
    <x:row r="1418" ht="23" customHeight="1">
      <x:c r="A1418" s="2" t="str">
        <x:v>Q5SVG5</x:v>
      </x:c>
      <x:c r="B1418" s="2" t="str">
        <x:v>UN</x:v>
      </x:c>
      <x:c r="C1418" s="2"/>
      <x:c r="D1418" s="2"/>
      <x:c r="E1418" s="10"/>
      <x:c r="F1418" s="11"/>
      <x:c r="G1418" s="11" t="n">
        <x:v>0</x:v>
      </x:c>
      <x:c r="H1418" s="11" t="n">
        <x:v>0</x:v>
      </x:c>
      <x:c r="I1418" s="11" t="n">
        <x:v>1</x:v>
      </x:c>
      <x:c r="J1418" s="11" t="n">
        <x:v>0</x:v>
      </x:c>
      <x:c r="K1418" s="11" t="n">
        <x:v>0</x:v>
      </x:c>
      <x:c r="L1418" s="11" t="n">
        <x:f>IF(B1418="NED",1,IF(OR(B1418="ED",B1418="UN"),0,""))</x:f>
        <x:v>0</x:v>
      </x:c>
      <x:c r="M1418" s="11" t="n">
        <x:f>IF(AND(K1418=1,OR(B1418="ED",B1418="NED")),1,0)</x:f>
        <x:v>0</x:v>
      </x:c>
      <x:c r="N1418" s="11" t="n">
        <x:f>IF(K1418=1,1,0)</x:f>
        <x:v>0</x:v>
      </x:c>
      <x:c r="O1418" s="12" t="str">
        <x:v>Require exact native accession match</x:v>
      </x:c>
      <x:c r="P1418" s="11" t="n">
        <x:v>0</x:v>
      </x:c>
      <x:c r="Q1418" s="12"/>
      <x:c r="R1418" s="12"/>
      <x:c r="S1418" s="11" t="n">
        <x:v>3179</x:v>
      </x:c>
      <x:c r="T1418" s="11" t="n">
        <x:v>916</x:v>
      </x:c>
    </x:row>
    <x:row r="1419" ht="23" customHeight="1">
      <x:c r="A1419" s="2" t="str">
        <x:v>Q5SVQ0-4</x:v>
      </x:c>
      <x:c r="B1419" s="2" t="str">
        <x:v>NED</x:v>
      </x:c>
      <x:c r="C1419" s="2"/>
      <x:c r="D1419" s="2"/>
      <x:c r="E1419" s="10"/>
      <x:c r="F1419" s="11"/>
      <x:c r="G1419" s="11" t="n">
        <x:v>0</x:v>
      </x:c>
      <x:c r="H1419" s="11" t="n">
        <x:v>0</x:v>
      </x:c>
      <x:c r="I1419" s="11"/>
      <x:c r="J1419" s="11"/>
      <x:c r="K1419" s="11" t="n">
        <x:v>0</x:v>
      </x:c>
      <x:c r="L1419" s="11" t="n">
        <x:f>IF(B1419="NED",1,IF(OR(B1419="ED",B1419="UN"),0,""))</x:f>
        <x:v>1</x:v>
      </x:c>
      <x:c r="M1419" s="11" t="n">
        <x:f>IF(AND(K1419=1,OR(B1419="ED",B1419="NED")),1,0)</x:f>
        <x:v>0</x:v>
      </x:c>
      <x:c r="N1419" s="11" t="n">
        <x:f>IF(K1419=1,1,0)</x:f>
        <x:v>0</x:v>
      </x:c>
      <x:c r="O1419" s="12" t="str">
        <x:v>Require exact native accession match</x:v>
      </x:c>
      <x:c r="P1419" s="11" t="n">
        <x:v>0</x:v>
      </x:c>
      <x:c r="Q1419" s="12"/>
      <x:c r="R1419" s="12"/>
      <x:c r="S1419" s="11" t="n">
        <x:v>982</x:v>
      </x:c>
      <x:c r="T1419" s="11"/>
    </x:row>
    <x:row r="1420" ht="23" customHeight="1">
      <x:c r="A1420" s="2" t="str">
        <x:v>Q5SW19</x:v>
      </x:c>
      <x:c r="B1420" s="2" t="str">
        <x:v>ED</x:v>
      </x:c>
      <x:c r="C1420" s="2" t="n">
        <x:v>1</x:v>
      </x:c>
      <x:c r="D1420" s="2" t="n">
        <x:v>1</x:v>
      </x:c>
      <x:c r="E1420" s="10" t="n">
        <x:v>82.55857794676805</x:v>
      </x:c>
      <x:c r="F1420" s="11" t="n">
        <x:v>1315</x:v>
      </x:c>
      <x:c r="G1420" s="11" t="n">
        <x:v>0</x:v>
      </x:c>
      <x:c r="H1420" s="11" t="n">
        <x:v>0</x:v>
      </x:c>
      <x:c r="I1420" s="11" t="n">
        <x:v>0</x:v>
      </x:c>
      <x:c r="J1420" s="11" t="n">
        <x:v>0</x:v>
      </x:c>
      <x:c r="K1420" s="11" t="n">
        <x:v>1</x:v>
      </x:c>
      <x:c r="L1420" s="11" t="n">
        <x:f>IF(B1420="NED",1,IF(OR(B1420="ED",B1420="UN"),0,""))</x:f>
        <x:v>0</x:v>
      </x:c>
      <x:c r="M1420" s="11" t="n">
        <x:f>IF(AND(K1420=1,OR(B1420="ED",B1420="NED")),1,0)</x:f>
        <x:v>1</x:v>
      </x:c>
      <x:c r="N1420" s="11" t="n">
        <x:f>IF(K1420=1,1,0)</x:f>
        <x:v>1</x:v>
      </x:c>
      <x:c r="O1420" s="12"/>
      <x:c r="P1420" s="11" t="n">
        <x:v>0</x:v>
      </x:c>
      <x:c r="Q1420" s="12" t="str">
        <x:v>AF-Q5SW19-F1-model_v6</x:v>
      </x:c>
      <x:c r="R1420" s="12" t="str">
        <x:v>ok</x:v>
      </x:c>
      <x:c r="S1420" s="11" t="n">
        <x:v>983</x:v>
      </x:c>
      <x:c r="T1420" s="11" t="n">
        <x:v>1315</x:v>
      </x:c>
    </x:row>
    <x:row r="1421" ht="23" customHeight="1">
      <x:c r="A1421" s="2" t="str">
        <x:v>Q5SW88</x:v>
      </x:c>
      <x:c r="B1421" s="2" t="str">
        <x:v>ED</x:v>
      </x:c>
      <x:c r="C1421" s="2"/>
      <x:c r="D1421" s="2"/>
      <x:c r="E1421" s="10"/>
      <x:c r="F1421" s="11"/>
      <x:c r="G1421" s="11" t="n">
        <x:v>0</x:v>
      </x:c>
      <x:c r="H1421" s="11" t="n">
        <x:v>0</x:v>
      </x:c>
      <x:c r="I1421" s="11" t="n">
        <x:v>0</x:v>
      </x:c>
      <x:c r="J1421" s="11" t="n">
        <x:v>0</x:v>
      </x:c>
      <x:c r="K1421" s="11" t="n">
        <x:v>0</x:v>
      </x:c>
      <x:c r="L1421" s="11" t="n">
        <x:f>IF(B1421="NED",1,IF(OR(B1421="ED",B1421="UN"),0,""))</x:f>
        <x:v>0</x:v>
      </x:c>
      <x:c r="M1421" s="11" t="n">
        <x:f>IF(AND(K1421=1,OR(B1421="ED",B1421="NED")),1,0)</x:f>
        <x:v>0</x:v>
      </x:c>
      <x:c r="N1421" s="11" t="n">
        <x:f>IF(K1421=1,1,0)</x:f>
        <x:v>0</x:v>
      </x:c>
      <x:c r="O1421" s="12" t="str">
        <x:v>Require exact native accession match</x:v>
      </x:c>
      <x:c r="P1421" s="11" t="n">
        <x:v>0</x:v>
      </x:c>
      <x:c r="Q1421" s="12"/>
      <x:c r="R1421" s="12"/>
      <x:c r="S1421" s="11" t="n">
        <x:v>3180</x:v>
      </x:c>
      <x:c r="T1421" s="11" t="n">
        <x:v>202</x:v>
      </x:c>
    </x:row>
    <x:row r="1422" ht="23" customHeight="1">
      <x:c r="A1422" s="2" t="str">
        <x:v>Q5SWD9</x:v>
      </x:c>
      <x:c r="B1422" s="2" t="str">
        <x:v>UN</x:v>
      </x:c>
      <x:c r="C1422" s="2" t="n">
        <x:v>1</x:v>
      </x:c>
      <x:c r="D1422" s="2" t="n">
        <x:v>1</x:v>
      </x:c>
      <x:c r="E1422" s="10" t="n">
        <x:v>81.71184308841843</x:v>
      </x:c>
      <x:c r="F1422" s="11" t="n">
        <x:v>803</x:v>
      </x:c>
      <x:c r="G1422" s="11" t="n">
        <x:v>0</x:v>
      </x:c>
      <x:c r="H1422" s="11" t="n">
        <x:v>0</x:v>
      </x:c>
      <x:c r="I1422" s="11" t="n">
        <x:v>0</x:v>
      </x:c>
      <x:c r="J1422" s="11" t="n">
        <x:v>0</x:v>
      </x:c>
      <x:c r="K1422" s="11" t="n">
        <x:v>1</x:v>
      </x:c>
      <x:c r="L1422" s="11" t="n">
        <x:f>IF(B1422="NED",1,IF(OR(B1422="ED",B1422="UN"),0,""))</x:f>
        <x:v>0</x:v>
      </x:c>
      <x:c r="M1422" s="11" t="n">
        <x:f>IF(AND(K1422=1,OR(B1422="ED",B1422="NED")),1,0)</x:f>
        <x:v>0</x:v>
      </x:c>
      <x:c r="N1422" s="11" t="n">
        <x:f>IF(K1422=1,1,0)</x:f>
        <x:v>1</x:v>
      </x:c>
      <x:c r="O1422" s="12"/>
      <x:c r="P1422" s="11" t="n">
        <x:v>0</x:v>
      </x:c>
      <x:c r="Q1422" s="12" t="str">
        <x:v>AF-Q5SWD9-F1-model_v6</x:v>
      </x:c>
      <x:c r="R1422" s="12" t="str">
        <x:v>ok</x:v>
      </x:c>
      <x:c r="S1422" s="11" t="n">
        <x:v>984</x:v>
      </x:c>
      <x:c r="T1422" s="11" t="n">
        <x:v>803</x:v>
      </x:c>
    </x:row>
    <x:row r="1423" ht="23" customHeight="1">
      <x:c r="A1423" s="2" t="str">
        <x:v>Q5SWU9</x:v>
      </x:c>
      <x:c r="B1423" s="2" t="str">
        <x:v>ED</x:v>
      </x:c>
      <x:c r="C1423" s="2" t="n">
        <x:v>1</x:v>
      </x:c>
      <x:c r="D1423" s="2" t="n">
        <x:v>1</x:v>
      </x:c>
      <x:c r="E1423" s="10" t="n">
        <x:v>80.98502345415778</x:v>
      </x:c>
      <x:c r="F1423" s="11" t="n">
        <x:v>2345</x:v>
      </x:c>
      <x:c r="G1423" s="11" t="n">
        <x:v>0</x:v>
      </x:c>
      <x:c r="H1423" s="11" t="n">
        <x:v>0</x:v>
      </x:c>
      <x:c r="I1423" s="11" t="n">
        <x:v>0</x:v>
      </x:c>
      <x:c r="J1423" s="11" t="n">
        <x:v>0</x:v>
      </x:c>
      <x:c r="K1423" s="11" t="n">
        <x:v>1</x:v>
      </x:c>
      <x:c r="L1423" s="11" t="n">
        <x:f>IF(B1423="NED",1,IF(OR(B1423="ED",B1423="UN"),0,""))</x:f>
        <x:v>0</x:v>
      </x:c>
      <x:c r="M1423" s="11" t="n">
        <x:f>IF(AND(K1423=1,OR(B1423="ED",B1423="NED")),1,0)</x:f>
        <x:v>1</x:v>
      </x:c>
      <x:c r="N1423" s="11" t="n">
        <x:f>IF(K1423=1,1,0)</x:f>
        <x:v>1</x:v>
      </x:c>
      <x:c r="O1423" s="12"/>
      <x:c r="P1423" s="11" t="n">
        <x:v>0</x:v>
      </x:c>
      <x:c r="Q1423" s="12" t="str">
        <x:v>AF-Q5SWU9-F1-model_v6</x:v>
      </x:c>
      <x:c r="R1423" s="12" t="str">
        <x:v>ok</x:v>
      </x:c>
      <x:c r="S1423" s="11" t="n">
        <x:v>985</x:v>
      </x:c>
      <x:c r="T1423" s="11" t="n">
        <x:v>2345</x:v>
      </x:c>
    </x:row>
    <x:row r="1424" ht="23" customHeight="1">
      <x:c r="A1424" s="2" t="str">
        <x:v>Q5SWW4</x:v>
      </x:c>
      <x:c r="B1424" s="2" t="str">
        <x:v>ED</x:v>
      </x:c>
      <x:c r="C1424" s="2" t="n">
        <x:v>1</x:v>
      </x:c>
      <x:c r="D1424" s="2" t="n">
        <x:v>1</x:v>
      </x:c>
      <x:c r="E1424" s="10" t="n">
        <x:v>57.00638415476739</x:v>
      </x:c>
      <x:c r="F1424" s="11" t="n">
        <x:v>2171</x:v>
      </x:c>
      <x:c r="G1424" s="11" t="n">
        <x:v>0</x:v>
      </x:c>
      <x:c r="H1424" s="11" t="n">
        <x:v>0</x:v>
      </x:c>
      <x:c r="I1424" s="11" t="n">
        <x:v>0</x:v>
      </x:c>
      <x:c r="J1424" s="11" t="n">
        <x:v>0</x:v>
      </x:c>
      <x:c r="K1424" s="11" t="n">
        <x:v>0</x:v>
      </x:c>
      <x:c r="L1424" s="11" t="n">
        <x:f>IF(B1424="NED",1,IF(OR(B1424="ED",B1424="UN"),0,""))</x:f>
        <x:v>0</x:v>
      </x:c>
      <x:c r="M1424" s="11" t="n">
        <x:f>IF(AND(K1424=1,OR(B1424="ED",B1424="NED")),1,0)</x:f>
        <x:v>0</x:v>
      </x:c>
      <x:c r="N1424" s="11" t="n">
        <x:f>IF(K1424=1,1,0)</x:f>
        <x:v>0</x:v>
      </x:c>
      <x:c r="O1424" s="12" t="str">
        <x:v>Retain protein mean pLDDT &gt;=70</x:v>
      </x:c>
      <x:c r="P1424" s="11" t="n">
        <x:v>0</x:v>
      </x:c>
      <x:c r="Q1424" s="12" t="str">
        <x:v>AF-Q5SWW4-F1-model_v6</x:v>
      </x:c>
      <x:c r="R1424" s="12" t="str">
        <x:v>ok</x:v>
      </x:c>
      <x:c r="S1424" s="11" t="n">
        <x:v>986</x:v>
      </x:c>
      <x:c r="T1424" s="11" t="n">
        <x:v>2171</x:v>
      </x:c>
    </x:row>
    <x:row r="1425" ht="23" customHeight="1">
      <x:c r="A1425" s="2" t="str">
        <x:v>Q5SWZ5</x:v>
      </x:c>
      <x:c r="B1425" s="2" t="str">
        <x:v>ED</x:v>
      </x:c>
      <x:c r="C1425" s="2"/>
      <x:c r="D1425" s="2"/>
      <x:c r="E1425" s="10"/>
      <x:c r="F1425" s="11"/>
      <x:c r="G1425" s="11" t="n">
        <x:v>0</x:v>
      </x:c>
      <x:c r="H1425" s="11" t="n">
        <x:v>0</x:v>
      </x:c>
      <x:c r="I1425" s="11" t="n">
        <x:v>0</x:v>
      </x:c>
      <x:c r="J1425" s="11" t="n">
        <x:v>0</x:v>
      </x:c>
      <x:c r="K1425" s="11" t="n">
        <x:v>0</x:v>
      </x:c>
      <x:c r="L1425" s="11" t="n">
        <x:f>IF(B1425="NED",1,IF(OR(B1425="ED",B1425="UN"),0,""))</x:f>
        <x:v>0</x:v>
      </x:c>
      <x:c r="M1425" s="11" t="n">
        <x:f>IF(AND(K1425=1,OR(B1425="ED",B1425="NED")),1,0)</x:f>
        <x:v>0</x:v>
      </x:c>
      <x:c r="N1425" s="11" t="n">
        <x:f>IF(K1425=1,1,0)</x:f>
        <x:v>0</x:v>
      </x:c>
      <x:c r="O1425" s="12" t="str">
        <x:v>Require exact native accession match</x:v>
      </x:c>
      <x:c r="P1425" s="11" t="n">
        <x:v>0</x:v>
      </x:c>
      <x:c r="Q1425" s="12"/>
      <x:c r="R1425" s="12"/>
      <x:c r="S1425" s="11" t="n">
        <x:v>3181</x:v>
      </x:c>
      <x:c r="T1425" s="11" t="n">
        <x:v>2269</x:v>
      </x:c>
    </x:row>
    <x:row r="1426" ht="23" customHeight="1">
      <x:c r="A1426" s="2" t="str">
        <x:v>Q5U3K5</x:v>
      </x:c>
      <x:c r="B1426" s="2" t="str">
        <x:v>UN</x:v>
      </x:c>
      <x:c r="C1426" s="2" t="n">
        <x:v>1</x:v>
      </x:c>
      <x:c r="D1426" s="2" t="n">
        <x:v>1</x:v>
      </x:c>
      <x:c r="E1426" s="10" t="n">
        <x:v>59.93048275862069</x:v>
      </x:c>
      <x:c r="F1426" s="11" t="n">
        <x:v>725</x:v>
      </x:c>
      <x:c r="G1426" s="11" t="n">
        <x:v>0</x:v>
      </x:c>
      <x:c r="H1426" s="11" t="n">
        <x:v>0</x:v>
      </x:c>
      <x:c r="I1426" s="11" t="n">
        <x:v>0</x:v>
      </x:c>
      <x:c r="J1426" s="11" t="n">
        <x:v>0</x:v>
      </x:c>
      <x:c r="K1426" s="11" t="n">
        <x:v>0</x:v>
      </x:c>
      <x:c r="L1426" s="11" t="n">
        <x:f>IF(B1426="NED",1,IF(OR(B1426="ED",B1426="UN"),0,""))</x:f>
        <x:v>0</x:v>
      </x:c>
      <x:c r="M1426" s="11" t="n">
        <x:f>IF(AND(K1426=1,OR(B1426="ED",B1426="NED")),1,0)</x:f>
        <x:v>0</x:v>
      </x:c>
      <x:c r="N1426" s="11" t="n">
        <x:f>IF(K1426=1,1,0)</x:f>
        <x:v>0</x:v>
      </x:c>
      <x:c r="O1426" s="12" t="str">
        <x:v>Retain protein mean pLDDT &gt;=70</x:v>
      </x:c>
      <x:c r="P1426" s="11" t="n">
        <x:v>0</x:v>
      </x:c>
      <x:c r="Q1426" s="12" t="str">
        <x:v>AF-Q5U3K5-F1-model_v6</x:v>
      </x:c>
      <x:c r="R1426" s="12" t="str">
        <x:v>ok</x:v>
      </x:c>
      <x:c r="S1426" s="11" t="n">
        <x:v>987</x:v>
      </x:c>
      <x:c r="T1426" s="11" t="n">
        <x:v>725</x:v>
      </x:c>
    </x:row>
    <x:row r="1427" ht="23" customHeight="1">
      <x:c r="A1427" s="2" t="str">
        <x:v>Q5U458</x:v>
      </x:c>
      <x:c r="B1427" s="2" t="str">
        <x:v>UN</x:v>
      </x:c>
      <x:c r="C1427" s="2" t="n">
        <x:v>0</x:v>
      </x:c>
      <x:c r="D1427" s="2" t="n">
        <x:v>0</x:v>
      </x:c>
      <x:c r="E1427" s="10"/>
      <x:c r="F1427" s="11" t="n">
        <x:v>559</x:v>
      </x:c>
      <x:c r="G1427" s="11" t="n">
        <x:v>0</x:v>
      </x:c>
      <x:c r="H1427" s="11" t="n">
        <x:v>0</x:v>
      </x:c>
      <x:c r="I1427" s="11" t="n">
        <x:v>1</x:v>
      </x:c>
      <x:c r="J1427" s="11" t="n">
        <x:v>0</x:v>
      </x:c>
      <x:c r="K1427" s="11" t="n">
        <x:v>0</x:v>
      </x:c>
      <x:c r="L1427" s="11" t="n">
        <x:f>IF(B1427="NED",1,IF(OR(B1427="ED",B1427="UN"),0,""))</x:f>
        <x:v>0</x:v>
      </x:c>
      <x:c r="M1427" s="11" t="n">
        <x:f>IF(AND(K1427=1,OR(B1427="ED",B1427="NED")),1,0)</x:f>
        <x:v>0</x:v>
      </x:c>
      <x:c r="N1427" s="11" t="n">
        <x:f>IF(K1427=1,1,0)</x:f>
        <x:v>0</x:v>
      </x:c>
      <x:c r="O1427" s="12" t="str">
        <x:v>Exclude UniProt Membrane keyword</x:v>
      </x:c>
      <x:c r="P1427" s="11" t="n">
        <x:v>0</x:v>
      </x:c>
      <x:c r="Q1427" s="12" t="str">
        <x:v>AF-Q5U458-F1-model_v6</x:v>
      </x:c>
      <x:c r="R1427" s="12" t="str">
        <x:v>ok</x:v>
      </x:c>
      <x:c r="S1427" s="11" t="n">
        <x:v>988</x:v>
      </x:c>
      <x:c r="T1427" s="11" t="n">
        <x:v>559</x:v>
      </x:c>
    </x:row>
    <x:row r="1428" ht="23" customHeight="1">
      <x:c r="A1428" s="2" t="str">
        <x:v>Q5U4C3</x:v>
      </x:c>
      <x:c r="B1428" s="2" t="str">
        <x:v>UN</x:v>
      </x:c>
      <x:c r="C1428" s="2" t="n">
        <x:v>1</x:v>
      </x:c>
      <x:c r="D1428" s="2"/>
      <x:c r="E1428" s="10"/>
      <x:c r="F1428" s="11" t="n">
        <x:v>1256</x:v>
      </x:c>
      <x:c r="G1428" s="11" t="n">
        <x:v>1</x:v>
      </x:c>
      <x:c r="H1428" s="11" t="n">
        <x:v>0</x:v>
      </x:c>
      <x:c r="I1428" s="11" t="n">
        <x:v>0</x:v>
      </x:c>
      <x:c r="J1428" s="11" t="n">
        <x:v>0</x:v>
      </x:c>
      <x:c r="K1428" s="11" t="n">
        <x:v>0</x:v>
      </x:c>
      <x:c r="L1428" s="11" t="n">
        <x:f>IF(B1428="NED",1,IF(OR(B1428="ED",B1428="UN"),0,""))</x:f>
        <x:v>0</x:v>
      </x:c>
      <x:c r="M1428" s="11" t="n">
        <x:f>IF(AND(K1428=1,OR(B1428="ED",B1428="NED")),1,0)</x:f>
        <x:v>0</x:v>
      </x:c>
      <x:c r="N1428" s="11" t="n">
        <x:f>IF(K1428=1,1,0)</x:f>
        <x:v>0</x:v>
      </x:c>
      <x:c r="O1428" s="12" t="str">
        <x:v>Exclude supplied knotted proteins</x:v>
      </x:c>
      <x:c r="P1428" s="11" t="n">
        <x:v>0</x:v>
      </x:c>
      <x:c r="Q1428" s="12" t="str">
        <x:v>AF-Q5U4C3-F1-model_v6</x:v>
      </x:c>
      <x:c r="R1428" s="12" t="str">
        <x:v>ok</x:v>
      </x:c>
      <x:c r="S1428" s="11" t="n">
        <x:v>989</x:v>
      </x:c>
      <x:c r="T1428" s="11" t="n">
        <x:v>1256</x:v>
      </x:c>
    </x:row>
    <x:row r="1429" ht="23" customHeight="1">
      <x:c r="A1429" s="2" t="str">
        <x:v>Q5U4D9</x:v>
      </x:c>
      <x:c r="B1429" s="2" t="str">
        <x:v>NED</x:v>
      </x:c>
      <x:c r="C1429" s="2" t="n">
        <x:v>1</x:v>
      </x:c>
      <x:c r="D1429" s="2" t="n">
        <x:v>1</x:v>
      </x:c>
      <x:c r="E1429" s="10" t="n">
        <x:v>94.31944281524927</x:v>
      </x:c>
      <x:c r="F1429" s="11" t="n">
        <x:v>341</x:v>
      </x:c>
      <x:c r="G1429" s="11" t="n">
        <x:v>0</x:v>
      </x:c>
      <x:c r="H1429" s="11" t="n">
        <x:v>0</x:v>
      </x:c>
      <x:c r="I1429" s="11" t="n">
        <x:v>0</x:v>
      </x:c>
      <x:c r="J1429" s="11" t="n">
        <x:v>0</x:v>
      </x:c>
      <x:c r="K1429" s="11" t="n">
        <x:v>1</x:v>
      </x:c>
      <x:c r="L1429" s="11" t="n">
        <x:f>IF(B1429="NED",1,IF(OR(B1429="ED",B1429="UN"),0,""))</x:f>
        <x:v>1</x:v>
      </x:c>
      <x:c r="M1429" s="11" t="n">
        <x:f>IF(AND(K1429=1,OR(B1429="ED",B1429="NED")),1,0)</x:f>
        <x:v>1</x:v>
      </x:c>
      <x:c r="N1429" s="11" t="n">
        <x:f>IF(K1429=1,1,0)</x:f>
        <x:v>1</x:v>
      </x:c>
      <x:c r="O1429" s="12"/>
      <x:c r="P1429" s="11" t="n">
        <x:v>0</x:v>
      </x:c>
      <x:c r="Q1429" s="12" t="str">
        <x:v>AF-Q5U4D9-F1-model_v6</x:v>
      </x:c>
      <x:c r="R1429" s="12" t="str">
        <x:v>ok</x:v>
      </x:c>
      <x:c r="S1429" s="11" t="n">
        <x:v>990</x:v>
      </x:c>
      <x:c r="T1429" s="11" t="n">
        <x:v>341</x:v>
      </x:c>
    </x:row>
    <x:row r="1430" ht="23" customHeight="1">
      <x:c r="A1430" s="2" t="str">
        <x:v>Q5UE59</x:v>
      </x:c>
      <x:c r="B1430" s="2" t="str">
        <x:v>ED</x:v>
      </x:c>
      <x:c r="C1430" s="2"/>
      <x:c r="D1430" s="2"/>
      <x:c r="E1430" s="10"/>
      <x:c r="F1430" s="11"/>
      <x:c r="G1430" s="11" t="n">
        <x:v>0</x:v>
      </x:c>
      <x:c r="H1430" s="11" t="n">
        <x:v>0</x:v>
      </x:c>
      <x:c r="I1430" s="11" t="n">
        <x:v>0</x:v>
      </x:c>
      <x:c r="J1430" s="11" t="n">
        <x:v>0</x:v>
      </x:c>
      <x:c r="K1430" s="11" t="n">
        <x:v>0</x:v>
      </x:c>
      <x:c r="L1430" s="11" t="n">
        <x:f>IF(B1430="NED",1,IF(OR(B1430="ED",B1430="UN"),0,""))</x:f>
        <x:v>0</x:v>
      </x:c>
      <x:c r="M1430" s="11" t="n">
        <x:f>IF(AND(K1430=1,OR(B1430="ED",B1430="NED")),1,0)</x:f>
        <x:v>0</x:v>
      </x:c>
      <x:c r="N1430" s="11" t="n">
        <x:f>IF(K1430=1,1,0)</x:f>
        <x:v>0</x:v>
      </x:c>
      <x:c r="O1430" s="12" t="str">
        <x:v>Require exact native accession match</x:v>
      </x:c>
      <x:c r="P1430" s="11" t="n">
        <x:v>0</x:v>
      </x:c>
      <x:c r="Q1430" s="12"/>
      <x:c r="R1430" s="12"/>
      <x:c r="S1430" s="11" t="n">
        <x:v>3182</x:v>
      </x:c>
      <x:c r="T1430" s="11" t="n">
        <x:v>542</x:v>
      </x:c>
    </x:row>
    <x:row r="1431" ht="23" customHeight="1">
      <x:c r="A1431" s="2" t="str">
        <x:v>Q5XJF6</x:v>
      </x:c>
      <x:c r="B1431" s="2" t="str">
        <x:v>NED</x:v>
      </x:c>
      <x:c r="C1431" s="2"/>
      <x:c r="D1431" s="2"/>
      <x:c r="E1431" s="10"/>
      <x:c r="F1431" s="11"/>
      <x:c r="G1431" s="11" t="n">
        <x:v>0</x:v>
      </x:c>
      <x:c r="H1431" s="11" t="n">
        <x:v>0</x:v>
      </x:c>
      <x:c r="I1431" s="11" t="n">
        <x:v>0</x:v>
      </x:c>
      <x:c r="J1431" s="11" t="n">
        <x:v>0</x:v>
      </x:c>
      <x:c r="K1431" s="11" t="n">
        <x:v>0</x:v>
      </x:c>
      <x:c r="L1431" s="11" t="n">
        <x:f>IF(B1431="NED",1,IF(OR(B1431="ED",B1431="UN"),0,""))</x:f>
        <x:v>1</x:v>
      </x:c>
      <x:c r="M1431" s="11" t="n">
        <x:f>IF(AND(K1431=1,OR(B1431="ED",B1431="NED")),1,0)</x:f>
        <x:v>0</x:v>
      </x:c>
      <x:c r="N1431" s="11" t="n">
        <x:f>IF(K1431=1,1,0)</x:f>
        <x:v>0</x:v>
      </x:c>
      <x:c r="O1431" s="12" t="str">
        <x:v>Require exact native accession match</x:v>
      </x:c>
      <x:c r="P1431" s="11" t="n">
        <x:v>0</x:v>
      </x:c>
      <x:c r="Q1431" s="12"/>
      <x:c r="R1431" s="12"/>
      <x:c r="S1431" s="11" t="n">
        <x:v>3183</x:v>
      </x:c>
      <x:c r="T1431" s="11" t="n">
        <x:v>217</x:v>
      </x:c>
    </x:row>
    <x:row r="1432" ht="23" customHeight="1">
      <x:c r="A1432" s="2" t="str">
        <x:v>Q5XJY5</x:v>
      </x:c>
      <x:c r="B1432" s="2" t="str">
        <x:v>UN</x:v>
      </x:c>
      <x:c r="C1432" s="2" t="n">
        <x:v>1</x:v>
      </x:c>
      <x:c r="D1432" s="2" t="n">
        <x:v>1</x:v>
      </x:c>
      <x:c r="E1432" s="10"/>
      <x:c r="F1432" s="11" t="n">
        <x:v>511</x:v>
      </x:c>
      <x:c r="G1432" s="11" t="n">
        <x:v>0</x:v>
      </x:c>
      <x:c r="H1432" s="11" t="n">
        <x:v>0</x:v>
      </x:c>
      <x:c r="I1432" s="11" t="n">
        <x:v>1</x:v>
      </x:c>
      <x:c r="J1432" s="11" t="n">
        <x:v>0</x:v>
      </x:c>
      <x:c r="K1432" s="11" t="n">
        <x:v>0</x:v>
      </x:c>
      <x:c r="L1432" s="11" t="n">
        <x:f>IF(B1432="NED",1,IF(OR(B1432="ED",B1432="UN"),0,""))</x:f>
        <x:v>0</x:v>
      </x:c>
      <x:c r="M1432" s="11" t="n">
        <x:f>IF(AND(K1432=1,OR(B1432="ED",B1432="NED")),1,0)</x:f>
        <x:v>0</x:v>
      </x:c>
      <x:c r="N1432" s="11" t="n">
        <x:f>IF(K1432=1,1,0)</x:f>
        <x:v>0</x:v>
      </x:c>
      <x:c r="O1432" s="12" t="str">
        <x:v>Exclude UniProt Membrane keyword</x:v>
      </x:c>
      <x:c r="P1432" s="11" t="n">
        <x:v>0</x:v>
      </x:c>
      <x:c r="Q1432" s="12" t="str">
        <x:v>AF-Q5XJY5-F1-model_v6</x:v>
      </x:c>
      <x:c r="R1432" s="12" t="str">
        <x:v>ok</x:v>
      </x:c>
      <x:c r="S1432" s="11" t="n">
        <x:v>991</x:v>
      </x:c>
      <x:c r="T1432" s="11" t="n">
        <x:v>511</x:v>
      </x:c>
    </x:row>
    <x:row r="1433" ht="23" customHeight="1">
      <x:c r="A1433" s="2" t="str">
        <x:v>Q60520</x:v>
      </x:c>
      <x:c r="B1433" s="2" t="str">
        <x:v>UN</x:v>
      </x:c>
      <x:c r="C1433" s="2" t="n">
        <x:v>1</x:v>
      </x:c>
      <x:c r="D1433" s="2"/>
      <x:c r="E1433" s="10" t="n">
        <x:v>68.68536106750392</x:v>
      </x:c>
      <x:c r="F1433" s="11" t="n">
        <x:v>1274</x:v>
      </x:c>
      <x:c r="G1433" s="11" t="n">
        <x:v>0</x:v>
      </x:c>
      <x:c r="H1433" s="11" t="n">
        <x:v>0</x:v>
      </x:c>
      <x:c r="I1433" s="11" t="n">
        <x:v>0</x:v>
      </x:c>
      <x:c r="J1433" s="11" t="n">
        <x:v>0</x:v>
      </x:c>
      <x:c r="K1433" s="11" t="n">
        <x:v>0</x:v>
      </x:c>
      <x:c r="L1433" s="11" t="n">
        <x:f>IF(B1433="NED",1,IF(OR(B1433="ED",B1433="UN"),0,""))</x:f>
        <x:v>0</x:v>
      </x:c>
      <x:c r="M1433" s="11" t="n">
        <x:f>IF(AND(K1433=1,OR(B1433="ED",B1433="NED")),1,0)</x:f>
        <x:v>0</x:v>
      </x:c>
      <x:c r="N1433" s="11" t="n">
        <x:f>IF(K1433=1,1,0)</x:f>
        <x:v>0</x:v>
      </x:c>
      <x:c r="O1433" s="12" t="str">
        <x:v>Retain protein mean pLDDT &gt;=70</x:v>
      </x:c>
      <x:c r="P1433" s="11" t="n">
        <x:v>0</x:v>
      </x:c>
      <x:c r="Q1433" s="12" t="str">
        <x:v>AF-Q60520-F1-model_v6</x:v>
      </x:c>
      <x:c r="R1433" s="12" t="str">
        <x:v>ok</x:v>
      </x:c>
      <x:c r="S1433" s="11" t="n">
        <x:v>992</x:v>
      </x:c>
      <x:c r="T1433" s="11" t="n">
        <x:v>1274</x:v>
      </x:c>
    </x:row>
    <x:row r="1434" ht="23" customHeight="1">
      <x:c r="A1434" s="2" t="str">
        <x:v>Q60597</x:v>
      </x:c>
      <x:c r="B1434" s="2" t="str">
        <x:v>UN</x:v>
      </x:c>
      <x:c r="C1434" s="2" t="n">
        <x:v>1</x:v>
      </x:c>
      <x:c r="D1434" s="2" t="n">
        <x:v>1</x:v>
      </x:c>
      <x:c r="E1434" s="10" t="n">
        <x:v>90.15833822091886</x:v>
      </x:c>
      <x:c r="F1434" s="11" t="n">
        <x:v>1023</x:v>
      </x:c>
      <x:c r="G1434" s="11" t="n">
        <x:v>0</x:v>
      </x:c>
      <x:c r="H1434" s="11" t="n">
        <x:v>0</x:v>
      </x:c>
      <x:c r="I1434" s="11" t="n">
        <x:v>0</x:v>
      </x:c>
      <x:c r="J1434" s="11" t="n">
        <x:v>0</x:v>
      </x:c>
      <x:c r="K1434" s="11" t="n">
        <x:v>1</x:v>
      </x:c>
      <x:c r="L1434" s="11" t="n">
        <x:f>IF(B1434="NED",1,IF(OR(B1434="ED",B1434="UN"),0,""))</x:f>
        <x:v>0</x:v>
      </x:c>
      <x:c r="M1434" s="11" t="n">
        <x:f>IF(AND(K1434=1,OR(B1434="ED",B1434="NED")),1,0)</x:f>
        <x:v>0</x:v>
      </x:c>
      <x:c r="N1434" s="11" t="n">
        <x:f>IF(K1434=1,1,0)</x:f>
        <x:v>1</x:v>
      </x:c>
      <x:c r="O1434" s="12"/>
      <x:c r="P1434" s="11" t="n">
        <x:v>0</x:v>
      </x:c>
      <x:c r="Q1434" s="12" t="str">
        <x:v>AF-Q60597-F1-model_v6</x:v>
      </x:c>
      <x:c r="R1434" s="12" t="str">
        <x:v>ok</x:v>
      </x:c>
      <x:c r="S1434" s="11" t="n">
        <x:v>993</x:v>
      </x:c>
      <x:c r="T1434" s="11" t="n">
        <x:v>1023</x:v>
      </x:c>
    </x:row>
    <x:row r="1435" ht="23" customHeight="1">
      <x:c r="A1435" s="2" t="str">
        <x:v>Q60598</x:v>
      </x:c>
      <x:c r="B1435" s="2" t="str">
        <x:v>ED</x:v>
      </x:c>
      <x:c r="C1435" s="2" t="n">
        <x:v>0</x:v>
      </x:c>
      <x:c r="D1435" s="2" t="n">
        <x:v>0</x:v>
      </x:c>
      <x:c r="E1435" s="10"/>
      <x:c r="F1435" s="11" t="n">
        <x:v>546</x:v>
      </x:c>
      <x:c r="G1435" s="11" t="n">
        <x:v>0</x:v>
      </x:c>
      <x:c r="H1435" s="11" t="n">
        <x:v>0</x:v>
      </x:c>
      <x:c r="I1435" s="11" t="n">
        <x:v>1</x:v>
      </x:c>
      <x:c r="J1435" s="11" t="n">
        <x:v>0</x:v>
      </x:c>
      <x:c r="K1435" s="11" t="n">
        <x:v>0</x:v>
      </x:c>
      <x:c r="L1435" s="11" t="n">
        <x:f>IF(B1435="NED",1,IF(OR(B1435="ED",B1435="UN"),0,""))</x:f>
        <x:v>0</x:v>
      </x:c>
      <x:c r="M1435" s="11" t="n">
        <x:f>IF(AND(K1435=1,OR(B1435="ED",B1435="NED")),1,0)</x:f>
        <x:v>0</x:v>
      </x:c>
      <x:c r="N1435" s="11" t="n">
        <x:f>IF(K1435=1,1,0)</x:f>
        <x:v>0</x:v>
      </x:c>
      <x:c r="O1435" s="12" t="str">
        <x:v>Exclude UniProt Membrane keyword</x:v>
      </x:c>
      <x:c r="P1435" s="11" t="n">
        <x:v>0</x:v>
      </x:c>
      <x:c r="Q1435" s="12" t="str">
        <x:v>AF-Q60598-F1-model_v6</x:v>
      </x:c>
      <x:c r="R1435" s="12" t="str">
        <x:v>ok</x:v>
      </x:c>
      <x:c r="S1435" s="11" t="n">
        <x:v>994</x:v>
      </x:c>
      <x:c r="T1435" s="11" t="n">
        <x:v>546</x:v>
      </x:c>
    </x:row>
    <x:row r="1436" ht="23" customHeight="1">
      <x:c r="A1436" s="2" t="str">
        <x:v>Q60605-2</x:v>
      </x:c>
      <x:c r="B1436" s="2" t="str">
        <x:v>UN</x:v>
      </x:c>
      <x:c r="C1436" s="2"/>
      <x:c r="D1436" s="2"/>
      <x:c r="E1436" s="10"/>
      <x:c r="F1436" s="11"/>
      <x:c r="G1436" s="11" t="n">
        <x:v>0</x:v>
      </x:c>
      <x:c r="H1436" s="11" t="n">
        <x:v>0</x:v>
      </x:c>
      <x:c r="I1436" s="11"/>
      <x:c r="J1436" s="11"/>
      <x:c r="K1436" s="11" t="n">
        <x:v>0</x:v>
      </x:c>
      <x:c r="L1436" s="11" t="n">
        <x:f>IF(B1436="NED",1,IF(OR(B1436="ED",B1436="UN"),0,""))</x:f>
        <x:v>0</x:v>
      </x:c>
      <x:c r="M1436" s="11" t="n">
        <x:f>IF(AND(K1436=1,OR(B1436="ED",B1436="NED")),1,0)</x:f>
        <x:v>0</x:v>
      </x:c>
      <x:c r="N1436" s="11" t="n">
        <x:f>IF(K1436=1,1,0)</x:f>
        <x:v>0</x:v>
      </x:c>
      <x:c r="O1436" s="12" t="str">
        <x:v>Require exact native accession match</x:v>
      </x:c>
      <x:c r="P1436" s="11" t="n">
        <x:v>0</x:v>
      </x:c>
      <x:c r="Q1436" s="12"/>
      <x:c r="R1436" s="12"/>
      <x:c r="S1436" s="11" t="n">
        <x:v>995</x:v>
      </x:c>
      <x:c r="T1436" s="11"/>
    </x:row>
    <x:row r="1437" ht="23" customHeight="1">
      <x:c r="A1437" s="2" t="str">
        <x:v>Q60631</x:v>
      </x:c>
      <x:c r="B1437" s="2" t="str">
        <x:v>ED</x:v>
      </x:c>
      <x:c r="C1437" s="2" t="n">
        <x:v>1</x:v>
      </x:c>
      <x:c r="D1437" s="2" t="n">
        <x:v>1</x:v>
      </x:c>
      <x:c r="E1437" s="10" t="n">
        <x:v>88.81382488479262</x:v>
      </x:c>
      <x:c r="F1437" s="11" t="n">
        <x:v>217</x:v>
      </x:c>
      <x:c r="G1437" s="11" t="n">
        <x:v>0</x:v>
      </x:c>
      <x:c r="H1437" s="11" t="n">
        <x:v>0</x:v>
      </x:c>
      <x:c r="I1437" s="11" t="n">
        <x:v>0</x:v>
      </x:c>
      <x:c r="J1437" s="11" t="n">
        <x:v>0</x:v>
      </x:c>
      <x:c r="K1437" s="11" t="n">
        <x:v>1</x:v>
      </x:c>
      <x:c r="L1437" s="11" t="n">
        <x:f>IF(B1437="NED",1,IF(OR(B1437="ED",B1437="UN"),0,""))</x:f>
        <x:v>0</x:v>
      </x:c>
      <x:c r="M1437" s="11" t="n">
        <x:f>IF(AND(K1437=1,OR(B1437="ED",B1437="NED")),1,0)</x:f>
        <x:v>1</x:v>
      </x:c>
      <x:c r="N1437" s="11" t="n">
        <x:f>IF(K1437=1,1,0)</x:f>
        <x:v>1</x:v>
      </x:c>
      <x:c r="O1437" s="12"/>
      <x:c r="P1437" s="11" t="n">
        <x:v>0</x:v>
      </x:c>
      <x:c r="Q1437" s="12" t="str">
        <x:v>AF-Q60631-F1-model_v6</x:v>
      </x:c>
      <x:c r="R1437" s="12" t="str">
        <x:v>ok</x:v>
      </x:c>
      <x:c r="S1437" s="11" t="n">
        <x:v>996</x:v>
      </x:c>
      <x:c r="T1437" s="11" t="n">
        <x:v>217</x:v>
      </x:c>
    </x:row>
    <x:row r="1438" ht="23" customHeight="1">
      <x:c r="A1438" s="2" t="str">
        <x:v>Q60649</x:v>
      </x:c>
      <x:c r="B1438" s="2" t="str">
        <x:v>UN</x:v>
      </x:c>
      <x:c r="C1438" s="2" t="n">
        <x:v>1</x:v>
      </x:c>
      <x:c r="D1438" s="2" t="n">
        <x:v>1</x:v>
      </x:c>
      <x:c r="E1438" s="10" t="n">
        <x:v>75.14485967503693</x:v>
      </x:c>
      <x:c r="F1438" s="11" t="n">
        <x:v>677</x:v>
      </x:c>
      <x:c r="G1438" s="11" t="n">
        <x:v>0</x:v>
      </x:c>
      <x:c r="H1438" s="11" t="n">
        <x:v>0</x:v>
      </x:c>
      <x:c r="I1438" s="11" t="n">
        <x:v>0</x:v>
      </x:c>
      <x:c r="J1438" s="11" t="n">
        <x:v>0</x:v>
      </x:c>
      <x:c r="K1438" s="11" t="n">
        <x:v>1</x:v>
      </x:c>
      <x:c r="L1438" s="11" t="n">
        <x:f>IF(B1438="NED",1,IF(OR(B1438="ED",B1438="UN"),0,""))</x:f>
        <x:v>0</x:v>
      </x:c>
      <x:c r="M1438" s="11" t="n">
        <x:f>IF(AND(K1438=1,OR(B1438="ED",B1438="NED")),1,0)</x:f>
        <x:v>0</x:v>
      </x:c>
      <x:c r="N1438" s="11" t="n">
        <x:f>IF(K1438=1,1,0)</x:f>
        <x:v>1</x:v>
      </x:c>
      <x:c r="O1438" s="12"/>
      <x:c r="P1438" s="11" t="n">
        <x:v>0</x:v>
      </x:c>
      <x:c r="Q1438" s="12" t="str">
        <x:v>AF-Q60649-F1-model_v6</x:v>
      </x:c>
      <x:c r="R1438" s="12" t="str">
        <x:v>ok</x:v>
      </x:c>
      <x:c r="S1438" s="11" t="n">
        <x:v>997</x:v>
      </x:c>
      <x:c r="T1438" s="11" t="n">
        <x:v>677</x:v>
      </x:c>
    </x:row>
    <x:row r="1439" ht="23" customHeight="1">
      <x:c r="A1439" s="2" t="str">
        <x:v>Q60668-3</x:v>
      </x:c>
      <x:c r="B1439" s="2" t="str">
        <x:v>ED</x:v>
      </x:c>
      <x:c r="C1439" s="2"/>
      <x:c r="D1439" s="2"/>
      <x:c r="E1439" s="10"/>
      <x:c r="F1439" s="11"/>
      <x:c r="G1439" s="11" t="n">
        <x:v>0</x:v>
      </x:c>
      <x:c r="H1439" s="11" t="n">
        <x:v>0</x:v>
      </x:c>
      <x:c r="I1439" s="11"/>
      <x:c r="J1439" s="11"/>
      <x:c r="K1439" s="11" t="n">
        <x:v>0</x:v>
      </x:c>
      <x:c r="L1439" s="11" t="n">
        <x:f>IF(B1439="NED",1,IF(OR(B1439="ED",B1439="UN"),0,""))</x:f>
        <x:v>0</x:v>
      </x:c>
      <x:c r="M1439" s="11" t="n">
        <x:f>IF(AND(K1439=1,OR(B1439="ED",B1439="NED")),1,0)</x:f>
        <x:v>0</x:v>
      </x:c>
      <x:c r="N1439" s="11" t="n">
        <x:f>IF(K1439=1,1,0)</x:f>
        <x:v>0</x:v>
      </x:c>
      <x:c r="O1439" s="12" t="str">
        <x:v>Require exact native accession match</x:v>
      </x:c>
      <x:c r="P1439" s="11" t="n">
        <x:v>0</x:v>
      </x:c>
      <x:c r="Q1439" s="12"/>
      <x:c r="R1439" s="12"/>
      <x:c r="S1439" s="11" t="n">
        <x:v>998</x:v>
      </x:c>
      <x:c r="T1439" s="11"/>
    </x:row>
    <x:row r="1440" ht="23" customHeight="1">
      <x:c r="A1440" s="2" t="str">
        <x:v>Q60692</x:v>
      </x:c>
      <x:c r="B1440" s="2" t="str">
        <x:v>NED</x:v>
      </x:c>
      <x:c r="C1440" s="2" t="n">
        <x:v>1</x:v>
      </x:c>
      <x:c r="D1440" s="2" t="n">
        <x:v>1</x:v>
      </x:c>
      <x:c r="E1440" s="10" t="n">
        <x:v>88.81718487394959</x:v>
      </x:c>
      <x:c r="F1440" s="11" t="n">
        <x:v>238</x:v>
      </x:c>
      <x:c r="G1440" s="11" t="n">
        <x:v>0</x:v>
      </x:c>
      <x:c r="H1440" s="11" t="n">
        <x:v>0</x:v>
      </x:c>
      <x:c r="I1440" s="11" t="n">
        <x:v>0</x:v>
      </x:c>
      <x:c r="J1440" s="11" t="n">
        <x:v>0</x:v>
      </x:c>
      <x:c r="K1440" s="11" t="n">
        <x:v>1</x:v>
      </x:c>
      <x:c r="L1440" s="11" t="n">
        <x:f>IF(B1440="NED",1,IF(OR(B1440="ED",B1440="UN"),0,""))</x:f>
        <x:v>1</x:v>
      </x:c>
      <x:c r="M1440" s="11" t="n">
        <x:f>IF(AND(K1440=1,OR(B1440="ED",B1440="NED")),1,0)</x:f>
        <x:v>1</x:v>
      </x:c>
      <x:c r="N1440" s="11" t="n">
        <x:f>IF(K1440=1,1,0)</x:f>
        <x:v>1</x:v>
      </x:c>
      <x:c r="O1440" s="12"/>
      <x:c r="P1440" s="11" t="n">
        <x:v>0</x:v>
      </x:c>
      <x:c r="Q1440" s="12" t="str">
        <x:v>AF-Q60692-F1-model_v6</x:v>
      </x:c>
      <x:c r="R1440" s="12" t="str">
        <x:v>ok</x:v>
      </x:c>
      <x:c r="S1440" s="11" t="n">
        <x:v>999</x:v>
      </x:c>
      <x:c r="T1440" s="11" t="n">
        <x:v>238</x:v>
      </x:c>
    </x:row>
    <x:row r="1441" ht="23" customHeight="1">
      <x:c r="A1441" s="2" t="str">
        <x:v>Q60715</x:v>
      </x:c>
      <x:c r="B1441" s="2" t="str">
        <x:v>UN</x:v>
      </x:c>
      <x:c r="C1441" s="2"/>
      <x:c r="D1441" s="2"/>
      <x:c r="E1441" s="10"/>
      <x:c r="F1441" s="11" t="n">
        <x:v>534</x:v>
      </x:c>
      <x:c r="G1441" s="11" t="n">
        <x:v>0</x:v>
      </x:c>
      <x:c r="H1441" s="11" t="n">
        <x:v>1</x:v>
      </x:c>
      <x:c r="I1441" s="11" t="n">
        <x:v>0</x:v>
      </x:c>
      <x:c r="J1441" s="11" t="n">
        <x:v>0</x:v>
      </x:c>
      <x:c r="K1441" s="11" t="n">
        <x:v>0</x:v>
      </x:c>
      <x:c r="L1441" s="11" t="n">
        <x:f>IF(B1441="NED",1,IF(OR(B1441="ED",B1441="UN"),0,""))</x:f>
        <x:v>0</x:v>
      </x:c>
      <x:c r="M1441" s="11" t="n">
        <x:f>IF(AND(K1441=1,OR(B1441="ED",B1441="NED")),1,0)</x:f>
        <x:v>0</x:v>
      </x:c>
      <x:c r="N1441" s="11" t="n">
        <x:f>IF(K1441=1,1,0)</x:f>
        <x:v>0</x:v>
      </x:c>
      <x:c r="O1441" s="12" t="str">
        <x:v>Require binary native NCLE status</x:v>
      </x:c>
      <x:c r="P1441" s="11" t="n">
        <x:v>0</x:v>
      </x:c>
      <x:c r="Q1441" s="12" t="str">
        <x:v>AF-Q60715-F1-model_v6</x:v>
      </x:c>
      <x:c r="R1441" s="12" t="str">
        <x:v>ok</x:v>
      </x:c>
      <x:c r="S1441" s="11" t="n">
        <x:v>1000</x:v>
      </x:c>
      <x:c r="T1441" s="11" t="n">
        <x:v>534</x:v>
      </x:c>
    </x:row>
    <x:row r="1442" ht="23" customHeight="1">
      <x:c r="A1442" s="2" t="str">
        <x:v>Q60737</x:v>
      </x:c>
      <x:c r="B1442" s="2" t="str">
        <x:v>UN</x:v>
      </x:c>
      <x:c r="C1442" s="2" t="n">
        <x:v>1</x:v>
      </x:c>
      <x:c r="D1442" s="2" t="n">
        <x:v>1</x:v>
      </x:c>
      <x:c r="E1442" s="10" t="n">
        <x:v>89.64460358056266</x:v>
      </x:c>
      <x:c r="F1442" s="11" t="n">
        <x:v>391</x:v>
      </x:c>
      <x:c r="G1442" s="11" t="n">
        <x:v>0</x:v>
      </x:c>
      <x:c r="H1442" s="11" t="n">
        <x:v>0</x:v>
      </x:c>
      <x:c r="I1442" s="11" t="n">
        <x:v>0</x:v>
      </x:c>
      <x:c r="J1442" s="11" t="n">
        <x:v>0</x:v>
      </x:c>
      <x:c r="K1442" s="11" t="n">
        <x:v>1</x:v>
      </x:c>
      <x:c r="L1442" s="11" t="n">
        <x:f>IF(B1442="NED",1,IF(OR(B1442="ED",B1442="UN"),0,""))</x:f>
        <x:v>0</x:v>
      </x:c>
      <x:c r="M1442" s="11" t="n">
        <x:f>IF(AND(K1442=1,OR(B1442="ED",B1442="NED")),1,0)</x:f>
        <x:v>0</x:v>
      </x:c>
      <x:c r="N1442" s="11" t="n">
        <x:f>IF(K1442=1,1,0)</x:f>
        <x:v>1</x:v>
      </x:c>
      <x:c r="O1442" s="12"/>
      <x:c r="P1442" s="11" t="n">
        <x:v>0</x:v>
      </x:c>
      <x:c r="Q1442" s="12" t="str">
        <x:v>AF-Q60737-F1-model_v6</x:v>
      </x:c>
      <x:c r="R1442" s="12" t="str">
        <x:v>ok</x:v>
      </x:c>
      <x:c r="S1442" s="11" t="n">
        <x:v>1001</x:v>
      </x:c>
      <x:c r="T1442" s="11" t="n">
        <x:v>391</x:v>
      </x:c>
    </x:row>
    <x:row r="1443" ht="23" customHeight="1">
      <x:c r="A1443" s="2" t="str">
        <x:v>Q60738</x:v>
      </x:c>
      <x:c r="B1443" s="2" t="str">
        <x:v>UN</x:v>
      </x:c>
      <x:c r="C1443" s="2" t="n">
        <x:v>1</x:v>
      </x:c>
      <x:c r="D1443" s="2"/>
      <x:c r="E1443" s="10"/>
      <x:c r="F1443" s="11" t="n">
        <x:v>503</x:v>
      </x:c>
      <x:c r="G1443" s="11" t="n">
        <x:v>0</x:v>
      </x:c>
      <x:c r="H1443" s="11" t="n">
        <x:v>0</x:v>
      </x:c>
      <x:c r="I1443" s="11" t="n">
        <x:v>1</x:v>
      </x:c>
      <x:c r="J1443" s="11" t="n">
        <x:v>0</x:v>
      </x:c>
      <x:c r="K1443" s="11" t="n">
        <x:v>0</x:v>
      </x:c>
      <x:c r="L1443" s="11" t="n">
        <x:f>IF(B1443="NED",1,IF(OR(B1443="ED",B1443="UN"),0,""))</x:f>
        <x:v>0</x:v>
      </x:c>
      <x:c r="M1443" s="11" t="n">
        <x:f>IF(AND(K1443=1,OR(B1443="ED",B1443="NED")),1,0)</x:f>
        <x:v>0</x:v>
      </x:c>
      <x:c r="N1443" s="11" t="n">
        <x:f>IF(K1443=1,1,0)</x:f>
        <x:v>0</x:v>
      </x:c>
      <x:c r="O1443" s="12" t="str">
        <x:v>Exclude UniProt Membrane keyword</x:v>
      </x:c>
      <x:c r="P1443" s="11" t="n">
        <x:v>0</x:v>
      </x:c>
      <x:c r="Q1443" s="12" t="str">
        <x:v>AF-Q60738-F1-model_v6</x:v>
      </x:c>
      <x:c r="R1443" s="12" t="str">
        <x:v>ok</x:v>
      </x:c>
      <x:c r="S1443" s="11" t="n">
        <x:v>1002</x:v>
      </x:c>
      <x:c r="T1443" s="11" t="n">
        <x:v>503</x:v>
      </x:c>
    </x:row>
    <x:row r="1444" ht="23" customHeight="1">
      <x:c r="A1444" s="2" t="str">
        <x:v>Q60749</x:v>
      </x:c>
      <x:c r="B1444" s="2" t="str">
        <x:v>NED</x:v>
      </x:c>
      <x:c r="C1444" s="2" t="n">
        <x:v>0</x:v>
      </x:c>
      <x:c r="D1444" s="2" t="n">
        <x:v>0</x:v>
      </x:c>
      <x:c r="E1444" s="10"/>
      <x:c r="F1444" s="11" t="n">
        <x:v>443</x:v>
      </x:c>
      <x:c r="G1444" s="11" t="n">
        <x:v>0</x:v>
      </x:c>
      <x:c r="H1444" s="11" t="n">
        <x:v>0</x:v>
      </x:c>
      <x:c r="I1444" s="11" t="n">
        <x:v>1</x:v>
      </x:c>
      <x:c r="J1444" s="11" t="n">
        <x:v>0</x:v>
      </x:c>
      <x:c r="K1444" s="11" t="n">
        <x:v>0</x:v>
      </x:c>
      <x:c r="L1444" s="11" t="n">
        <x:f>IF(B1444="NED",1,IF(OR(B1444="ED",B1444="UN"),0,""))</x:f>
        <x:v>1</x:v>
      </x:c>
      <x:c r="M1444" s="11" t="n">
        <x:f>IF(AND(K1444=1,OR(B1444="ED",B1444="NED")),1,0)</x:f>
        <x:v>0</x:v>
      </x:c>
      <x:c r="N1444" s="11" t="n">
        <x:f>IF(K1444=1,1,0)</x:f>
        <x:v>0</x:v>
      </x:c>
      <x:c r="O1444" s="12" t="str">
        <x:v>Exclude UniProt Membrane keyword</x:v>
      </x:c>
      <x:c r="P1444" s="11" t="n">
        <x:v>0</x:v>
      </x:c>
      <x:c r="Q1444" s="12" t="str">
        <x:v>AF-Q60749-F1-model_v6</x:v>
      </x:c>
      <x:c r="R1444" s="12" t="str">
        <x:v>ok</x:v>
      </x:c>
      <x:c r="S1444" s="11" t="n">
        <x:v>1003</x:v>
      </x:c>
      <x:c r="T1444" s="11" t="n">
        <x:v>443</x:v>
      </x:c>
    </x:row>
    <x:row r="1445" ht="23" customHeight="1">
      <x:c r="A1445" s="2" t="str">
        <x:v>Q60766-2</x:v>
      </x:c>
      <x:c r="B1445" s="2" t="str">
        <x:v>UN</x:v>
      </x:c>
      <x:c r="C1445" s="2"/>
      <x:c r="D1445" s="2"/>
      <x:c r="E1445" s="10"/>
      <x:c r="F1445" s="11"/>
      <x:c r="G1445" s="11" t="n">
        <x:v>0</x:v>
      </x:c>
      <x:c r="H1445" s="11" t="n">
        <x:v>0</x:v>
      </x:c>
      <x:c r="I1445" s="11"/>
      <x:c r="J1445" s="11"/>
      <x:c r="K1445" s="11" t="n">
        <x:v>0</x:v>
      </x:c>
      <x:c r="L1445" s="11" t="n">
        <x:f>IF(B1445="NED",1,IF(OR(B1445="ED",B1445="UN"),0,""))</x:f>
        <x:v>0</x:v>
      </x:c>
      <x:c r="M1445" s="11" t="n">
        <x:f>IF(AND(K1445=1,OR(B1445="ED",B1445="NED")),1,0)</x:f>
        <x:v>0</x:v>
      </x:c>
      <x:c r="N1445" s="11" t="n">
        <x:f>IF(K1445=1,1,0)</x:f>
        <x:v>0</x:v>
      </x:c>
      <x:c r="O1445" s="12" t="str">
        <x:v>Require exact native accession match</x:v>
      </x:c>
      <x:c r="P1445" s="11" t="n">
        <x:v>0</x:v>
      </x:c>
      <x:c r="Q1445" s="12"/>
      <x:c r="R1445" s="12"/>
      <x:c r="S1445" s="11" t="n">
        <x:v>1004</x:v>
      </x:c>
      <x:c r="T1445" s="11"/>
    </x:row>
    <x:row r="1446" ht="23" customHeight="1">
      <x:c r="A1446" s="2" t="str">
        <x:v>Q60767</x:v>
      </x:c>
      <x:c r="B1446" s="2" t="str">
        <x:v>UN</x:v>
      </x:c>
      <x:c r="C1446" s="2" t="n">
        <x:v>1</x:v>
      </x:c>
      <x:c r="D1446" s="2" t="n">
        <x:v>1</x:v>
      </x:c>
      <x:c r="E1446" s="10"/>
      <x:c r="F1446" s="11" t="n">
        <x:v>1723</x:v>
      </x:c>
      <x:c r="G1446" s="11" t="n">
        <x:v>0</x:v>
      </x:c>
      <x:c r="H1446" s="11" t="n">
        <x:v>0</x:v>
      </x:c>
      <x:c r="I1446" s="11" t="n">
        <x:v>1</x:v>
      </x:c>
      <x:c r="J1446" s="11" t="n">
        <x:v>0</x:v>
      </x:c>
      <x:c r="K1446" s="11" t="n">
        <x:v>0</x:v>
      </x:c>
      <x:c r="L1446" s="11" t="n">
        <x:f>IF(B1446="NED",1,IF(OR(B1446="ED",B1446="UN"),0,""))</x:f>
        <x:v>0</x:v>
      </x:c>
      <x:c r="M1446" s="11" t="n">
        <x:f>IF(AND(K1446=1,OR(B1446="ED",B1446="NED")),1,0)</x:f>
        <x:v>0</x:v>
      </x:c>
      <x:c r="N1446" s="11" t="n">
        <x:f>IF(K1446=1,1,0)</x:f>
        <x:v>0</x:v>
      </x:c>
      <x:c r="O1446" s="12" t="str">
        <x:v>Exclude UniProt Membrane keyword</x:v>
      </x:c>
      <x:c r="P1446" s="11" t="n">
        <x:v>0</x:v>
      </x:c>
      <x:c r="Q1446" s="12" t="str">
        <x:v>AF-Q60767-F1-model_v6</x:v>
      </x:c>
      <x:c r="R1446" s="12" t="str">
        <x:v>ok</x:v>
      </x:c>
      <x:c r="S1446" s="11" t="n">
        <x:v>1005</x:v>
      </x:c>
      <x:c r="T1446" s="11" t="n">
        <x:v>1723</x:v>
      </x:c>
    </x:row>
    <x:row r="1447" ht="23" customHeight="1">
      <x:c r="A1447" s="2" t="str">
        <x:v>Q60769</x:v>
      </x:c>
      <x:c r="B1447" s="2" t="str">
        <x:v>UN</x:v>
      </x:c>
      <x:c r="C1447" s="2" t="n">
        <x:v>1</x:v>
      </x:c>
      <x:c r="D1447" s="2" t="n">
        <x:v>1</x:v>
      </x:c>
      <x:c r="E1447" s="10" t="n">
        <x:v>74.34922580645161</x:v>
      </x:c>
      <x:c r="F1447" s="11" t="n">
        <x:v>775</x:v>
      </x:c>
      <x:c r="G1447" s="11" t="n">
        <x:v>0</x:v>
      </x:c>
      <x:c r="H1447" s="11" t="n">
        <x:v>0</x:v>
      </x:c>
      <x:c r="I1447" s="11" t="n">
        <x:v>0</x:v>
      </x:c>
      <x:c r="J1447" s="11" t="n">
        <x:v>0</x:v>
      </x:c>
      <x:c r="K1447" s="11" t="n">
        <x:v>1</x:v>
      </x:c>
      <x:c r="L1447" s="11" t="n">
        <x:f>IF(B1447="NED",1,IF(OR(B1447="ED",B1447="UN"),0,""))</x:f>
        <x:v>0</x:v>
      </x:c>
      <x:c r="M1447" s="11" t="n">
        <x:f>IF(AND(K1447=1,OR(B1447="ED",B1447="NED")),1,0)</x:f>
        <x:v>0</x:v>
      </x:c>
      <x:c r="N1447" s="11" t="n">
        <x:f>IF(K1447=1,1,0)</x:f>
        <x:v>1</x:v>
      </x:c>
      <x:c r="O1447" s="12"/>
      <x:c r="P1447" s="11" t="n">
        <x:v>0</x:v>
      </x:c>
      <x:c r="Q1447" s="12" t="str">
        <x:v>AF-Q60769-F1-model_v6</x:v>
      </x:c>
      <x:c r="R1447" s="12" t="str">
        <x:v>ok</x:v>
      </x:c>
      <x:c r="S1447" s="11" t="n">
        <x:v>1006</x:v>
      </x:c>
      <x:c r="T1447" s="11" t="n">
        <x:v>775</x:v>
      </x:c>
    </x:row>
    <x:row r="1448" ht="23" customHeight="1">
      <x:c r="A1448" s="2" t="str">
        <x:v>Q60770</x:v>
      </x:c>
      <x:c r="B1448" s="2" t="str">
        <x:v>ED</x:v>
      </x:c>
      <x:c r="C1448" s="2" t="n">
        <x:v>1</x:v>
      </x:c>
      <x:c r="D1448" s="2" t="n">
        <x:v>1</x:v>
      </x:c>
      <x:c r="E1448" s="10"/>
      <x:c r="F1448" s="11" t="n">
        <x:v>592</x:v>
      </x:c>
      <x:c r="G1448" s="11" t="n">
        <x:v>0</x:v>
      </x:c>
      <x:c r="H1448" s="11" t="n">
        <x:v>0</x:v>
      </x:c>
      <x:c r="I1448" s="11" t="n">
        <x:v>1</x:v>
      </x:c>
      <x:c r="J1448" s="11" t="n">
        <x:v>0</x:v>
      </x:c>
      <x:c r="K1448" s="11" t="n">
        <x:v>0</x:v>
      </x:c>
      <x:c r="L1448" s="11" t="n">
        <x:f>IF(B1448="NED",1,IF(OR(B1448="ED",B1448="UN"),0,""))</x:f>
        <x:v>0</x:v>
      </x:c>
      <x:c r="M1448" s="11" t="n">
        <x:f>IF(AND(K1448=1,OR(B1448="ED",B1448="NED")),1,0)</x:f>
        <x:v>0</x:v>
      </x:c>
      <x:c r="N1448" s="11" t="n">
        <x:f>IF(K1448=1,1,0)</x:f>
        <x:v>0</x:v>
      </x:c>
      <x:c r="O1448" s="12" t="str">
        <x:v>Exclude UniProt Membrane keyword</x:v>
      </x:c>
      <x:c r="P1448" s="11" t="n">
        <x:v>0</x:v>
      </x:c>
      <x:c r="Q1448" s="12" t="str">
        <x:v>AF-Q60770-F1-model_v6</x:v>
      </x:c>
      <x:c r="R1448" s="12" t="str">
        <x:v>ok</x:v>
      </x:c>
      <x:c r="S1448" s="11" t="n">
        <x:v>1007</x:v>
      </x:c>
      <x:c r="T1448" s="11" t="n">
        <x:v>592</x:v>
      </x:c>
    </x:row>
    <x:row r="1449" ht="23" customHeight="1">
      <x:c r="A1449" s="2" t="str">
        <x:v>Q60790</x:v>
      </x:c>
      <x:c r="B1449" s="2" t="str">
        <x:v>ED</x:v>
      </x:c>
      <x:c r="C1449" s="2" t="n">
        <x:v>1</x:v>
      </x:c>
      <x:c r="D1449" s="2" t="n">
        <x:v>1</x:v>
      </x:c>
      <x:c r="E1449" s="10" t="n">
        <x:v>84.58203836930456</x:v>
      </x:c>
      <x:c r="F1449" s="11" t="n">
        <x:v>834</x:v>
      </x:c>
      <x:c r="G1449" s="11" t="n">
        <x:v>0</x:v>
      </x:c>
      <x:c r="H1449" s="11" t="n">
        <x:v>0</x:v>
      </x:c>
      <x:c r="I1449" s="11" t="n">
        <x:v>0</x:v>
      </x:c>
      <x:c r="J1449" s="11" t="n">
        <x:v>0</x:v>
      </x:c>
      <x:c r="K1449" s="11" t="n">
        <x:v>1</x:v>
      </x:c>
      <x:c r="L1449" s="11" t="n">
        <x:f>IF(B1449="NED",1,IF(OR(B1449="ED",B1449="UN"),0,""))</x:f>
        <x:v>0</x:v>
      </x:c>
      <x:c r="M1449" s="11" t="n">
        <x:f>IF(AND(K1449=1,OR(B1449="ED",B1449="NED")),1,0)</x:f>
        <x:v>1</x:v>
      </x:c>
      <x:c r="N1449" s="11" t="n">
        <x:f>IF(K1449=1,1,0)</x:f>
        <x:v>1</x:v>
      </x:c>
      <x:c r="O1449" s="12"/>
      <x:c r="P1449" s="11" t="n">
        <x:v>0</x:v>
      </x:c>
      <x:c r="Q1449" s="12" t="str">
        <x:v>AF-Q60790-F1-model_v6</x:v>
      </x:c>
      <x:c r="R1449" s="12" t="str">
        <x:v>ok</x:v>
      </x:c>
      <x:c r="S1449" s="11" t="n">
        <x:v>1008</x:v>
      </x:c>
      <x:c r="T1449" s="11" t="n">
        <x:v>834</x:v>
      </x:c>
    </x:row>
    <x:row r="1450" ht="23" customHeight="1">
      <x:c r="A1450" s="2" t="str">
        <x:v>Q60817</x:v>
      </x:c>
      <x:c r="B1450" s="2" t="str">
        <x:v>UN</x:v>
      </x:c>
      <x:c r="C1450" s="2"/>
      <x:c r="D1450" s="2"/>
      <x:c r="E1450" s="10"/>
      <x:c r="F1450" s="11"/>
      <x:c r="G1450" s="11" t="n">
        <x:v>0</x:v>
      </x:c>
      <x:c r="H1450" s="11" t="n">
        <x:v>0</x:v>
      </x:c>
      <x:c r="I1450" s="11" t="n">
        <x:v>0</x:v>
      </x:c>
      <x:c r="J1450" s="11" t="n">
        <x:v>0</x:v>
      </x:c>
      <x:c r="K1450" s="11" t="n">
        <x:v>0</x:v>
      </x:c>
      <x:c r="L1450" s="11" t="n">
        <x:f>IF(B1450="NED",1,IF(OR(B1450="ED",B1450="UN"),0,""))</x:f>
        <x:v>0</x:v>
      </x:c>
      <x:c r="M1450" s="11" t="n">
        <x:f>IF(AND(K1450=1,OR(B1450="ED",B1450="NED")),1,0)</x:f>
        <x:v>0</x:v>
      </x:c>
      <x:c r="N1450" s="11" t="n">
        <x:f>IF(K1450=1,1,0)</x:f>
        <x:v>0</x:v>
      </x:c>
      <x:c r="O1450" s="12" t="str">
        <x:v>Require exact native accession match</x:v>
      </x:c>
      <x:c r="P1450" s="11" t="n">
        <x:v>0</x:v>
      </x:c>
      <x:c r="Q1450" s="12"/>
      <x:c r="R1450" s="12"/>
      <x:c r="S1450" s="11" t="n">
        <x:v>1009</x:v>
      </x:c>
      <x:c r="T1450" s="11" t="n">
        <x:v>215</x:v>
      </x:c>
    </x:row>
    <x:row r="1451" ht="23" customHeight="1">
      <x:c r="A1451" s="2" t="str">
        <x:v>Q60823</x:v>
      </x:c>
      <x:c r="B1451" s="2" t="str">
        <x:v>ED</x:v>
      </x:c>
      <x:c r="C1451" s="2" t="n">
        <x:v>1</x:v>
      </x:c>
      <x:c r="D1451" s="2" t="n">
        <x:v>1</x:v>
      </x:c>
      <x:c r="E1451" s="10"/>
      <x:c r="F1451" s="11" t="n">
        <x:v>481</x:v>
      </x:c>
      <x:c r="G1451" s="11" t="n">
        <x:v>0</x:v>
      </x:c>
      <x:c r="H1451" s="11" t="n">
        <x:v>0</x:v>
      </x:c>
      <x:c r="I1451" s="11" t="n">
        <x:v>1</x:v>
      </x:c>
      <x:c r="J1451" s="11" t="n">
        <x:v>0</x:v>
      </x:c>
      <x:c r="K1451" s="11" t="n">
        <x:v>0</x:v>
      </x:c>
      <x:c r="L1451" s="11" t="n">
        <x:f>IF(B1451="NED",1,IF(OR(B1451="ED",B1451="UN"),0,""))</x:f>
        <x:v>0</x:v>
      </x:c>
      <x:c r="M1451" s="11" t="n">
        <x:f>IF(AND(K1451=1,OR(B1451="ED",B1451="NED")),1,0)</x:f>
        <x:v>0</x:v>
      </x:c>
      <x:c r="N1451" s="11" t="n">
        <x:f>IF(K1451=1,1,0)</x:f>
        <x:v>0</x:v>
      </x:c>
      <x:c r="O1451" s="12" t="str">
        <x:v>Exclude UniProt Membrane keyword</x:v>
      </x:c>
      <x:c r="P1451" s="11" t="n">
        <x:v>0</x:v>
      </x:c>
      <x:c r="Q1451" s="12" t="str">
        <x:v>AF-Q60823-F1-model_v6</x:v>
      </x:c>
      <x:c r="R1451" s="12" t="str">
        <x:v>ok</x:v>
      </x:c>
      <x:c r="S1451" s="11" t="n">
        <x:v>1010</x:v>
      </x:c>
      <x:c r="T1451" s="11" t="n">
        <x:v>481</x:v>
      </x:c>
    </x:row>
    <x:row r="1452" ht="23" customHeight="1">
      <x:c r="A1452" s="2" t="str">
        <x:v>Q60854</x:v>
      </x:c>
      <x:c r="B1452" s="2" t="str">
        <x:v>ED</x:v>
      </x:c>
      <x:c r="C1452" s="2" t="n">
        <x:v>1</x:v>
      </x:c>
      <x:c r="D1452" s="2" t="n">
        <x:v>1</x:v>
      </x:c>
      <x:c r="E1452" s="10" t="n">
        <x:v>89.76574074074074</x:v>
      </x:c>
      <x:c r="F1452" s="11" t="n">
        <x:v>378</x:v>
      </x:c>
      <x:c r="G1452" s="11" t="n">
        <x:v>0</x:v>
      </x:c>
      <x:c r="H1452" s="11" t="n">
        <x:v>0</x:v>
      </x:c>
      <x:c r="I1452" s="11" t="n">
        <x:v>0</x:v>
      </x:c>
      <x:c r="J1452" s="11" t="n">
        <x:v>0</x:v>
      </x:c>
      <x:c r="K1452" s="11" t="n">
        <x:v>1</x:v>
      </x:c>
      <x:c r="L1452" s="11" t="n">
        <x:f>IF(B1452="NED",1,IF(OR(B1452="ED",B1452="UN"),0,""))</x:f>
        <x:v>0</x:v>
      </x:c>
      <x:c r="M1452" s="11" t="n">
        <x:f>IF(AND(K1452=1,OR(B1452="ED",B1452="NED")),1,0)</x:f>
        <x:v>1</x:v>
      </x:c>
      <x:c r="N1452" s="11" t="n">
        <x:f>IF(K1452=1,1,0)</x:f>
        <x:v>1</x:v>
      </x:c>
      <x:c r="O1452" s="12"/>
      <x:c r="P1452" s="11" t="n">
        <x:v>0</x:v>
      </x:c>
      <x:c r="Q1452" s="12" t="str">
        <x:v>AF-Q60854-F1-model_v6</x:v>
      </x:c>
      <x:c r="R1452" s="12" t="str">
        <x:v>ok</x:v>
      </x:c>
      <x:c r="S1452" s="11" t="n">
        <x:v>1011</x:v>
      </x:c>
      <x:c r="T1452" s="11" t="n">
        <x:v>378</x:v>
      </x:c>
    </x:row>
    <x:row r="1453" ht="23" customHeight="1">
      <x:c r="A1453" s="2" t="str">
        <x:v>Q60855</x:v>
      </x:c>
      <x:c r="B1453" s="2" t="str">
        <x:v>UN</x:v>
      </x:c>
      <x:c r="C1453" s="2" t="n">
        <x:v>1</x:v>
      </x:c>
      <x:c r="D1453" s="2" t="n">
        <x:v>1</x:v>
      </x:c>
      <x:c r="E1453" s="10"/>
      <x:c r="F1453" s="11" t="n">
        <x:v>656</x:v>
      </x:c>
      <x:c r="G1453" s="11" t="n">
        <x:v>0</x:v>
      </x:c>
      <x:c r="H1453" s="11" t="n">
        <x:v>0</x:v>
      </x:c>
      <x:c r="I1453" s="11" t="n">
        <x:v>1</x:v>
      </x:c>
      <x:c r="J1453" s="11" t="n">
        <x:v>0</x:v>
      </x:c>
      <x:c r="K1453" s="11" t="n">
        <x:v>0</x:v>
      </x:c>
      <x:c r="L1453" s="11" t="n">
        <x:f>IF(B1453="NED",1,IF(OR(B1453="ED",B1453="UN"),0,""))</x:f>
        <x:v>0</x:v>
      </x:c>
      <x:c r="M1453" s="11" t="n">
        <x:f>IF(AND(K1453=1,OR(B1453="ED",B1453="NED")),1,0)</x:f>
        <x:v>0</x:v>
      </x:c>
      <x:c r="N1453" s="11" t="n">
        <x:f>IF(K1453=1,1,0)</x:f>
        <x:v>0</x:v>
      </x:c>
      <x:c r="O1453" s="12" t="str">
        <x:v>Exclude UniProt Membrane keyword</x:v>
      </x:c>
      <x:c r="P1453" s="11" t="n">
        <x:v>0</x:v>
      </x:c>
      <x:c r="Q1453" s="12" t="str">
        <x:v>AF-Q60855-F1-model_v6</x:v>
      </x:c>
      <x:c r="R1453" s="12" t="str">
        <x:v>ok</x:v>
      </x:c>
      <x:c r="S1453" s="11" t="n">
        <x:v>1012</x:v>
      </x:c>
      <x:c r="T1453" s="11" t="n">
        <x:v>656</x:v>
      </x:c>
    </x:row>
    <x:row r="1454" ht="23" customHeight="1">
      <x:c r="A1454" s="2" t="str">
        <x:v>Q60864</x:v>
      </x:c>
      <x:c r="B1454" s="2" t="str">
        <x:v>ED</x:v>
      </x:c>
      <x:c r="C1454" s="2" t="n">
        <x:v>0</x:v>
      </x:c>
      <x:c r="D1454" s="2" t="n">
        <x:v>0</x:v>
      </x:c>
      <x:c r="E1454" s="10" t="n">
        <x:v>89.8359300184162</x:v>
      </x:c>
      <x:c r="F1454" s="11" t="n">
        <x:v>543</x:v>
      </x:c>
      <x:c r="G1454" s="11" t="n">
        <x:v>0</x:v>
      </x:c>
      <x:c r="H1454" s="11" t="n">
        <x:v>0</x:v>
      </x:c>
      <x:c r="I1454" s="11" t="n">
        <x:v>0</x:v>
      </x:c>
      <x:c r="J1454" s="11" t="n">
        <x:v>0</x:v>
      </x:c>
      <x:c r="K1454" s="11" t="n">
        <x:v>1</x:v>
      </x:c>
      <x:c r="L1454" s="11" t="n">
        <x:f>IF(B1454="NED",1,IF(OR(B1454="ED",B1454="UN"),0,""))</x:f>
        <x:v>0</x:v>
      </x:c>
      <x:c r="M1454" s="11" t="n">
        <x:f>IF(AND(K1454=1,OR(B1454="ED",B1454="NED")),1,0)</x:f>
        <x:v>1</x:v>
      </x:c>
      <x:c r="N1454" s="11" t="n">
        <x:f>IF(K1454=1,1,0)</x:f>
        <x:v>1</x:v>
      </x:c>
      <x:c r="O1454" s="12"/>
      <x:c r="P1454" s="11" t="n">
        <x:v>0</x:v>
      </x:c>
      <x:c r="Q1454" s="12" t="str">
        <x:v>AF-Q60864-F1-model_v6</x:v>
      </x:c>
      <x:c r="R1454" s="12" t="str">
        <x:v>ok</x:v>
      </x:c>
      <x:c r="S1454" s="11" t="n">
        <x:v>1013</x:v>
      </x:c>
      <x:c r="T1454" s="11" t="n">
        <x:v>543</x:v>
      </x:c>
    </x:row>
    <x:row r="1455" ht="23" customHeight="1">
      <x:c r="A1455" s="2" t="str">
        <x:v>Q60865</x:v>
      </x:c>
      <x:c r="B1455" s="2" t="str">
        <x:v>UN</x:v>
      </x:c>
      <x:c r="C1455" s="2" t="n">
        <x:v>1</x:v>
      </x:c>
      <x:c r="D1455" s="2"/>
      <x:c r="E1455" s="10" t="n">
        <x:v>57.32039603960396</x:v>
      </x:c>
      <x:c r="F1455" s="11" t="n">
        <x:v>707</x:v>
      </x:c>
      <x:c r="G1455" s="11" t="n">
        <x:v>0</x:v>
      </x:c>
      <x:c r="H1455" s="11" t="n">
        <x:v>0</x:v>
      </x:c>
      <x:c r="I1455" s="11" t="n">
        <x:v>0</x:v>
      </x:c>
      <x:c r="J1455" s="11" t="n">
        <x:v>0</x:v>
      </x:c>
      <x:c r="K1455" s="11" t="n">
        <x:v>0</x:v>
      </x:c>
      <x:c r="L1455" s="11" t="n">
        <x:f>IF(B1455="NED",1,IF(OR(B1455="ED",B1455="UN"),0,""))</x:f>
        <x:v>0</x:v>
      </x:c>
      <x:c r="M1455" s="11" t="n">
        <x:f>IF(AND(K1455=1,OR(B1455="ED",B1455="NED")),1,0)</x:f>
        <x:v>0</x:v>
      </x:c>
      <x:c r="N1455" s="11" t="n">
        <x:f>IF(K1455=1,1,0)</x:f>
        <x:v>0</x:v>
      </x:c>
      <x:c r="O1455" s="12" t="str">
        <x:v>Retain protein mean pLDDT &gt;=70</x:v>
      </x:c>
      <x:c r="P1455" s="11" t="n">
        <x:v>0</x:v>
      </x:c>
      <x:c r="Q1455" s="12" t="str">
        <x:v>AF-Q60865-F1-model_v6</x:v>
      </x:c>
      <x:c r="R1455" s="12" t="str">
        <x:v>ok</x:v>
      </x:c>
      <x:c r="S1455" s="11" t="n">
        <x:v>1014</x:v>
      </x:c>
      <x:c r="T1455" s="11" t="n">
        <x:v>707</x:v>
      </x:c>
    </x:row>
    <x:row r="1456" ht="23" customHeight="1">
      <x:c r="A1456" s="2" t="str">
        <x:v>Q60866</x:v>
      </x:c>
      <x:c r="B1456" s="2" t="str">
        <x:v>ED</x:v>
      </x:c>
      <x:c r="C1456" s="2" t="n">
        <x:v>1</x:v>
      </x:c>
      <x:c r="D1456" s="2" t="n">
        <x:v>1</x:v>
      </x:c>
      <x:c r="E1456" s="10" t="n">
        <x:v>97.6039541547278</x:v>
      </x:c>
      <x:c r="F1456" s="11" t="n">
        <x:v>349</x:v>
      </x:c>
      <x:c r="G1456" s="11" t="n">
        <x:v>0</x:v>
      </x:c>
      <x:c r="H1456" s="11" t="n">
        <x:v>0</x:v>
      </x:c>
      <x:c r="I1456" s="11" t="n">
        <x:v>0</x:v>
      </x:c>
      <x:c r="J1456" s="11" t="n">
        <x:v>0</x:v>
      </x:c>
      <x:c r="K1456" s="11" t="n">
        <x:v>1</x:v>
      </x:c>
      <x:c r="L1456" s="11" t="n">
        <x:f>IF(B1456="NED",1,IF(OR(B1456="ED",B1456="UN"),0,""))</x:f>
        <x:v>0</x:v>
      </x:c>
      <x:c r="M1456" s="11" t="n">
        <x:f>IF(AND(K1456=1,OR(B1456="ED",B1456="NED")),1,0)</x:f>
        <x:v>1</x:v>
      </x:c>
      <x:c r="N1456" s="11" t="n">
        <x:f>IF(K1456=1,1,0)</x:f>
        <x:v>1</x:v>
      </x:c>
      <x:c r="O1456" s="12"/>
      <x:c r="P1456" s="11" t="n">
        <x:v>0</x:v>
      </x:c>
      <x:c r="Q1456" s="12" t="str">
        <x:v>AF-Q60866-F1-model_v6</x:v>
      </x:c>
      <x:c r="R1456" s="12" t="str">
        <x:v>ok</x:v>
      </x:c>
      <x:c r="S1456" s="11" t="n">
        <x:v>1015</x:v>
      </x:c>
      <x:c r="T1456" s="11" t="n">
        <x:v>349</x:v>
      </x:c>
    </x:row>
    <x:row r="1457" ht="23" customHeight="1">
      <x:c r="A1457" s="2" t="str">
        <x:v>Q60902-2</x:v>
      </x:c>
      <x:c r="B1457" s="2" t="str">
        <x:v>ED</x:v>
      </x:c>
      <x:c r="C1457" s="2"/>
      <x:c r="D1457" s="2"/>
      <x:c r="E1457" s="10"/>
      <x:c r="F1457" s="11"/>
      <x:c r="G1457" s="11" t="n">
        <x:v>0</x:v>
      </x:c>
      <x:c r="H1457" s="11" t="n">
        <x:v>0</x:v>
      </x:c>
      <x:c r="I1457" s="11"/>
      <x:c r="J1457" s="11"/>
      <x:c r="K1457" s="11" t="n">
        <x:v>0</x:v>
      </x:c>
      <x:c r="L1457" s="11" t="n">
        <x:f>IF(B1457="NED",1,IF(OR(B1457="ED",B1457="UN"),0,""))</x:f>
        <x:v>0</x:v>
      </x:c>
      <x:c r="M1457" s="11" t="n">
        <x:f>IF(AND(K1457=1,OR(B1457="ED",B1457="NED")),1,0)</x:f>
        <x:v>0</x:v>
      </x:c>
      <x:c r="N1457" s="11" t="n">
        <x:f>IF(K1457=1,1,0)</x:f>
        <x:v>0</x:v>
      </x:c>
      <x:c r="O1457" s="12" t="str">
        <x:v>Require exact native accession match</x:v>
      </x:c>
      <x:c r="P1457" s="11" t="n">
        <x:v>0</x:v>
      </x:c>
      <x:c r="Q1457" s="12"/>
      <x:c r="R1457" s="12"/>
      <x:c r="S1457" s="11" t="n">
        <x:v>1016</x:v>
      </x:c>
      <x:c r="T1457" s="11"/>
    </x:row>
    <x:row r="1458" ht="23" customHeight="1">
      <x:c r="A1458" s="2" t="str">
        <x:v>Q60953</x:v>
      </x:c>
      <x:c r="B1458" s="2" t="str">
        <x:v>ED</x:v>
      </x:c>
      <x:c r="C1458" s="2" t="n">
        <x:v>1</x:v>
      </x:c>
      <x:c r="D1458" s="2" t="n">
        <x:v>1</x:v>
      </x:c>
      <x:c r="E1458" s="10"/>
      <x:c r="F1458" s="11" t="n">
        <x:v>885</x:v>
      </x:c>
      <x:c r="G1458" s="11" t="n">
        <x:v>0</x:v>
      </x:c>
      <x:c r="H1458" s="11" t="n">
        <x:v>0</x:v>
      </x:c>
      <x:c r="I1458" s="11" t="n">
        <x:v>1</x:v>
      </x:c>
      <x:c r="J1458" s="11" t="n">
        <x:v>0</x:v>
      </x:c>
      <x:c r="K1458" s="11" t="n">
        <x:v>0</x:v>
      </x:c>
      <x:c r="L1458" s="11" t="n">
        <x:f>IF(B1458="NED",1,IF(OR(B1458="ED",B1458="UN"),0,""))</x:f>
        <x:v>0</x:v>
      </x:c>
      <x:c r="M1458" s="11" t="n">
        <x:f>IF(AND(K1458=1,OR(B1458="ED",B1458="NED")),1,0)</x:f>
        <x:v>0</x:v>
      </x:c>
      <x:c r="N1458" s="11" t="n">
        <x:f>IF(K1458=1,1,0)</x:f>
        <x:v>0</x:v>
      </x:c>
      <x:c r="O1458" s="12" t="str">
        <x:v>Exclude UniProt Membrane keyword</x:v>
      </x:c>
      <x:c r="P1458" s="11" t="n">
        <x:v>0</x:v>
      </x:c>
      <x:c r="Q1458" s="12" t="str">
        <x:v>AF-Q60953-F1-model_v6</x:v>
      </x:c>
      <x:c r="R1458" s="12" t="str">
        <x:v>ok</x:v>
      </x:c>
      <x:c r="S1458" s="11" t="n">
        <x:v>1017</x:v>
      </x:c>
      <x:c r="T1458" s="11" t="n">
        <x:v>885</x:v>
      </x:c>
    </x:row>
    <x:row r="1459" ht="23" customHeight="1">
      <x:c r="A1459" s="2" t="str">
        <x:v>Q60954-3</x:v>
      </x:c>
      <x:c r="B1459" s="2" t="str">
        <x:v>ED</x:v>
      </x:c>
      <x:c r="C1459" s="2"/>
      <x:c r="D1459" s="2"/>
      <x:c r="E1459" s="10"/>
      <x:c r="F1459" s="11"/>
      <x:c r="G1459" s="11" t="n">
        <x:v>0</x:v>
      </x:c>
      <x:c r="H1459" s="11" t="n">
        <x:v>0</x:v>
      </x:c>
      <x:c r="I1459" s="11"/>
      <x:c r="J1459" s="11"/>
      <x:c r="K1459" s="11" t="n">
        <x:v>0</x:v>
      </x:c>
      <x:c r="L1459" s="11" t="n">
        <x:f>IF(B1459="NED",1,IF(OR(B1459="ED",B1459="UN"),0,""))</x:f>
        <x:v>0</x:v>
      </x:c>
      <x:c r="M1459" s="11" t="n">
        <x:f>IF(AND(K1459=1,OR(B1459="ED",B1459="NED")),1,0)</x:f>
        <x:v>0</x:v>
      </x:c>
      <x:c r="N1459" s="11" t="n">
        <x:f>IF(K1459=1,1,0)</x:f>
        <x:v>0</x:v>
      </x:c>
      <x:c r="O1459" s="12" t="str">
        <x:v>Require exact native accession match</x:v>
      </x:c>
      <x:c r="P1459" s="11" t="n">
        <x:v>0</x:v>
      </x:c>
      <x:c r="Q1459" s="12"/>
      <x:c r="R1459" s="12"/>
      <x:c r="S1459" s="11" t="n">
        <x:v>1018</x:v>
      </x:c>
      <x:c r="T1459" s="11"/>
    </x:row>
    <x:row r="1460" ht="23" customHeight="1">
      <x:c r="A1460" s="2" t="str">
        <x:v>Q60960</x:v>
      </x:c>
      <x:c r="B1460" s="2" t="str">
        <x:v>ED</x:v>
      </x:c>
      <x:c r="C1460" s="2" t="n">
        <x:v>0</x:v>
      </x:c>
      <x:c r="D1460" s="2" t="n">
        <x:v>0</x:v>
      </x:c>
      <x:c r="E1460" s="10" t="n">
        <x:v>86.97438661710038</x:v>
      </x:c>
      <x:c r="F1460" s="11" t="n">
        <x:v>538</x:v>
      </x:c>
      <x:c r="G1460" s="11" t="n">
        <x:v>0</x:v>
      </x:c>
      <x:c r="H1460" s="11" t="n">
        <x:v>0</x:v>
      </x:c>
      <x:c r="I1460" s="11" t="n">
        <x:v>0</x:v>
      </x:c>
      <x:c r="J1460" s="11" t="n">
        <x:v>0</x:v>
      </x:c>
      <x:c r="K1460" s="11" t="n">
        <x:v>1</x:v>
      </x:c>
      <x:c r="L1460" s="11" t="n">
        <x:f>IF(B1460="NED",1,IF(OR(B1460="ED",B1460="UN"),0,""))</x:f>
        <x:v>0</x:v>
      </x:c>
      <x:c r="M1460" s="11" t="n">
        <x:f>IF(AND(K1460=1,OR(B1460="ED",B1460="NED")),1,0)</x:f>
        <x:v>1</x:v>
      </x:c>
      <x:c r="N1460" s="11" t="n">
        <x:f>IF(K1460=1,1,0)</x:f>
        <x:v>1</x:v>
      </x:c>
      <x:c r="O1460" s="12"/>
      <x:c r="P1460" s="11" t="n">
        <x:v>0</x:v>
      </x:c>
      <x:c r="Q1460" s="12" t="str">
        <x:v>AF-Q60960-F1-model_v6</x:v>
      </x:c>
      <x:c r="R1460" s="12" t="str">
        <x:v>ok</x:v>
      </x:c>
      <x:c r="S1460" s="11" t="n">
        <x:v>1019</x:v>
      </x:c>
      <x:c r="T1460" s="11" t="n">
        <x:v>538</x:v>
      </x:c>
    </x:row>
    <x:row r="1461" ht="23" customHeight="1">
      <x:c r="A1461" s="2" t="str">
        <x:v>Q60967</x:v>
      </x:c>
      <x:c r="B1461" s="2" t="str">
        <x:v>UN</x:v>
      </x:c>
      <x:c r="C1461" s="2" t="n">
        <x:v>1</x:v>
      </x:c>
      <x:c r="D1461" s="2" t="n">
        <x:v>1</x:v>
      </x:c>
      <x:c r="E1461" s="10" t="n">
        <x:v>93.27354166666667</x:v>
      </x:c>
      <x:c r="F1461" s="11" t="n">
        <x:v>624</x:v>
      </x:c>
      <x:c r="G1461" s="11" t="n">
        <x:v>0</x:v>
      </x:c>
      <x:c r="H1461" s="11" t="n">
        <x:v>0</x:v>
      </x:c>
      <x:c r="I1461" s="11" t="n">
        <x:v>0</x:v>
      </x:c>
      <x:c r="J1461" s="11" t="n">
        <x:v>0</x:v>
      </x:c>
      <x:c r="K1461" s="11" t="n">
        <x:v>1</x:v>
      </x:c>
      <x:c r="L1461" s="11" t="n">
        <x:f>IF(B1461="NED",1,IF(OR(B1461="ED",B1461="UN"),0,""))</x:f>
        <x:v>0</x:v>
      </x:c>
      <x:c r="M1461" s="11" t="n">
        <x:f>IF(AND(K1461=1,OR(B1461="ED",B1461="NED")),1,0)</x:f>
        <x:v>0</x:v>
      </x:c>
      <x:c r="N1461" s="11" t="n">
        <x:f>IF(K1461=1,1,0)</x:f>
        <x:v>1</x:v>
      </x:c>
      <x:c r="O1461" s="12"/>
      <x:c r="P1461" s="11" t="n">
        <x:v>0</x:v>
      </x:c>
      <x:c r="Q1461" s="12" t="str">
        <x:v>AF-Q60967-F1-model_v6</x:v>
      </x:c>
      <x:c r="R1461" s="12" t="str">
        <x:v>ok</x:v>
      </x:c>
      <x:c r="S1461" s="11" t="n">
        <x:v>1020</x:v>
      </x:c>
      <x:c r="T1461" s="11" t="n">
        <x:v>624</x:v>
      </x:c>
    </x:row>
    <x:row r="1462" ht="23" customHeight="1">
      <x:c r="A1462" s="2" t="str">
        <x:v>Q60972</x:v>
      </x:c>
      <x:c r="B1462" s="2" t="str">
        <x:v>UN</x:v>
      </x:c>
      <x:c r="C1462" s="2" t="n">
        <x:v>1</x:v>
      </x:c>
      <x:c r="D1462" s="2" t="n">
        <x:v>1</x:v>
      </x:c>
      <x:c r="E1462" s="10" t="n">
        <x:v>91.98322352941176</x:v>
      </x:c>
      <x:c r="F1462" s="11" t="n">
        <x:v>425</x:v>
      </x:c>
      <x:c r="G1462" s="11" t="n">
        <x:v>0</x:v>
      </x:c>
      <x:c r="H1462" s="11" t="n">
        <x:v>0</x:v>
      </x:c>
      <x:c r="I1462" s="11" t="n">
        <x:v>0</x:v>
      </x:c>
      <x:c r="J1462" s="11" t="n">
        <x:v>0</x:v>
      </x:c>
      <x:c r="K1462" s="11" t="n">
        <x:v>1</x:v>
      </x:c>
      <x:c r="L1462" s="11" t="n">
        <x:f>IF(B1462="NED",1,IF(OR(B1462="ED",B1462="UN"),0,""))</x:f>
        <x:v>0</x:v>
      </x:c>
      <x:c r="M1462" s="11" t="n">
        <x:f>IF(AND(K1462=1,OR(B1462="ED",B1462="NED")),1,0)</x:f>
        <x:v>0</x:v>
      </x:c>
      <x:c r="N1462" s="11" t="n">
        <x:f>IF(K1462=1,1,0)</x:f>
        <x:v>1</x:v>
      </x:c>
      <x:c r="O1462" s="12"/>
      <x:c r="P1462" s="11" t="n">
        <x:v>0</x:v>
      </x:c>
      <x:c r="Q1462" s="12" t="str">
        <x:v>AF-Q60972-F1-model_v6</x:v>
      </x:c>
      <x:c r="R1462" s="12" t="str">
        <x:v>ok</x:v>
      </x:c>
      <x:c r="S1462" s="11" t="n">
        <x:v>1021</x:v>
      </x:c>
      <x:c r="T1462" s="11" t="n">
        <x:v>425</x:v>
      </x:c>
    </x:row>
    <x:row r="1463" ht="23" customHeight="1">
      <x:c r="A1463" s="2" t="str">
        <x:v>Q60973</x:v>
      </x:c>
      <x:c r="B1463" s="2" t="str">
        <x:v>ED</x:v>
      </x:c>
      <x:c r="C1463" s="2" t="n">
        <x:v>1</x:v>
      </x:c>
      <x:c r="D1463" s="2" t="n">
        <x:v>1</x:v>
      </x:c>
      <x:c r="E1463" s="10" t="n">
        <x:v>90.83207058823528</x:v>
      </x:c>
      <x:c r="F1463" s="11" t="n">
        <x:v>425</x:v>
      </x:c>
      <x:c r="G1463" s="11" t="n">
        <x:v>0</x:v>
      </x:c>
      <x:c r="H1463" s="11" t="n">
        <x:v>0</x:v>
      </x:c>
      <x:c r="I1463" s="11" t="n">
        <x:v>0</x:v>
      </x:c>
      <x:c r="J1463" s="11" t="n">
        <x:v>0</x:v>
      </x:c>
      <x:c r="K1463" s="11" t="n">
        <x:v>1</x:v>
      </x:c>
      <x:c r="L1463" s="11" t="n">
        <x:f>IF(B1463="NED",1,IF(OR(B1463="ED",B1463="UN"),0,""))</x:f>
        <x:v>0</x:v>
      </x:c>
      <x:c r="M1463" s="11" t="n">
        <x:f>IF(AND(K1463=1,OR(B1463="ED",B1463="NED")),1,0)</x:f>
        <x:v>1</x:v>
      </x:c>
      <x:c r="N1463" s="11" t="n">
        <x:f>IF(K1463=1,1,0)</x:f>
        <x:v>1</x:v>
      </x:c>
      <x:c r="O1463" s="12"/>
      <x:c r="P1463" s="11" t="n">
        <x:v>0</x:v>
      </x:c>
      <x:c r="Q1463" s="12" t="str">
        <x:v>AF-Q60973-F1-model_v6</x:v>
      </x:c>
      <x:c r="R1463" s="12" t="str">
        <x:v>ok</x:v>
      </x:c>
      <x:c r="S1463" s="11" t="n">
        <x:v>1022</x:v>
      </x:c>
      <x:c r="T1463" s="11" t="n">
        <x:v>425</x:v>
      </x:c>
    </x:row>
    <x:row r="1464" ht="23" customHeight="1">
      <x:c r="A1464" s="2" t="str">
        <x:v>Q60989</x:v>
      </x:c>
      <x:c r="B1464" s="2" t="str">
        <x:v>UN</x:v>
      </x:c>
      <x:c r="C1464" s="2" t="n">
        <x:v>0</x:v>
      </x:c>
      <x:c r="D1464" s="2" t="n">
        <x:v>0</x:v>
      </x:c>
      <x:c r="E1464" s="10" t="n">
        <x:v>74.60389112903225</x:v>
      </x:c>
      <x:c r="F1464" s="11" t="n">
        <x:v>496</x:v>
      </x:c>
      <x:c r="G1464" s="11" t="n">
        <x:v>0</x:v>
      </x:c>
      <x:c r="H1464" s="11" t="n">
        <x:v>0</x:v>
      </x:c>
      <x:c r="I1464" s="11" t="n">
        <x:v>0</x:v>
      </x:c>
      <x:c r="J1464" s="11" t="n">
        <x:v>0</x:v>
      </x:c>
      <x:c r="K1464" s="11" t="n">
        <x:v>1</x:v>
      </x:c>
      <x:c r="L1464" s="11" t="n">
        <x:f>IF(B1464="NED",1,IF(OR(B1464="ED",B1464="UN"),0,""))</x:f>
        <x:v>0</x:v>
      </x:c>
      <x:c r="M1464" s="11" t="n">
        <x:f>IF(AND(K1464=1,OR(B1464="ED",B1464="NED")),1,0)</x:f>
        <x:v>0</x:v>
      </x:c>
      <x:c r="N1464" s="11" t="n">
        <x:f>IF(K1464=1,1,0)</x:f>
        <x:v>1</x:v>
      </x:c>
      <x:c r="O1464" s="12"/>
      <x:c r="P1464" s="11" t="n">
        <x:v>0</x:v>
      </x:c>
      <x:c r="Q1464" s="12" t="str">
        <x:v>AF-Q60989-F1-model_v6</x:v>
      </x:c>
      <x:c r="R1464" s="12" t="str">
        <x:v>ok</x:v>
      </x:c>
      <x:c r="S1464" s="11" t="n">
        <x:v>1023</x:v>
      </x:c>
      <x:c r="T1464" s="11" t="n">
        <x:v>496</x:v>
      </x:c>
    </x:row>
    <x:row r="1465" ht="23" customHeight="1">
      <x:c r="A1465" s="2" t="str">
        <x:v>Q61001</x:v>
      </x:c>
      <x:c r="B1465" s="2" t="str">
        <x:v>UN</x:v>
      </x:c>
      <x:c r="C1465" s="2"/>
      <x:c r="D1465" s="2"/>
      <x:c r="E1465" s="10"/>
      <x:c r="F1465" s="11"/>
      <x:c r="G1465" s="11" t="n">
        <x:v>0</x:v>
      </x:c>
      <x:c r="H1465" s="11" t="n">
        <x:v>0</x:v>
      </x:c>
      <x:c r="I1465" s="11" t="n">
        <x:v>0</x:v>
      </x:c>
      <x:c r="J1465" s="11" t="n">
        <x:v>1</x:v>
      </x:c>
      <x:c r="K1465" s="11" t="n">
        <x:v>0</x:v>
      </x:c>
      <x:c r="L1465" s="11" t="n">
        <x:f>IF(B1465="NED",1,IF(OR(B1465="ED",B1465="UN"),0,""))</x:f>
        <x:v>0</x:v>
      </x:c>
      <x:c r="M1465" s="11" t="n">
        <x:f>IF(AND(K1465=1,OR(B1465="ED",B1465="NED")),1,0)</x:f>
        <x:v>0</x:v>
      </x:c>
      <x:c r="N1465" s="11" t="n">
        <x:f>IF(K1465=1,1,0)</x:f>
        <x:v>0</x:v>
      </x:c>
      <x:c r="O1465" s="12" t="str">
        <x:v>Require exact native accession match</x:v>
      </x:c>
      <x:c r="P1465" s="11" t="n">
        <x:v>0</x:v>
      </x:c>
      <x:c r="Q1465" s="12"/>
      <x:c r="R1465" s="12"/>
      <x:c r="S1465" s="11" t="n">
        <x:v>1024</x:v>
      </x:c>
      <x:c r="T1465" s="11" t="n">
        <x:v>3718</x:v>
      </x:c>
    </x:row>
    <x:row r="1466" ht="23" customHeight="1">
      <x:c r="A1466" s="2" t="str">
        <x:v>Q61024</x:v>
      </x:c>
      <x:c r="B1466" s="2" t="str">
        <x:v>UN</x:v>
      </x:c>
      <x:c r="C1466" s="2" t="n">
        <x:v>1</x:v>
      </x:c>
      <x:c r="D1466" s="2" t="n">
        <x:v>1</x:v>
      </x:c>
      <x:c r="E1466" s="10" t="n">
        <x:v>94.21042780748664</x:v>
      </x:c>
      <x:c r="F1466" s="11" t="n">
        <x:v>561</x:v>
      </x:c>
      <x:c r="G1466" s="11" t="n">
        <x:v>0</x:v>
      </x:c>
      <x:c r="H1466" s="11" t="n">
        <x:v>0</x:v>
      </x:c>
      <x:c r="I1466" s="11" t="n">
        <x:v>0</x:v>
      </x:c>
      <x:c r="J1466" s="11" t="n">
        <x:v>0</x:v>
      </x:c>
      <x:c r="K1466" s="11" t="n">
        <x:v>1</x:v>
      </x:c>
      <x:c r="L1466" s="11" t="n">
        <x:f>IF(B1466="NED",1,IF(OR(B1466="ED",B1466="UN"),0,""))</x:f>
        <x:v>0</x:v>
      </x:c>
      <x:c r="M1466" s="11" t="n">
        <x:f>IF(AND(K1466=1,OR(B1466="ED",B1466="NED")),1,0)</x:f>
        <x:v>0</x:v>
      </x:c>
      <x:c r="N1466" s="11" t="n">
        <x:f>IF(K1466=1,1,0)</x:f>
        <x:v>1</x:v>
      </x:c>
      <x:c r="O1466" s="12"/>
      <x:c r="P1466" s="11" t="n">
        <x:v>0</x:v>
      </x:c>
      <x:c r="Q1466" s="12" t="str">
        <x:v>AF-Q61024-F1-model_v6</x:v>
      </x:c>
      <x:c r="R1466" s="12" t="str">
        <x:v>ok</x:v>
      </x:c>
      <x:c r="S1466" s="11" t="n">
        <x:v>1025</x:v>
      </x:c>
      <x:c r="T1466" s="11" t="n">
        <x:v>561</x:v>
      </x:c>
    </x:row>
    <x:row r="1467" ht="23" customHeight="1">
      <x:c r="A1467" s="2" t="str">
        <x:v>Q61029</x:v>
      </x:c>
      <x:c r="B1467" s="2" t="str">
        <x:v>UN</x:v>
      </x:c>
      <x:c r="C1467" s="2"/>
      <x:c r="D1467" s="2"/>
      <x:c r="E1467" s="10"/>
      <x:c r="F1467" s="11"/>
      <x:c r="G1467" s="11" t="n">
        <x:v>0</x:v>
      </x:c>
      <x:c r="H1467" s="11" t="n">
        <x:v>0</x:v>
      </x:c>
      <x:c r="I1467" s="11" t="n">
        <x:v>1</x:v>
      </x:c>
      <x:c r="J1467" s="11" t="n">
        <x:v>0</x:v>
      </x:c>
      <x:c r="K1467" s="11" t="n">
        <x:v>0</x:v>
      </x:c>
      <x:c r="L1467" s="11" t="n">
        <x:f>IF(B1467="NED",1,IF(OR(B1467="ED",B1467="UN"),0,""))</x:f>
        <x:v>0</x:v>
      </x:c>
      <x:c r="M1467" s="11" t="n">
        <x:f>IF(AND(K1467=1,OR(B1467="ED",B1467="NED")),1,0)</x:f>
        <x:v>0</x:v>
      </x:c>
      <x:c r="N1467" s="11" t="n">
        <x:f>IF(K1467=1,1,0)</x:f>
        <x:v>0</x:v>
      </x:c>
      <x:c r="O1467" s="12" t="str">
        <x:v>Require exact native accession match</x:v>
      </x:c>
      <x:c r="P1467" s="11" t="n">
        <x:v>0</x:v>
      </x:c>
      <x:c r="Q1467" s="12"/>
      <x:c r="R1467" s="12"/>
      <x:c r="S1467" s="11" t="n">
        <x:v>1026</x:v>
      </x:c>
      <x:c r="T1467" s="11" t="n">
        <x:v>452</x:v>
      </x:c>
    </x:row>
    <x:row r="1468" ht="23" customHeight="1">
      <x:c r="A1468" s="2" t="str">
        <x:v>Q61033</x:v>
      </x:c>
      <x:c r="B1468" s="2" t="str">
        <x:v>ED</x:v>
      </x:c>
      <x:c r="C1468" s="2" t="n">
        <x:v>1</x:v>
      </x:c>
      <x:c r="D1468" s="2" t="n">
        <x:v>1</x:v>
      </x:c>
      <x:c r="E1468" s="10" t="n">
        <x:v>60.46011544011544</x:v>
      </x:c>
      <x:c r="F1468" s="11" t="n">
        <x:v>693</x:v>
      </x:c>
      <x:c r="G1468" s="11" t="n">
        <x:v>0</x:v>
      </x:c>
      <x:c r="H1468" s="11" t="n">
        <x:v>0</x:v>
      </x:c>
      <x:c r="I1468" s="11" t="n">
        <x:v>0</x:v>
      </x:c>
      <x:c r="J1468" s="11" t="n">
        <x:v>0</x:v>
      </x:c>
      <x:c r="K1468" s="11" t="n">
        <x:v>0</x:v>
      </x:c>
      <x:c r="L1468" s="11" t="n">
        <x:f>IF(B1468="NED",1,IF(OR(B1468="ED",B1468="UN"),0,""))</x:f>
        <x:v>0</x:v>
      </x:c>
      <x:c r="M1468" s="11" t="n">
        <x:f>IF(AND(K1468=1,OR(B1468="ED",B1468="NED")),1,0)</x:f>
        <x:v>0</x:v>
      </x:c>
      <x:c r="N1468" s="11" t="n">
        <x:f>IF(K1468=1,1,0)</x:f>
        <x:v>0</x:v>
      </x:c>
      <x:c r="O1468" s="12" t="str">
        <x:v>Retain protein mean pLDDT &gt;=70</x:v>
      </x:c>
      <x:c r="P1468" s="11" t="n">
        <x:v>0</x:v>
      </x:c>
      <x:c r="Q1468" s="12" t="str">
        <x:v>AF-Q61033-F1-model_v6</x:v>
      </x:c>
      <x:c r="R1468" s="12" t="str">
        <x:v>ok</x:v>
      </x:c>
      <x:c r="S1468" s="11" t="n">
        <x:v>1027</x:v>
      </x:c>
      <x:c r="T1468" s="11" t="n">
        <x:v>693</x:v>
      </x:c>
    </x:row>
    <x:row r="1469" ht="23" customHeight="1">
      <x:c r="A1469" s="2" t="str">
        <x:v>Q61035</x:v>
      </x:c>
      <x:c r="B1469" s="2" t="str">
        <x:v>ED</x:v>
      </x:c>
      <x:c r="C1469" s="2" t="n">
        <x:v>1</x:v>
      </x:c>
      <x:c r="D1469" s="2" t="n">
        <x:v>1</x:v>
      </x:c>
      <x:c r="E1469" s="10" t="n">
        <x:v>91.78388998035363</x:v>
      </x:c>
      <x:c r="F1469" s="11" t="n">
        <x:v>509</x:v>
      </x:c>
      <x:c r="G1469" s="11" t="n">
        <x:v>0</x:v>
      </x:c>
      <x:c r="H1469" s="11" t="n">
        <x:v>0</x:v>
      </x:c>
      <x:c r="I1469" s="11" t="n">
        <x:v>0</x:v>
      </x:c>
      <x:c r="J1469" s="11" t="n">
        <x:v>0</x:v>
      </x:c>
      <x:c r="K1469" s="11" t="n">
        <x:v>1</x:v>
      </x:c>
      <x:c r="L1469" s="11" t="n">
        <x:f>IF(B1469="NED",1,IF(OR(B1469="ED",B1469="UN"),0,""))</x:f>
        <x:v>0</x:v>
      </x:c>
      <x:c r="M1469" s="11" t="n">
        <x:f>IF(AND(K1469=1,OR(B1469="ED",B1469="NED")),1,0)</x:f>
        <x:v>1</x:v>
      </x:c>
      <x:c r="N1469" s="11" t="n">
        <x:f>IF(K1469=1,1,0)</x:f>
        <x:v>1</x:v>
      </x:c>
      <x:c r="O1469" s="12"/>
      <x:c r="P1469" s="11" t="n">
        <x:v>0</x:v>
      </x:c>
      <x:c r="Q1469" s="12" t="str">
        <x:v>AF-Q61035-F1-model_v6</x:v>
      </x:c>
      <x:c r="R1469" s="12" t="str">
        <x:v>ok</x:v>
      </x:c>
      <x:c r="S1469" s="11" t="n">
        <x:v>1028</x:v>
      </x:c>
      <x:c r="T1469" s="11" t="n">
        <x:v>509</x:v>
      </x:c>
    </x:row>
    <x:row r="1470" ht="23" customHeight="1">
      <x:c r="A1470" s="2" t="str">
        <x:v>Q61072</x:v>
      </x:c>
      <x:c r="B1470" s="2" t="str">
        <x:v>UN</x:v>
      </x:c>
      <x:c r="C1470" s="2" t="n">
        <x:v>1</x:v>
      </x:c>
      <x:c r="D1470" s="2" t="n">
        <x:v>1</x:v>
      </x:c>
      <x:c r="E1470" s="10"/>
      <x:c r="F1470" s="11" t="n">
        <x:v>845</x:v>
      </x:c>
      <x:c r="G1470" s="11" t="n">
        <x:v>0</x:v>
      </x:c>
      <x:c r="H1470" s="11" t="n">
        <x:v>0</x:v>
      </x:c>
      <x:c r="I1470" s="11" t="n">
        <x:v>1</x:v>
      </x:c>
      <x:c r="J1470" s="11" t="n">
        <x:v>0</x:v>
      </x:c>
      <x:c r="K1470" s="11" t="n">
        <x:v>0</x:v>
      </x:c>
      <x:c r="L1470" s="11" t="n">
        <x:f>IF(B1470="NED",1,IF(OR(B1470="ED",B1470="UN"),0,""))</x:f>
        <x:v>0</x:v>
      </x:c>
      <x:c r="M1470" s="11" t="n">
        <x:f>IF(AND(K1470=1,OR(B1470="ED",B1470="NED")),1,0)</x:f>
        <x:v>0</x:v>
      </x:c>
      <x:c r="N1470" s="11" t="n">
        <x:f>IF(K1470=1,1,0)</x:f>
        <x:v>0</x:v>
      </x:c>
      <x:c r="O1470" s="12" t="str">
        <x:v>Exclude UniProt Membrane keyword</x:v>
      </x:c>
      <x:c r="P1470" s="11" t="n">
        <x:v>0</x:v>
      </x:c>
      <x:c r="Q1470" s="12" t="str">
        <x:v>AF-Q61072-F1-model_v6</x:v>
      </x:c>
      <x:c r="R1470" s="12" t="str">
        <x:v>ok</x:v>
      </x:c>
      <x:c r="S1470" s="11" t="n">
        <x:v>1029</x:v>
      </x:c>
      <x:c r="T1470" s="11" t="n">
        <x:v>845</x:v>
      </x:c>
    </x:row>
    <x:row r="1471" ht="23" customHeight="1">
      <x:c r="A1471" s="2" t="str">
        <x:v>Q61074</x:v>
      </x:c>
      <x:c r="B1471" s="2" t="str">
        <x:v>UN</x:v>
      </x:c>
      <x:c r="C1471" s="2" t="n">
        <x:v>1</x:v>
      </x:c>
      <x:c r="D1471" s="2" t="n">
        <x:v>1</x:v>
      </x:c>
      <x:c r="E1471" s="10"/>
      <x:c r="F1471" s="11" t="n">
        <x:v>542</x:v>
      </x:c>
      <x:c r="G1471" s="11" t="n">
        <x:v>0</x:v>
      </x:c>
      <x:c r="H1471" s="11" t="n">
        <x:v>0</x:v>
      </x:c>
      <x:c r="I1471" s="11" t="n">
        <x:v>1</x:v>
      </x:c>
      <x:c r="J1471" s="11" t="n">
        <x:v>0</x:v>
      </x:c>
      <x:c r="K1471" s="11" t="n">
        <x:v>0</x:v>
      </x:c>
      <x:c r="L1471" s="11" t="n">
        <x:f>IF(B1471="NED",1,IF(OR(B1471="ED",B1471="UN"),0,""))</x:f>
        <x:v>0</x:v>
      </x:c>
      <x:c r="M1471" s="11" t="n">
        <x:f>IF(AND(K1471=1,OR(B1471="ED",B1471="NED")),1,0)</x:f>
        <x:v>0</x:v>
      </x:c>
      <x:c r="N1471" s="11" t="n">
        <x:f>IF(K1471=1,1,0)</x:f>
        <x:v>0</x:v>
      </x:c>
      <x:c r="O1471" s="12" t="str">
        <x:v>Exclude UniProt Membrane keyword</x:v>
      </x:c>
      <x:c r="P1471" s="11" t="n">
        <x:v>0</x:v>
      </x:c>
      <x:c r="Q1471" s="12" t="str">
        <x:v>AF-Q61074-F1-model_v6</x:v>
      </x:c>
      <x:c r="R1471" s="12" t="str">
        <x:v>ok</x:v>
      </x:c>
      <x:c r="S1471" s="11" t="n">
        <x:v>1030</x:v>
      </x:c>
      <x:c r="T1471" s="11" t="n">
        <x:v>542</x:v>
      </x:c>
    </x:row>
    <x:row r="1472" ht="23" customHeight="1">
      <x:c r="A1472" s="2" t="str">
        <x:v>Q61081</x:v>
      </x:c>
      <x:c r="B1472" s="2" t="str">
        <x:v>ED</x:v>
      </x:c>
      <x:c r="C1472" s="2" t="n">
        <x:v>0</x:v>
      </x:c>
      <x:c r="D1472" s="2" t="n">
        <x:v>0</x:v>
      </x:c>
      <x:c r="E1472" s="10" t="n">
        <x:v>86.1695778364116</x:v>
      </x:c>
      <x:c r="F1472" s="11" t="n">
        <x:v>379</x:v>
      </x:c>
      <x:c r="G1472" s="11" t="n">
        <x:v>0</x:v>
      </x:c>
      <x:c r="H1472" s="11" t="n">
        <x:v>0</x:v>
      </x:c>
      <x:c r="I1472" s="11" t="n">
        <x:v>0</x:v>
      </x:c>
      <x:c r="J1472" s="11" t="n">
        <x:v>0</x:v>
      </x:c>
      <x:c r="K1472" s="11" t="n">
        <x:v>1</x:v>
      </x:c>
      <x:c r="L1472" s="11" t="n">
        <x:f>IF(B1472="NED",1,IF(OR(B1472="ED",B1472="UN"),0,""))</x:f>
        <x:v>0</x:v>
      </x:c>
      <x:c r="M1472" s="11" t="n">
        <x:f>IF(AND(K1472=1,OR(B1472="ED",B1472="NED")),1,0)</x:f>
        <x:v>1</x:v>
      </x:c>
      <x:c r="N1472" s="11" t="n">
        <x:f>IF(K1472=1,1,0)</x:f>
        <x:v>1</x:v>
      </x:c>
      <x:c r="O1472" s="12"/>
      <x:c r="P1472" s="11" t="n">
        <x:v>0</x:v>
      </x:c>
      <x:c r="Q1472" s="12" t="str">
        <x:v>AF-Q61081-F1-model_v6</x:v>
      </x:c>
      <x:c r="R1472" s="12" t="str">
        <x:v>ok</x:v>
      </x:c>
      <x:c r="S1472" s="11" t="n">
        <x:v>1031</x:v>
      </x:c>
      <x:c r="T1472" s="11" t="n">
        <x:v>379</x:v>
      </x:c>
    </x:row>
    <x:row r="1473" ht="23" customHeight="1">
      <x:c r="A1473" s="2" t="str">
        <x:v>Q61102</x:v>
      </x:c>
      <x:c r="B1473" s="2" t="str">
        <x:v>UN</x:v>
      </x:c>
      <x:c r="C1473" s="2" t="n">
        <x:v>1</x:v>
      </x:c>
      <x:c r="D1473" s="2" t="n">
        <x:v>1</x:v>
      </x:c>
      <x:c r="E1473" s="10"/>
      <x:c r="F1473" s="11" t="n">
        <x:v>752</x:v>
      </x:c>
      <x:c r="G1473" s="11" t="n">
        <x:v>0</x:v>
      </x:c>
      <x:c r="H1473" s="11" t="n">
        <x:v>0</x:v>
      </x:c>
      <x:c r="I1473" s="11" t="n">
        <x:v>1</x:v>
      </x:c>
      <x:c r="J1473" s="11" t="n">
        <x:v>0</x:v>
      </x:c>
      <x:c r="K1473" s="11" t="n">
        <x:v>0</x:v>
      </x:c>
      <x:c r="L1473" s="11" t="n">
        <x:f>IF(B1473="NED",1,IF(OR(B1473="ED",B1473="UN"),0,""))</x:f>
        <x:v>0</x:v>
      </x:c>
      <x:c r="M1473" s="11" t="n">
        <x:f>IF(AND(K1473=1,OR(B1473="ED",B1473="NED")),1,0)</x:f>
        <x:v>0</x:v>
      </x:c>
      <x:c r="N1473" s="11" t="n">
        <x:f>IF(K1473=1,1,0)</x:f>
        <x:v>0</x:v>
      </x:c>
      <x:c r="O1473" s="12" t="str">
        <x:v>Exclude UniProt Membrane keyword</x:v>
      </x:c>
      <x:c r="P1473" s="11" t="n">
        <x:v>0</x:v>
      </x:c>
      <x:c r="Q1473" s="12" t="str">
        <x:v>AF-Q61102-F1-model_v6</x:v>
      </x:c>
      <x:c r="R1473" s="12" t="str">
        <x:v>ok</x:v>
      </x:c>
      <x:c r="S1473" s="11" t="n">
        <x:v>1032</x:v>
      </x:c>
      <x:c r="T1473" s="11" t="n">
        <x:v>752</x:v>
      </x:c>
    </x:row>
    <x:row r="1474" ht="23" customHeight="1">
      <x:c r="A1474" s="2" t="str">
        <x:v>Q61103</x:v>
      </x:c>
      <x:c r="B1474" s="2" t="str">
        <x:v>UN</x:v>
      </x:c>
      <x:c r="C1474" s="2" t="n">
        <x:v>0</x:v>
      </x:c>
      <x:c r="D1474" s="2" t="n">
        <x:v>0</x:v>
      </x:c>
      <x:c r="E1474" s="10"/>
      <x:c r="F1474" s="11" t="n">
        <x:v>391</x:v>
      </x:c>
      <x:c r="G1474" s="11" t="n">
        <x:v>1</x:v>
      </x:c>
      <x:c r="H1474" s="11" t="n">
        <x:v>0</x:v>
      </x:c>
      <x:c r="I1474" s="11" t="n">
        <x:v>0</x:v>
      </x:c>
      <x:c r="J1474" s="11" t="n">
        <x:v>0</x:v>
      </x:c>
      <x:c r="K1474" s="11" t="n">
        <x:v>0</x:v>
      </x:c>
      <x:c r="L1474" s="11" t="n">
        <x:f>IF(B1474="NED",1,IF(OR(B1474="ED",B1474="UN"),0,""))</x:f>
        <x:v>0</x:v>
      </x:c>
      <x:c r="M1474" s="11" t="n">
        <x:f>IF(AND(K1474=1,OR(B1474="ED",B1474="NED")),1,0)</x:f>
        <x:v>0</x:v>
      </x:c>
      <x:c r="N1474" s="11" t="n">
        <x:f>IF(K1474=1,1,0)</x:f>
        <x:v>0</x:v>
      </x:c>
      <x:c r="O1474" s="12" t="str">
        <x:v>Exclude supplied knotted proteins</x:v>
      </x:c>
      <x:c r="P1474" s="11" t="n">
        <x:v>0</x:v>
      </x:c>
      <x:c r="Q1474" s="12" t="str">
        <x:v>AF-Q61103-F1-model_v6</x:v>
      </x:c>
      <x:c r="R1474" s="12" t="str">
        <x:v>ok</x:v>
      </x:c>
      <x:c r="S1474" s="11" t="n">
        <x:v>1033</x:v>
      </x:c>
      <x:c r="T1474" s="11" t="n">
        <x:v>391</x:v>
      </x:c>
    </x:row>
    <x:row r="1475" ht="23" customHeight="1">
      <x:c r="A1475" s="2" t="str">
        <x:v>Q61127</x:v>
      </x:c>
      <x:c r="B1475" s="2" t="str">
        <x:v>UN</x:v>
      </x:c>
      <x:c r="C1475" s="2" t="n">
        <x:v>0</x:v>
      </x:c>
      <x:c r="D1475" s="2" t="n">
        <x:v>0</x:v>
      </x:c>
      <x:c r="E1475" s="10" t="n">
        <x:v>62.27053333333333</x:v>
      </x:c>
      <x:c r="F1475" s="11" t="n">
        <x:v>525</x:v>
      </x:c>
      <x:c r="G1475" s="11" t="n">
        <x:v>0</x:v>
      </x:c>
      <x:c r="H1475" s="11" t="n">
        <x:v>0</x:v>
      </x:c>
      <x:c r="I1475" s="11" t="n">
        <x:v>0</x:v>
      </x:c>
      <x:c r="J1475" s="11" t="n">
        <x:v>0</x:v>
      </x:c>
      <x:c r="K1475" s="11" t="n">
        <x:v>0</x:v>
      </x:c>
      <x:c r="L1475" s="11" t="n">
        <x:f>IF(B1475="NED",1,IF(OR(B1475="ED",B1475="UN"),0,""))</x:f>
        <x:v>0</x:v>
      </x:c>
      <x:c r="M1475" s="11" t="n">
        <x:f>IF(AND(K1475=1,OR(B1475="ED",B1475="NED")),1,0)</x:f>
        <x:v>0</x:v>
      </x:c>
      <x:c r="N1475" s="11" t="n">
        <x:f>IF(K1475=1,1,0)</x:f>
        <x:v>0</x:v>
      </x:c>
      <x:c r="O1475" s="12" t="str">
        <x:v>Retain protein mean pLDDT &gt;=70</x:v>
      </x:c>
      <x:c r="P1475" s="11" t="n">
        <x:v>0</x:v>
      </x:c>
      <x:c r="Q1475" s="12" t="str">
        <x:v>AF-Q61127-F1-model_v6</x:v>
      </x:c>
      <x:c r="R1475" s="12" t="str">
        <x:v>ok</x:v>
      </x:c>
      <x:c r="S1475" s="11" t="n">
        <x:v>1034</x:v>
      </x:c>
      <x:c r="T1475" s="11" t="n">
        <x:v>525</x:v>
      </x:c>
    </x:row>
    <x:row r="1476" ht="23" customHeight="1">
      <x:c r="A1476" s="2" t="str">
        <x:v>Q61136</x:v>
      </x:c>
      <x:c r="B1476" s="2" t="str">
        <x:v>ED</x:v>
      </x:c>
      <x:c r="C1476" s="2" t="n">
        <x:v>1</x:v>
      </x:c>
      <x:c r="D1476" s="2" t="n">
        <x:v>1</x:v>
      </x:c>
      <x:c r="E1476" s="10" t="n">
        <x:v>60.12811320754717</x:v>
      </x:c>
      <x:c r="F1476" s="11" t="n">
        <x:v>1007</x:v>
      </x:c>
      <x:c r="G1476" s="11" t="n">
        <x:v>0</x:v>
      </x:c>
      <x:c r="H1476" s="11" t="n">
        <x:v>0</x:v>
      </x:c>
      <x:c r="I1476" s="11" t="n">
        <x:v>0</x:v>
      </x:c>
      <x:c r="J1476" s="11" t="n">
        <x:v>0</x:v>
      </x:c>
      <x:c r="K1476" s="11" t="n">
        <x:v>0</x:v>
      </x:c>
      <x:c r="L1476" s="11" t="n">
        <x:f>IF(B1476="NED",1,IF(OR(B1476="ED",B1476="UN"),0,""))</x:f>
        <x:v>0</x:v>
      </x:c>
      <x:c r="M1476" s="11" t="n">
        <x:f>IF(AND(K1476=1,OR(B1476="ED",B1476="NED")),1,0)</x:f>
        <x:v>0</x:v>
      </x:c>
      <x:c r="N1476" s="11" t="n">
        <x:f>IF(K1476=1,1,0)</x:f>
        <x:v>0</x:v>
      </x:c>
      <x:c r="O1476" s="12" t="str">
        <x:v>Retain protein mean pLDDT &gt;=70</x:v>
      </x:c>
      <x:c r="P1476" s="11" t="n">
        <x:v>0</x:v>
      </x:c>
      <x:c r="Q1476" s="12" t="str">
        <x:v>AF-Q61136-F1-model_v6</x:v>
      </x:c>
      <x:c r="R1476" s="12" t="str">
        <x:v>ok</x:v>
      </x:c>
      <x:c r="S1476" s="11" t="n">
        <x:v>1035</x:v>
      </x:c>
      <x:c r="T1476" s="11" t="n">
        <x:v>1007</x:v>
      </x:c>
    </x:row>
    <x:row r="1477" ht="23" customHeight="1">
      <x:c r="A1477" s="2" t="str">
        <x:v>Q61140-2</x:v>
      </x:c>
      <x:c r="B1477" s="2" t="str">
        <x:v>ED</x:v>
      </x:c>
      <x:c r="C1477" s="2"/>
      <x:c r="D1477" s="2"/>
      <x:c r="E1477" s="10"/>
      <x:c r="F1477" s="11"/>
      <x:c r="G1477" s="11" t="n">
        <x:v>0</x:v>
      </x:c>
      <x:c r="H1477" s="11" t="n">
        <x:v>0</x:v>
      </x:c>
      <x:c r="I1477" s="11"/>
      <x:c r="J1477" s="11"/>
      <x:c r="K1477" s="11" t="n">
        <x:v>0</x:v>
      </x:c>
      <x:c r="L1477" s="11" t="n">
        <x:f>IF(B1477="NED",1,IF(OR(B1477="ED",B1477="UN"),0,""))</x:f>
        <x:v>0</x:v>
      </x:c>
      <x:c r="M1477" s="11" t="n">
        <x:f>IF(AND(K1477=1,OR(B1477="ED",B1477="NED")),1,0)</x:f>
        <x:v>0</x:v>
      </x:c>
      <x:c r="N1477" s="11" t="n">
        <x:f>IF(K1477=1,1,0)</x:f>
        <x:v>0</x:v>
      </x:c>
      <x:c r="O1477" s="12" t="str">
        <x:v>Require exact native accession match</x:v>
      </x:c>
      <x:c r="P1477" s="11" t="n">
        <x:v>0</x:v>
      </x:c>
      <x:c r="Q1477" s="12"/>
      <x:c r="R1477" s="12"/>
      <x:c r="S1477" s="11" t="n">
        <x:v>1036</x:v>
      </x:c>
      <x:c r="T1477" s="11"/>
    </x:row>
    <x:row r="1478" ht="23" customHeight="1">
      <x:c r="A1478" s="2" t="str">
        <x:v>Q61142-2</x:v>
      </x:c>
      <x:c r="B1478" s="2" t="str">
        <x:v>ED</x:v>
      </x:c>
      <x:c r="C1478" s="2"/>
      <x:c r="D1478" s="2"/>
      <x:c r="E1478" s="10"/>
      <x:c r="F1478" s="11"/>
      <x:c r="G1478" s="11" t="n">
        <x:v>0</x:v>
      </x:c>
      <x:c r="H1478" s="11" t="n">
        <x:v>0</x:v>
      </x:c>
      <x:c r="I1478" s="11"/>
      <x:c r="J1478" s="11"/>
      <x:c r="K1478" s="11" t="n">
        <x:v>0</x:v>
      </x:c>
      <x:c r="L1478" s="11" t="n">
        <x:f>IF(B1478="NED",1,IF(OR(B1478="ED",B1478="UN"),0,""))</x:f>
        <x:v>0</x:v>
      </x:c>
      <x:c r="M1478" s="11" t="n">
        <x:f>IF(AND(K1478=1,OR(B1478="ED",B1478="NED")),1,0)</x:f>
        <x:v>0</x:v>
      </x:c>
      <x:c r="N1478" s="11" t="n">
        <x:f>IF(K1478=1,1,0)</x:f>
        <x:v>0</x:v>
      </x:c>
      <x:c r="O1478" s="12" t="str">
        <x:v>Require exact native accession match</x:v>
      </x:c>
      <x:c r="P1478" s="11" t="n">
        <x:v>0</x:v>
      </x:c>
      <x:c r="Q1478" s="12"/>
      <x:c r="R1478" s="12"/>
      <x:c r="S1478" s="11" t="n">
        <x:v>1037</x:v>
      </x:c>
      <x:c r="T1478" s="11"/>
    </x:row>
    <x:row r="1479" ht="23" customHeight="1">
      <x:c r="A1479" s="2" t="str">
        <x:v>Q61151</x:v>
      </x:c>
      <x:c r="B1479" s="2" t="str">
        <x:v>ED</x:v>
      </x:c>
      <x:c r="C1479" s="2" t="n">
        <x:v>0</x:v>
      </x:c>
      <x:c r="D1479" s="2" t="n">
        <x:v>0</x:v>
      </x:c>
      <x:c r="E1479" s="10" t="n">
        <x:v>88.64777301927195</x:v>
      </x:c>
      <x:c r="F1479" s="11" t="n">
        <x:v>467</x:v>
      </x:c>
      <x:c r="G1479" s="11" t="n">
        <x:v>0</x:v>
      </x:c>
      <x:c r="H1479" s="11" t="n">
        <x:v>0</x:v>
      </x:c>
      <x:c r="I1479" s="11" t="n">
        <x:v>0</x:v>
      </x:c>
      <x:c r="J1479" s="11" t="n">
        <x:v>0</x:v>
      </x:c>
      <x:c r="K1479" s="11" t="n">
        <x:v>1</x:v>
      </x:c>
      <x:c r="L1479" s="11" t="n">
        <x:f>IF(B1479="NED",1,IF(OR(B1479="ED",B1479="UN"),0,""))</x:f>
        <x:v>0</x:v>
      </x:c>
      <x:c r="M1479" s="11" t="n">
        <x:f>IF(AND(K1479=1,OR(B1479="ED",B1479="NED")),1,0)</x:f>
        <x:v>1</x:v>
      </x:c>
      <x:c r="N1479" s="11" t="n">
        <x:f>IF(K1479=1,1,0)</x:f>
        <x:v>1</x:v>
      </x:c>
      <x:c r="O1479" s="12"/>
      <x:c r="P1479" s="11" t="n">
        <x:v>0</x:v>
      </x:c>
      <x:c r="Q1479" s="12" t="str">
        <x:v>AF-Q61151-F1-model_v6</x:v>
      </x:c>
      <x:c r="R1479" s="12" t="str">
        <x:v>ok</x:v>
      </x:c>
      <x:c r="S1479" s="11" t="n">
        <x:v>1038</x:v>
      </x:c>
      <x:c r="T1479" s="11" t="n">
        <x:v>467</x:v>
      </x:c>
    </x:row>
    <x:row r="1480" ht="23" customHeight="1">
      <x:c r="A1480" s="2" t="str">
        <x:v>Q61164</x:v>
      </x:c>
      <x:c r="B1480" s="2" t="str">
        <x:v>UN</x:v>
      </x:c>
      <x:c r="C1480" s="2" t="n">
        <x:v>1</x:v>
      </x:c>
      <x:c r="D1480" s="2"/>
      <x:c r="E1480" s="10" t="n">
        <x:v>59.25141304347826</x:v>
      </x:c>
      <x:c r="F1480" s="11" t="n">
        <x:v>736</x:v>
      </x:c>
      <x:c r="G1480" s="11" t="n">
        <x:v>0</x:v>
      </x:c>
      <x:c r="H1480" s="11" t="n">
        <x:v>0</x:v>
      </x:c>
      <x:c r="I1480" s="11" t="n">
        <x:v>0</x:v>
      </x:c>
      <x:c r="J1480" s="11" t="n">
        <x:v>0</x:v>
      </x:c>
      <x:c r="K1480" s="11" t="n">
        <x:v>0</x:v>
      </x:c>
      <x:c r="L1480" s="11" t="n">
        <x:f>IF(B1480="NED",1,IF(OR(B1480="ED",B1480="UN"),0,""))</x:f>
        <x:v>0</x:v>
      </x:c>
      <x:c r="M1480" s="11" t="n">
        <x:f>IF(AND(K1480=1,OR(B1480="ED",B1480="NED")),1,0)</x:f>
        <x:v>0</x:v>
      </x:c>
      <x:c r="N1480" s="11" t="n">
        <x:f>IF(K1480=1,1,0)</x:f>
        <x:v>0</x:v>
      </x:c>
      <x:c r="O1480" s="12" t="str">
        <x:v>Retain protein mean pLDDT &gt;=70</x:v>
      </x:c>
      <x:c r="P1480" s="11" t="n">
        <x:v>0</x:v>
      </x:c>
      <x:c r="Q1480" s="12" t="str">
        <x:v>AF-Q61164-F1-model_v6</x:v>
      </x:c>
      <x:c r="R1480" s="12" t="str">
        <x:v>ok</x:v>
      </x:c>
      <x:c r="S1480" s="11" t="n">
        <x:v>1039</x:v>
      </x:c>
      <x:c r="T1480" s="11" t="n">
        <x:v>736</x:v>
      </x:c>
    </x:row>
    <x:row r="1481" ht="23" customHeight="1">
      <x:c r="A1481" s="2" t="str">
        <x:v>Q61166</x:v>
      </x:c>
      <x:c r="B1481" s="2" t="str">
        <x:v>ED</x:v>
      </x:c>
      <x:c r="C1481" s="2" t="n">
        <x:v>1</x:v>
      </x:c>
      <x:c r="D1481" s="2" t="n">
        <x:v>1</x:v>
      </x:c>
      <x:c r="E1481" s="10"/>
      <x:c r="F1481" s="11" t="n">
        <x:v>268</x:v>
      </x:c>
      <x:c r="G1481" s="11" t="n">
        <x:v>0</x:v>
      </x:c>
      <x:c r="H1481" s="11" t="n">
        <x:v>0</x:v>
      </x:c>
      <x:c r="I1481" s="11" t="n">
        <x:v>1</x:v>
      </x:c>
      <x:c r="J1481" s="11" t="n">
        <x:v>0</x:v>
      </x:c>
      <x:c r="K1481" s="11" t="n">
        <x:v>0</x:v>
      </x:c>
      <x:c r="L1481" s="11" t="n">
        <x:f>IF(B1481="NED",1,IF(OR(B1481="ED",B1481="UN"),0,""))</x:f>
        <x:v>0</x:v>
      </x:c>
      <x:c r="M1481" s="11" t="n">
        <x:f>IF(AND(K1481=1,OR(B1481="ED",B1481="NED")),1,0)</x:f>
        <x:v>0</x:v>
      </x:c>
      <x:c r="N1481" s="11" t="n">
        <x:f>IF(K1481=1,1,0)</x:f>
        <x:v>0</x:v>
      </x:c>
      <x:c r="O1481" s="12" t="str">
        <x:v>Exclude UniProt Membrane keyword</x:v>
      </x:c>
      <x:c r="P1481" s="11" t="n">
        <x:v>0</x:v>
      </x:c>
      <x:c r="Q1481" s="12" t="str">
        <x:v>AF-Q61166-F1-model_v6</x:v>
      </x:c>
      <x:c r="R1481" s="12" t="str">
        <x:v>ok</x:v>
      </x:c>
      <x:c r="S1481" s="11" t="n">
        <x:v>1040</x:v>
      </x:c>
      <x:c r="T1481" s="11" t="n">
        <x:v>268</x:v>
      </x:c>
    </x:row>
    <x:row r="1482" ht="23" customHeight="1">
      <x:c r="A1482" s="2" t="str">
        <x:v>Q61187</x:v>
      </x:c>
      <x:c r="B1482" s="2" t="str">
        <x:v>ED</x:v>
      </x:c>
      <x:c r="C1482" s="2" t="n">
        <x:v>0</x:v>
      </x:c>
      <x:c r="D1482" s="2" t="n">
        <x:v>0</x:v>
      </x:c>
      <x:c r="E1482" s="10"/>
      <x:c r="F1482" s="11" t="n">
        <x:v>391</x:v>
      </x:c>
      <x:c r="G1482" s="11" t="n">
        <x:v>0</x:v>
      </x:c>
      <x:c r="H1482" s="11" t="n">
        <x:v>0</x:v>
      </x:c>
      <x:c r="I1482" s="11" t="n">
        <x:v>1</x:v>
      </x:c>
      <x:c r="J1482" s="11" t="n">
        <x:v>0</x:v>
      </x:c>
      <x:c r="K1482" s="11" t="n">
        <x:v>0</x:v>
      </x:c>
      <x:c r="L1482" s="11" t="n">
        <x:f>IF(B1482="NED",1,IF(OR(B1482="ED",B1482="UN"),0,""))</x:f>
        <x:v>0</x:v>
      </x:c>
      <x:c r="M1482" s="11" t="n">
        <x:f>IF(AND(K1482=1,OR(B1482="ED",B1482="NED")),1,0)</x:f>
        <x:v>0</x:v>
      </x:c>
      <x:c r="N1482" s="11" t="n">
        <x:f>IF(K1482=1,1,0)</x:f>
        <x:v>0</x:v>
      </x:c>
      <x:c r="O1482" s="12" t="str">
        <x:v>Exclude UniProt Membrane keyword</x:v>
      </x:c>
      <x:c r="P1482" s="11" t="n">
        <x:v>0</x:v>
      </x:c>
      <x:c r="Q1482" s="12" t="str">
        <x:v>AF-Q61187-F1-model_v6</x:v>
      </x:c>
      <x:c r="R1482" s="12" t="str">
        <x:v>ok</x:v>
      </x:c>
      <x:c r="S1482" s="11" t="n">
        <x:v>1041</x:v>
      </x:c>
      <x:c r="T1482" s="11" t="n">
        <x:v>391</x:v>
      </x:c>
    </x:row>
    <x:row r="1483" ht="23" customHeight="1">
      <x:c r="A1483" s="2" t="str">
        <x:v>Q61188</x:v>
      </x:c>
      <x:c r="B1483" s="2" t="str">
        <x:v>ED</x:v>
      </x:c>
      <x:c r="C1483" s="2" t="n">
        <x:v>1</x:v>
      </x:c>
      <x:c r="D1483" s="2" t="n">
        <x:v>1</x:v>
      </x:c>
      <x:c r="E1483" s="10" t="n">
        <x:v>76.81502680965147</x:v>
      </x:c>
      <x:c r="F1483" s="11" t="n">
        <x:v>746</x:v>
      </x:c>
      <x:c r="G1483" s="11" t="n">
        <x:v>0</x:v>
      </x:c>
      <x:c r="H1483" s="11" t="n">
        <x:v>0</x:v>
      </x:c>
      <x:c r="I1483" s="11" t="n">
        <x:v>0</x:v>
      </x:c>
      <x:c r="J1483" s="11" t="n">
        <x:v>0</x:v>
      </x:c>
      <x:c r="K1483" s="11" t="n">
        <x:v>1</x:v>
      </x:c>
      <x:c r="L1483" s="11" t="n">
        <x:f>IF(B1483="NED",1,IF(OR(B1483="ED",B1483="UN"),0,""))</x:f>
        <x:v>0</x:v>
      </x:c>
      <x:c r="M1483" s="11" t="n">
        <x:f>IF(AND(K1483=1,OR(B1483="ED",B1483="NED")),1,0)</x:f>
        <x:v>1</x:v>
      </x:c>
      <x:c r="N1483" s="11" t="n">
        <x:f>IF(K1483=1,1,0)</x:f>
        <x:v>1</x:v>
      </x:c>
      <x:c r="O1483" s="12"/>
      <x:c r="P1483" s="11" t="n">
        <x:v>0</x:v>
      </x:c>
      <x:c r="Q1483" s="12" t="str">
        <x:v>AF-Q61188-F1-model_v6</x:v>
      </x:c>
      <x:c r="R1483" s="12" t="str">
        <x:v>ok</x:v>
      </x:c>
      <x:c r="S1483" s="11" t="n">
        <x:v>1042</x:v>
      </x:c>
      <x:c r="T1483" s="11" t="n">
        <x:v>746</x:v>
      </x:c>
    </x:row>
    <x:row r="1484" ht="23" customHeight="1">
      <x:c r="A1484" s="2" t="str">
        <x:v>Q61191</x:v>
      </x:c>
      <x:c r="B1484" s="2" t="str">
        <x:v>ED</x:v>
      </x:c>
      <x:c r="C1484" s="2" t="n">
        <x:v>1</x:v>
      </x:c>
      <x:c r="D1484" s="2" t="n">
        <x:v>1</x:v>
      </x:c>
      <x:c r="E1484" s="10"/>
      <x:c r="F1484" s="11" t="n">
        <x:v>2045</x:v>
      </x:c>
      <x:c r="G1484" s="11" t="n">
        <x:v>1</x:v>
      </x:c>
      <x:c r="H1484" s="11" t="n">
        <x:v>0</x:v>
      </x:c>
      <x:c r="I1484" s="11" t="n">
        <x:v>0</x:v>
      </x:c>
      <x:c r="J1484" s="11" t="n">
        <x:v>0</x:v>
      </x:c>
      <x:c r="K1484" s="11" t="n">
        <x:v>0</x:v>
      </x:c>
      <x:c r="L1484" s="11" t="n">
        <x:f>IF(B1484="NED",1,IF(OR(B1484="ED",B1484="UN"),0,""))</x:f>
        <x:v>0</x:v>
      </x:c>
      <x:c r="M1484" s="11" t="n">
        <x:f>IF(AND(K1484=1,OR(B1484="ED",B1484="NED")),1,0)</x:f>
        <x:v>0</x:v>
      </x:c>
      <x:c r="N1484" s="11" t="n">
        <x:f>IF(K1484=1,1,0)</x:f>
        <x:v>0</x:v>
      </x:c>
      <x:c r="O1484" s="12" t="str">
        <x:v>Exclude supplied knotted proteins</x:v>
      </x:c>
      <x:c r="P1484" s="11" t="n">
        <x:v>0</x:v>
      </x:c>
      <x:c r="Q1484" s="12" t="str">
        <x:v>AF-Q61191-F1-model_v6</x:v>
      </x:c>
      <x:c r="R1484" s="12" t="str">
        <x:v>ok</x:v>
      </x:c>
      <x:c r="S1484" s="11" t="n">
        <x:v>1043</x:v>
      </x:c>
      <x:c r="T1484" s="11" t="n">
        <x:v>2045</x:v>
      </x:c>
    </x:row>
    <x:row r="1485" ht="23" customHeight="1">
      <x:c r="A1485" s="2" t="str">
        <x:v>Q61194</x:v>
      </x:c>
      <x:c r="B1485" s="2" t="str">
        <x:v>UN</x:v>
      </x:c>
      <x:c r="C1485" s="2" t="n">
        <x:v>1</x:v>
      </x:c>
      <x:c r="D1485" s="2" t="n">
        <x:v>1</x:v>
      </x:c>
      <x:c r="E1485" s="10"/>
      <x:c r="F1485" s="11" t="n">
        <x:v>1686</x:v>
      </x:c>
      <x:c r="G1485" s="11" t="n">
        <x:v>1</x:v>
      </x:c>
      <x:c r="H1485" s="11" t="n">
        <x:v>0</x:v>
      </x:c>
      <x:c r="I1485" s="11" t="n">
        <x:v>1</x:v>
      </x:c>
      <x:c r="J1485" s="11" t="n">
        <x:v>0</x:v>
      </x:c>
      <x:c r="K1485" s="11" t="n">
        <x:v>0</x:v>
      </x:c>
      <x:c r="L1485" s="11" t="n">
        <x:f>IF(B1485="NED",1,IF(OR(B1485="ED",B1485="UN"),0,""))</x:f>
        <x:v>0</x:v>
      </x:c>
      <x:c r="M1485" s="11" t="n">
        <x:f>IF(AND(K1485=1,OR(B1485="ED",B1485="NED")),1,0)</x:f>
        <x:v>0</x:v>
      </x:c>
      <x:c r="N1485" s="11" t="n">
        <x:f>IF(K1485=1,1,0)</x:f>
        <x:v>0</x:v>
      </x:c>
      <x:c r="O1485" s="12" t="str">
        <x:v>Exclude supplied knotted proteins</x:v>
      </x:c>
      <x:c r="P1485" s="11" t="n">
        <x:v>0</x:v>
      </x:c>
      <x:c r="Q1485" s="12" t="str">
        <x:v>AF-Q61194-F1-model_v6</x:v>
      </x:c>
      <x:c r="R1485" s="12" t="str">
        <x:v>ok</x:v>
      </x:c>
      <x:c r="S1485" s="11" t="n">
        <x:v>1044</x:v>
      </x:c>
      <x:c r="T1485" s="11" t="n">
        <x:v>1686</x:v>
      </x:c>
    </x:row>
    <x:row r="1486" ht="23" customHeight="1">
      <x:c r="A1486" s="2" t="str">
        <x:v>Q61205</x:v>
      </x:c>
      <x:c r="B1486" s="2" t="str">
        <x:v>ED</x:v>
      </x:c>
      <x:c r="C1486" s="2" t="n">
        <x:v>1</x:v>
      </x:c>
      <x:c r="D1486" s="2" t="n">
        <x:v>1</x:v>
      </x:c>
      <x:c r="E1486" s="10" t="n">
        <x:v>94.2946120689655</x:v>
      </x:c>
      <x:c r="F1486" s="11" t="n">
        <x:v>232</x:v>
      </x:c>
      <x:c r="G1486" s="11" t="n">
        <x:v>0</x:v>
      </x:c>
      <x:c r="H1486" s="11" t="n">
        <x:v>0</x:v>
      </x:c>
      <x:c r="I1486" s="11" t="n">
        <x:v>0</x:v>
      </x:c>
      <x:c r="J1486" s="11" t="n">
        <x:v>0</x:v>
      </x:c>
      <x:c r="K1486" s="11" t="n">
        <x:v>1</x:v>
      </x:c>
      <x:c r="L1486" s="11" t="n">
        <x:f>IF(B1486="NED",1,IF(OR(B1486="ED",B1486="UN"),0,""))</x:f>
        <x:v>0</x:v>
      </x:c>
      <x:c r="M1486" s="11" t="n">
        <x:f>IF(AND(K1486=1,OR(B1486="ED",B1486="NED")),1,0)</x:f>
        <x:v>1</x:v>
      </x:c>
      <x:c r="N1486" s="11" t="n">
        <x:f>IF(K1486=1,1,0)</x:f>
        <x:v>1</x:v>
      </x:c>
      <x:c r="O1486" s="12"/>
      <x:c r="P1486" s="11" t="n">
        <x:v>0</x:v>
      </x:c>
      <x:c r="Q1486" s="12" t="str">
        <x:v>AF-Q61205-F1-model_v6</x:v>
      </x:c>
      <x:c r="R1486" s="12" t="str">
        <x:v>ok</x:v>
      </x:c>
      <x:c r="S1486" s="11" t="n">
        <x:v>1045</x:v>
      </x:c>
      <x:c r="T1486" s="11" t="n">
        <x:v>232</x:v>
      </x:c>
    </x:row>
    <x:row r="1487" ht="23" customHeight="1">
      <x:c r="A1487" s="2" t="str">
        <x:v>Q61206</x:v>
      </x:c>
      <x:c r="B1487" s="2" t="str">
        <x:v>ED</x:v>
      </x:c>
      <x:c r="C1487" s="2" t="n">
        <x:v>1</x:v>
      </x:c>
      <x:c r="D1487" s="2" t="n">
        <x:v>1</x:v>
      </x:c>
      <x:c r="E1487" s="10" t="n">
        <x:v>94.68537117903932</x:v>
      </x:c>
      <x:c r="F1487" s="11" t="n">
        <x:v>229</x:v>
      </x:c>
      <x:c r="G1487" s="11" t="n">
        <x:v>0</x:v>
      </x:c>
      <x:c r="H1487" s="11" t="n">
        <x:v>0</x:v>
      </x:c>
      <x:c r="I1487" s="11" t="n">
        <x:v>0</x:v>
      </x:c>
      <x:c r="J1487" s="11" t="n">
        <x:v>0</x:v>
      </x:c>
      <x:c r="K1487" s="11" t="n">
        <x:v>1</x:v>
      </x:c>
      <x:c r="L1487" s="11" t="n">
        <x:f>IF(B1487="NED",1,IF(OR(B1487="ED",B1487="UN"),0,""))</x:f>
        <x:v>0</x:v>
      </x:c>
      <x:c r="M1487" s="11" t="n">
        <x:f>IF(AND(K1487=1,OR(B1487="ED",B1487="NED")),1,0)</x:f>
        <x:v>1</x:v>
      </x:c>
      <x:c r="N1487" s="11" t="n">
        <x:f>IF(K1487=1,1,0)</x:f>
        <x:v>1</x:v>
      </x:c>
      <x:c r="O1487" s="12"/>
      <x:c r="P1487" s="11" t="n">
        <x:v>0</x:v>
      </x:c>
      <x:c r="Q1487" s="12" t="str">
        <x:v>AF-Q61206-F1-model_v6</x:v>
      </x:c>
      <x:c r="R1487" s="12" t="str">
        <x:v>ok</x:v>
      </x:c>
      <x:c r="S1487" s="11" t="n">
        <x:v>1046</x:v>
      </x:c>
      <x:c r="T1487" s="11" t="n">
        <x:v>229</x:v>
      </x:c>
    </x:row>
    <x:row r="1488" ht="23" customHeight="1">
      <x:c r="A1488" s="2" t="str">
        <x:v>Q61210-2</x:v>
      </x:c>
      <x:c r="B1488" s="2" t="str">
        <x:v>UN</x:v>
      </x:c>
      <x:c r="C1488" s="2"/>
      <x:c r="D1488" s="2"/>
      <x:c r="E1488" s="10"/>
      <x:c r="F1488" s="11"/>
      <x:c r="G1488" s="11" t="n">
        <x:v>0</x:v>
      </x:c>
      <x:c r="H1488" s="11" t="n">
        <x:v>0</x:v>
      </x:c>
      <x:c r="I1488" s="11"/>
      <x:c r="J1488" s="11"/>
      <x:c r="K1488" s="11" t="n">
        <x:v>0</x:v>
      </x:c>
      <x:c r="L1488" s="11" t="n">
        <x:f>IF(B1488="NED",1,IF(OR(B1488="ED",B1488="UN"),0,""))</x:f>
        <x:v>0</x:v>
      </x:c>
      <x:c r="M1488" s="11" t="n">
        <x:f>IF(AND(K1488=1,OR(B1488="ED",B1488="NED")),1,0)</x:f>
        <x:v>0</x:v>
      </x:c>
      <x:c r="N1488" s="11" t="n">
        <x:f>IF(K1488=1,1,0)</x:f>
        <x:v>0</x:v>
      </x:c>
      <x:c r="O1488" s="12" t="str">
        <x:v>Require exact native accession match</x:v>
      </x:c>
      <x:c r="P1488" s="11" t="n">
        <x:v>0</x:v>
      </x:c>
      <x:c r="Q1488" s="12"/>
      <x:c r="R1488" s="12"/>
      <x:c r="S1488" s="11" t="n">
        <x:v>1047</x:v>
      </x:c>
      <x:c r="T1488" s="11"/>
    </x:row>
    <x:row r="1489" ht="23" customHeight="1">
      <x:c r="A1489" s="2" t="str">
        <x:v>Q61235</x:v>
      </x:c>
      <x:c r="B1489" s="2" t="str">
        <x:v>ED</x:v>
      </x:c>
      <x:c r="C1489" s="2" t="n">
        <x:v>1</x:v>
      </x:c>
      <x:c r="D1489" s="2" t="n">
        <x:v>1</x:v>
      </x:c>
      <x:c r="E1489" s="10"/>
      <x:c r="F1489" s="11" t="n">
        <x:v>520</x:v>
      </x:c>
      <x:c r="G1489" s="11" t="n">
        <x:v>0</x:v>
      </x:c>
      <x:c r="H1489" s="11" t="n">
        <x:v>0</x:v>
      </x:c>
      <x:c r="I1489" s="11" t="n">
        <x:v>1</x:v>
      </x:c>
      <x:c r="J1489" s="11" t="n">
        <x:v>0</x:v>
      </x:c>
      <x:c r="K1489" s="11" t="n">
        <x:v>0</x:v>
      </x:c>
      <x:c r="L1489" s="11" t="n">
        <x:f>IF(B1489="NED",1,IF(OR(B1489="ED",B1489="UN"),0,""))</x:f>
        <x:v>0</x:v>
      </x:c>
      <x:c r="M1489" s="11" t="n">
        <x:f>IF(AND(K1489=1,OR(B1489="ED",B1489="NED")),1,0)</x:f>
        <x:v>0</x:v>
      </x:c>
      <x:c r="N1489" s="11" t="n">
        <x:f>IF(K1489=1,1,0)</x:f>
        <x:v>0</x:v>
      </x:c>
      <x:c r="O1489" s="12" t="str">
        <x:v>Exclude UniProt Membrane keyword</x:v>
      </x:c>
      <x:c r="P1489" s="11" t="n">
        <x:v>0</x:v>
      </x:c>
      <x:c r="Q1489" s="12" t="str">
        <x:v>AF-Q61235-F1-model_v6</x:v>
      </x:c>
      <x:c r="R1489" s="12" t="str">
        <x:v>ok</x:v>
      </x:c>
      <x:c r="S1489" s="11" t="n">
        <x:v>1048</x:v>
      </x:c>
      <x:c r="T1489" s="11" t="n">
        <x:v>520</x:v>
      </x:c>
    </x:row>
    <x:row r="1490" ht="23" customHeight="1">
      <x:c r="A1490" s="2" t="str">
        <x:v>Q61249</x:v>
      </x:c>
      <x:c r="B1490" s="2" t="str">
        <x:v>ED</x:v>
      </x:c>
      <x:c r="C1490" s="2" t="n">
        <x:v>1</x:v>
      </x:c>
      <x:c r="D1490" s="2" t="n">
        <x:v>1</x:v>
      </x:c>
      <x:c r="E1490" s="10" t="n">
        <x:v>80.25255882352941</x:v>
      </x:c>
      <x:c r="F1490" s="11" t="n">
        <x:v>340</x:v>
      </x:c>
      <x:c r="G1490" s="11" t="n">
        <x:v>0</x:v>
      </x:c>
      <x:c r="H1490" s="11" t="n">
        <x:v>0</x:v>
      </x:c>
      <x:c r="I1490" s="11" t="n">
        <x:v>0</x:v>
      </x:c>
      <x:c r="J1490" s="11" t="n">
        <x:v>0</x:v>
      </x:c>
      <x:c r="K1490" s="11" t="n">
        <x:v>1</x:v>
      </x:c>
      <x:c r="L1490" s="11" t="n">
        <x:f>IF(B1490="NED",1,IF(OR(B1490="ED",B1490="UN"),0,""))</x:f>
        <x:v>0</x:v>
      </x:c>
      <x:c r="M1490" s="11" t="n">
        <x:f>IF(AND(K1490=1,OR(B1490="ED",B1490="NED")),1,0)</x:f>
        <x:v>1</x:v>
      </x:c>
      <x:c r="N1490" s="11" t="n">
        <x:f>IF(K1490=1,1,0)</x:f>
        <x:v>1</x:v>
      </x:c>
      <x:c r="O1490" s="12"/>
      <x:c r="P1490" s="11" t="n">
        <x:v>0</x:v>
      </x:c>
      <x:c r="Q1490" s="12" t="str">
        <x:v>AF-Q61249-F1-model_v6</x:v>
      </x:c>
      <x:c r="R1490" s="12" t="str">
        <x:v>ok</x:v>
      </x:c>
      <x:c r="S1490" s="11" t="n">
        <x:v>1049</x:v>
      </x:c>
      <x:c r="T1490" s="11" t="n">
        <x:v>340</x:v>
      </x:c>
    </x:row>
    <x:row r="1491" ht="23" customHeight="1">
      <x:c r="A1491" s="2" t="str">
        <x:v>Q61263</x:v>
      </x:c>
      <x:c r="B1491" s="2" t="str">
        <x:v>UN</x:v>
      </x:c>
      <x:c r="C1491" s="2" t="n">
        <x:v>1</x:v>
      </x:c>
      <x:c r="D1491" s="2" t="n">
        <x:v>1</x:v>
      </x:c>
      <x:c r="E1491" s="10"/>
      <x:c r="F1491" s="11" t="n">
        <x:v>540</x:v>
      </x:c>
      <x:c r="G1491" s="11" t="n">
        <x:v>0</x:v>
      </x:c>
      <x:c r="H1491" s="11" t="n">
        <x:v>0</x:v>
      </x:c>
      <x:c r="I1491" s="11" t="n">
        <x:v>1</x:v>
      </x:c>
      <x:c r="J1491" s="11" t="n">
        <x:v>0</x:v>
      </x:c>
      <x:c r="K1491" s="11" t="n">
        <x:v>0</x:v>
      </x:c>
      <x:c r="L1491" s="11" t="n">
        <x:f>IF(B1491="NED",1,IF(OR(B1491="ED",B1491="UN"),0,""))</x:f>
        <x:v>0</x:v>
      </x:c>
      <x:c r="M1491" s="11" t="n">
        <x:f>IF(AND(K1491=1,OR(B1491="ED",B1491="NED")),1,0)</x:f>
        <x:v>0</x:v>
      </x:c>
      <x:c r="N1491" s="11" t="n">
        <x:f>IF(K1491=1,1,0)</x:f>
        <x:v>0</x:v>
      </x:c>
      <x:c r="O1491" s="12" t="str">
        <x:v>Exclude UniProt Membrane keyword</x:v>
      </x:c>
      <x:c r="P1491" s="11" t="n">
        <x:v>0</x:v>
      </x:c>
      <x:c r="Q1491" s="12" t="str">
        <x:v>AF-Q61263-F1-model_v6</x:v>
      </x:c>
      <x:c r="R1491" s="12" t="str">
        <x:v>ok</x:v>
      </x:c>
      <x:c r="S1491" s="11" t="n">
        <x:v>1050</x:v>
      </x:c>
      <x:c r="T1491" s="11" t="n">
        <x:v>540</x:v>
      </x:c>
    </x:row>
    <x:row r="1492" ht="23" customHeight="1">
      <x:c r="A1492" s="2" t="str">
        <x:v>Q61301-2</x:v>
      </x:c>
      <x:c r="B1492" s="2" t="str">
        <x:v>UN</x:v>
      </x:c>
      <x:c r="C1492" s="2"/>
      <x:c r="D1492" s="2"/>
      <x:c r="E1492" s="10"/>
      <x:c r="F1492" s="11"/>
      <x:c r="G1492" s="11" t="n">
        <x:v>0</x:v>
      </x:c>
      <x:c r="H1492" s="11" t="n">
        <x:v>0</x:v>
      </x:c>
      <x:c r="I1492" s="11"/>
      <x:c r="J1492" s="11"/>
      <x:c r="K1492" s="11" t="n">
        <x:v>0</x:v>
      </x:c>
      <x:c r="L1492" s="11" t="n">
        <x:f>IF(B1492="NED",1,IF(OR(B1492="ED",B1492="UN"),0,""))</x:f>
        <x:v>0</x:v>
      </x:c>
      <x:c r="M1492" s="11" t="n">
        <x:f>IF(AND(K1492=1,OR(B1492="ED",B1492="NED")),1,0)</x:f>
        <x:v>0</x:v>
      </x:c>
      <x:c r="N1492" s="11" t="n">
        <x:f>IF(K1492=1,1,0)</x:f>
        <x:v>0</x:v>
      </x:c>
      <x:c r="O1492" s="12" t="str">
        <x:v>Require exact native accession match</x:v>
      </x:c>
      <x:c r="P1492" s="11" t="n">
        <x:v>0</x:v>
      </x:c>
      <x:c r="Q1492" s="12"/>
      <x:c r="R1492" s="12"/>
      <x:c r="S1492" s="11" t="n">
        <x:v>1051</x:v>
      </x:c>
      <x:c r="T1492" s="11"/>
    </x:row>
    <x:row r="1493" ht="23" customHeight="1">
      <x:c r="A1493" s="2" t="str">
        <x:v>Q61333</x:v>
      </x:c>
      <x:c r="B1493" s="2" t="str">
        <x:v>UN</x:v>
      </x:c>
      <x:c r="C1493" s="2" t="n">
        <x:v>1</x:v>
      </x:c>
      <x:c r="D1493" s="2" t="n">
        <x:v>1</x:v>
      </x:c>
      <x:c r="E1493" s="10" t="n">
        <x:v>81.92696092619391</x:v>
      </x:c>
      <x:c r="F1493" s="11" t="n">
        <x:v>691</x:v>
      </x:c>
      <x:c r="G1493" s="11" t="n">
        <x:v>0</x:v>
      </x:c>
      <x:c r="H1493" s="11" t="n">
        <x:v>0</x:v>
      </x:c>
      <x:c r="I1493" s="11" t="n">
        <x:v>0</x:v>
      </x:c>
      <x:c r="J1493" s="11" t="n">
        <x:v>0</x:v>
      </x:c>
      <x:c r="K1493" s="11" t="n">
        <x:v>1</x:v>
      </x:c>
      <x:c r="L1493" s="11" t="n">
        <x:f>IF(B1493="NED",1,IF(OR(B1493="ED",B1493="UN"),0,""))</x:f>
        <x:v>0</x:v>
      </x:c>
      <x:c r="M1493" s="11" t="n">
        <x:f>IF(AND(K1493=1,OR(B1493="ED",B1493="NED")),1,0)</x:f>
        <x:v>0</x:v>
      </x:c>
      <x:c r="N1493" s="11" t="n">
        <x:f>IF(K1493=1,1,0)</x:f>
        <x:v>1</x:v>
      </x:c>
      <x:c r="O1493" s="12"/>
      <x:c r="P1493" s="11" t="n">
        <x:v>0</x:v>
      </x:c>
      <x:c r="Q1493" s="12" t="str">
        <x:v>AF-Q61333-F1-model_v6</x:v>
      </x:c>
      <x:c r="R1493" s="12" t="str">
        <x:v>ok</x:v>
      </x:c>
      <x:c r="S1493" s="11" t="n">
        <x:v>1052</x:v>
      </x:c>
      <x:c r="T1493" s="11" t="n">
        <x:v>691</x:v>
      </x:c>
    </x:row>
    <x:row r="1494" ht="23" customHeight="1">
      <x:c r="A1494" s="2" t="str">
        <x:v>Q61335</x:v>
      </x:c>
      <x:c r="B1494" s="2" t="str">
        <x:v>UN</x:v>
      </x:c>
      <x:c r="C1494" s="2" t="n">
        <x:v>0</x:v>
      </x:c>
      <x:c r="D1494" s="2" t="n">
        <x:v>0</x:v>
      </x:c>
      <x:c r="E1494" s="10"/>
      <x:c r="F1494" s="11" t="n">
        <x:v>245</x:v>
      </x:c>
      <x:c r="G1494" s="11" t="n">
        <x:v>0</x:v>
      </x:c>
      <x:c r="H1494" s="11" t="n">
        <x:v>0</x:v>
      </x:c>
      <x:c r="I1494" s="11" t="n">
        <x:v>1</x:v>
      </x:c>
      <x:c r="J1494" s="11" t="n">
        <x:v>0</x:v>
      </x:c>
      <x:c r="K1494" s="11" t="n">
        <x:v>0</x:v>
      </x:c>
      <x:c r="L1494" s="11" t="n">
        <x:f>IF(B1494="NED",1,IF(OR(B1494="ED",B1494="UN"),0,""))</x:f>
        <x:v>0</x:v>
      </x:c>
      <x:c r="M1494" s="11" t="n">
        <x:f>IF(AND(K1494=1,OR(B1494="ED",B1494="NED")),1,0)</x:f>
        <x:v>0</x:v>
      </x:c>
      <x:c r="N1494" s="11" t="n">
        <x:f>IF(K1494=1,1,0)</x:f>
        <x:v>0</x:v>
      </x:c>
      <x:c r="O1494" s="12" t="str">
        <x:v>Exclude UniProt Membrane keyword</x:v>
      </x:c>
      <x:c r="P1494" s="11" t="n">
        <x:v>0</x:v>
      </x:c>
      <x:c r="Q1494" s="12" t="str">
        <x:v>AF-Q61335-F1-model_v6</x:v>
      </x:c>
      <x:c r="R1494" s="12" t="str">
        <x:v>ok</x:v>
      </x:c>
      <x:c r="S1494" s="11" t="n">
        <x:v>1053</x:v>
      </x:c>
      <x:c r="T1494" s="11" t="n">
        <x:v>245</x:v>
      </x:c>
    </x:row>
    <x:row r="1495" ht="23" customHeight="1">
      <x:c r="A1495" s="2" t="str">
        <x:v>Q61425</x:v>
      </x:c>
      <x:c r="B1495" s="2" t="str">
        <x:v>UN</x:v>
      </x:c>
      <x:c r="C1495" s="2" t="n">
        <x:v>1</x:v>
      </x:c>
      <x:c r="D1495" s="2" t="n">
        <x:v>1</x:v>
      </x:c>
      <x:c r="E1495" s="10" t="n">
        <x:v>95.83649681528662</x:v>
      </x:c>
      <x:c r="F1495" s="11" t="n">
        <x:v>314</x:v>
      </x:c>
      <x:c r="G1495" s="11" t="n">
        <x:v>0</x:v>
      </x:c>
      <x:c r="H1495" s="11" t="n">
        <x:v>0</x:v>
      </x:c>
      <x:c r="I1495" s="11" t="n">
        <x:v>0</x:v>
      </x:c>
      <x:c r="J1495" s="11" t="n">
        <x:v>0</x:v>
      </x:c>
      <x:c r="K1495" s="11" t="n">
        <x:v>1</x:v>
      </x:c>
      <x:c r="L1495" s="11" t="n">
        <x:f>IF(B1495="NED",1,IF(OR(B1495="ED",B1495="UN"),0,""))</x:f>
        <x:v>0</x:v>
      </x:c>
      <x:c r="M1495" s="11" t="n">
        <x:f>IF(AND(K1495=1,OR(B1495="ED",B1495="NED")),1,0)</x:f>
        <x:v>0</x:v>
      </x:c>
      <x:c r="N1495" s="11" t="n">
        <x:f>IF(K1495=1,1,0)</x:f>
        <x:v>1</x:v>
      </x:c>
      <x:c r="O1495" s="12"/>
      <x:c r="P1495" s="11" t="n">
        <x:v>0</x:v>
      </x:c>
      <x:c r="Q1495" s="12" t="str">
        <x:v>AF-Q61425-F1-model_v6</x:v>
      </x:c>
      <x:c r="R1495" s="12" t="str">
        <x:v>ok</x:v>
      </x:c>
      <x:c r="S1495" s="11" t="n">
        <x:v>1054</x:v>
      </x:c>
      <x:c r="T1495" s="11" t="n">
        <x:v>314</x:v>
      </x:c>
    </x:row>
    <x:row r="1496" ht="23" customHeight="1">
      <x:c r="A1496" s="2" t="str">
        <x:v>Q61458</x:v>
      </x:c>
      <x:c r="B1496" s="2" t="str">
        <x:v>ED</x:v>
      </x:c>
      <x:c r="C1496" s="2" t="n">
        <x:v>1</x:v>
      </x:c>
      <x:c r="D1496" s="2"/>
      <x:c r="E1496" s="10" t="n">
        <x:v>87.70232198142415</x:v>
      </x:c>
      <x:c r="F1496" s="11" t="n">
        <x:v>323</x:v>
      </x:c>
      <x:c r="G1496" s="11" t="n">
        <x:v>0</x:v>
      </x:c>
      <x:c r="H1496" s="11" t="n">
        <x:v>0</x:v>
      </x:c>
      <x:c r="I1496" s="11" t="n">
        <x:v>0</x:v>
      </x:c>
      <x:c r="J1496" s="11" t="n">
        <x:v>0</x:v>
      </x:c>
      <x:c r="K1496" s="11" t="n">
        <x:v>1</x:v>
      </x:c>
      <x:c r="L1496" s="11" t="n">
        <x:f>IF(B1496="NED",1,IF(OR(B1496="ED",B1496="UN"),0,""))</x:f>
        <x:v>0</x:v>
      </x:c>
      <x:c r="M1496" s="11" t="n">
        <x:f>IF(AND(K1496=1,OR(B1496="ED",B1496="NED")),1,0)</x:f>
        <x:v>1</x:v>
      </x:c>
      <x:c r="N1496" s="11" t="n">
        <x:f>IF(K1496=1,1,0)</x:f>
        <x:v>1</x:v>
      </x:c>
      <x:c r="O1496" s="12"/>
      <x:c r="P1496" s="11" t="n">
        <x:v>0</x:v>
      </x:c>
      <x:c r="Q1496" s="12" t="str">
        <x:v>AF-Q61458-F1-model_v6</x:v>
      </x:c>
      <x:c r="R1496" s="12" t="str">
        <x:v>ok</x:v>
      </x:c>
      <x:c r="S1496" s="11" t="n">
        <x:v>1055</x:v>
      </x:c>
      <x:c r="T1496" s="11" t="n">
        <x:v>323</x:v>
      </x:c>
    </x:row>
    <x:row r="1497" ht="23" customHeight="1">
      <x:c r="A1497" s="2" t="str">
        <x:v>Q61464-4</x:v>
      </x:c>
      <x:c r="B1497" s="2" t="str">
        <x:v>UN</x:v>
      </x:c>
      <x:c r="C1497" s="2"/>
      <x:c r="D1497" s="2"/>
      <x:c r="E1497" s="10"/>
      <x:c r="F1497" s="11"/>
      <x:c r="G1497" s="11" t="n">
        <x:v>0</x:v>
      </x:c>
      <x:c r="H1497" s="11" t="n">
        <x:v>0</x:v>
      </x:c>
      <x:c r="I1497" s="11"/>
      <x:c r="J1497" s="11"/>
      <x:c r="K1497" s="11" t="n">
        <x:v>0</x:v>
      </x:c>
      <x:c r="L1497" s="11" t="n">
        <x:f>IF(B1497="NED",1,IF(OR(B1497="ED",B1497="UN"),0,""))</x:f>
        <x:v>0</x:v>
      </x:c>
      <x:c r="M1497" s="11" t="n">
        <x:f>IF(AND(K1497=1,OR(B1497="ED",B1497="NED")),1,0)</x:f>
        <x:v>0</x:v>
      </x:c>
      <x:c r="N1497" s="11" t="n">
        <x:f>IF(K1497=1,1,0)</x:f>
        <x:v>0</x:v>
      </x:c>
      <x:c r="O1497" s="12" t="str">
        <x:v>Require exact native accession match</x:v>
      </x:c>
      <x:c r="P1497" s="11" t="n">
        <x:v>0</x:v>
      </x:c>
      <x:c r="Q1497" s="12"/>
      <x:c r="R1497" s="12"/>
      <x:c r="S1497" s="11" t="n">
        <x:v>1056</x:v>
      </x:c>
      <x:c r="T1497" s="11"/>
    </x:row>
    <x:row r="1498" ht="23" customHeight="1">
      <x:c r="A1498" s="2" t="str">
        <x:v>Q61466-2</x:v>
      </x:c>
      <x:c r="B1498" s="2" t="str">
        <x:v>UN</x:v>
      </x:c>
      <x:c r="C1498" s="2"/>
      <x:c r="D1498" s="2"/>
      <x:c r="E1498" s="10"/>
      <x:c r="F1498" s="11"/>
      <x:c r="G1498" s="11" t="n">
        <x:v>0</x:v>
      </x:c>
      <x:c r="H1498" s="11" t="n">
        <x:v>0</x:v>
      </x:c>
      <x:c r="I1498" s="11"/>
      <x:c r="J1498" s="11"/>
      <x:c r="K1498" s="11" t="n">
        <x:v>0</x:v>
      </x:c>
      <x:c r="L1498" s="11" t="n">
        <x:f>IF(B1498="NED",1,IF(OR(B1498="ED",B1498="UN"),0,""))</x:f>
        <x:v>0</x:v>
      </x:c>
      <x:c r="M1498" s="11" t="n">
        <x:f>IF(AND(K1498=1,OR(B1498="ED",B1498="NED")),1,0)</x:f>
        <x:v>0</x:v>
      </x:c>
      <x:c r="N1498" s="11" t="n">
        <x:f>IF(K1498=1,1,0)</x:f>
        <x:v>0</x:v>
      </x:c>
      <x:c r="O1498" s="12" t="str">
        <x:v>Require exact native accession match</x:v>
      </x:c>
      <x:c r="P1498" s="11" t="n">
        <x:v>0</x:v>
      </x:c>
      <x:c r="Q1498" s="12"/>
      <x:c r="R1498" s="12"/>
      <x:c r="S1498" s="11" t="n">
        <x:v>1057</x:v>
      </x:c>
      <x:c r="T1498" s="11"/>
    </x:row>
    <x:row r="1499" ht="23" customHeight="1">
      <x:c r="A1499" s="2" t="str">
        <x:v>Q61508</x:v>
      </x:c>
      <x:c r="B1499" s="2" t="str">
        <x:v>UN</x:v>
      </x:c>
      <x:c r="C1499" s="2" t="n">
        <x:v>1</x:v>
      </x:c>
      <x:c r="D1499" s="2" t="n">
        <x:v>1</x:v>
      </x:c>
      <x:c r="E1499" s="10"/>
      <x:c r="F1499" s="11" t="n">
        <x:v>559</x:v>
      </x:c>
      <x:c r="G1499" s="11" t="n">
        <x:v>0</x:v>
      </x:c>
      <x:c r="H1499" s="11" t="n">
        <x:v>0</x:v>
      </x:c>
      <x:c r="I1499" s="11" t="n">
        <x:v>0</x:v>
      </x:c>
      <x:c r="J1499" s="11" t="n">
        <x:v>1</x:v>
      </x:c>
      <x:c r="K1499" s="11" t="n">
        <x:v>0</x:v>
      </x:c>
      <x:c r="L1499" s="11" t="n">
        <x:f>IF(B1499="NED",1,IF(OR(B1499="ED",B1499="UN"),0,""))</x:f>
        <x:v>0</x:v>
      </x:c>
      <x:c r="M1499" s="11" t="n">
        <x:f>IF(AND(K1499=1,OR(B1499="ED",B1499="NED")),1,0)</x:f>
        <x:v>0</x:v>
      </x:c>
      <x:c r="N1499" s="11" t="n">
        <x:f>IF(K1499=1,1,0)</x:f>
        <x:v>0</x:v>
      </x:c>
      <x:c r="O1499" s="12" t="str">
        <x:v>Exclude UniProt Secreted keyword</x:v>
      </x:c>
      <x:c r="P1499" s="11" t="n">
        <x:v>0</x:v>
      </x:c>
      <x:c r="Q1499" s="12" t="str">
        <x:v>AF-Q61508-F1-model_v6</x:v>
      </x:c>
      <x:c r="R1499" s="12" t="str">
        <x:v>ok</x:v>
      </x:c>
      <x:c r="S1499" s="11" t="n">
        <x:v>1058</x:v>
      </x:c>
      <x:c r="T1499" s="11" t="n">
        <x:v>559</x:v>
      </x:c>
    </x:row>
    <x:row r="1500" ht="23" customHeight="1">
      <x:c r="A1500" s="2" t="str">
        <x:v>Q61510</x:v>
      </x:c>
      <x:c r="B1500" s="2" t="str">
        <x:v>UN</x:v>
      </x:c>
      <x:c r="C1500" s="2" t="n">
        <x:v>1</x:v>
      </x:c>
      <x:c r="D1500" s="2" t="n">
        <x:v>1</x:v>
      </x:c>
      <x:c r="E1500" s="10" t="n">
        <x:v>83.7541167192429</x:v>
      </x:c>
      <x:c r="F1500" s="11" t="n">
        <x:v>634</x:v>
      </x:c>
      <x:c r="G1500" s="11" t="n">
        <x:v>0</x:v>
      </x:c>
      <x:c r="H1500" s="11" t="n">
        <x:v>0</x:v>
      </x:c>
      <x:c r="I1500" s="11" t="n">
        <x:v>0</x:v>
      </x:c>
      <x:c r="J1500" s="11" t="n">
        <x:v>0</x:v>
      </x:c>
      <x:c r="K1500" s="11" t="n">
        <x:v>1</x:v>
      </x:c>
      <x:c r="L1500" s="11" t="n">
        <x:f>IF(B1500="NED",1,IF(OR(B1500="ED",B1500="UN"),0,""))</x:f>
        <x:v>0</x:v>
      </x:c>
      <x:c r="M1500" s="11" t="n">
        <x:f>IF(AND(K1500=1,OR(B1500="ED",B1500="NED")),1,0)</x:f>
        <x:v>0</x:v>
      </x:c>
      <x:c r="N1500" s="11" t="n">
        <x:f>IF(K1500=1,1,0)</x:f>
        <x:v>1</x:v>
      </x:c>
      <x:c r="O1500" s="12"/>
      <x:c r="P1500" s="11" t="n">
        <x:v>0</x:v>
      </x:c>
      <x:c r="Q1500" s="12" t="str">
        <x:v>AF-Q61510-F1-model_v6</x:v>
      </x:c>
      <x:c r="R1500" s="12" t="str">
        <x:v>ok</x:v>
      </x:c>
      <x:c r="S1500" s="11" t="n">
        <x:v>1059</x:v>
      </x:c>
      <x:c r="T1500" s="11" t="n">
        <x:v>634</x:v>
      </x:c>
    </x:row>
    <x:row r="1501" ht="23" customHeight="1">
      <x:c r="A1501" s="2" t="str">
        <x:v>Q61550</x:v>
      </x:c>
      <x:c r="B1501" s="2" t="str">
        <x:v>UN</x:v>
      </x:c>
      <x:c r="C1501" s="2" t="n">
        <x:v>0</x:v>
      </x:c>
      <x:c r="D1501" s="2" t="n">
        <x:v>0</x:v>
      </x:c>
      <x:c r="E1501" s="10" t="n">
        <x:v>61.45420472440944</x:v>
      </x:c>
      <x:c r="F1501" s="11" t="n">
        <x:v>635</x:v>
      </x:c>
      <x:c r="G1501" s="11" t="n">
        <x:v>0</x:v>
      </x:c>
      <x:c r="H1501" s="11" t="n">
        <x:v>0</x:v>
      </x:c>
      <x:c r="I1501" s="11" t="n">
        <x:v>0</x:v>
      </x:c>
      <x:c r="J1501" s="11" t="n">
        <x:v>0</x:v>
      </x:c>
      <x:c r="K1501" s="11" t="n">
        <x:v>0</x:v>
      </x:c>
      <x:c r="L1501" s="11" t="n">
        <x:f>IF(B1501="NED",1,IF(OR(B1501="ED",B1501="UN"),0,""))</x:f>
        <x:v>0</x:v>
      </x:c>
      <x:c r="M1501" s="11" t="n">
        <x:f>IF(AND(K1501=1,OR(B1501="ED",B1501="NED")),1,0)</x:f>
        <x:v>0</x:v>
      </x:c>
      <x:c r="N1501" s="11" t="n">
        <x:f>IF(K1501=1,1,0)</x:f>
        <x:v>0</x:v>
      </x:c>
      <x:c r="O1501" s="12" t="str">
        <x:v>Retain protein mean pLDDT &gt;=70</x:v>
      </x:c>
      <x:c r="P1501" s="11" t="n">
        <x:v>0</x:v>
      </x:c>
      <x:c r="Q1501" s="12" t="str">
        <x:v>AF-Q61550-F1-model_v6</x:v>
      </x:c>
      <x:c r="R1501" s="12" t="str">
        <x:v>ok</x:v>
      </x:c>
      <x:c r="S1501" s="11" t="n">
        <x:v>1060</x:v>
      </x:c>
      <x:c r="T1501" s="11" t="n">
        <x:v>635</x:v>
      </x:c>
    </x:row>
    <x:row r="1502" ht="23" customHeight="1">
      <x:c r="A1502" s="2" t="str">
        <x:v>Q61553</x:v>
      </x:c>
      <x:c r="B1502" s="2" t="str">
        <x:v>ED</x:v>
      </x:c>
      <x:c r="C1502" s="2" t="n">
        <x:v>1</x:v>
      </x:c>
      <x:c r="D1502" s="2" t="n">
        <x:v>1</x:v>
      </x:c>
      <x:c r="E1502" s="10" t="n">
        <x:v>94.49194726166328</x:v>
      </x:c>
      <x:c r="F1502" s="11" t="n">
        <x:v>493</x:v>
      </x:c>
      <x:c r="G1502" s="11" t="n">
        <x:v>0</x:v>
      </x:c>
      <x:c r="H1502" s="11" t="n">
        <x:v>0</x:v>
      </x:c>
      <x:c r="I1502" s="11" t="n">
        <x:v>0</x:v>
      </x:c>
      <x:c r="J1502" s="11" t="n">
        <x:v>0</x:v>
      </x:c>
      <x:c r="K1502" s="11" t="n">
        <x:v>1</x:v>
      </x:c>
      <x:c r="L1502" s="11" t="n">
        <x:f>IF(B1502="NED",1,IF(OR(B1502="ED",B1502="UN"),0,""))</x:f>
        <x:v>0</x:v>
      </x:c>
      <x:c r="M1502" s="11" t="n">
        <x:f>IF(AND(K1502=1,OR(B1502="ED",B1502="NED")),1,0)</x:f>
        <x:v>1</x:v>
      </x:c>
      <x:c r="N1502" s="11" t="n">
        <x:f>IF(K1502=1,1,0)</x:f>
        <x:v>1</x:v>
      </x:c>
      <x:c r="O1502" s="12"/>
      <x:c r="P1502" s="11" t="n">
        <x:v>0</x:v>
      </x:c>
      <x:c r="Q1502" s="12" t="str">
        <x:v>AF-Q61553-F1-model_v6</x:v>
      </x:c>
      <x:c r="R1502" s="12" t="str">
        <x:v>ok</x:v>
      </x:c>
      <x:c r="S1502" s="11" t="n">
        <x:v>1061</x:v>
      </x:c>
      <x:c r="T1502" s="11" t="n">
        <x:v>493</x:v>
      </x:c>
    </x:row>
    <x:row r="1503" ht="23" customHeight="1">
      <x:c r="A1503" s="2" t="str">
        <x:v>Q61576</x:v>
      </x:c>
      <x:c r="B1503" s="2" t="str">
        <x:v>ED</x:v>
      </x:c>
      <x:c r="C1503" s="2" t="n">
        <x:v>1</x:v>
      </x:c>
      <x:c r="D1503" s="2" t="n">
        <x:v>1</x:v>
      </x:c>
      <x:c r="E1503" s="10" t="n">
        <x:v>89.19994836488812</x:v>
      </x:c>
      <x:c r="F1503" s="11" t="n">
        <x:v>581</x:v>
      </x:c>
      <x:c r="G1503" s="11" t="n">
        <x:v>0</x:v>
      </x:c>
      <x:c r="H1503" s="11" t="n">
        <x:v>0</x:v>
      </x:c>
      <x:c r="I1503" s="11" t="n">
        <x:v>0</x:v>
      </x:c>
      <x:c r="J1503" s="11" t="n">
        <x:v>0</x:v>
      </x:c>
      <x:c r="K1503" s="11" t="n">
        <x:v>1</x:v>
      </x:c>
      <x:c r="L1503" s="11" t="n">
        <x:f>IF(B1503="NED",1,IF(OR(B1503="ED",B1503="UN"),0,""))</x:f>
        <x:v>0</x:v>
      </x:c>
      <x:c r="M1503" s="11" t="n">
        <x:f>IF(AND(K1503=1,OR(B1503="ED",B1503="NED")),1,0)</x:f>
        <x:v>1</x:v>
      </x:c>
      <x:c r="N1503" s="11" t="n">
        <x:f>IF(K1503=1,1,0)</x:f>
        <x:v>1</x:v>
      </x:c>
      <x:c r="O1503" s="12"/>
      <x:c r="P1503" s="11" t="n">
        <x:v>0</x:v>
      </x:c>
      <x:c r="Q1503" s="12" t="str">
        <x:v>AF-Q61576-F1-model_v6</x:v>
      </x:c>
      <x:c r="R1503" s="12" t="str">
        <x:v>ok</x:v>
      </x:c>
      <x:c r="S1503" s="11" t="n">
        <x:v>1062</x:v>
      </x:c>
      <x:c r="T1503" s="11" t="n">
        <x:v>581</x:v>
      </x:c>
    </x:row>
    <x:row r="1504" ht="23" customHeight="1">
      <x:c r="A1504" s="2" t="str">
        <x:v>Q61578</x:v>
      </x:c>
      <x:c r="B1504" s="2" t="str">
        <x:v>ED</x:v>
      </x:c>
      <x:c r="C1504" s="2" t="n">
        <x:v>1</x:v>
      </x:c>
      <x:c r="D1504" s="2" t="n">
        <x:v>1</x:v>
      </x:c>
      <x:c r="E1504" s="10"/>
      <x:c r="F1504" s="11" t="n">
        <x:v>494</x:v>
      </x:c>
      <x:c r="G1504" s="11" t="n">
        <x:v>0</x:v>
      </x:c>
      <x:c r="H1504" s="11" t="n">
        <x:v>0</x:v>
      </x:c>
      <x:c r="I1504" s="11" t="n">
        <x:v>1</x:v>
      </x:c>
      <x:c r="J1504" s="11" t="n">
        <x:v>0</x:v>
      </x:c>
      <x:c r="K1504" s="11" t="n">
        <x:v>0</x:v>
      </x:c>
      <x:c r="L1504" s="11" t="n">
        <x:f>IF(B1504="NED",1,IF(OR(B1504="ED",B1504="UN"),0,""))</x:f>
        <x:v>0</x:v>
      </x:c>
      <x:c r="M1504" s="11" t="n">
        <x:f>IF(AND(K1504=1,OR(B1504="ED",B1504="NED")),1,0)</x:f>
        <x:v>0</x:v>
      </x:c>
      <x:c r="N1504" s="11" t="n">
        <x:f>IF(K1504=1,1,0)</x:f>
        <x:v>0</x:v>
      </x:c>
      <x:c r="O1504" s="12" t="str">
        <x:v>Exclude UniProt Membrane keyword</x:v>
      </x:c>
      <x:c r="P1504" s="11" t="n">
        <x:v>0</x:v>
      </x:c>
      <x:c r="Q1504" s="12" t="str">
        <x:v>AF-Q61578-F1-model_v6</x:v>
      </x:c>
      <x:c r="R1504" s="12" t="str">
        <x:v>ok</x:v>
      </x:c>
      <x:c r="S1504" s="11" t="n">
        <x:v>1063</x:v>
      </x:c>
      <x:c r="T1504" s="11" t="n">
        <x:v>494</x:v>
      </x:c>
    </x:row>
    <x:row r="1505" ht="23" customHeight="1">
      <x:c r="A1505" s="2" t="str">
        <x:v>Q61584-4</x:v>
      </x:c>
      <x:c r="B1505" s="2" t="str">
        <x:v>ED</x:v>
      </x:c>
      <x:c r="C1505" s="2"/>
      <x:c r="D1505" s="2"/>
      <x:c r="E1505" s="10"/>
      <x:c r="F1505" s="11"/>
      <x:c r="G1505" s="11" t="n">
        <x:v>0</x:v>
      </x:c>
      <x:c r="H1505" s="11" t="n">
        <x:v>0</x:v>
      </x:c>
      <x:c r="I1505" s="11"/>
      <x:c r="J1505" s="11"/>
      <x:c r="K1505" s="11" t="n">
        <x:v>0</x:v>
      </x:c>
      <x:c r="L1505" s="11" t="n">
        <x:f>IF(B1505="NED",1,IF(OR(B1505="ED",B1505="UN"),0,""))</x:f>
        <x:v>0</x:v>
      </x:c>
      <x:c r="M1505" s="11" t="n">
        <x:f>IF(AND(K1505=1,OR(B1505="ED",B1505="NED")),1,0)</x:f>
        <x:v>0</x:v>
      </x:c>
      <x:c r="N1505" s="11" t="n">
        <x:f>IF(K1505=1,1,0)</x:f>
        <x:v>0</x:v>
      </x:c>
      <x:c r="O1505" s="12" t="str">
        <x:v>Require exact native accession match</x:v>
      </x:c>
      <x:c r="P1505" s="11" t="n">
        <x:v>0</x:v>
      </x:c>
      <x:c r="Q1505" s="12"/>
      <x:c r="R1505" s="12"/>
      <x:c r="S1505" s="11" t="n">
        <x:v>1064</x:v>
      </x:c>
      <x:c r="T1505" s="11"/>
    </x:row>
    <x:row r="1506" ht="23" customHeight="1">
      <x:c r="A1506" s="2" t="str">
        <x:v>Q61586</x:v>
      </x:c>
      <x:c r="B1506" s="2" t="str">
        <x:v>UN</x:v>
      </x:c>
      <x:c r="C1506" s="2" t="n">
        <x:v>1</x:v>
      </x:c>
      <x:c r="D1506" s="2" t="n">
        <x:v>1</x:v>
      </x:c>
      <x:c r="E1506" s="10"/>
      <x:c r="F1506" s="11" t="n">
        <x:v>827</x:v>
      </x:c>
      <x:c r="G1506" s="11" t="n">
        <x:v>0</x:v>
      </x:c>
      <x:c r="H1506" s="11" t="n">
        <x:v>0</x:v>
      </x:c>
      <x:c r="I1506" s="11" t="n">
        <x:v>1</x:v>
      </x:c>
      <x:c r="J1506" s="11" t="n">
        <x:v>0</x:v>
      </x:c>
      <x:c r="K1506" s="11" t="n">
        <x:v>0</x:v>
      </x:c>
      <x:c r="L1506" s="11" t="n">
        <x:f>IF(B1506="NED",1,IF(OR(B1506="ED",B1506="UN"),0,""))</x:f>
        <x:v>0</x:v>
      </x:c>
      <x:c r="M1506" s="11" t="n">
        <x:f>IF(AND(K1506=1,OR(B1506="ED",B1506="NED")),1,0)</x:f>
        <x:v>0</x:v>
      </x:c>
      <x:c r="N1506" s="11" t="n">
        <x:f>IF(K1506=1,1,0)</x:f>
        <x:v>0</x:v>
      </x:c>
      <x:c r="O1506" s="12" t="str">
        <x:v>Exclude UniProt Membrane keyword</x:v>
      </x:c>
      <x:c r="P1506" s="11" t="n">
        <x:v>0</x:v>
      </x:c>
      <x:c r="Q1506" s="12" t="str">
        <x:v>AF-Q61586-F1-model_v6</x:v>
      </x:c>
      <x:c r="R1506" s="12" t="str">
        <x:v>ok</x:v>
      </x:c>
      <x:c r="S1506" s="11" t="n">
        <x:v>1065</x:v>
      </x:c>
      <x:c r="T1506" s="11" t="n">
        <x:v>827</x:v>
      </x:c>
    </x:row>
    <x:row r="1507" ht="23" customHeight="1">
      <x:c r="A1507" s="2" t="str">
        <x:v>Q61598</x:v>
      </x:c>
      <x:c r="B1507" s="2" t="str">
        <x:v>ED</x:v>
      </x:c>
      <x:c r="C1507" s="2" t="n">
        <x:v>1</x:v>
      </x:c>
      <x:c r="D1507" s="2" t="n">
        <x:v>1</x:v>
      </x:c>
      <x:c r="E1507" s="10"/>
      <x:c r="F1507" s="11" t="n">
        <x:v>445</x:v>
      </x:c>
      <x:c r="G1507" s="11" t="n">
        <x:v>0</x:v>
      </x:c>
      <x:c r="H1507" s="11" t="n">
        <x:v>0</x:v>
      </x:c>
      <x:c r="I1507" s="11" t="n">
        <x:v>1</x:v>
      </x:c>
      <x:c r="J1507" s="11" t="n">
        <x:v>0</x:v>
      </x:c>
      <x:c r="K1507" s="11" t="n">
        <x:v>0</x:v>
      </x:c>
      <x:c r="L1507" s="11" t="n">
        <x:f>IF(B1507="NED",1,IF(OR(B1507="ED",B1507="UN"),0,""))</x:f>
        <x:v>0</x:v>
      </x:c>
      <x:c r="M1507" s="11" t="n">
        <x:f>IF(AND(K1507=1,OR(B1507="ED",B1507="NED")),1,0)</x:f>
        <x:v>0</x:v>
      </x:c>
      <x:c r="N1507" s="11" t="n">
        <x:f>IF(K1507=1,1,0)</x:f>
        <x:v>0</x:v>
      </x:c>
      <x:c r="O1507" s="12" t="str">
        <x:v>Exclude UniProt Membrane keyword</x:v>
      </x:c>
      <x:c r="P1507" s="11" t="n">
        <x:v>0</x:v>
      </x:c>
      <x:c r="Q1507" s="12" t="str">
        <x:v>AF-Q61598-F1-model_v6</x:v>
      </x:c>
      <x:c r="R1507" s="12" t="str">
        <x:v>ok</x:v>
      </x:c>
      <x:c r="S1507" s="11" t="n">
        <x:v>1066</x:v>
      </x:c>
      <x:c r="T1507" s="11" t="n">
        <x:v>445</x:v>
      </x:c>
    </x:row>
    <x:row r="1508" ht="23" customHeight="1">
      <x:c r="A1508" s="2" t="str">
        <x:v>Q61599</x:v>
      </x:c>
      <x:c r="B1508" s="2" t="str">
        <x:v>UN</x:v>
      </x:c>
      <x:c r="C1508" s="2" t="n">
        <x:v>0</x:v>
      </x:c>
      <x:c r="D1508" s="2" t="n">
        <x:v>0</x:v>
      </x:c>
      <x:c r="E1508" s="10" t="n">
        <x:v>87.0736</x:v>
      </x:c>
      <x:c r="F1508" s="11" t="n">
        <x:v>200</x:v>
      </x:c>
      <x:c r="G1508" s="11" t="n">
        <x:v>0</x:v>
      </x:c>
      <x:c r="H1508" s="11" t="n">
        <x:v>0</x:v>
      </x:c>
      <x:c r="I1508" s="11" t="n">
        <x:v>0</x:v>
      </x:c>
      <x:c r="J1508" s="11" t="n">
        <x:v>0</x:v>
      </x:c>
      <x:c r="K1508" s="11" t="n">
        <x:v>1</x:v>
      </x:c>
      <x:c r="L1508" s="11" t="n">
        <x:f>IF(B1508="NED",1,IF(OR(B1508="ED",B1508="UN"),0,""))</x:f>
        <x:v>0</x:v>
      </x:c>
      <x:c r="M1508" s="11" t="n">
        <x:f>IF(AND(K1508=1,OR(B1508="ED",B1508="NED")),1,0)</x:f>
        <x:v>0</x:v>
      </x:c>
      <x:c r="N1508" s="11" t="n">
        <x:f>IF(K1508=1,1,0)</x:f>
        <x:v>1</x:v>
      </x:c>
      <x:c r="O1508" s="12"/>
      <x:c r="P1508" s="11" t="n">
        <x:v>0</x:v>
      </x:c>
      <x:c r="Q1508" s="12" t="str">
        <x:v>AF-Q61599-F1-model_v6</x:v>
      </x:c>
      <x:c r="R1508" s="12" t="str">
        <x:v>ok</x:v>
      </x:c>
      <x:c r="S1508" s="11" t="n">
        <x:v>1067</x:v>
      </x:c>
      <x:c r="T1508" s="11" t="n">
        <x:v>200</x:v>
      </x:c>
    </x:row>
    <x:row r="1509" ht="23" customHeight="1">
      <x:c r="A1509" s="2" t="str">
        <x:v>Q61624</x:v>
      </x:c>
      <x:c r="B1509" s="2" t="str">
        <x:v>UN</x:v>
      </x:c>
      <x:c r="C1509" s="2" t="n">
        <x:v>1</x:v>
      </x:c>
      <x:c r="D1509" s="2"/>
      <x:c r="E1509" s="10" t="n">
        <x:v>47.500226700251886</x:v>
      </x:c>
      <x:c r="F1509" s="11" t="n">
        <x:v>794</x:v>
      </x:c>
      <x:c r="G1509" s="11" t="n">
        <x:v>0</x:v>
      </x:c>
      <x:c r="H1509" s="11" t="n">
        <x:v>0</x:v>
      </x:c>
      <x:c r="I1509" s="11" t="n">
        <x:v>0</x:v>
      </x:c>
      <x:c r="J1509" s="11" t="n">
        <x:v>0</x:v>
      </x:c>
      <x:c r="K1509" s="11" t="n">
        <x:v>0</x:v>
      </x:c>
      <x:c r="L1509" s="11" t="n">
        <x:f>IF(B1509="NED",1,IF(OR(B1509="ED",B1509="UN"),0,""))</x:f>
        <x:v>0</x:v>
      </x:c>
      <x:c r="M1509" s="11" t="n">
        <x:f>IF(AND(K1509=1,OR(B1509="ED",B1509="NED")),1,0)</x:f>
        <x:v>0</x:v>
      </x:c>
      <x:c r="N1509" s="11" t="n">
        <x:f>IF(K1509=1,1,0)</x:f>
        <x:v>0</x:v>
      </x:c>
      <x:c r="O1509" s="12" t="str">
        <x:v>Retain protein mean pLDDT &gt;=70</x:v>
      </x:c>
      <x:c r="P1509" s="11" t="n">
        <x:v>0</x:v>
      </x:c>
      <x:c r="Q1509" s="12" t="str">
        <x:v>AF-Q61624-F1-model_v6</x:v>
      </x:c>
      <x:c r="R1509" s="12" t="str">
        <x:v>ok</x:v>
      </x:c>
      <x:c r="S1509" s="11" t="n">
        <x:v>1068</x:v>
      </x:c>
      <x:c r="T1509" s="11" t="n">
        <x:v>794</x:v>
      </x:c>
    </x:row>
    <x:row r="1510" ht="23" customHeight="1">
      <x:c r="A1510" s="2" t="str">
        <x:v>Q61656</x:v>
      </x:c>
      <x:c r="B1510" s="2" t="str">
        <x:v>ED</x:v>
      </x:c>
      <x:c r="C1510" s="2" t="n">
        <x:v>1</x:v>
      </x:c>
      <x:c r="D1510" s="2" t="n">
        <x:v>1</x:v>
      </x:c>
      <x:c r="E1510" s="10" t="n">
        <x:v>76.35346905537459</x:v>
      </x:c>
      <x:c r="F1510" s="11" t="n">
        <x:v>614</x:v>
      </x:c>
      <x:c r="G1510" s="11" t="n">
        <x:v>0</x:v>
      </x:c>
      <x:c r="H1510" s="11" t="n">
        <x:v>0</x:v>
      </x:c>
      <x:c r="I1510" s="11" t="n">
        <x:v>0</x:v>
      </x:c>
      <x:c r="J1510" s="11" t="n">
        <x:v>0</x:v>
      </x:c>
      <x:c r="K1510" s="11" t="n">
        <x:v>1</x:v>
      </x:c>
      <x:c r="L1510" s="11" t="n">
        <x:f>IF(B1510="NED",1,IF(OR(B1510="ED",B1510="UN"),0,""))</x:f>
        <x:v>0</x:v>
      </x:c>
      <x:c r="M1510" s="11" t="n">
        <x:f>IF(AND(K1510=1,OR(B1510="ED",B1510="NED")),1,0)</x:f>
        <x:v>1</x:v>
      </x:c>
      <x:c r="N1510" s="11" t="n">
        <x:f>IF(K1510=1,1,0)</x:f>
        <x:v>1</x:v>
      </x:c>
      <x:c r="O1510" s="12"/>
      <x:c r="P1510" s="11" t="n">
        <x:v>0</x:v>
      </x:c>
      <x:c r="Q1510" s="12" t="str">
        <x:v>AF-Q61656-F1-model_v6</x:v>
      </x:c>
      <x:c r="R1510" s="12" t="str">
        <x:v>ok</x:v>
      </x:c>
      <x:c r="S1510" s="11" t="n">
        <x:v>1069</x:v>
      </x:c>
      <x:c r="T1510" s="11" t="n">
        <x:v>614</x:v>
      </x:c>
    </x:row>
    <x:row r="1511" ht="23" customHeight="1">
      <x:c r="A1511" s="2" t="str">
        <x:v>Q61686</x:v>
      </x:c>
      <x:c r="B1511" s="2" t="str">
        <x:v>UN</x:v>
      </x:c>
      <x:c r="C1511" s="2" t="n">
        <x:v>1</x:v>
      </x:c>
      <x:c r="D1511" s="2" t="n">
        <x:v>1</x:v>
      </x:c>
      <x:c r="E1511" s="10" t="n">
        <x:v>76.07984293193718</x:v>
      </x:c>
      <x:c r="F1511" s="11" t="n">
        <x:v>191</x:v>
      </x:c>
      <x:c r="G1511" s="11" t="n">
        <x:v>0</x:v>
      </x:c>
      <x:c r="H1511" s="11" t="n">
        <x:v>0</x:v>
      </x:c>
      <x:c r="I1511" s="11" t="n">
        <x:v>0</x:v>
      </x:c>
      <x:c r="J1511" s="11" t="n">
        <x:v>0</x:v>
      </x:c>
      <x:c r="K1511" s="11" t="n">
        <x:v>1</x:v>
      </x:c>
      <x:c r="L1511" s="11" t="n">
        <x:f>IF(B1511="NED",1,IF(OR(B1511="ED",B1511="UN"),0,""))</x:f>
        <x:v>0</x:v>
      </x:c>
      <x:c r="M1511" s="11" t="n">
        <x:f>IF(AND(K1511=1,OR(B1511="ED",B1511="NED")),1,0)</x:f>
        <x:v>0</x:v>
      </x:c>
      <x:c r="N1511" s="11" t="n">
        <x:f>IF(K1511=1,1,0)</x:f>
        <x:v>1</x:v>
      </x:c>
      <x:c r="O1511" s="12"/>
      <x:c r="P1511" s="11" t="n">
        <x:v>0</x:v>
      </x:c>
      <x:c r="Q1511" s="12" t="str">
        <x:v>AF-Q61686-F1-model_v6</x:v>
      </x:c>
      <x:c r="R1511" s="12" t="str">
        <x:v>ok</x:v>
      </x:c>
      <x:c r="S1511" s="11" t="n">
        <x:v>1070</x:v>
      </x:c>
      <x:c r="T1511" s="11" t="n">
        <x:v>191</x:v>
      </x:c>
    </x:row>
    <x:row r="1512" ht="23" customHeight="1">
      <x:c r="A1512" s="2" t="str">
        <x:v>Q61687</x:v>
      </x:c>
      <x:c r="B1512" s="2" t="str">
        <x:v>UN</x:v>
      </x:c>
      <x:c r="C1512" s="2" t="n">
        <x:v>1</x:v>
      </x:c>
      <x:c r="D1512" s="2" t="n">
        <x:v>1</x:v>
      </x:c>
      <x:c r="E1512" s="10"/>
      <x:c r="F1512" s="11" t="n">
        <x:v>2476</x:v>
      </x:c>
      <x:c r="G1512" s="11" t="n">
        <x:v>1</x:v>
      </x:c>
      <x:c r="H1512" s="11" t="n">
        <x:v>0</x:v>
      </x:c>
      <x:c r="I1512" s="11" t="n">
        <x:v>0</x:v>
      </x:c>
      <x:c r="J1512" s="11" t="n">
        <x:v>0</x:v>
      </x:c>
      <x:c r="K1512" s="11" t="n">
        <x:v>0</x:v>
      </x:c>
      <x:c r="L1512" s="11" t="n">
        <x:f>IF(B1512="NED",1,IF(OR(B1512="ED",B1512="UN"),0,""))</x:f>
        <x:v>0</x:v>
      </x:c>
      <x:c r="M1512" s="11" t="n">
        <x:f>IF(AND(K1512=1,OR(B1512="ED",B1512="NED")),1,0)</x:f>
        <x:v>0</x:v>
      </x:c>
      <x:c r="N1512" s="11" t="n">
        <x:f>IF(K1512=1,1,0)</x:f>
        <x:v>0</x:v>
      </x:c>
      <x:c r="O1512" s="12" t="str">
        <x:v>Exclude supplied knotted proteins</x:v>
      </x:c>
      <x:c r="P1512" s="11" t="n">
        <x:v>0</x:v>
      </x:c>
      <x:c r="Q1512" s="12" t="str">
        <x:v>AF-Q61687-F1-model_v6</x:v>
      </x:c>
      <x:c r="R1512" s="12" t="str">
        <x:v>ok</x:v>
      </x:c>
      <x:c r="S1512" s="11" t="n">
        <x:v>1071</x:v>
      </x:c>
      <x:c r="T1512" s="11" t="n">
        <x:v>2476</x:v>
      </x:c>
    </x:row>
    <x:row r="1513" ht="23" customHeight="1">
      <x:c r="A1513" s="2" t="str">
        <x:v>Q61699</x:v>
      </x:c>
      <x:c r="B1513" s="2" t="str">
        <x:v>ED</x:v>
      </x:c>
      <x:c r="C1513" s="2" t="n">
        <x:v>1</x:v>
      </x:c>
      <x:c r="D1513" s="2" t="n">
        <x:v>1</x:v>
      </x:c>
      <x:c r="E1513" s="10" t="n">
        <x:v>84.92307692307692</x:v>
      </x:c>
      <x:c r="F1513" s="11" t="n">
        <x:v>858</x:v>
      </x:c>
      <x:c r="G1513" s="11" t="n">
        <x:v>0</x:v>
      </x:c>
      <x:c r="H1513" s="11" t="n">
        <x:v>0</x:v>
      </x:c>
      <x:c r="I1513" s="11" t="n">
        <x:v>0</x:v>
      </x:c>
      <x:c r="J1513" s="11" t="n">
        <x:v>0</x:v>
      </x:c>
      <x:c r="K1513" s="11" t="n">
        <x:v>1</x:v>
      </x:c>
      <x:c r="L1513" s="11" t="n">
        <x:f>IF(B1513="NED",1,IF(OR(B1513="ED",B1513="UN"),0,""))</x:f>
        <x:v>0</x:v>
      </x:c>
      <x:c r="M1513" s="11" t="n">
        <x:f>IF(AND(K1513=1,OR(B1513="ED",B1513="NED")),1,0)</x:f>
        <x:v>1</x:v>
      </x:c>
      <x:c r="N1513" s="11" t="n">
        <x:f>IF(K1513=1,1,0)</x:f>
        <x:v>1</x:v>
      </x:c>
      <x:c r="O1513" s="12"/>
      <x:c r="P1513" s="11" t="n">
        <x:v>0</x:v>
      </x:c>
      <x:c r="Q1513" s="12" t="str">
        <x:v>AF-Q61699-F1-model_v6</x:v>
      </x:c>
      <x:c r="R1513" s="12" t="str">
        <x:v>ok</x:v>
      </x:c>
      <x:c r="S1513" s="11" t="n">
        <x:v>1072</x:v>
      </x:c>
      <x:c r="T1513" s="11" t="n">
        <x:v>858</x:v>
      </x:c>
    </x:row>
    <x:row r="1514" ht="23" customHeight="1">
      <x:c r="A1514" s="2" t="str">
        <x:v>Q61712</x:v>
      </x:c>
      <x:c r="B1514" s="2" t="str">
        <x:v>UN</x:v>
      </x:c>
      <x:c r="C1514" s="2" t="n">
        <x:v>1</x:v>
      </x:c>
      <x:c r="D1514" s="2"/>
      <x:c r="E1514" s="10"/>
      <x:c r="F1514" s="11" t="n">
        <x:v>552</x:v>
      </x:c>
      <x:c r="G1514" s="11" t="n">
        <x:v>0</x:v>
      </x:c>
      <x:c r="H1514" s="11" t="n">
        <x:v>0</x:v>
      </x:c>
      <x:c r="I1514" s="11" t="n">
        <x:v>1</x:v>
      </x:c>
      <x:c r="J1514" s="11" t="n">
        <x:v>0</x:v>
      </x:c>
      <x:c r="K1514" s="11" t="n">
        <x:v>0</x:v>
      </x:c>
      <x:c r="L1514" s="11" t="n">
        <x:f>IF(B1514="NED",1,IF(OR(B1514="ED",B1514="UN"),0,""))</x:f>
        <x:v>0</x:v>
      </x:c>
      <x:c r="M1514" s="11" t="n">
        <x:f>IF(AND(K1514=1,OR(B1514="ED",B1514="NED")),1,0)</x:f>
        <x:v>0</x:v>
      </x:c>
      <x:c r="N1514" s="11" t="n">
        <x:f>IF(K1514=1,1,0)</x:f>
        <x:v>0</x:v>
      </x:c>
      <x:c r="O1514" s="12" t="str">
        <x:v>Exclude UniProt Membrane keyword</x:v>
      </x:c>
      <x:c r="P1514" s="11" t="n">
        <x:v>0</x:v>
      </x:c>
      <x:c r="Q1514" s="12" t="str">
        <x:v>AF-Q61712-F1-model_v6</x:v>
      </x:c>
      <x:c r="R1514" s="12" t="str">
        <x:v>ok</x:v>
      </x:c>
      <x:c r="S1514" s="11" t="n">
        <x:v>1073</x:v>
      </x:c>
      <x:c r="T1514" s="11" t="n">
        <x:v>552</x:v>
      </x:c>
    </x:row>
    <x:row r="1515" ht="23" customHeight="1">
      <x:c r="A1515" s="2" t="str">
        <x:v>Q61735</x:v>
      </x:c>
      <x:c r="B1515" s="2" t="str">
        <x:v>UN</x:v>
      </x:c>
      <x:c r="C1515" s="2" t="n">
        <x:v>0</x:v>
      </x:c>
      <x:c r="D1515" s="2" t="n">
        <x:v>0</x:v>
      </x:c>
      <x:c r="E1515" s="10"/>
      <x:c r="F1515" s="11" t="n">
        <x:v>303</x:v>
      </x:c>
      <x:c r="G1515" s="11" t="n">
        <x:v>0</x:v>
      </x:c>
      <x:c r="H1515" s="11" t="n">
        <x:v>0</x:v>
      </x:c>
      <x:c r="I1515" s="11" t="n">
        <x:v>1</x:v>
      </x:c>
      <x:c r="J1515" s="11" t="n">
        <x:v>0</x:v>
      </x:c>
      <x:c r="K1515" s="11" t="n">
        <x:v>0</x:v>
      </x:c>
      <x:c r="L1515" s="11" t="n">
        <x:f>IF(B1515="NED",1,IF(OR(B1515="ED",B1515="UN"),0,""))</x:f>
        <x:v>0</x:v>
      </x:c>
      <x:c r="M1515" s="11" t="n">
        <x:f>IF(AND(K1515=1,OR(B1515="ED",B1515="NED")),1,0)</x:f>
        <x:v>0</x:v>
      </x:c>
      <x:c r="N1515" s="11" t="n">
        <x:f>IF(K1515=1,1,0)</x:f>
        <x:v>0</x:v>
      </x:c>
      <x:c r="O1515" s="12" t="str">
        <x:v>Exclude UniProt Membrane keyword</x:v>
      </x:c>
      <x:c r="P1515" s="11" t="n">
        <x:v>0</x:v>
      </x:c>
      <x:c r="Q1515" s="12" t="str">
        <x:v>AF-Q61735-F1-model_v6</x:v>
      </x:c>
      <x:c r="R1515" s="12" t="str">
        <x:v>ok</x:v>
      </x:c>
      <x:c r="S1515" s="11" t="n">
        <x:v>1074</x:v>
      </x:c>
      <x:c r="T1515" s="11" t="n">
        <x:v>303</x:v>
      </x:c>
    </x:row>
    <x:row r="1516" ht="23" customHeight="1">
      <x:c r="A1516" s="2" t="str">
        <x:v>Q61749</x:v>
      </x:c>
      <x:c r="B1516" s="2" t="str">
        <x:v>UN</x:v>
      </x:c>
      <x:c r="C1516" s="2" t="n">
        <x:v>1</x:v>
      </x:c>
      <x:c r="D1516" s="2" t="n">
        <x:v>1</x:v>
      </x:c>
      <x:c r="E1516" s="10" t="n">
        <x:v>78.6680534351145</x:v>
      </x:c>
      <x:c r="F1516" s="11" t="n">
        <x:v>524</x:v>
      </x:c>
      <x:c r="G1516" s="11" t="n">
        <x:v>0</x:v>
      </x:c>
      <x:c r="H1516" s="11" t="n">
        <x:v>0</x:v>
      </x:c>
      <x:c r="I1516" s="11" t="n">
        <x:v>0</x:v>
      </x:c>
      <x:c r="J1516" s="11" t="n">
        <x:v>0</x:v>
      </x:c>
      <x:c r="K1516" s="11" t="n">
        <x:v>1</x:v>
      </x:c>
      <x:c r="L1516" s="11" t="n">
        <x:f>IF(B1516="NED",1,IF(OR(B1516="ED",B1516="UN"),0,""))</x:f>
        <x:v>0</x:v>
      </x:c>
      <x:c r="M1516" s="11" t="n">
        <x:f>IF(AND(K1516=1,OR(B1516="ED",B1516="NED")),1,0)</x:f>
        <x:v>0</x:v>
      </x:c>
      <x:c r="N1516" s="11" t="n">
        <x:f>IF(K1516=1,1,0)</x:f>
        <x:v>1</x:v>
      </x:c>
      <x:c r="O1516" s="12"/>
      <x:c r="P1516" s="11" t="n">
        <x:v>0</x:v>
      </x:c>
      <x:c r="Q1516" s="12" t="str">
        <x:v>AF-Q61749-F1-model_v6</x:v>
      </x:c>
      <x:c r="R1516" s="12" t="str">
        <x:v>ok</x:v>
      </x:c>
      <x:c r="S1516" s="11" t="n">
        <x:v>1075</x:v>
      </x:c>
      <x:c r="T1516" s="11" t="n">
        <x:v>524</x:v>
      </x:c>
    </x:row>
    <x:row r="1517" ht="23" customHeight="1">
      <x:c r="A1517" s="2" t="str">
        <x:v>Q61753</x:v>
      </x:c>
      <x:c r="B1517" s="2" t="str">
        <x:v>UN</x:v>
      </x:c>
      <x:c r="C1517" s="2" t="n">
        <x:v>1</x:v>
      </x:c>
      <x:c r="D1517" s="2" t="n">
        <x:v>1</x:v>
      </x:c>
      <x:c r="E1517" s="10" t="n">
        <x:v>93.02949343339588</x:v>
      </x:c>
      <x:c r="F1517" s="11" t="n">
        <x:v>533</x:v>
      </x:c>
      <x:c r="G1517" s="11" t="n">
        <x:v>0</x:v>
      </x:c>
      <x:c r="H1517" s="11" t="n">
        <x:v>0</x:v>
      </x:c>
      <x:c r="I1517" s="11" t="n">
        <x:v>0</x:v>
      </x:c>
      <x:c r="J1517" s="11" t="n">
        <x:v>0</x:v>
      </x:c>
      <x:c r="K1517" s="11" t="n">
        <x:v>1</x:v>
      </x:c>
      <x:c r="L1517" s="11" t="n">
        <x:f>IF(B1517="NED",1,IF(OR(B1517="ED",B1517="UN"),0,""))</x:f>
        <x:v>0</x:v>
      </x:c>
      <x:c r="M1517" s="11" t="n">
        <x:f>IF(AND(K1517=1,OR(B1517="ED",B1517="NED")),1,0)</x:f>
        <x:v>0</x:v>
      </x:c>
      <x:c r="N1517" s="11" t="n">
        <x:f>IF(K1517=1,1,0)</x:f>
        <x:v>1</x:v>
      </x:c>
      <x:c r="O1517" s="12"/>
      <x:c r="P1517" s="11" t="n">
        <x:v>0</x:v>
      </x:c>
      <x:c r="Q1517" s="12" t="str">
        <x:v>AF-Q61753-F1-model_v6</x:v>
      </x:c>
      <x:c r="R1517" s="12" t="str">
        <x:v>ok</x:v>
      </x:c>
      <x:c r="S1517" s="11" t="n">
        <x:v>1076</x:v>
      </x:c>
      <x:c r="T1517" s="11" t="n">
        <x:v>533</x:v>
      </x:c>
    </x:row>
    <x:row r="1518" ht="23" customHeight="1">
      <x:c r="A1518" s="2" t="str">
        <x:v>Q61768</x:v>
      </x:c>
      <x:c r="B1518" s="2" t="str">
        <x:v>ED</x:v>
      </x:c>
      <x:c r="C1518" s="2" t="n">
        <x:v>1</x:v>
      </x:c>
      <x:c r="D1518" s="2" t="n">
        <x:v>1</x:v>
      </x:c>
      <x:c r="E1518" s="10"/>
      <x:c r="F1518" s="11" t="n">
        <x:v>963</x:v>
      </x:c>
      <x:c r="G1518" s="11" t="n">
        <x:v>0</x:v>
      </x:c>
      <x:c r="H1518" s="11" t="n">
        <x:v>0</x:v>
      </x:c>
      <x:c r="I1518" s="11" t="n">
        <x:v>1</x:v>
      </x:c>
      <x:c r="J1518" s="11" t="n">
        <x:v>0</x:v>
      </x:c>
      <x:c r="K1518" s="11" t="n">
        <x:v>0</x:v>
      </x:c>
      <x:c r="L1518" s="11" t="n">
        <x:f>IF(B1518="NED",1,IF(OR(B1518="ED",B1518="UN"),0,""))</x:f>
        <x:v>0</x:v>
      </x:c>
      <x:c r="M1518" s="11" t="n">
        <x:f>IF(AND(K1518=1,OR(B1518="ED",B1518="NED")),1,0)</x:f>
        <x:v>0</x:v>
      </x:c>
      <x:c r="N1518" s="11" t="n">
        <x:f>IF(K1518=1,1,0)</x:f>
        <x:v>0</x:v>
      </x:c>
      <x:c r="O1518" s="12" t="str">
        <x:v>Exclude UniProt Membrane keyword</x:v>
      </x:c>
      <x:c r="P1518" s="11" t="n">
        <x:v>0</x:v>
      </x:c>
      <x:c r="Q1518" s="12" t="str">
        <x:v>AF-Q61768-F1-model_v6</x:v>
      </x:c>
      <x:c r="R1518" s="12" t="str">
        <x:v>ok</x:v>
      </x:c>
      <x:c r="S1518" s="11" t="n">
        <x:v>1077</x:v>
      </x:c>
      <x:c r="T1518" s="11" t="n">
        <x:v>963</x:v>
      </x:c>
    </x:row>
    <x:row r="1519" ht="23" customHeight="1">
      <x:c r="A1519" s="2" t="str">
        <x:v>Q61771</x:v>
      </x:c>
      <x:c r="B1519" s="2" t="str">
        <x:v>ED</x:v>
      </x:c>
      <x:c r="C1519" s="2" t="n">
        <x:v>1</x:v>
      </x:c>
      <x:c r="D1519" s="2" t="n">
        <x:v>1</x:v>
      </x:c>
      <x:c r="E1519" s="10" t="n">
        <x:v>75.14682730923695</x:v>
      </x:c>
      <x:c r="F1519" s="11" t="n">
        <x:v>747</x:v>
      </x:c>
      <x:c r="G1519" s="11" t="n">
        <x:v>0</x:v>
      </x:c>
      <x:c r="H1519" s="11" t="n">
        <x:v>0</x:v>
      </x:c>
      <x:c r="I1519" s="11" t="n">
        <x:v>0</x:v>
      </x:c>
      <x:c r="J1519" s="11" t="n">
        <x:v>0</x:v>
      </x:c>
      <x:c r="K1519" s="11" t="n">
        <x:v>1</x:v>
      </x:c>
      <x:c r="L1519" s="11" t="n">
        <x:f>IF(B1519="NED",1,IF(OR(B1519="ED",B1519="UN"),0,""))</x:f>
        <x:v>0</x:v>
      </x:c>
      <x:c r="M1519" s="11" t="n">
        <x:f>IF(AND(K1519=1,OR(B1519="ED",B1519="NED")),1,0)</x:f>
        <x:v>1</x:v>
      </x:c>
      <x:c r="N1519" s="11" t="n">
        <x:f>IF(K1519=1,1,0)</x:f>
        <x:v>1</x:v>
      </x:c>
      <x:c r="O1519" s="12"/>
      <x:c r="P1519" s="11" t="n">
        <x:v>0</x:v>
      </x:c>
      <x:c r="Q1519" s="12" t="str">
        <x:v>AF-Q61771-F1-model_v6</x:v>
      </x:c>
      <x:c r="R1519" s="12" t="str">
        <x:v>ok</x:v>
      </x:c>
      <x:c r="S1519" s="11" t="n">
        <x:v>1078</x:v>
      </x:c>
      <x:c r="T1519" s="11" t="n">
        <x:v>747</x:v>
      </x:c>
    </x:row>
    <x:row r="1520" ht="23" customHeight="1">
      <x:c r="A1520" s="2" t="str">
        <x:v>Q61846</x:v>
      </x:c>
      <x:c r="B1520" s="2" t="str">
        <x:v>ED</x:v>
      </x:c>
      <x:c r="C1520" s="2" t="n">
        <x:v>1</x:v>
      </x:c>
      <x:c r="D1520" s="2" t="n">
        <x:v>1</x:v>
      </x:c>
      <x:c r="E1520" s="10"/>
      <x:c r="F1520" s="11" t="n">
        <x:v>643</x:v>
      </x:c>
      <x:c r="G1520" s="11" t="n">
        <x:v>0</x:v>
      </x:c>
      <x:c r="H1520" s="11" t="n">
        <x:v>0</x:v>
      </x:c>
      <x:c r="I1520" s="11" t="n">
        <x:v>1</x:v>
      </x:c>
      <x:c r="J1520" s="11" t="n">
        <x:v>0</x:v>
      </x:c>
      <x:c r="K1520" s="11" t="n">
        <x:v>0</x:v>
      </x:c>
      <x:c r="L1520" s="11" t="n">
        <x:f>IF(B1520="NED",1,IF(OR(B1520="ED",B1520="UN"),0,""))</x:f>
        <x:v>0</x:v>
      </x:c>
      <x:c r="M1520" s="11" t="n">
        <x:f>IF(AND(K1520=1,OR(B1520="ED",B1520="NED")),1,0)</x:f>
        <x:v>0</x:v>
      </x:c>
      <x:c r="N1520" s="11" t="n">
        <x:f>IF(K1520=1,1,0)</x:f>
        <x:v>0</x:v>
      </x:c>
      <x:c r="O1520" s="12" t="str">
        <x:v>Exclude UniProt Membrane keyword</x:v>
      </x:c>
      <x:c r="P1520" s="11" t="n">
        <x:v>0</x:v>
      </x:c>
      <x:c r="Q1520" s="12" t="str">
        <x:v>AF-Q61846-F1-model_v6</x:v>
      </x:c>
      <x:c r="R1520" s="12" t="str">
        <x:v>ok</x:v>
      </x:c>
      <x:c r="S1520" s="11" t="n">
        <x:v>1079</x:v>
      </x:c>
      <x:c r="T1520" s="11" t="n">
        <x:v>643</x:v>
      </x:c>
    </x:row>
    <x:row r="1521" ht="23" customHeight="1">
      <x:c r="A1521" s="2" t="str">
        <x:v>Q61879</x:v>
      </x:c>
      <x:c r="B1521" s="2" t="str">
        <x:v>ED</x:v>
      </x:c>
      <x:c r="C1521" s="2" t="n">
        <x:v>1</x:v>
      </x:c>
      <x:c r="D1521" s="2" t="n">
        <x:v>1</x:v>
      </x:c>
      <x:c r="E1521" s="10" t="n">
        <x:v>76.50727226720647</x:v>
      </x:c>
      <x:c r="F1521" s="11" t="n">
        <x:v>1976</x:v>
      </x:c>
      <x:c r="G1521" s="11" t="n">
        <x:v>0</x:v>
      </x:c>
      <x:c r="H1521" s="11" t="n">
        <x:v>0</x:v>
      </x:c>
      <x:c r="I1521" s="11" t="n">
        <x:v>0</x:v>
      </x:c>
      <x:c r="J1521" s="11" t="n">
        <x:v>0</x:v>
      </x:c>
      <x:c r="K1521" s="11" t="n">
        <x:v>1</x:v>
      </x:c>
      <x:c r="L1521" s="11" t="n">
        <x:f>IF(B1521="NED",1,IF(OR(B1521="ED",B1521="UN"),0,""))</x:f>
        <x:v>0</x:v>
      </x:c>
      <x:c r="M1521" s="11" t="n">
        <x:f>IF(AND(K1521=1,OR(B1521="ED",B1521="NED")),1,0)</x:f>
        <x:v>1</x:v>
      </x:c>
      <x:c r="N1521" s="11" t="n">
        <x:f>IF(K1521=1,1,0)</x:f>
        <x:v>1</x:v>
      </x:c>
      <x:c r="O1521" s="12"/>
      <x:c r="P1521" s="11" t="n">
        <x:v>0</x:v>
      </x:c>
      <x:c r="Q1521" s="12" t="str">
        <x:v>AF-Q61879-F1-model_v6</x:v>
      </x:c>
      <x:c r="R1521" s="12" t="str">
        <x:v>ok</x:v>
      </x:c>
      <x:c r="S1521" s="11" t="n">
        <x:v>1080</x:v>
      </x:c>
      <x:c r="T1521" s="11" t="n">
        <x:v>1976</x:v>
      </x:c>
    </x:row>
    <x:row r="1522" ht="23" customHeight="1">
      <x:c r="A1522" s="2" t="str">
        <x:v>Q61881</x:v>
      </x:c>
      <x:c r="B1522" s="2" t="str">
        <x:v>UN</x:v>
      </x:c>
      <x:c r="C1522" s="2" t="n">
        <x:v>1</x:v>
      </x:c>
      <x:c r="D1522" s="2" t="n">
        <x:v>1</x:v>
      </x:c>
      <x:c r="E1522" s="10" t="n">
        <x:v>81.33148817802503</x:v>
      </x:c>
      <x:c r="F1522" s="11" t="n">
        <x:v>719</x:v>
      </x:c>
      <x:c r="G1522" s="11" t="n">
        <x:v>0</x:v>
      </x:c>
      <x:c r="H1522" s="11" t="n">
        <x:v>0</x:v>
      </x:c>
      <x:c r="I1522" s="11" t="n">
        <x:v>0</x:v>
      </x:c>
      <x:c r="J1522" s="11" t="n">
        <x:v>0</x:v>
      </x:c>
      <x:c r="K1522" s="11" t="n">
        <x:v>1</x:v>
      </x:c>
      <x:c r="L1522" s="11" t="n">
        <x:f>IF(B1522="NED",1,IF(OR(B1522="ED",B1522="UN"),0,""))</x:f>
        <x:v>0</x:v>
      </x:c>
      <x:c r="M1522" s="11" t="n">
        <x:f>IF(AND(K1522=1,OR(B1522="ED",B1522="NED")),1,0)</x:f>
        <x:v>0</x:v>
      </x:c>
      <x:c r="N1522" s="11" t="n">
        <x:f>IF(K1522=1,1,0)</x:f>
        <x:v>1</x:v>
      </x:c>
      <x:c r="O1522" s="12"/>
      <x:c r="P1522" s="11" t="n">
        <x:v>0</x:v>
      </x:c>
      <x:c r="Q1522" s="12" t="str">
        <x:v>AF-Q61881-F1-model_v6</x:v>
      </x:c>
      <x:c r="R1522" s="12" t="str">
        <x:v>ok</x:v>
      </x:c>
      <x:c r="S1522" s="11" t="n">
        <x:v>1081</x:v>
      </x:c>
      <x:c r="T1522" s="11" t="n">
        <x:v>719</x:v>
      </x:c>
    </x:row>
    <x:row r="1523" ht="23" customHeight="1">
      <x:c r="A1523" s="2" t="str">
        <x:v>Q61937</x:v>
      </x:c>
      <x:c r="B1523" s="2" t="str">
        <x:v>ED</x:v>
      </x:c>
      <x:c r="C1523" s="2" t="n">
        <x:v>1</x:v>
      </x:c>
      <x:c r="D1523" s="2" t="n">
        <x:v>1</x:v>
      </x:c>
      <x:c r="E1523" s="10" t="n">
        <x:v>73.17198630136987</x:v>
      </x:c>
      <x:c r="F1523" s="11" t="n">
        <x:v>292</x:v>
      </x:c>
      <x:c r="G1523" s="11" t="n">
        <x:v>0</x:v>
      </x:c>
      <x:c r="H1523" s="11" t="n">
        <x:v>0</x:v>
      </x:c>
      <x:c r="I1523" s="11" t="n">
        <x:v>0</x:v>
      </x:c>
      <x:c r="J1523" s="11" t="n">
        <x:v>0</x:v>
      </x:c>
      <x:c r="K1523" s="11" t="n">
        <x:v>1</x:v>
      </x:c>
      <x:c r="L1523" s="11" t="n">
        <x:f>IF(B1523="NED",1,IF(OR(B1523="ED",B1523="UN"),0,""))</x:f>
        <x:v>0</x:v>
      </x:c>
      <x:c r="M1523" s="11" t="n">
        <x:f>IF(AND(K1523=1,OR(B1523="ED",B1523="NED")),1,0)</x:f>
        <x:v>1</x:v>
      </x:c>
      <x:c r="N1523" s="11" t="n">
        <x:f>IF(K1523=1,1,0)</x:f>
        <x:v>1</x:v>
      </x:c>
      <x:c r="O1523" s="12"/>
      <x:c r="P1523" s="11" t="n">
        <x:v>0</x:v>
      </x:c>
      <x:c r="Q1523" s="12" t="str">
        <x:v>AF-Q61937-F1-model_v6</x:v>
      </x:c>
      <x:c r="R1523" s="12" t="str">
        <x:v>ok</x:v>
      </x:c>
      <x:c r="S1523" s="11" t="n">
        <x:v>1082</x:v>
      </x:c>
      <x:c r="T1523" s="11" t="n">
        <x:v>292</x:v>
      </x:c>
    </x:row>
    <x:row r="1524" ht="23" customHeight="1">
      <x:c r="A1524" s="2" t="str">
        <x:v>Q61941</x:v>
      </x:c>
      <x:c r="B1524" s="2" t="str">
        <x:v>NED</x:v>
      </x:c>
      <x:c r="C1524" s="2" t="n">
        <x:v>1</x:v>
      </x:c>
      <x:c r="D1524" s="2" t="n">
        <x:v>1</x:v>
      </x:c>
      <x:c r="E1524" s="10"/>
      <x:c r="F1524" s="11" t="n">
        <x:v>1086</x:v>
      </x:c>
      <x:c r="G1524" s="11" t="n">
        <x:v>0</x:v>
      </x:c>
      <x:c r="H1524" s="11" t="n">
        <x:v>0</x:v>
      </x:c>
      <x:c r="I1524" s="11" t="n">
        <x:v>1</x:v>
      </x:c>
      <x:c r="J1524" s="11" t="n">
        <x:v>0</x:v>
      </x:c>
      <x:c r="K1524" s="11" t="n">
        <x:v>0</x:v>
      </x:c>
      <x:c r="L1524" s="11" t="n">
        <x:f>IF(B1524="NED",1,IF(OR(B1524="ED",B1524="UN"),0,""))</x:f>
        <x:v>1</x:v>
      </x:c>
      <x:c r="M1524" s="11" t="n">
        <x:f>IF(AND(K1524=1,OR(B1524="ED",B1524="NED")),1,0)</x:f>
        <x:v>0</x:v>
      </x:c>
      <x:c r="N1524" s="11" t="n">
        <x:f>IF(K1524=1,1,0)</x:f>
        <x:v>0</x:v>
      </x:c>
      <x:c r="O1524" s="12" t="str">
        <x:v>Exclude UniProt Membrane keyword</x:v>
      </x:c>
      <x:c r="P1524" s="11" t="n">
        <x:v>0</x:v>
      </x:c>
      <x:c r="Q1524" s="12" t="str">
        <x:v>AF-Q61941-F1-model_v6</x:v>
      </x:c>
      <x:c r="R1524" s="12" t="str">
        <x:v>ok</x:v>
      </x:c>
      <x:c r="S1524" s="11" t="n">
        <x:v>1083</x:v>
      </x:c>
      <x:c r="T1524" s="11" t="n">
        <x:v>1086</x:v>
      </x:c>
    </x:row>
    <x:row r="1525" ht="23" customHeight="1">
      <x:c r="A1525" s="2" t="str">
        <x:v>Q61990</x:v>
      </x:c>
      <x:c r="B1525" s="2" t="str">
        <x:v>UN</x:v>
      </x:c>
      <x:c r="C1525" s="2" t="n">
        <x:v>1</x:v>
      </x:c>
      <x:c r="D1525" s="2" t="n">
        <x:v>1</x:v>
      </x:c>
      <x:c r="E1525" s="10" t="n">
        <x:v>67.33292817679558</x:v>
      </x:c>
      <x:c r="F1525" s="11" t="n">
        <x:v>362</x:v>
      </x:c>
      <x:c r="G1525" s="11" t="n">
        <x:v>0</x:v>
      </x:c>
      <x:c r="H1525" s="11" t="n">
        <x:v>0</x:v>
      </x:c>
      <x:c r="I1525" s="11" t="n">
        <x:v>0</x:v>
      </x:c>
      <x:c r="J1525" s="11" t="n">
        <x:v>0</x:v>
      </x:c>
      <x:c r="K1525" s="11" t="n">
        <x:v>0</x:v>
      </x:c>
      <x:c r="L1525" s="11" t="n">
        <x:f>IF(B1525="NED",1,IF(OR(B1525="ED",B1525="UN"),0,""))</x:f>
        <x:v>0</x:v>
      </x:c>
      <x:c r="M1525" s="11" t="n">
        <x:f>IF(AND(K1525=1,OR(B1525="ED",B1525="NED")),1,0)</x:f>
        <x:v>0</x:v>
      </x:c>
      <x:c r="N1525" s="11" t="n">
        <x:f>IF(K1525=1,1,0)</x:f>
        <x:v>0</x:v>
      </x:c>
      <x:c r="O1525" s="12" t="str">
        <x:v>Retain protein mean pLDDT &gt;=70</x:v>
      </x:c>
      <x:c r="P1525" s="11" t="n">
        <x:v>0</x:v>
      </x:c>
      <x:c r="Q1525" s="12" t="str">
        <x:v>AF-Q61990-F1-model_v6</x:v>
      </x:c>
      <x:c r="R1525" s="12" t="str">
        <x:v>ok</x:v>
      </x:c>
      <x:c r="S1525" s="11" t="n">
        <x:v>1084</x:v>
      </x:c>
      <x:c r="T1525" s="11" t="n">
        <x:v>362</x:v>
      </x:c>
    </x:row>
    <x:row r="1526" ht="23" customHeight="1">
      <x:c r="A1526" s="2" t="str">
        <x:v>Q62018</x:v>
      </x:c>
      <x:c r="B1526" s="2" t="str">
        <x:v>UN</x:v>
      </x:c>
      <x:c r="C1526" s="2" t="n">
        <x:v>1</x:v>
      </x:c>
      <x:c r="D1526" s="2"/>
      <x:c r="E1526" s="10" t="n">
        <x:v>75.35564364876385</x:v>
      </x:c>
      <x:c r="F1526" s="11" t="n">
        <x:v>1173</x:v>
      </x:c>
      <x:c r="G1526" s="11" t="n">
        <x:v>0</x:v>
      </x:c>
      <x:c r="H1526" s="11" t="n">
        <x:v>0</x:v>
      </x:c>
      <x:c r="I1526" s="11" t="n">
        <x:v>0</x:v>
      </x:c>
      <x:c r="J1526" s="11" t="n">
        <x:v>0</x:v>
      </x:c>
      <x:c r="K1526" s="11" t="n">
        <x:v>1</x:v>
      </x:c>
      <x:c r="L1526" s="11" t="n">
        <x:f>IF(B1526="NED",1,IF(OR(B1526="ED",B1526="UN"),0,""))</x:f>
        <x:v>0</x:v>
      </x:c>
      <x:c r="M1526" s="11" t="n">
        <x:f>IF(AND(K1526=1,OR(B1526="ED",B1526="NED")),1,0)</x:f>
        <x:v>0</x:v>
      </x:c>
      <x:c r="N1526" s="11" t="n">
        <x:f>IF(K1526=1,1,0)</x:f>
        <x:v>1</x:v>
      </x:c>
      <x:c r="O1526" s="12"/>
      <x:c r="P1526" s="11" t="n">
        <x:v>0</x:v>
      </x:c>
      <x:c r="Q1526" s="12" t="str">
        <x:v>AF-Q62018-F1-model_v6</x:v>
      </x:c>
      <x:c r="R1526" s="12" t="str">
        <x:v>ok</x:v>
      </x:c>
      <x:c r="S1526" s="11" t="n">
        <x:v>1085</x:v>
      </x:c>
      <x:c r="T1526" s="11" t="n">
        <x:v>1173</x:v>
      </x:c>
    </x:row>
    <x:row r="1527" ht="23" customHeight="1">
      <x:c r="A1527" s="2" t="str">
        <x:v>Q62074</x:v>
      </x:c>
      <x:c r="B1527" s="2" t="str">
        <x:v>ED</x:v>
      </x:c>
      <x:c r="C1527" s="2" t="n">
        <x:v>1</x:v>
      </x:c>
      <x:c r="D1527" s="2" t="n">
        <x:v>1</x:v>
      </x:c>
      <x:c r="E1527" s="10"/>
      <x:c r="F1527" s="11" t="n">
        <x:v>595</x:v>
      </x:c>
      <x:c r="G1527" s="11" t="n">
        <x:v>0</x:v>
      </x:c>
      <x:c r="H1527" s="11" t="n">
        <x:v>0</x:v>
      </x:c>
      <x:c r="I1527" s="11" t="n">
        <x:v>1</x:v>
      </x:c>
      <x:c r="J1527" s="11" t="n">
        <x:v>0</x:v>
      </x:c>
      <x:c r="K1527" s="11" t="n">
        <x:v>0</x:v>
      </x:c>
      <x:c r="L1527" s="11" t="n">
        <x:f>IF(B1527="NED",1,IF(OR(B1527="ED",B1527="UN"),0,""))</x:f>
        <x:v>0</x:v>
      </x:c>
      <x:c r="M1527" s="11" t="n">
        <x:f>IF(AND(K1527=1,OR(B1527="ED",B1527="NED")),1,0)</x:f>
        <x:v>0</x:v>
      </x:c>
      <x:c r="N1527" s="11" t="n">
        <x:f>IF(K1527=1,1,0)</x:f>
        <x:v>0</x:v>
      </x:c>
      <x:c r="O1527" s="12" t="str">
        <x:v>Exclude UniProt Membrane keyword</x:v>
      </x:c>
      <x:c r="P1527" s="11" t="n">
        <x:v>0</x:v>
      </x:c>
      <x:c r="Q1527" s="12" t="str">
        <x:v>AF-Q62074-F1-model_v6</x:v>
      </x:c>
      <x:c r="R1527" s="12" t="str">
        <x:v>ok</x:v>
      </x:c>
      <x:c r="S1527" s="11" t="n">
        <x:v>1086</x:v>
      </x:c>
      <x:c r="T1527" s="11" t="n">
        <x:v>595</x:v>
      </x:c>
    </x:row>
    <x:row r="1528" ht="23" customHeight="1">
      <x:c r="A1528" s="2" t="str">
        <x:v>Q62093</x:v>
      </x:c>
      <x:c r="B1528" s="2" t="str">
        <x:v>ED</x:v>
      </x:c>
      <x:c r="C1528" s="2" t="n">
        <x:v>1</x:v>
      </x:c>
      <x:c r="D1528" s="2" t="n">
        <x:v>1</x:v>
      </x:c>
      <x:c r="E1528" s="10" t="n">
        <x:v>64.18733031674208</x:v>
      </x:c>
      <x:c r="F1528" s="11" t="n">
        <x:v>221</x:v>
      </x:c>
      <x:c r="G1528" s="11" t="n">
        <x:v>0</x:v>
      </x:c>
      <x:c r="H1528" s="11" t="n">
        <x:v>0</x:v>
      </x:c>
      <x:c r="I1528" s="11" t="n">
        <x:v>0</x:v>
      </x:c>
      <x:c r="J1528" s="11" t="n">
        <x:v>0</x:v>
      </x:c>
      <x:c r="K1528" s="11" t="n">
        <x:v>0</x:v>
      </x:c>
      <x:c r="L1528" s="11" t="n">
        <x:f>IF(B1528="NED",1,IF(OR(B1528="ED",B1528="UN"),0,""))</x:f>
        <x:v>0</x:v>
      </x:c>
      <x:c r="M1528" s="11" t="n">
        <x:f>IF(AND(K1528=1,OR(B1528="ED",B1528="NED")),1,0)</x:f>
        <x:v>0</x:v>
      </x:c>
      <x:c r="N1528" s="11" t="n">
        <x:f>IF(K1528=1,1,0)</x:f>
        <x:v>0</x:v>
      </x:c>
      <x:c r="O1528" s="12" t="str">
        <x:v>Retain protein mean pLDDT &gt;=70</x:v>
      </x:c>
      <x:c r="P1528" s="11" t="n">
        <x:v>0</x:v>
      </x:c>
      <x:c r="Q1528" s="12" t="str">
        <x:v>AF-Q62093-F1-model_v6</x:v>
      </x:c>
      <x:c r="R1528" s="12" t="str">
        <x:v>ok</x:v>
      </x:c>
      <x:c r="S1528" s="11" t="n">
        <x:v>1087</x:v>
      </x:c>
      <x:c r="T1528" s="11" t="n">
        <x:v>221</x:v>
      </x:c>
    </x:row>
    <x:row r="1529" ht="23" customHeight="1">
      <x:c r="A1529" s="2" t="str">
        <x:v>Q62095</x:v>
      </x:c>
      <x:c r="B1529" s="2" t="str">
        <x:v>ED</x:v>
      </x:c>
      <x:c r="C1529" s="2" t="n">
        <x:v>1</x:v>
      </x:c>
      <x:c r="D1529" s="2" t="n">
        <x:v>1</x:v>
      </x:c>
      <x:c r="E1529" s="10" t="n">
        <x:v>72.03545592705167</x:v>
      </x:c>
      <x:c r="F1529" s="11" t="n">
        <x:v>658</x:v>
      </x:c>
      <x:c r="G1529" s="11" t="n">
        <x:v>0</x:v>
      </x:c>
      <x:c r="H1529" s="11" t="n">
        <x:v>0</x:v>
      </x:c>
      <x:c r="I1529" s="11" t="n">
        <x:v>0</x:v>
      </x:c>
      <x:c r="J1529" s="11" t="n">
        <x:v>0</x:v>
      </x:c>
      <x:c r="K1529" s="11" t="n">
        <x:v>1</x:v>
      </x:c>
      <x:c r="L1529" s="11" t="n">
        <x:f>IF(B1529="NED",1,IF(OR(B1529="ED",B1529="UN"),0,""))</x:f>
        <x:v>0</x:v>
      </x:c>
      <x:c r="M1529" s="11" t="n">
        <x:f>IF(AND(K1529=1,OR(B1529="ED",B1529="NED")),1,0)</x:f>
        <x:v>1</x:v>
      </x:c>
      <x:c r="N1529" s="11" t="n">
        <x:f>IF(K1529=1,1,0)</x:f>
        <x:v>1</x:v>
      </x:c>
      <x:c r="O1529" s="12"/>
      <x:c r="P1529" s="11" t="n">
        <x:v>0</x:v>
      </x:c>
      <x:c r="Q1529" s="12" t="str">
        <x:v>AF-Q62095-F1-model_v6</x:v>
      </x:c>
      <x:c r="R1529" s="12" t="str">
        <x:v>ok</x:v>
      </x:c>
      <x:c r="S1529" s="11" t="n">
        <x:v>1088</x:v>
      </x:c>
      <x:c r="T1529" s="11" t="n">
        <x:v>658</x:v>
      </x:c>
    </x:row>
    <x:row r="1530" ht="23" customHeight="1">
      <x:c r="A1530" s="2" t="str">
        <x:v>Q62130</x:v>
      </x:c>
      <x:c r="B1530" s="2" t="str">
        <x:v>ED</x:v>
      </x:c>
      <x:c r="C1530" s="2" t="n">
        <x:v>1</x:v>
      </x:c>
      <x:c r="D1530" s="2" t="n">
        <x:v>1</x:v>
      </x:c>
      <x:c r="E1530" s="10" t="n">
        <x:v>62.52819175777965</x:v>
      </x:c>
      <x:c r="F1530" s="11" t="n">
        <x:v>1189</x:v>
      </x:c>
      <x:c r="G1530" s="11" t="n">
        <x:v>0</x:v>
      </x:c>
      <x:c r="H1530" s="11" t="n">
        <x:v>0</x:v>
      </x:c>
      <x:c r="I1530" s="11" t="n">
        <x:v>0</x:v>
      </x:c>
      <x:c r="J1530" s="11" t="n">
        <x:v>0</x:v>
      </x:c>
      <x:c r="K1530" s="11" t="n">
        <x:v>0</x:v>
      </x:c>
      <x:c r="L1530" s="11" t="n">
        <x:f>IF(B1530="NED",1,IF(OR(B1530="ED",B1530="UN"),0,""))</x:f>
        <x:v>0</x:v>
      </x:c>
      <x:c r="M1530" s="11" t="n">
        <x:f>IF(AND(K1530=1,OR(B1530="ED",B1530="NED")),1,0)</x:f>
        <x:v>0</x:v>
      </x:c>
      <x:c r="N1530" s="11" t="n">
        <x:f>IF(K1530=1,1,0)</x:f>
        <x:v>0</x:v>
      </x:c>
      <x:c r="O1530" s="12" t="str">
        <x:v>Retain protein mean pLDDT &gt;=70</x:v>
      </x:c>
      <x:c r="P1530" s="11" t="n">
        <x:v>0</x:v>
      </x:c>
      <x:c r="Q1530" s="12" t="str">
        <x:v>AF-Q62130-F1-model_v6</x:v>
      </x:c>
      <x:c r="R1530" s="12" t="str">
        <x:v>ok</x:v>
      </x:c>
      <x:c r="S1530" s="11" t="n">
        <x:v>1089</x:v>
      </x:c>
      <x:c r="T1530" s="11" t="n">
        <x:v>1189</x:v>
      </x:c>
    </x:row>
    <x:row r="1531" ht="23" customHeight="1">
      <x:c r="A1531" s="2" t="str">
        <x:v>Q62159</x:v>
      </x:c>
      <x:c r="B1531" s="2" t="str">
        <x:v>ED</x:v>
      </x:c>
      <x:c r="C1531" s="2" t="n">
        <x:v>1</x:v>
      </x:c>
      <x:c r="D1531" s="2" t="n">
        <x:v>1</x:v>
      </x:c>
      <x:c r="E1531" s="10"/>
      <x:c r="F1531" s="11" t="n">
        <x:v>193</x:v>
      </x:c>
      <x:c r="G1531" s="11" t="n">
        <x:v>0</x:v>
      </x:c>
      <x:c r="H1531" s="11" t="n">
        <x:v>0</x:v>
      </x:c>
      <x:c r="I1531" s="11" t="n">
        <x:v>1</x:v>
      </x:c>
      <x:c r="J1531" s="11" t="n">
        <x:v>0</x:v>
      </x:c>
      <x:c r="K1531" s="11" t="n">
        <x:v>0</x:v>
      </x:c>
      <x:c r="L1531" s="11" t="n">
        <x:f>IF(B1531="NED",1,IF(OR(B1531="ED",B1531="UN"),0,""))</x:f>
        <x:v>0</x:v>
      </x:c>
      <x:c r="M1531" s="11" t="n">
        <x:f>IF(AND(K1531=1,OR(B1531="ED",B1531="NED")),1,0)</x:f>
        <x:v>0</x:v>
      </x:c>
      <x:c r="N1531" s="11" t="n">
        <x:f>IF(K1531=1,1,0)</x:f>
        <x:v>0</x:v>
      </x:c>
      <x:c r="O1531" s="12" t="str">
        <x:v>Exclude UniProt Membrane keyword</x:v>
      </x:c>
      <x:c r="P1531" s="11" t="n">
        <x:v>0</x:v>
      </x:c>
      <x:c r="Q1531" s="12" t="str">
        <x:v>AF-Q62159-F1-model_v6</x:v>
      </x:c>
      <x:c r="R1531" s="12" t="str">
        <x:v>ok</x:v>
      </x:c>
      <x:c r="S1531" s="11" t="n">
        <x:v>1090</x:v>
      </x:c>
      <x:c r="T1531" s="11" t="n">
        <x:v>193</x:v>
      </x:c>
    </x:row>
    <x:row r="1532" ht="23" customHeight="1">
      <x:c r="A1532" s="2" t="str">
        <x:v>Q62165</x:v>
      </x:c>
      <x:c r="B1532" s="2" t="str">
        <x:v>UN</x:v>
      </x:c>
      <x:c r="C1532" s="2" t="n">
        <x:v>1</x:v>
      </x:c>
      <x:c r="D1532" s="2" t="n">
        <x:v>1</x:v>
      </x:c>
      <x:c r="E1532" s="10"/>
      <x:c r="F1532" s="11" t="n">
        <x:v>893</x:v>
      </x:c>
      <x:c r="G1532" s="11" t="n">
        <x:v>0</x:v>
      </x:c>
      <x:c r="H1532" s="11" t="n">
        <x:v>0</x:v>
      </x:c>
      <x:c r="I1532" s="11" t="n">
        <x:v>1</x:v>
      </x:c>
      <x:c r="J1532" s="11" t="n">
        <x:v>1</x:v>
      </x:c>
      <x:c r="K1532" s="11" t="n">
        <x:v>0</x:v>
      </x:c>
      <x:c r="L1532" s="11" t="n">
        <x:f>IF(B1532="NED",1,IF(OR(B1532="ED",B1532="UN"),0,""))</x:f>
        <x:v>0</x:v>
      </x:c>
      <x:c r="M1532" s="11" t="n">
        <x:f>IF(AND(K1532=1,OR(B1532="ED",B1532="NED")),1,0)</x:f>
        <x:v>0</x:v>
      </x:c>
      <x:c r="N1532" s="11" t="n">
        <x:f>IF(K1532=1,1,0)</x:f>
        <x:v>0</x:v>
      </x:c>
      <x:c r="O1532" s="12" t="str">
        <x:v>Exclude UniProt Membrane keyword</x:v>
      </x:c>
      <x:c r="P1532" s="11" t="n">
        <x:v>0</x:v>
      </x:c>
      <x:c r="Q1532" s="12" t="str">
        <x:v>AF-Q62165-F1-model_v6</x:v>
      </x:c>
      <x:c r="R1532" s="12" t="str">
        <x:v>ok</x:v>
      </x:c>
      <x:c r="S1532" s="11" t="n">
        <x:v>1091</x:v>
      </x:c>
      <x:c r="T1532" s="11" t="n">
        <x:v>893</x:v>
      </x:c>
    </x:row>
    <x:row r="1533" ht="23" customHeight="1">
      <x:c r="A1533" s="2" t="str">
        <x:v>Q62167</x:v>
      </x:c>
      <x:c r="B1533" s="2" t="str">
        <x:v>UN</x:v>
      </x:c>
      <x:c r="C1533" s="2" t="n">
        <x:v>1</x:v>
      </x:c>
      <x:c r="D1533" s="2" t="n">
        <x:v>1</x:v>
      </x:c>
      <x:c r="E1533" s="10"/>
      <x:c r="F1533" s="11" t="n">
        <x:v>662</x:v>
      </x:c>
      <x:c r="G1533" s="11" t="n">
        <x:v>0</x:v>
      </x:c>
      <x:c r="H1533" s="11" t="n">
        <x:v>0</x:v>
      </x:c>
      <x:c r="I1533" s="11" t="n">
        <x:v>1</x:v>
      </x:c>
      <x:c r="J1533" s="11" t="n">
        <x:v>0</x:v>
      </x:c>
      <x:c r="K1533" s="11" t="n">
        <x:v>0</x:v>
      </x:c>
      <x:c r="L1533" s="11" t="n">
        <x:f>IF(B1533="NED",1,IF(OR(B1533="ED",B1533="UN"),0,""))</x:f>
        <x:v>0</x:v>
      </x:c>
      <x:c r="M1533" s="11" t="n">
        <x:f>IF(AND(K1533=1,OR(B1533="ED",B1533="NED")),1,0)</x:f>
        <x:v>0</x:v>
      </x:c>
      <x:c r="N1533" s="11" t="n">
        <x:f>IF(K1533=1,1,0)</x:f>
        <x:v>0</x:v>
      </x:c>
      <x:c r="O1533" s="12" t="str">
        <x:v>Exclude UniProt Membrane keyword</x:v>
      </x:c>
      <x:c r="P1533" s="11" t="n">
        <x:v>0</x:v>
      </x:c>
      <x:c r="Q1533" s="12" t="str">
        <x:v>AF-Q62167-F1-model_v6</x:v>
      </x:c>
      <x:c r="R1533" s="12" t="str">
        <x:v>ok</x:v>
      </x:c>
      <x:c r="S1533" s="11" t="n">
        <x:v>1092</x:v>
      </x:c>
      <x:c r="T1533" s="11" t="n">
        <x:v>662</x:v>
      </x:c>
    </x:row>
    <x:row r="1534" ht="23" customHeight="1">
      <x:c r="A1534" s="2" t="str">
        <x:v>Q62176</x:v>
      </x:c>
      <x:c r="B1534" s="2" t="str">
        <x:v>ED</x:v>
      </x:c>
      <x:c r="C1534" s="2" t="n">
        <x:v>1</x:v>
      </x:c>
      <x:c r="D1534" s="2" t="n">
        <x:v>1</x:v>
      </x:c>
      <x:c r="E1534" s="10" t="n">
        <x:v>67.2637552742616</x:v>
      </x:c>
      <x:c r="F1534" s="11" t="n">
        <x:v>237</x:v>
      </x:c>
      <x:c r="G1534" s="11" t="n">
        <x:v>0</x:v>
      </x:c>
      <x:c r="H1534" s="11" t="n">
        <x:v>0</x:v>
      </x:c>
      <x:c r="I1534" s="11" t="n">
        <x:v>0</x:v>
      </x:c>
      <x:c r="J1534" s="11" t="n">
        <x:v>0</x:v>
      </x:c>
      <x:c r="K1534" s="11" t="n">
        <x:v>0</x:v>
      </x:c>
      <x:c r="L1534" s="11" t="n">
        <x:f>IF(B1534="NED",1,IF(OR(B1534="ED",B1534="UN"),0,""))</x:f>
        <x:v>0</x:v>
      </x:c>
      <x:c r="M1534" s="11" t="n">
        <x:f>IF(AND(K1534=1,OR(B1534="ED",B1534="NED")),1,0)</x:f>
        <x:v>0</x:v>
      </x:c>
      <x:c r="N1534" s="11" t="n">
        <x:f>IF(K1534=1,1,0)</x:f>
        <x:v>0</x:v>
      </x:c>
      <x:c r="O1534" s="12" t="str">
        <x:v>Retain protein mean pLDDT &gt;=70</x:v>
      </x:c>
      <x:c r="P1534" s="11" t="n">
        <x:v>0</x:v>
      </x:c>
      <x:c r="Q1534" s="12" t="str">
        <x:v>AF-Q62176-F1-model_v6</x:v>
      </x:c>
      <x:c r="R1534" s="12" t="str">
        <x:v>ok</x:v>
      </x:c>
      <x:c r="S1534" s="11" t="n">
        <x:v>1093</x:v>
      </x:c>
      <x:c r="T1534" s="11" t="n">
        <x:v>237</x:v>
      </x:c>
    </x:row>
    <x:row r="1535" ht="23" customHeight="1">
      <x:c r="A1535" s="2" t="str">
        <x:v>Q62186</x:v>
      </x:c>
      <x:c r="B1535" s="2" t="str">
        <x:v>ED</x:v>
      </x:c>
      <x:c r="C1535" s="2" t="n">
        <x:v>1</x:v>
      </x:c>
      <x:c r="D1535" s="2" t="n">
        <x:v>1</x:v>
      </x:c>
      <x:c r="E1535" s="10"/>
      <x:c r="F1535" s="11" t="n">
        <x:v>172</x:v>
      </x:c>
      <x:c r="G1535" s="11" t="n">
        <x:v>0</x:v>
      </x:c>
      <x:c r="H1535" s="11" t="n">
        <x:v>0</x:v>
      </x:c>
      <x:c r="I1535" s="11" t="n">
        <x:v>1</x:v>
      </x:c>
      <x:c r="J1535" s="11" t="n">
        <x:v>0</x:v>
      </x:c>
      <x:c r="K1535" s="11" t="n">
        <x:v>0</x:v>
      </x:c>
      <x:c r="L1535" s="11" t="n">
        <x:f>IF(B1535="NED",1,IF(OR(B1535="ED",B1535="UN"),0,""))</x:f>
        <x:v>0</x:v>
      </x:c>
      <x:c r="M1535" s="11" t="n">
        <x:f>IF(AND(K1535=1,OR(B1535="ED",B1535="NED")),1,0)</x:f>
        <x:v>0</x:v>
      </x:c>
      <x:c r="N1535" s="11" t="n">
        <x:f>IF(K1535=1,1,0)</x:f>
        <x:v>0</x:v>
      </x:c>
      <x:c r="O1535" s="12" t="str">
        <x:v>Exclude UniProt Membrane keyword</x:v>
      </x:c>
      <x:c r="P1535" s="11" t="n">
        <x:v>0</x:v>
      </x:c>
      <x:c r="Q1535" s="12" t="str">
        <x:v>AF-Q62186-F1-model_v6</x:v>
      </x:c>
      <x:c r="R1535" s="12" t="str">
        <x:v>ok</x:v>
      </x:c>
      <x:c r="S1535" s="11" t="n">
        <x:v>1094</x:v>
      </x:c>
      <x:c r="T1535" s="11" t="n">
        <x:v>172</x:v>
      </x:c>
    </x:row>
    <x:row r="1536" ht="23" customHeight="1">
      <x:c r="A1536" s="2" t="str">
        <x:v>Q62189</x:v>
      </x:c>
      <x:c r="B1536" s="2" t="str">
        <x:v>UN</x:v>
      </x:c>
      <x:c r="C1536" s="2" t="n">
        <x:v>1</x:v>
      </x:c>
      <x:c r="D1536" s="2" t="n">
        <x:v>1</x:v>
      </x:c>
      <x:c r="E1536" s="10" t="n">
        <x:v>78.59456445993031</x:v>
      </x:c>
      <x:c r="F1536" s="11" t="n">
        <x:v>287</x:v>
      </x:c>
      <x:c r="G1536" s="11" t="n">
        <x:v>0</x:v>
      </x:c>
      <x:c r="H1536" s="11" t="n">
        <x:v>0</x:v>
      </x:c>
      <x:c r="I1536" s="11" t="n">
        <x:v>0</x:v>
      </x:c>
      <x:c r="J1536" s="11" t="n">
        <x:v>0</x:v>
      </x:c>
      <x:c r="K1536" s="11" t="n">
        <x:v>1</x:v>
      </x:c>
      <x:c r="L1536" s="11" t="n">
        <x:f>IF(B1536="NED",1,IF(OR(B1536="ED",B1536="UN"),0,""))</x:f>
        <x:v>0</x:v>
      </x:c>
      <x:c r="M1536" s="11" t="n">
        <x:f>IF(AND(K1536=1,OR(B1536="ED",B1536="NED")),1,0)</x:f>
        <x:v>0</x:v>
      </x:c>
      <x:c r="N1536" s="11" t="n">
        <x:f>IF(K1536=1,1,0)</x:f>
        <x:v>1</x:v>
      </x:c>
      <x:c r="O1536" s="12"/>
      <x:c r="P1536" s="11" t="n">
        <x:v>0</x:v>
      </x:c>
      <x:c r="Q1536" s="12" t="str">
        <x:v>AF-Q62189-F1-model_v6</x:v>
      </x:c>
      <x:c r="R1536" s="12" t="str">
        <x:v>ok</x:v>
      </x:c>
      <x:c r="S1536" s="11" t="n">
        <x:v>1095</x:v>
      </x:c>
      <x:c r="T1536" s="11" t="n">
        <x:v>287</x:v>
      </x:c>
    </x:row>
    <x:row r="1537" ht="23" customHeight="1">
      <x:c r="A1537" s="2" t="str">
        <x:v>Q62241</x:v>
      </x:c>
      <x:c r="B1537" s="2" t="str">
        <x:v>ED</x:v>
      </x:c>
      <x:c r="C1537" s="2" t="n">
        <x:v>0</x:v>
      </x:c>
      <x:c r="D1537" s="2" t="n">
        <x:v>0</x:v>
      </x:c>
      <x:c r="E1537" s="10" t="n">
        <x:v>70.66226415094339</x:v>
      </x:c>
      <x:c r="F1537" s="11" t="n">
        <x:v>159</x:v>
      </x:c>
      <x:c r="G1537" s="11" t="n">
        <x:v>0</x:v>
      </x:c>
      <x:c r="H1537" s="11" t="n">
        <x:v>0</x:v>
      </x:c>
      <x:c r="I1537" s="11" t="n">
        <x:v>0</x:v>
      </x:c>
      <x:c r="J1537" s="11" t="n">
        <x:v>0</x:v>
      </x:c>
      <x:c r="K1537" s="11" t="n">
        <x:v>1</x:v>
      </x:c>
      <x:c r="L1537" s="11" t="n">
        <x:f>IF(B1537="NED",1,IF(OR(B1537="ED",B1537="UN"),0,""))</x:f>
        <x:v>0</x:v>
      </x:c>
      <x:c r="M1537" s="11" t="n">
        <x:f>IF(AND(K1537=1,OR(B1537="ED",B1537="NED")),1,0)</x:f>
        <x:v>1</x:v>
      </x:c>
      <x:c r="N1537" s="11" t="n">
        <x:f>IF(K1537=1,1,0)</x:f>
        <x:v>1</x:v>
      </x:c>
      <x:c r="O1537" s="12"/>
      <x:c r="P1537" s="11" t="n">
        <x:v>0</x:v>
      </x:c>
      <x:c r="Q1537" s="12" t="str">
        <x:v>AF-Q62241-F1-model_v6</x:v>
      </x:c>
      <x:c r="R1537" s="12" t="str">
        <x:v>ok</x:v>
      </x:c>
      <x:c r="S1537" s="11" t="n">
        <x:v>1096</x:v>
      </x:c>
      <x:c r="T1537" s="11" t="n">
        <x:v>159</x:v>
      </x:c>
    </x:row>
    <x:row r="1538" ht="23" customHeight="1">
      <x:c r="A1538" s="2" t="str">
        <x:v>Q62245</x:v>
      </x:c>
      <x:c r="B1538" s="2" t="str">
        <x:v>ED</x:v>
      </x:c>
      <x:c r="C1538" s="2" t="n">
        <x:v>1</x:v>
      </x:c>
      <x:c r="D1538" s="2" t="n">
        <x:v>1</x:v>
      </x:c>
      <x:c r="E1538" s="10" t="n">
        <x:v>76.29749052312357</x:v>
      </x:c>
      <x:c r="F1538" s="11" t="n">
        <x:v>1319</x:v>
      </x:c>
      <x:c r="G1538" s="11" t="n">
        <x:v>0</x:v>
      </x:c>
      <x:c r="H1538" s="11" t="n">
        <x:v>0</x:v>
      </x:c>
      <x:c r="I1538" s="11" t="n">
        <x:v>0</x:v>
      </x:c>
      <x:c r="J1538" s="11" t="n">
        <x:v>0</x:v>
      </x:c>
      <x:c r="K1538" s="11" t="n">
        <x:v>1</x:v>
      </x:c>
      <x:c r="L1538" s="11" t="n">
        <x:f>IF(B1538="NED",1,IF(OR(B1538="ED",B1538="UN"),0,""))</x:f>
        <x:v>0</x:v>
      </x:c>
      <x:c r="M1538" s="11" t="n">
        <x:f>IF(AND(K1538=1,OR(B1538="ED",B1538="NED")),1,0)</x:f>
        <x:v>1</x:v>
      </x:c>
      <x:c r="N1538" s="11" t="n">
        <x:f>IF(K1538=1,1,0)</x:f>
        <x:v>1</x:v>
      </x:c>
      <x:c r="O1538" s="12"/>
      <x:c r="P1538" s="11" t="n">
        <x:v>0</x:v>
      </x:c>
      <x:c r="Q1538" s="12" t="str">
        <x:v>AF-Q62245-F1-model_v6</x:v>
      </x:c>
      <x:c r="R1538" s="12" t="str">
        <x:v>ok</x:v>
      </x:c>
      <x:c r="S1538" s="11" t="n">
        <x:v>1097</x:v>
      </x:c>
      <x:c r="T1538" s="11" t="n">
        <x:v>1319</x:v>
      </x:c>
    </x:row>
    <x:row r="1539" ht="23" customHeight="1">
      <x:c r="A1539" s="2" t="str">
        <x:v>Q62261</x:v>
      </x:c>
      <x:c r="B1539" s="2" t="str">
        <x:v>UN</x:v>
      </x:c>
      <x:c r="C1539" s="2" t="n">
        <x:v>1</x:v>
      </x:c>
      <x:c r="D1539" s="2" t="n">
        <x:v>1</x:v>
      </x:c>
      <x:c r="E1539" s="10"/>
      <x:c r="F1539" s="11" t="n">
        <x:v>2363</x:v>
      </x:c>
      <x:c r="G1539" s="11" t="n">
        <x:v>0</x:v>
      </x:c>
      <x:c r="H1539" s="11" t="n">
        <x:v>0</x:v>
      </x:c>
      <x:c r="I1539" s="11" t="n">
        <x:v>1</x:v>
      </x:c>
      <x:c r="J1539" s="11" t="n">
        <x:v>0</x:v>
      </x:c>
      <x:c r="K1539" s="11" t="n">
        <x:v>0</x:v>
      </x:c>
      <x:c r="L1539" s="11" t="n">
        <x:f>IF(B1539="NED",1,IF(OR(B1539="ED",B1539="UN"),0,""))</x:f>
        <x:v>0</x:v>
      </x:c>
      <x:c r="M1539" s="11" t="n">
        <x:f>IF(AND(K1539=1,OR(B1539="ED",B1539="NED")),1,0)</x:f>
        <x:v>0</x:v>
      </x:c>
      <x:c r="N1539" s="11" t="n">
        <x:f>IF(K1539=1,1,0)</x:f>
        <x:v>0</x:v>
      </x:c>
      <x:c r="O1539" s="12" t="str">
        <x:v>Exclude UniProt Membrane keyword</x:v>
      </x:c>
      <x:c r="P1539" s="11" t="n">
        <x:v>0</x:v>
      </x:c>
      <x:c r="Q1539" s="12" t="str">
        <x:v>AF-Q62261-F1-model_v6</x:v>
      </x:c>
      <x:c r="R1539" s="12" t="str">
        <x:v>ok</x:v>
      </x:c>
      <x:c r="S1539" s="11" t="n">
        <x:v>1098</x:v>
      </x:c>
      <x:c r="T1539" s="11" t="n">
        <x:v>2363</x:v>
      </x:c>
    </x:row>
    <x:row r="1540" ht="23" customHeight="1">
      <x:c r="A1540" s="2" t="str">
        <x:v>Q62318</x:v>
      </x:c>
      <x:c r="B1540" s="2" t="str">
        <x:v>ED</x:v>
      </x:c>
      <x:c r="C1540" s="2" t="n">
        <x:v>0</x:v>
      </x:c>
      <x:c r="D1540" s="2" t="n">
        <x:v>0</x:v>
      </x:c>
      <x:c r="E1540" s="10" t="n">
        <x:v>64.7730215827338</x:v>
      </x:c>
      <x:c r="F1540" s="11" t="n">
        <x:v>834</x:v>
      </x:c>
      <x:c r="G1540" s="11" t="n">
        <x:v>0</x:v>
      </x:c>
      <x:c r="H1540" s="11" t="n">
        <x:v>0</x:v>
      </x:c>
      <x:c r="I1540" s="11" t="n">
        <x:v>0</x:v>
      </x:c>
      <x:c r="J1540" s="11" t="n">
        <x:v>0</x:v>
      </x:c>
      <x:c r="K1540" s="11" t="n">
        <x:v>0</x:v>
      </x:c>
      <x:c r="L1540" s="11" t="n">
        <x:f>IF(B1540="NED",1,IF(OR(B1540="ED",B1540="UN"),0,""))</x:f>
        <x:v>0</x:v>
      </x:c>
      <x:c r="M1540" s="11" t="n">
        <x:f>IF(AND(K1540=1,OR(B1540="ED",B1540="NED")),1,0)</x:f>
        <x:v>0</x:v>
      </x:c>
      <x:c r="N1540" s="11" t="n">
        <x:f>IF(K1540=1,1,0)</x:f>
        <x:v>0</x:v>
      </x:c>
      <x:c r="O1540" s="12" t="str">
        <x:v>Retain protein mean pLDDT &gt;=70</x:v>
      </x:c>
      <x:c r="P1540" s="11" t="n">
        <x:v>0</x:v>
      </x:c>
      <x:c r="Q1540" s="12" t="str">
        <x:v>AF-Q62318-F1-model_v6</x:v>
      </x:c>
      <x:c r="R1540" s="12" t="str">
        <x:v>ok</x:v>
      </x:c>
      <x:c r="S1540" s="11" t="n">
        <x:v>1099</x:v>
      </x:c>
      <x:c r="T1540" s="11" t="n">
        <x:v>834</x:v>
      </x:c>
    </x:row>
    <x:row r="1541" ht="23" customHeight="1">
      <x:c r="A1541" s="2" t="str">
        <x:v>Q62347</x:v>
      </x:c>
      <x:c r="B1541" s="2" t="str">
        <x:v>ED</x:v>
      </x:c>
      <x:c r="C1541" s="2"/>
      <x:c r="D1541" s="2"/>
      <x:c r="E1541" s="10"/>
      <x:c r="F1541" s="11"/>
      <x:c r="G1541" s="11" t="n">
        <x:v>0</x:v>
      </x:c>
      <x:c r="H1541" s="11" t="n">
        <x:v>0</x:v>
      </x:c>
      <x:c r="I1541" s="11" t="n">
        <x:v>0</x:v>
      </x:c>
      <x:c r="J1541" s="11" t="n">
        <x:v>0</x:v>
      </x:c>
      <x:c r="K1541" s="11" t="n">
        <x:v>0</x:v>
      </x:c>
      <x:c r="L1541" s="11" t="n">
        <x:f>IF(B1541="NED",1,IF(OR(B1541="ED",B1541="UN"),0,""))</x:f>
        <x:v>0</x:v>
      </x:c>
      <x:c r="M1541" s="11" t="n">
        <x:f>IF(AND(K1541=1,OR(B1541="ED",B1541="NED")),1,0)</x:f>
        <x:v>0</x:v>
      </x:c>
      <x:c r="N1541" s="11" t="n">
        <x:f>IF(K1541=1,1,0)</x:f>
        <x:v>0</x:v>
      </x:c>
      <x:c r="O1541" s="12" t="str">
        <x:v>Require exact native accession match</x:v>
      </x:c>
      <x:c r="P1541" s="11" t="n">
        <x:v>0</x:v>
      </x:c>
      <x:c r="Q1541" s="12"/>
      <x:c r="R1541" s="12"/>
      <x:c r="S1541" s="11" t="n">
        <x:v>3184</x:v>
      </x:c>
      <x:c r="T1541" s="11" t="n">
        <x:v>287</x:v>
      </x:c>
    </x:row>
    <x:row r="1542" ht="23" customHeight="1">
      <x:c r="A1542" s="2" t="str">
        <x:v>Q62348</x:v>
      </x:c>
      <x:c r="B1542" s="2" t="str">
        <x:v>ED</x:v>
      </x:c>
      <x:c r="C1542" s="2" t="n">
        <x:v>0</x:v>
      </x:c>
      <x:c r="D1542" s="2" t="n">
        <x:v>0</x:v>
      </x:c>
      <x:c r="E1542" s="10" t="n">
        <x:v>92.01407894736842</x:v>
      </x:c>
      <x:c r="F1542" s="11" t="n">
        <x:v>228</x:v>
      </x:c>
      <x:c r="G1542" s="11" t="n">
        <x:v>0</x:v>
      </x:c>
      <x:c r="H1542" s="11" t="n">
        <x:v>0</x:v>
      </x:c>
      <x:c r="I1542" s="11" t="n">
        <x:v>0</x:v>
      </x:c>
      <x:c r="J1542" s="11" t="n">
        <x:v>0</x:v>
      </x:c>
      <x:c r="K1542" s="11" t="n">
        <x:v>1</x:v>
      </x:c>
      <x:c r="L1542" s="11" t="n">
        <x:f>IF(B1542="NED",1,IF(OR(B1542="ED",B1542="UN"),0,""))</x:f>
        <x:v>0</x:v>
      </x:c>
      <x:c r="M1542" s="11" t="n">
        <x:f>IF(AND(K1542=1,OR(B1542="ED",B1542="NED")),1,0)</x:f>
        <x:v>1</x:v>
      </x:c>
      <x:c r="N1542" s="11" t="n">
        <x:f>IF(K1542=1,1,0)</x:f>
        <x:v>1</x:v>
      </x:c>
      <x:c r="O1542" s="12"/>
      <x:c r="P1542" s="11" t="n">
        <x:v>0</x:v>
      </x:c>
      <x:c r="Q1542" s="12" t="str">
        <x:v>AF-Q62348-F1-model_v6</x:v>
      </x:c>
      <x:c r="R1542" s="12" t="str">
        <x:v>ok</x:v>
      </x:c>
      <x:c r="S1542" s="11" t="n">
        <x:v>1100</x:v>
      </x:c>
      <x:c r="T1542" s="11" t="n">
        <x:v>228</x:v>
      </x:c>
    </x:row>
    <x:row r="1543" ht="23" customHeight="1">
      <x:c r="A1543" s="2" t="str">
        <x:v>Q62351</x:v>
      </x:c>
      <x:c r="B1543" s="2" t="str">
        <x:v>NED</x:v>
      </x:c>
      <x:c r="C1543" s="2" t="n">
        <x:v>1</x:v>
      </x:c>
      <x:c r="D1543" s="2" t="n">
        <x:v>1</x:v>
      </x:c>
      <x:c r="E1543" s="10"/>
      <x:c r="F1543" s="11" t="n">
        <x:v>763</x:v>
      </x:c>
      <x:c r="G1543" s="11" t="n">
        <x:v>0</x:v>
      </x:c>
      <x:c r="H1543" s="11" t="n">
        <x:v>0</x:v>
      </x:c>
      <x:c r="I1543" s="11" t="n">
        <x:v>1</x:v>
      </x:c>
      <x:c r="J1543" s="11" t="n">
        <x:v>0</x:v>
      </x:c>
      <x:c r="K1543" s="11" t="n">
        <x:v>0</x:v>
      </x:c>
      <x:c r="L1543" s="11" t="n">
        <x:f>IF(B1543="NED",1,IF(OR(B1543="ED",B1543="UN"),0,""))</x:f>
        <x:v>1</x:v>
      </x:c>
      <x:c r="M1543" s="11" t="n">
        <x:f>IF(AND(K1543=1,OR(B1543="ED",B1543="NED")),1,0)</x:f>
        <x:v>0</x:v>
      </x:c>
      <x:c r="N1543" s="11" t="n">
        <x:f>IF(K1543=1,1,0)</x:f>
        <x:v>0</x:v>
      </x:c>
      <x:c r="O1543" s="12" t="str">
        <x:v>Exclude UniProt Membrane keyword</x:v>
      </x:c>
      <x:c r="P1543" s="11" t="n">
        <x:v>0</x:v>
      </x:c>
      <x:c r="Q1543" s="12" t="str">
        <x:v>AF-Q62351-F1-model_v6</x:v>
      </x:c>
      <x:c r="R1543" s="12" t="str">
        <x:v>ok</x:v>
      </x:c>
      <x:c r="S1543" s="11" t="n">
        <x:v>1101</x:v>
      </x:c>
      <x:c r="T1543" s="11" t="n">
        <x:v>763</x:v>
      </x:c>
    </x:row>
    <x:row r="1544" ht="23" customHeight="1">
      <x:c r="A1544" s="2" t="str">
        <x:v>Q62376</x:v>
      </x:c>
      <x:c r="B1544" s="2" t="str">
        <x:v>UN</x:v>
      </x:c>
      <x:c r="C1544" s="2" t="n">
        <x:v>1</x:v>
      </x:c>
      <x:c r="D1544" s="2" t="n">
        <x:v>1</x:v>
      </x:c>
      <x:c r="E1544" s="10" t="n">
        <x:v>67.82819196428571</x:v>
      </x:c>
      <x:c r="F1544" s="11" t="n">
        <x:v>448</x:v>
      </x:c>
      <x:c r="G1544" s="11" t="n">
        <x:v>0</x:v>
      </x:c>
      <x:c r="H1544" s="11" t="n">
        <x:v>0</x:v>
      </x:c>
      <x:c r="I1544" s="11" t="n">
        <x:v>0</x:v>
      </x:c>
      <x:c r="J1544" s="11" t="n">
        <x:v>0</x:v>
      </x:c>
      <x:c r="K1544" s="11" t="n">
        <x:v>0</x:v>
      </x:c>
      <x:c r="L1544" s="11" t="n">
        <x:f>IF(B1544="NED",1,IF(OR(B1544="ED",B1544="UN"),0,""))</x:f>
        <x:v>0</x:v>
      </x:c>
      <x:c r="M1544" s="11" t="n">
        <x:f>IF(AND(K1544=1,OR(B1544="ED",B1544="NED")),1,0)</x:f>
        <x:v>0</x:v>
      </x:c>
      <x:c r="N1544" s="11" t="n">
        <x:f>IF(K1544=1,1,0)</x:f>
        <x:v>0</x:v>
      </x:c>
      <x:c r="O1544" s="12" t="str">
        <x:v>Retain protein mean pLDDT &gt;=70</x:v>
      </x:c>
      <x:c r="P1544" s="11" t="n">
        <x:v>0</x:v>
      </x:c>
      <x:c r="Q1544" s="12" t="str">
        <x:v>AF-Q62376-F1-model_v6</x:v>
      </x:c>
      <x:c r="R1544" s="12" t="str">
        <x:v>ok</x:v>
      </x:c>
      <x:c r="S1544" s="11" t="n">
        <x:v>1102</x:v>
      </x:c>
      <x:c r="T1544" s="11" t="n">
        <x:v>448</x:v>
      </x:c>
    </x:row>
    <x:row r="1545" ht="23" customHeight="1">
      <x:c r="A1545" s="2" t="str">
        <x:v>Q62383</x:v>
      </x:c>
      <x:c r="B1545" s="2" t="str">
        <x:v>UN</x:v>
      </x:c>
      <x:c r="C1545" s="2" t="n">
        <x:v>1</x:v>
      </x:c>
      <x:c r="D1545" s="2" t="n">
        <x:v>1</x:v>
      </x:c>
      <x:c r="E1545" s="10" t="n">
        <x:v>72.75508690614137</x:v>
      </x:c>
      <x:c r="F1545" s="11" t="n">
        <x:v>1726</x:v>
      </x:c>
      <x:c r="G1545" s="11" t="n">
        <x:v>0</x:v>
      </x:c>
      <x:c r="H1545" s="11" t="n">
        <x:v>0</x:v>
      </x:c>
      <x:c r="I1545" s="11" t="n">
        <x:v>0</x:v>
      </x:c>
      <x:c r="J1545" s="11" t="n">
        <x:v>0</x:v>
      </x:c>
      <x:c r="K1545" s="11" t="n">
        <x:v>1</x:v>
      </x:c>
      <x:c r="L1545" s="11" t="n">
        <x:f>IF(B1545="NED",1,IF(OR(B1545="ED",B1545="UN"),0,""))</x:f>
        <x:v>0</x:v>
      </x:c>
      <x:c r="M1545" s="11" t="n">
        <x:f>IF(AND(K1545=1,OR(B1545="ED",B1545="NED")),1,0)</x:f>
        <x:v>0</x:v>
      </x:c>
      <x:c r="N1545" s="11" t="n">
        <x:f>IF(K1545=1,1,0)</x:f>
        <x:v>1</x:v>
      </x:c>
      <x:c r="O1545" s="12"/>
      <x:c r="P1545" s="11" t="n">
        <x:v>0</x:v>
      </x:c>
      <x:c r="Q1545" s="12" t="str">
        <x:v>AF-Q62383-F1-model_v6</x:v>
      </x:c>
      <x:c r="R1545" s="12" t="str">
        <x:v>ok</x:v>
      </x:c>
      <x:c r="S1545" s="11" t="n">
        <x:v>1103</x:v>
      </x:c>
      <x:c r="T1545" s="11" t="n">
        <x:v>1726</x:v>
      </x:c>
    </x:row>
    <x:row r="1546" ht="23" customHeight="1">
      <x:c r="A1546" s="2" t="str">
        <x:v>Q62384</x:v>
      </x:c>
      <x:c r="B1546" s="2" t="str">
        <x:v>ED</x:v>
      </x:c>
      <x:c r="C1546" s="2" t="n">
        <x:v>1</x:v>
      </x:c>
      <x:c r="D1546" s="2" t="n">
        <x:v>1</x:v>
      </x:c>
      <x:c r="E1546" s="10" t="n">
        <x:v>80.61664488017429</x:v>
      </x:c>
      <x:c r="F1546" s="11" t="n">
        <x:v>459</x:v>
      </x:c>
      <x:c r="G1546" s="11" t="n">
        <x:v>0</x:v>
      </x:c>
      <x:c r="H1546" s="11" t="n">
        <x:v>0</x:v>
      </x:c>
      <x:c r="I1546" s="11" t="n">
        <x:v>0</x:v>
      </x:c>
      <x:c r="J1546" s="11" t="n">
        <x:v>0</x:v>
      </x:c>
      <x:c r="K1546" s="11" t="n">
        <x:v>1</x:v>
      </x:c>
      <x:c r="L1546" s="11" t="n">
        <x:f>IF(B1546="NED",1,IF(OR(B1546="ED",B1546="UN"),0,""))</x:f>
        <x:v>0</x:v>
      </x:c>
      <x:c r="M1546" s="11" t="n">
        <x:f>IF(AND(K1546=1,OR(B1546="ED",B1546="NED")),1,0)</x:f>
        <x:v>1</x:v>
      </x:c>
      <x:c r="N1546" s="11" t="n">
        <x:f>IF(K1546=1,1,0)</x:f>
        <x:v>1</x:v>
      </x:c>
      <x:c r="O1546" s="12"/>
      <x:c r="P1546" s="11" t="n">
        <x:v>0</x:v>
      </x:c>
      <x:c r="Q1546" s="12" t="str">
        <x:v>AF-Q62384-F1-model_v6</x:v>
      </x:c>
      <x:c r="R1546" s="12" t="str">
        <x:v>ok</x:v>
      </x:c>
      <x:c r="S1546" s="11" t="n">
        <x:v>1104</x:v>
      </x:c>
      <x:c r="T1546" s="11" t="n">
        <x:v>459</x:v>
      </x:c>
    </x:row>
    <x:row r="1547" ht="23" customHeight="1">
      <x:c r="A1547" s="2" t="str">
        <x:v>Q62388</x:v>
      </x:c>
      <x:c r="B1547" s="2" t="str">
        <x:v>UN</x:v>
      </x:c>
      <x:c r="C1547" s="2"/>
      <x:c r="D1547" s="2"/>
      <x:c r="E1547" s="10"/>
      <x:c r="F1547" s="11"/>
      <x:c r="G1547" s="11" t="n">
        <x:v>0</x:v>
      </x:c>
      <x:c r="H1547" s="11" t="n">
        <x:v>0</x:v>
      </x:c>
      <x:c r="I1547" s="11" t="n">
        <x:v>0</x:v>
      </x:c>
      <x:c r="J1547" s="11" t="n">
        <x:v>0</x:v>
      </x:c>
      <x:c r="K1547" s="11" t="n">
        <x:v>0</x:v>
      </x:c>
      <x:c r="L1547" s="11" t="n">
        <x:f>IF(B1547="NED",1,IF(OR(B1547="ED",B1547="UN"),0,""))</x:f>
        <x:v>0</x:v>
      </x:c>
      <x:c r="M1547" s="11" t="n">
        <x:f>IF(AND(K1547=1,OR(B1547="ED",B1547="NED")),1,0)</x:f>
        <x:v>0</x:v>
      </x:c>
      <x:c r="N1547" s="11" t="n">
        <x:f>IF(K1547=1,1,0)</x:f>
        <x:v>0</x:v>
      </x:c>
      <x:c r="O1547" s="12" t="str">
        <x:v>Require exact native accession match</x:v>
      </x:c>
      <x:c r="P1547" s="11" t="n">
        <x:v>0</x:v>
      </x:c>
      <x:c r="Q1547" s="12"/>
      <x:c r="R1547" s="12"/>
      <x:c r="S1547" s="11" t="n">
        <x:v>1105</x:v>
      </x:c>
      <x:c r="T1547" s="11" t="n">
        <x:v>3066</x:v>
      </x:c>
    </x:row>
    <x:row r="1548" ht="23" customHeight="1">
      <x:c r="A1548" s="2" t="str">
        <x:v>Q62417</x:v>
      </x:c>
      <x:c r="B1548" s="2" t="str">
        <x:v>ED</x:v>
      </x:c>
      <x:c r="C1548" s="2" t="n">
        <x:v>1</x:v>
      </x:c>
      <x:c r="D1548" s="2" t="n">
        <x:v>1</x:v>
      </x:c>
      <x:c r="E1548" s="10"/>
      <x:c r="F1548" s="11" t="n">
        <x:v>1290</x:v>
      </x:c>
      <x:c r="G1548" s="11" t="n">
        <x:v>0</x:v>
      </x:c>
      <x:c r="H1548" s="11" t="n">
        <x:v>0</x:v>
      </x:c>
      <x:c r="I1548" s="11" t="n">
        <x:v>1</x:v>
      </x:c>
      <x:c r="J1548" s="11" t="n">
        <x:v>0</x:v>
      </x:c>
      <x:c r="K1548" s="11" t="n">
        <x:v>0</x:v>
      </x:c>
      <x:c r="L1548" s="11" t="n">
        <x:f>IF(B1548="NED",1,IF(OR(B1548="ED",B1548="UN"),0,""))</x:f>
        <x:v>0</x:v>
      </x:c>
      <x:c r="M1548" s="11" t="n">
        <x:f>IF(AND(K1548=1,OR(B1548="ED",B1548="NED")),1,0)</x:f>
        <x:v>0</x:v>
      </x:c>
      <x:c r="N1548" s="11" t="n">
        <x:f>IF(K1548=1,1,0)</x:f>
        <x:v>0</x:v>
      </x:c>
      <x:c r="O1548" s="12" t="str">
        <x:v>Exclude UniProt Membrane keyword</x:v>
      </x:c>
      <x:c r="P1548" s="11" t="n">
        <x:v>0</x:v>
      </x:c>
      <x:c r="Q1548" s="12" t="str">
        <x:v>AF-Q62417-F1-model_v6</x:v>
      </x:c>
      <x:c r="R1548" s="12" t="str">
        <x:v>ok</x:v>
      </x:c>
      <x:c r="S1548" s="11" t="n">
        <x:v>1106</x:v>
      </x:c>
      <x:c r="T1548" s="11" t="n">
        <x:v>1290</x:v>
      </x:c>
    </x:row>
    <x:row r="1549" ht="23" customHeight="1">
      <x:c r="A1549" s="2" t="str">
        <x:v>Q62418-3</x:v>
      </x:c>
      <x:c r="B1549" s="2" t="str">
        <x:v>ED</x:v>
      </x:c>
      <x:c r="C1549" s="2"/>
      <x:c r="D1549" s="2"/>
      <x:c r="E1549" s="10"/>
      <x:c r="F1549" s="11"/>
      <x:c r="G1549" s="11" t="n">
        <x:v>0</x:v>
      </x:c>
      <x:c r="H1549" s="11" t="n">
        <x:v>0</x:v>
      </x:c>
      <x:c r="I1549" s="11"/>
      <x:c r="J1549" s="11"/>
      <x:c r="K1549" s="11" t="n">
        <x:v>0</x:v>
      </x:c>
      <x:c r="L1549" s="11" t="n">
        <x:f>IF(B1549="NED",1,IF(OR(B1549="ED",B1549="UN"),0,""))</x:f>
        <x:v>0</x:v>
      </x:c>
      <x:c r="M1549" s="11" t="n">
        <x:f>IF(AND(K1549=1,OR(B1549="ED",B1549="NED")),1,0)</x:f>
        <x:v>0</x:v>
      </x:c>
      <x:c r="N1549" s="11" t="n">
        <x:f>IF(K1549=1,1,0)</x:f>
        <x:v>0</x:v>
      </x:c>
      <x:c r="O1549" s="12" t="str">
        <x:v>Require exact native accession match</x:v>
      </x:c>
      <x:c r="P1549" s="11" t="n">
        <x:v>0</x:v>
      </x:c>
      <x:c r="Q1549" s="12"/>
      <x:c r="R1549" s="12"/>
      <x:c r="S1549" s="11" t="n">
        <x:v>1107</x:v>
      </x:c>
      <x:c r="T1549" s="11"/>
    </x:row>
    <x:row r="1550" ht="23" customHeight="1">
      <x:c r="A1550" s="2" t="str">
        <x:v>Q62419</x:v>
      </x:c>
      <x:c r="B1550" s="2" t="str">
        <x:v>ED</x:v>
      </x:c>
      <x:c r="C1550" s="2" t="n">
        <x:v>0</x:v>
      </x:c>
      <x:c r="D1550" s="2" t="n">
        <x:v>0</x:v>
      </x:c>
      <x:c r="E1550" s="10"/>
      <x:c r="F1550" s="11" t="n">
        <x:v>368</x:v>
      </x:c>
      <x:c r="G1550" s="11" t="n">
        <x:v>0</x:v>
      </x:c>
      <x:c r="H1550" s="11" t="n">
        <x:v>0</x:v>
      </x:c>
      <x:c r="I1550" s="11" t="n">
        <x:v>1</x:v>
      </x:c>
      <x:c r="J1550" s="11" t="n">
        <x:v>0</x:v>
      </x:c>
      <x:c r="K1550" s="11" t="n">
        <x:v>0</x:v>
      </x:c>
      <x:c r="L1550" s="11" t="n">
        <x:f>IF(B1550="NED",1,IF(OR(B1550="ED",B1550="UN"),0,""))</x:f>
        <x:v>0</x:v>
      </x:c>
      <x:c r="M1550" s="11" t="n">
        <x:f>IF(AND(K1550=1,OR(B1550="ED",B1550="NED")),1,0)</x:f>
        <x:v>0</x:v>
      </x:c>
      <x:c r="N1550" s="11" t="n">
        <x:f>IF(K1550=1,1,0)</x:f>
        <x:v>0</x:v>
      </x:c>
      <x:c r="O1550" s="12" t="str">
        <x:v>Exclude UniProt Membrane keyword</x:v>
      </x:c>
      <x:c r="P1550" s="11" t="n">
        <x:v>0</x:v>
      </x:c>
      <x:c r="Q1550" s="12" t="str">
        <x:v>AF-Q62419-F1-model_v6</x:v>
      </x:c>
      <x:c r="R1550" s="12" t="str">
        <x:v>ok</x:v>
      </x:c>
      <x:c r="S1550" s="11" t="n">
        <x:v>1108</x:v>
      </x:c>
      <x:c r="T1550" s="11" t="n">
        <x:v>368</x:v>
      </x:c>
    </x:row>
    <x:row r="1551" ht="23" customHeight="1">
      <x:c r="A1551" s="2" t="str">
        <x:v>Q62422</x:v>
      </x:c>
      <x:c r="B1551" s="2" t="str">
        <x:v>ED</x:v>
      </x:c>
      <x:c r="C1551" s="2" t="n">
        <x:v>1</x:v>
      </x:c>
      <x:c r="D1551" s="2" t="n">
        <x:v>1</x:v>
      </x:c>
      <x:c r="E1551" s="10" t="n">
        <x:v>89.95706976744187</x:v>
      </x:c>
      <x:c r="F1551" s="11" t="n">
        <x:v>215</x:v>
      </x:c>
      <x:c r="G1551" s="11" t="n">
        <x:v>0</x:v>
      </x:c>
      <x:c r="H1551" s="11" t="n">
        <x:v>0</x:v>
      </x:c>
      <x:c r="I1551" s="11" t="n">
        <x:v>0</x:v>
      </x:c>
      <x:c r="J1551" s="11" t="n">
        <x:v>0</x:v>
      </x:c>
      <x:c r="K1551" s="11" t="n">
        <x:v>1</x:v>
      </x:c>
      <x:c r="L1551" s="11" t="n">
        <x:f>IF(B1551="NED",1,IF(OR(B1551="ED",B1551="UN"),0,""))</x:f>
        <x:v>0</x:v>
      </x:c>
      <x:c r="M1551" s="11" t="n">
        <x:f>IF(AND(K1551=1,OR(B1551="ED",B1551="NED")),1,0)</x:f>
        <x:v>1</x:v>
      </x:c>
      <x:c r="N1551" s="11" t="n">
        <x:f>IF(K1551=1,1,0)</x:f>
        <x:v>1</x:v>
      </x:c>
      <x:c r="O1551" s="12"/>
      <x:c r="P1551" s="11" t="n">
        <x:v>0</x:v>
      </x:c>
      <x:c r="Q1551" s="12" t="str">
        <x:v>AF-Q62422-F1-model_v6</x:v>
      </x:c>
      <x:c r="R1551" s="12" t="str">
        <x:v>ok</x:v>
      </x:c>
      <x:c r="S1551" s="11" t="n">
        <x:v>1109</x:v>
      </x:c>
      <x:c r="T1551" s="11" t="n">
        <x:v>215</x:v>
      </x:c>
    </x:row>
    <x:row r="1552" ht="23" customHeight="1">
      <x:c r="A1552" s="2" t="str">
        <x:v>Q62425</x:v>
      </x:c>
      <x:c r="B1552" s="2" t="str">
        <x:v>UN</x:v>
      </x:c>
      <x:c r="C1552" s="2" t="n">
        <x:v>0</x:v>
      </x:c>
      <x:c r="D1552" s="2" t="n">
        <x:v>0</x:v>
      </x:c>
      <x:c r="E1552" s="10"/>
      <x:c r="F1552" s="11" t="n">
        <x:v>82</x:v>
      </x:c>
      <x:c r="G1552" s="11" t="n">
        <x:v>0</x:v>
      </x:c>
      <x:c r="H1552" s="11" t="n">
        <x:v>0</x:v>
      </x:c>
      <x:c r="I1552" s="11" t="n">
        <x:v>1</x:v>
      </x:c>
      <x:c r="J1552" s="11" t="n">
        <x:v>0</x:v>
      </x:c>
      <x:c r="K1552" s="11" t="n">
        <x:v>0</x:v>
      </x:c>
      <x:c r="L1552" s="11" t="n">
        <x:f>IF(B1552="NED",1,IF(OR(B1552="ED",B1552="UN"),0,""))</x:f>
        <x:v>0</x:v>
      </x:c>
      <x:c r="M1552" s="11" t="n">
        <x:f>IF(AND(K1552=1,OR(B1552="ED",B1552="NED")),1,0)</x:f>
        <x:v>0</x:v>
      </x:c>
      <x:c r="N1552" s="11" t="n">
        <x:f>IF(K1552=1,1,0)</x:f>
        <x:v>0</x:v>
      </x:c>
      <x:c r="O1552" s="12" t="str">
        <x:v>Exclude UniProt Membrane keyword</x:v>
      </x:c>
      <x:c r="P1552" s="11" t="n">
        <x:v>0</x:v>
      </x:c>
      <x:c r="Q1552" s="12" t="str">
        <x:v>AF-Q62425-F1-model_v6</x:v>
      </x:c>
      <x:c r="R1552" s="12" t="str">
        <x:v>ok</x:v>
      </x:c>
      <x:c r="S1552" s="11" t="n">
        <x:v>1110</x:v>
      </x:c>
      <x:c r="T1552" s="11" t="n">
        <x:v>82</x:v>
      </x:c>
    </x:row>
    <x:row r="1553" ht="23" customHeight="1">
      <x:c r="A1553" s="2" t="str">
        <x:v>Q62426</x:v>
      </x:c>
      <x:c r="B1553" s="2" t="str">
        <x:v>UN</x:v>
      </x:c>
      <x:c r="C1553" s="2" t="n">
        <x:v>0</x:v>
      </x:c>
      <x:c r="D1553" s="2" t="n">
        <x:v>0</x:v>
      </x:c>
      <x:c r="E1553" s="10" t="n">
        <x:v>94.88387755102042</x:v>
      </x:c>
      <x:c r="F1553" s="11" t="n">
        <x:v>98</x:v>
      </x:c>
      <x:c r="G1553" s="11" t="n">
        <x:v>0</x:v>
      </x:c>
      <x:c r="H1553" s="11" t="n">
        <x:v>0</x:v>
      </x:c>
      <x:c r="I1553" s="11" t="n">
        <x:v>0</x:v>
      </x:c>
      <x:c r="J1553" s="11" t="n">
        <x:v>0</x:v>
      </x:c>
      <x:c r="K1553" s="11" t="n">
        <x:v>1</x:v>
      </x:c>
      <x:c r="L1553" s="11" t="n">
        <x:f>IF(B1553="NED",1,IF(OR(B1553="ED",B1553="UN"),0,""))</x:f>
        <x:v>0</x:v>
      </x:c>
      <x:c r="M1553" s="11" t="n">
        <x:f>IF(AND(K1553=1,OR(B1553="ED",B1553="NED")),1,0)</x:f>
        <x:v>0</x:v>
      </x:c>
      <x:c r="N1553" s="11" t="n">
        <x:f>IF(K1553=1,1,0)</x:f>
        <x:v>1</x:v>
      </x:c>
      <x:c r="O1553" s="12"/>
      <x:c r="P1553" s="11" t="n">
        <x:v>0</x:v>
      </x:c>
      <x:c r="Q1553" s="12" t="str">
        <x:v>AF-Q62426-F1-model_v6</x:v>
      </x:c>
      <x:c r="R1553" s="12" t="str">
        <x:v>ok</x:v>
      </x:c>
      <x:c r="S1553" s="11" t="n">
        <x:v>1111</x:v>
      </x:c>
      <x:c r="T1553" s="11" t="n">
        <x:v>98</x:v>
      </x:c>
    </x:row>
    <x:row r="1554" ht="23" customHeight="1">
      <x:c r="A1554" s="2" t="str">
        <x:v>Q62432-2</x:v>
      </x:c>
      <x:c r="B1554" s="2" t="str">
        <x:v>ED</x:v>
      </x:c>
      <x:c r="C1554" s="2"/>
      <x:c r="D1554" s="2"/>
      <x:c r="E1554" s="10"/>
      <x:c r="F1554" s="11"/>
      <x:c r="G1554" s="11" t="n">
        <x:v>0</x:v>
      </x:c>
      <x:c r="H1554" s="11" t="n">
        <x:v>0</x:v>
      </x:c>
      <x:c r="I1554" s="11"/>
      <x:c r="J1554" s="11"/>
      <x:c r="K1554" s="11" t="n">
        <x:v>0</x:v>
      </x:c>
      <x:c r="L1554" s="11" t="n">
        <x:f>IF(B1554="NED",1,IF(OR(B1554="ED",B1554="UN"),0,""))</x:f>
        <x:v>0</x:v>
      </x:c>
      <x:c r="M1554" s="11" t="n">
        <x:f>IF(AND(K1554=1,OR(B1554="ED",B1554="NED")),1,0)</x:f>
        <x:v>0</x:v>
      </x:c>
      <x:c r="N1554" s="11" t="n">
        <x:f>IF(K1554=1,1,0)</x:f>
        <x:v>0</x:v>
      </x:c>
      <x:c r="O1554" s="12" t="str">
        <x:v>Require exact native accession match</x:v>
      </x:c>
      <x:c r="P1554" s="11" t="n">
        <x:v>0</x:v>
      </x:c>
      <x:c r="Q1554" s="12"/>
      <x:c r="R1554" s="12"/>
      <x:c r="S1554" s="11" t="n">
        <x:v>1112</x:v>
      </x:c>
      <x:c r="T1554" s="11"/>
    </x:row>
    <x:row r="1555" ht="23" customHeight="1">
      <x:c r="A1555" s="2" t="str">
        <x:v>Q62433</x:v>
      </x:c>
      <x:c r="B1555" s="2" t="str">
        <x:v>UN</x:v>
      </x:c>
      <x:c r="C1555" s="2" t="n">
        <x:v>1</x:v>
      </x:c>
      <x:c r="D1555" s="2" t="n">
        <x:v>1</x:v>
      </x:c>
      <x:c r="E1555" s="10"/>
      <x:c r="F1555" s="11" t="n">
        <x:v>394</x:v>
      </x:c>
      <x:c r="G1555" s="11" t="n">
        <x:v>0</x:v>
      </x:c>
      <x:c r="H1555" s="11" t="n">
        <x:v>0</x:v>
      </x:c>
      <x:c r="I1555" s="11" t="n">
        <x:v>1</x:v>
      </x:c>
      <x:c r="J1555" s="11" t="n">
        <x:v>0</x:v>
      </x:c>
      <x:c r="K1555" s="11" t="n">
        <x:v>0</x:v>
      </x:c>
      <x:c r="L1555" s="11" t="n">
        <x:f>IF(B1555="NED",1,IF(OR(B1555="ED",B1555="UN"),0,""))</x:f>
        <x:v>0</x:v>
      </x:c>
      <x:c r="M1555" s="11" t="n">
        <x:f>IF(AND(K1555=1,OR(B1555="ED",B1555="NED")),1,0)</x:f>
        <x:v>0</x:v>
      </x:c>
      <x:c r="N1555" s="11" t="n">
        <x:f>IF(K1555=1,1,0)</x:f>
        <x:v>0</x:v>
      </x:c>
      <x:c r="O1555" s="12" t="str">
        <x:v>Exclude UniProt Membrane keyword</x:v>
      </x:c>
      <x:c r="P1555" s="11" t="n">
        <x:v>0</x:v>
      </x:c>
      <x:c r="Q1555" s="12" t="str">
        <x:v>AF-Q62433-F1-model_v6</x:v>
      </x:c>
      <x:c r="R1555" s="12" t="str">
        <x:v>ok</x:v>
      </x:c>
      <x:c r="S1555" s="11" t="n">
        <x:v>1113</x:v>
      </x:c>
      <x:c r="T1555" s="11" t="n">
        <x:v>394</x:v>
      </x:c>
    </x:row>
    <x:row r="1556" ht="23" customHeight="1">
      <x:c r="A1556" s="2" t="str">
        <x:v>Q62446</x:v>
      </x:c>
      <x:c r="B1556" s="2" t="str">
        <x:v>ED</x:v>
      </x:c>
      <x:c r="C1556" s="2" t="n">
        <x:v>1</x:v>
      </x:c>
      <x:c r="D1556" s="2" t="n">
        <x:v>1</x:v>
      </x:c>
      <x:c r="E1556" s="10" t="n">
        <x:v>78.00825892857142</x:v>
      </x:c>
      <x:c r="F1556" s="11" t="n">
        <x:v>224</x:v>
      </x:c>
      <x:c r="G1556" s="11" t="n">
        <x:v>0</x:v>
      </x:c>
      <x:c r="H1556" s="11" t="n">
        <x:v>0</x:v>
      </x:c>
      <x:c r="I1556" s="11" t="n">
        <x:v>0</x:v>
      </x:c>
      <x:c r="J1556" s="11" t="n">
        <x:v>0</x:v>
      </x:c>
      <x:c r="K1556" s="11" t="n">
        <x:v>1</x:v>
      </x:c>
      <x:c r="L1556" s="11" t="n">
        <x:f>IF(B1556="NED",1,IF(OR(B1556="ED",B1556="UN"),0,""))</x:f>
        <x:v>0</x:v>
      </x:c>
      <x:c r="M1556" s="11" t="n">
        <x:f>IF(AND(K1556=1,OR(B1556="ED",B1556="NED")),1,0)</x:f>
        <x:v>1</x:v>
      </x:c>
      <x:c r="N1556" s="11" t="n">
        <x:f>IF(K1556=1,1,0)</x:f>
        <x:v>1</x:v>
      </x:c>
      <x:c r="O1556" s="12"/>
      <x:c r="P1556" s="11" t="n">
        <x:v>0</x:v>
      </x:c>
      <x:c r="Q1556" s="12" t="str">
        <x:v>AF-Q62446-F1-model_v6</x:v>
      </x:c>
      <x:c r="R1556" s="12" t="str">
        <x:v>ok</x:v>
      </x:c>
      <x:c r="S1556" s="11" t="n">
        <x:v>1114</x:v>
      </x:c>
      <x:c r="T1556" s="11" t="n">
        <x:v>224</x:v>
      </x:c>
    </x:row>
    <x:row r="1557" ht="23" customHeight="1">
      <x:c r="A1557" s="2" t="str">
        <x:v>Q62465</x:v>
      </x:c>
      <x:c r="B1557" s="2" t="str">
        <x:v>UN</x:v>
      </x:c>
      <x:c r="C1557" s="2" t="n">
        <x:v>1</x:v>
      </x:c>
      <x:c r="D1557" s="2" t="n">
        <x:v>1</x:v>
      </x:c>
      <x:c r="E1557" s="10"/>
      <x:c r="F1557" s="11" t="n">
        <x:v>406</x:v>
      </x:c>
      <x:c r="G1557" s="11" t="n">
        <x:v>0</x:v>
      </x:c>
      <x:c r="H1557" s="11" t="n">
        <x:v>0</x:v>
      </x:c>
      <x:c r="I1557" s="11" t="n">
        <x:v>1</x:v>
      </x:c>
      <x:c r="J1557" s="11" t="n">
        <x:v>0</x:v>
      </x:c>
      <x:c r="K1557" s="11" t="n">
        <x:v>0</x:v>
      </x:c>
      <x:c r="L1557" s="11" t="n">
        <x:f>IF(B1557="NED",1,IF(OR(B1557="ED",B1557="UN"),0,""))</x:f>
        <x:v>0</x:v>
      </x:c>
      <x:c r="M1557" s="11" t="n">
        <x:f>IF(AND(K1557=1,OR(B1557="ED",B1557="NED")),1,0)</x:f>
        <x:v>0</x:v>
      </x:c>
      <x:c r="N1557" s="11" t="n">
        <x:f>IF(K1557=1,1,0)</x:f>
        <x:v>0</x:v>
      </x:c>
      <x:c r="O1557" s="12" t="str">
        <x:v>Exclude UniProt Membrane keyword</x:v>
      </x:c>
      <x:c r="P1557" s="11" t="n">
        <x:v>0</x:v>
      </x:c>
      <x:c r="Q1557" s="12" t="str">
        <x:v>AF-Q62465-F1-model_v6</x:v>
      </x:c>
      <x:c r="R1557" s="12" t="str">
        <x:v>ok</x:v>
      </x:c>
      <x:c r="S1557" s="11" t="n">
        <x:v>1115</x:v>
      </x:c>
      <x:c r="T1557" s="11" t="n">
        <x:v>406</x:v>
      </x:c>
    </x:row>
    <x:row r="1558" ht="23" customHeight="1">
      <x:c r="A1558" s="2" t="str">
        <x:v>Q62481</x:v>
      </x:c>
      <x:c r="B1558" s="2" t="str">
        <x:v>UN</x:v>
      </x:c>
      <x:c r="C1558" s="2" t="n">
        <x:v>0</x:v>
      </x:c>
      <x:c r="D1558" s="2" t="n">
        <x:v>0</x:v>
      </x:c>
      <x:c r="E1558" s="10" t="n">
        <x:v>72.86448369565218</x:v>
      </x:c>
      <x:c r="F1558" s="11" t="n">
        <x:v>368</x:v>
      </x:c>
      <x:c r="G1558" s="11" t="n">
        <x:v>0</x:v>
      </x:c>
      <x:c r="H1558" s="11" t="n">
        <x:v>0</x:v>
      </x:c>
      <x:c r="I1558" s="11" t="n">
        <x:v>0</x:v>
      </x:c>
      <x:c r="J1558" s="11" t="n">
        <x:v>0</x:v>
      </x:c>
      <x:c r="K1558" s="11" t="n">
        <x:v>1</x:v>
      </x:c>
      <x:c r="L1558" s="11" t="n">
        <x:f>IF(B1558="NED",1,IF(OR(B1558="ED",B1558="UN"),0,""))</x:f>
        <x:v>0</x:v>
      </x:c>
      <x:c r="M1558" s="11" t="n">
        <x:f>IF(AND(K1558=1,OR(B1558="ED",B1558="NED")),1,0)</x:f>
        <x:v>0</x:v>
      </x:c>
      <x:c r="N1558" s="11" t="n">
        <x:f>IF(K1558=1,1,0)</x:f>
        <x:v>1</x:v>
      </x:c>
      <x:c r="O1558" s="12"/>
      <x:c r="P1558" s="11" t="n">
        <x:v>0</x:v>
      </x:c>
      <x:c r="Q1558" s="12" t="str">
        <x:v>AF-Q62481-F1-model_v6</x:v>
      </x:c>
      <x:c r="R1558" s="12" t="str">
        <x:v>ok</x:v>
      </x:c>
      <x:c r="S1558" s="11" t="n">
        <x:v>1116</x:v>
      </x:c>
      <x:c r="T1558" s="11" t="n">
        <x:v>368</x:v>
      </x:c>
    </x:row>
    <x:row r="1559" ht="23" customHeight="1">
      <x:c r="A1559" s="2" t="str">
        <x:v>Q62523</x:v>
      </x:c>
      <x:c r="B1559" s="2" t="str">
        <x:v>ED</x:v>
      </x:c>
      <x:c r="C1559" s="2" t="n">
        <x:v>0</x:v>
      </x:c>
      <x:c r="D1559" s="2" t="n">
        <x:v>0</x:v>
      </x:c>
      <x:c r="E1559" s="10" t="n">
        <x:v>63.61554964539007</x:v>
      </x:c>
      <x:c r="F1559" s="11" t="n">
        <x:v>564</x:v>
      </x:c>
      <x:c r="G1559" s="11" t="n">
        <x:v>0</x:v>
      </x:c>
      <x:c r="H1559" s="11" t="n">
        <x:v>0</x:v>
      </x:c>
      <x:c r="I1559" s="11" t="n">
        <x:v>0</x:v>
      </x:c>
      <x:c r="J1559" s="11" t="n">
        <x:v>0</x:v>
      </x:c>
      <x:c r="K1559" s="11" t="n">
        <x:v>0</x:v>
      </x:c>
      <x:c r="L1559" s="11" t="n">
        <x:f>IF(B1559="NED",1,IF(OR(B1559="ED",B1559="UN"),0,""))</x:f>
        <x:v>0</x:v>
      </x:c>
      <x:c r="M1559" s="11" t="n">
        <x:f>IF(AND(K1559=1,OR(B1559="ED",B1559="NED")),1,0)</x:f>
        <x:v>0</x:v>
      </x:c>
      <x:c r="N1559" s="11" t="n">
        <x:f>IF(K1559=1,1,0)</x:f>
        <x:v>0</x:v>
      </x:c>
      <x:c r="O1559" s="12" t="str">
        <x:v>Retain protein mean pLDDT &gt;=70</x:v>
      </x:c>
      <x:c r="P1559" s="11" t="n">
        <x:v>0</x:v>
      </x:c>
      <x:c r="Q1559" s="12" t="str">
        <x:v>AF-Q62523-F1-model_v6</x:v>
      </x:c>
      <x:c r="R1559" s="12" t="str">
        <x:v>ok</x:v>
      </x:c>
      <x:c r="S1559" s="11" t="n">
        <x:v>1117</x:v>
      </x:c>
      <x:c r="T1559" s="11" t="n">
        <x:v>564</x:v>
      </x:c>
    </x:row>
    <x:row r="1560" ht="23" customHeight="1">
      <x:c r="A1560" s="2" t="str">
        <x:v>Q63739</x:v>
      </x:c>
      <x:c r="B1560" s="2" t="str">
        <x:v>ED</x:v>
      </x:c>
      <x:c r="C1560" s="2" t="n">
        <x:v>1</x:v>
      </x:c>
      <x:c r="D1560" s="2" t="n">
        <x:v>1</x:v>
      </x:c>
      <x:c r="E1560" s="10"/>
      <x:c r="F1560" s="11" t="n">
        <x:v>173</x:v>
      </x:c>
      <x:c r="G1560" s="11" t="n">
        <x:v>0</x:v>
      </x:c>
      <x:c r="H1560" s="11" t="n">
        <x:v>0</x:v>
      </x:c>
      <x:c r="I1560" s="11" t="n">
        <x:v>1</x:v>
      </x:c>
      <x:c r="J1560" s="11" t="n">
        <x:v>0</x:v>
      </x:c>
      <x:c r="K1560" s="11" t="n">
        <x:v>0</x:v>
      </x:c>
      <x:c r="L1560" s="11" t="n">
        <x:f>IF(B1560="NED",1,IF(OR(B1560="ED",B1560="UN"),0,""))</x:f>
        <x:v>0</x:v>
      </x:c>
      <x:c r="M1560" s="11" t="n">
        <x:f>IF(AND(K1560=1,OR(B1560="ED",B1560="NED")),1,0)</x:f>
        <x:v>0</x:v>
      </x:c>
      <x:c r="N1560" s="11" t="n">
        <x:f>IF(K1560=1,1,0)</x:f>
        <x:v>0</x:v>
      </x:c>
      <x:c r="O1560" s="12" t="str">
        <x:v>Exclude UniProt Membrane keyword</x:v>
      </x:c>
      <x:c r="P1560" s="11" t="n">
        <x:v>0</x:v>
      </x:c>
      <x:c r="Q1560" s="12" t="str">
        <x:v>AF-Q63739-F1-model_v6</x:v>
      </x:c>
      <x:c r="R1560" s="12" t="str">
        <x:v>ok</x:v>
      </x:c>
      <x:c r="S1560" s="11" t="n">
        <x:v>1118</x:v>
      </x:c>
      <x:c r="T1560" s="11" t="n">
        <x:v>173</x:v>
      </x:c>
    </x:row>
    <x:row r="1561" ht="23" customHeight="1">
      <x:c r="A1561" s="2" t="str">
        <x:v>Q63829</x:v>
      </x:c>
      <x:c r="B1561" s="2" t="str">
        <x:v>ED</x:v>
      </x:c>
      <x:c r="C1561" s="2" t="n">
        <x:v>0</x:v>
      </x:c>
      <x:c r="D1561" s="2" t="n">
        <x:v>0</x:v>
      </x:c>
      <x:c r="E1561" s="10" t="n">
        <x:v>87.70174358974359</x:v>
      </x:c>
      <x:c r="F1561" s="11" t="n">
        <x:v>195</x:v>
      </x:c>
      <x:c r="G1561" s="11" t="n">
        <x:v>0</x:v>
      </x:c>
      <x:c r="H1561" s="11" t="n">
        <x:v>0</x:v>
      </x:c>
      <x:c r="I1561" s="11" t="n">
        <x:v>0</x:v>
      </x:c>
      <x:c r="J1561" s="11" t="n">
        <x:v>0</x:v>
      </x:c>
      <x:c r="K1561" s="11" t="n">
        <x:v>1</x:v>
      </x:c>
      <x:c r="L1561" s="11" t="n">
        <x:f>IF(B1561="NED",1,IF(OR(B1561="ED",B1561="UN"),0,""))</x:f>
        <x:v>0</x:v>
      </x:c>
      <x:c r="M1561" s="11" t="n">
        <x:f>IF(AND(K1561=1,OR(B1561="ED",B1561="NED")),1,0)</x:f>
        <x:v>1</x:v>
      </x:c>
      <x:c r="N1561" s="11" t="n">
        <x:f>IF(K1561=1,1,0)</x:f>
        <x:v>1</x:v>
      </x:c>
      <x:c r="O1561" s="12"/>
      <x:c r="P1561" s="11" t="n">
        <x:v>0</x:v>
      </x:c>
      <x:c r="Q1561" s="12" t="str">
        <x:v>AF-Q63829-F1-model_v6</x:v>
      </x:c>
      <x:c r="R1561" s="12" t="str">
        <x:v>ok</x:v>
      </x:c>
      <x:c r="S1561" s="11" t="n">
        <x:v>1119</x:v>
      </x:c>
      <x:c r="T1561" s="11" t="n">
        <x:v>195</x:v>
      </x:c>
    </x:row>
    <x:row r="1562" ht="23" customHeight="1">
      <x:c r="A1562" s="2" t="str">
        <x:v>Q63844</x:v>
      </x:c>
      <x:c r="B1562" s="2" t="str">
        <x:v>ED</x:v>
      </x:c>
      <x:c r="C1562" s="2" t="n">
        <x:v>1</x:v>
      </x:c>
      <x:c r="D1562" s="2" t="n">
        <x:v>1</x:v>
      </x:c>
      <x:c r="E1562" s="10"/>
      <x:c r="F1562" s="11" t="n">
        <x:v>380</x:v>
      </x:c>
      <x:c r="G1562" s="11" t="n">
        <x:v>0</x:v>
      </x:c>
      <x:c r="H1562" s="11" t="n">
        <x:v>0</x:v>
      </x:c>
      <x:c r="I1562" s="11" t="n">
        <x:v>1</x:v>
      </x:c>
      <x:c r="J1562" s="11" t="n">
        <x:v>0</x:v>
      </x:c>
      <x:c r="K1562" s="11" t="n">
        <x:v>0</x:v>
      </x:c>
      <x:c r="L1562" s="11" t="n">
        <x:f>IF(B1562="NED",1,IF(OR(B1562="ED",B1562="UN"),0,""))</x:f>
        <x:v>0</x:v>
      </x:c>
      <x:c r="M1562" s="11" t="n">
        <x:f>IF(AND(K1562=1,OR(B1562="ED",B1562="NED")),1,0)</x:f>
        <x:v>0</x:v>
      </x:c>
      <x:c r="N1562" s="11" t="n">
        <x:f>IF(K1562=1,1,0)</x:f>
        <x:v>0</x:v>
      </x:c>
      <x:c r="O1562" s="12" t="str">
        <x:v>Exclude UniProt Membrane keyword</x:v>
      </x:c>
      <x:c r="P1562" s="11" t="n">
        <x:v>0</x:v>
      </x:c>
      <x:c r="Q1562" s="12" t="str">
        <x:v>AF-Q63844-F1-model_v6</x:v>
      </x:c>
      <x:c r="R1562" s="12" t="str">
        <x:v>ok</x:v>
      </x:c>
      <x:c r="S1562" s="11" t="n">
        <x:v>1120</x:v>
      </x:c>
      <x:c r="T1562" s="11" t="n">
        <x:v>380</x:v>
      </x:c>
    </x:row>
    <x:row r="1563" ht="23" customHeight="1">
      <x:c r="A1563" s="2" t="str">
        <x:v>Q63850</x:v>
      </x:c>
      <x:c r="B1563" s="2" t="str">
        <x:v>ED</x:v>
      </x:c>
      <x:c r="C1563" s="2" t="n">
        <x:v>0</x:v>
      </x:c>
      <x:c r="D1563" s="2" t="n">
        <x:v>0</x:v>
      </x:c>
      <x:c r="E1563" s="10"/>
      <x:c r="F1563" s="11" t="n">
        <x:v>526</x:v>
      </x:c>
      <x:c r="G1563" s="11" t="n">
        <x:v>1</x:v>
      </x:c>
      <x:c r="H1563" s="11" t="n">
        <x:v>0</x:v>
      </x:c>
      <x:c r="I1563" s="11" t="n">
        <x:v>0</x:v>
      </x:c>
      <x:c r="J1563" s="11" t="n">
        <x:v>0</x:v>
      </x:c>
      <x:c r="K1563" s="11" t="n">
        <x:v>0</x:v>
      </x:c>
      <x:c r="L1563" s="11" t="n">
        <x:f>IF(B1563="NED",1,IF(OR(B1563="ED",B1563="UN"),0,""))</x:f>
        <x:v>0</x:v>
      </x:c>
      <x:c r="M1563" s="11" t="n">
        <x:f>IF(AND(K1563=1,OR(B1563="ED",B1563="NED")),1,0)</x:f>
        <x:v>0</x:v>
      </x:c>
      <x:c r="N1563" s="11" t="n">
        <x:f>IF(K1563=1,1,0)</x:f>
        <x:v>0</x:v>
      </x:c>
      <x:c r="O1563" s="12" t="str">
        <x:v>Exclude supplied knotted proteins</x:v>
      </x:c>
      <x:c r="P1563" s="11" t="n">
        <x:v>0</x:v>
      </x:c>
      <x:c r="Q1563" s="12" t="str">
        <x:v>AF-Q63850-F1-model_v6</x:v>
      </x:c>
      <x:c r="R1563" s="12" t="str">
        <x:v>ok</x:v>
      </x:c>
      <x:c r="S1563" s="11" t="n">
        <x:v>1121</x:v>
      </x:c>
      <x:c r="T1563" s="11" t="n">
        <x:v>526</x:v>
      </x:c>
    </x:row>
    <x:row r="1564" ht="23" customHeight="1">
      <x:c r="A1564" s="2" t="str">
        <x:v>Q63918</x:v>
      </x:c>
      <x:c r="B1564" s="2" t="str">
        <x:v>NED</x:v>
      </x:c>
      <x:c r="C1564" s="2" t="n">
        <x:v>0</x:v>
      </x:c>
      <x:c r="D1564" s="2" t="n">
        <x:v>0</x:v>
      </x:c>
      <x:c r="E1564" s="10"/>
      <x:c r="F1564" s="11" t="n">
        <x:v>418</x:v>
      </x:c>
      <x:c r="G1564" s="11" t="n">
        <x:v>0</x:v>
      </x:c>
      <x:c r="H1564" s="11" t="n">
        <x:v>0</x:v>
      </x:c>
      <x:c r="I1564" s="11" t="n">
        <x:v>1</x:v>
      </x:c>
      <x:c r="J1564" s="11" t="n">
        <x:v>0</x:v>
      </x:c>
      <x:c r="K1564" s="11" t="n">
        <x:v>0</x:v>
      </x:c>
      <x:c r="L1564" s="11" t="n">
        <x:f>IF(B1564="NED",1,IF(OR(B1564="ED",B1564="UN"),0,""))</x:f>
        <x:v>1</x:v>
      </x:c>
      <x:c r="M1564" s="11" t="n">
        <x:f>IF(AND(K1564=1,OR(B1564="ED",B1564="NED")),1,0)</x:f>
        <x:v>0</x:v>
      </x:c>
      <x:c r="N1564" s="11" t="n">
        <x:f>IF(K1564=1,1,0)</x:f>
        <x:v>0</x:v>
      </x:c>
      <x:c r="O1564" s="12" t="str">
        <x:v>Exclude UniProt Membrane keyword</x:v>
      </x:c>
      <x:c r="P1564" s="11" t="n">
        <x:v>0</x:v>
      </x:c>
      <x:c r="Q1564" s="12" t="str">
        <x:v>AF-Q63918-F1-model_v6</x:v>
      </x:c>
      <x:c r="R1564" s="12" t="str">
        <x:v>ok</x:v>
      </x:c>
      <x:c r="S1564" s="11" t="n">
        <x:v>1122</x:v>
      </x:c>
      <x:c r="T1564" s="11" t="n">
        <x:v>418</x:v>
      </x:c>
    </x:row>
    <x:row r="1565" ht="23" customHeight="1">
      <x:c r="A1565" s="2" t="str">
        <x:v>Q64012-2</x:v>
      </x:c>
      <x:c r="B1565" s="2" t="str">
        <x:v>UN</x:v>
      </x:c>
      <x:c r="C1565" s="2"/>
      <x:c r="D1565" s="2"/>
      <x:c r="E1565" s="10"/>
      <x:c r="F1565" s="11"/>
      <x:c r="G1565" s="11" t="n">
        <x:v>0</x:v>
      </x:c>
      <x:c r="H1565" s="11" t="n">
        <x:v>0</x:v>
      </x:c>
      <x:c r="I1565" s="11"/>
      <x:c r="J1565" s="11"/>
      <x:c r="K1565" s="11" t="n">
        <x:v>0</x:v>
      </x:c>
      <x:c r="L1565" s="11" t="n">
        <x:f>IF(B1565="NED",1,IF(OR(B1565="ED",B1565="UN"),0,""))</x:f>
        <x:v>0</x:v>
      </x:c>
      <x:c r="M1565" s="11" t="n">
        <x:f>IF(AND(K1565=1,OR(B1565="ED",B1565="NED")),1,0)</x:f>
        <x:v>0</x:v>
      </x:c>
      <x:c r="N1565" s="11" t="n">
        <x:f>IF(K1565=1,1,0)</x:f>
        <x:v>0</x:v>
      </x:c>
      <x:c r="O1565" s="12" t="str">
        <x:v>Require exact native accession match</x:v>
      </x:c>
      <x:c r="P1565" s="11" t="n">
        <x:v>0</x:v>
      </x:c>
      <x:c r="Q1565" s="12"/>
      <x:c r="R1565" s="12"/>
      <x:c r="S1565" s="11" t="n">
        <x:v>1123</x:v>
      </x:c>
      <x:c r="T1565" s="11"/>
    </x:row>
    <x:row r="1566" ht="23" customHeight="1">
      <x:c r="A1566" s="2" t="str">
        <x:v>Q640M1</x:v>
      </x:c>
      <x:c r="B1566" s="2" t="str">
        <x:v>UN</x:v>
      </x:c>
      <x:c r="C1566" s="2" t="n">
        <x:v>0</x:v>
      </x:c>
      <x:c r="D1566" s="2" t="n">
        <x:v>0</x:v>
      </x:c>
      <x:c r="E1566" s="10" t="n">
        <x:v>66.58705345501956</x:v>
      </x:c>
      <x:c r="F1566" s="11" t="n">
        <x:v>767</x:v>
      </x:c>
      <x:c r="G1566" s="11" t="n">
        <x:v>0</x:v>
      </x:c>
      <x:c r="H1566" s="11" t="n">
        <x:v>0</x:v>
      </x:c>
      <x:c r="I1566" s="11" t="n">
        <x:v>0</x:v>
      </x:c>
      <x:c r="J1566" s="11" t="n">
        <x:v>0</x:v>
      </x:c>
      <x:c r="K1566" s="11" t="n">
        <x:v>0</x:v>
      </x:c>
      <x:c r="L1566" s="11" t="n">
        <x:f>IF(B1566="NED",1,IF(OR(B1566="ED",B1566="UN"),0,""))</x:f>
        <x:v>0</x:v>
      </x:c>
      <x:c r="M1566" s="11" t="n">
        <x:f>IF(AND(K1566=1,OR(B1566="ED",B1566="NED")),1,0)</x:f>
        <x:v>0</x:v>
      </x:c>
      <x:c r="N1566" s="11" t="n">
        <x:f>IF(K1566=1,1,0)</x:f>
        <x:v>0</x:v>
      </x:c>
      <x:c r="O1566" s="12" t="str">
        <x:v>Retain protein mean pLDDT &gt;=70</x:v>
      </x:c>
      <x:c r="P1566" s="11" t="n">
        <x:v>0</x:v>
      </x:c>
      <x:c r="Q1566" s="12" t="str">
        <x:v>AF-Q640M1-F1-model_v6</x:v>
      </x:c>
      <x:c r="R1566" s="12" t="str">
        <x:v>ok</x:v>
      </x:c>
      <x:c r="S1566" s="11" t="n">
        <x:v>1124</x:v>
      </x:c>
      <x:c r="T1566" s="11" t="n">
        <x:v>767</x:v>
      </x:c>
    </x:row>
    <x:row r="1567" ht="23" customHeight="1">
      <x:c r="A1567" s="2" t="str">
        <x:v>Q640N1</x:v>
      </x:c>
      <x:c r="B1567" s="2" t="str">
        <x:v>ED</x:v>
      </x:c>
      <x:c r="C1567" s="2"/>
      <x:c r="D1567" s="2"/>
      <x:c r="E1567" s="10"/>
      <x:c r="F1567" s="11" t="n">
        <x:v>1128</x:v>
      </x:c>
      <x:c r="G1567" s="11" t="n">
        <x:v>0</x:v>
      </x:c>
      <x:c r="H1567" s="11" t="n">
        <x:v>1</x:v>
      </x:c>
      <x:c r="I1567" s="11" t="n">
        <x:v>0</x:v>
      </x:c>
      <x:c r="J1567" s="11" t="n">
        <x:v>1</x:v>
      </x:c>
      <x:c r="K1567" s="11" t="n">
        <x:v>0</x:v>
      </x:c>
      <x:c r="L1567" s="11" t="n">
        <x:f>IF(B1567="NED",1,IF(OR(B1567="ED",B1567="UN"),0,""))</x:f>
        <x:v>0</x:v>
      </x:c>
      <x:c r="M1567" s="11" t="n">
        <x:f>IF(AND(K1567=1,OR(B1567="ED",B1567="NED")),1,0)</x:f>
        <x:v>0</x:v>
      </x:c>
      <x:c r="N1567" s="11" t="n">
        <x:f>IF(K1567=1,1,0)</x:f>
        <x:v>0</x:v>
      </x:c>
      <x:c r="O1567" s="12" t="str">
        <x:v>Require binary native NCLE status</x:v>
      </x:c>
      <x:c r="P1567" s="11" t="n">
        <x:v>0</x:v>
      </x:c>
      <x:c r="Q1567" s="12" t="str">
        <x:v>AF-Q640N1-F1-model_v6</x:v>
      </x:c>
      <x:c r="R1567" s="12" t="str">
        <x:v>ok</x:v>
      </x:c>
      <x:c r="S1567" s="11" t="n">
        <x:v>1125</x:v>
      </x:c>
      <x:c r="T1567" s="11" t="n">
        <x:v>1128</x:v>
      </x:c>
    </x:row>
    <x:row r="1568" ht="23" customHeight="1">
      <x:c r="A1568" s="2" t="str">
        <x:v>Q64127-2</x:v>
      </x:c>
      <x:c r="B1568" s="2" t="str">
        <x:v>UN</x:v>
      </x:c>
      <x:c r="C1568" s="2"/>
      <x:c r="D1568" s="2"/>
      <x:c r="E1568" s="10"/>
      <x:c r="F1568" s="11"/>
      <x:c r="G1568" s="11" t="n">
        <x:v>0</x:v>
      </x:c>
      <x:c r="H1568" s="11" t="n">
        <x:v>0</x:v>
      </x:c>
      <x:c r="I1568" s="11"/>
      <x:c r="J1568" s="11"/>
      <x:c r="K1568" s="11" t="n">
        <x:v>0</x:v>
      </x:c>
      <x:c r="L1568" s="11" t="n">
        <x:f>IF(B1568="NED",1,IF(OR(B1568="ED",B1568="UN"),0,""))</x:f>
        <x:v>0</x:v>
      </x:c>
      <x:c r="M1568" s="11" t="n">
        <x:f>IF(AND(K1568=1,OR(B1568="ED",B1568="NED")),1,0)</x:f>
        <x:v>0</x:v>
      </x:c>
      <x:c r="N1568" s="11" t="n">
        <x:f>IF(K1568=1,1,0)</x:f>
        <x:v>0</x:v>
      </x:c>
      <x:c r="O1568" s="12" t="str">
        <x:v>Require exact native accession match</x:v>
      </x:c>
      <x:c r="P1568" s="11" t="n">
        <x:v>0</x:v>
      </x:c>
      <x:c r="Q1568" s="12"/>
      <x:c r="R1568" s="12"/>
      <x:c r="S1568" s="11" t="n">
        <x:v>1126</x:v>
      </x:c>
      <x:c r="T1568" s="11"/>
    </x:row>
    <x:row r="1569" ht="23" customHeight="1">
      <x:c r="A1569" s="2" t="str">
        <x:v>Q64152</x:v>
      </x:c>
      <x:c r="B1569" s="2" t="str">
        <x:v>ED</x:v>
      </x:c>
      <x:c r="C1569" s="2" t="n">
        <x:v>0</x:v>
      </x:c>
      <x:c r="D1569" s="2" t="n">
        <x:v>0</x:v>
      </x:c>
      <x:c r="E1569" s="10" t="n">
        <x:v>72.21377450980393</x:v>
      </x:c>
      <x:c r="F1569" s="11" t="n">
        <x:v>204</x:v>
      </x:c>
      <x:c r="G1569" s="11" t="n">
        <x:v>0</x:v>
      </x:c>
      <x:c r="H1569" s="11" t="n">
        <x:v>0</x:v>
      </x:c>
      <x:c r="I1569" s="11" t="n">
        <x:v>0</x:v>
      </x:c>
      <x:c r="J1569" s="11" t="n">
        <x:v>0</x:v>
      </x:c>
      <x:c r="K1569" s="11" t="n">
        <x:v>1</x:v>
      </x:c>
      <x:c r="L1569" s="11" t="n">
        <x:f>IF(B1569="NED",1,IF(OR(B1569="ED",B1569="UN"),0,""))</x:f>
        <x:v>0</x:v>
      </x:c>
      <x:c r="M1569" s="11" t="n">
        <x:f>IF(AND(K1569=1,OR(B1569="ED",B1569="NED")),1,0)</x:f>
        <x:v>1</x:v>
      </x:c>
      <x:c r="N1569" s="11" t="n">
        <x:f>IF(K1569=1,1,0)</x:f>
        <x:v>1</x:v>
      </x:c>
      <x:c r="O1569" s="12"/>
      <x:c r="P1569" s="11" t="n">
        <x:v>0</x:v>
      </x:c>
      <x:c r="Q1569" s="12" t="str">
        <x:v>AF-Q64152-F1-model_v6</x:v>
      </x:c>
      <x:c r="R1569" s="12" t="str">
        <x:v>ok</x:v>
      </x:c>
      <x:c r="S1569" s="11" t="n">
        <x:v>1127</x:v>
      </x:c>
      <x:c r="T1569" s="11" t="n">
        <x:v>204</x:v>
      </x:c>
    </x:row>
    <x:row r="1570" ht="23" customHeight="1">
      <x:c r="A1570" s="2" t="str">
        <x:v>Q64261</x:v>
      </x:c>
      <x:c r="B1570" s="2" t="str">
        <x:v>ED</x:v>
      </x:c>
      <x:c r="C1570" s="2" t="n">
        <x:v>1</x:v>
      </x:c>
      <x:c r="D1570" s="2" t="n">
        <x:v>1</x:v>
      </x:c>
      <x:c r="E1570" s="10" t="n">
        <x:v>86.45656441717792</x:v>
      </x:c>
      <x:c r="F1570" s="11" t="n">
        <x:v>326</x:v>
      </x:c>
      <x:c r="G1570" s="11" t="n">
        <x:v>0</x:v>
      </x:c>
      <x:c r="H1570" s="11" t="n">
        <x:v>0</x:v>
      </x:c>
      <x:c r="I1570" s="11" t="n">
        <x:v>0</x:v>
      </x:c>
      <x:c r="J1570" s="11" t="n">
        <x:v>0</x:v>
      </x:c>
      <x:c r="K1570" s="11" t="n">
        <x:v>1</x:v>
      </x:c>
      <x:c r="L1570" s="11" t="n">
        <x:f>IF(B1570="NED",1,IF(OR(B1570="ED",B1570="UN"),0,""))</x:f>
        <x:v>0</x:v>
      </x:c>
      <x:c r="M1570" s="11" t="n">
        <x:f>IF(AND(K1570=1,OR(B1570="ED",B1570="NED")),1,0)</x:f>
        <x:v>1</x:v>
      </x:c>
      <x:c r="N1570" s="11" t="n">
        <x:f>IF(K1570=1,1,0)</x:f>
        <x:v>1</x:v>
      </x:c>
      <x:c r="O1570" s="12"/>
      <x:c r="P1570" s="11" t="n">
        <x:v>0</x:v>
      </x:c>
      <x:c r="Q1570" s="12" t="str">
        <x:v>AF-Q64261-F1-model_v6</x:v>
      </x:c>
      <x:c r="R1570" s="12" t="str">
        <x:v>ok</x:v>
      </x:c>
      <x:c r="S1570" s="11" t="n">
        <x:v>1128</x:v>
      </x:c>
      <x:c r="T1570" s="11" t="n">
        <x:v>326</x:v>
      </x:c>
    </x:row>
    <x:row r="1571" ht="23" customHeight="1">
      <x:c r="A1571" s="2" t="str">
        <x:v>Q642K5</x:v>
      </x:c>
      <x:c r="B1571" s="2" t="str">
        <x:v>NED</x:v>
      </x:c>
      <x:c r="C1571" s="2"/>
      <x:c r="D1571" s="2"/>
      <x:c r="E1571" s="10"/>
      <x:c r="F1571" s="11"/>
      <x:c r="G1571" s="11" t="n">
        <x:v>0</x:v>
      </x:c>
      <x:c r="H1571" s="11" t="n">
        <x:v>0</x:v>
      </x:c>
      <x:c r="I1571" s="11"/>
      <x:c r="J1571" s="11"/>
      <x:c r="K1571" s="11" t="n">
        <x:v>0</x:v>
      </x:c>
      <x:c r="L1571" s="11" t="n">
        <x:f>IF(B1571="NED",1,IF(OR(B1571="ED",B1571="UN"),0,""))</x:f>
        <x:v>1</x:v>
      </x:c>
      <x:c r="M1571" s="11" t="n">
        <x:f>IF(AND(K1571=1,OR(B1571="ED",B1571="NED")),1,0)</x:f>
        <x:v>0</x:v>
      </x:c>
      <x:c r="N1571" s="11" t="n">
        <x:f>IF(K1571=1,1,0)</x:f>
        <x:v>0</x:v>
      </x:c>
      <x:c r="O1571" s="12" t="str">
        <x:v>Require exact native accession match</x:v>
      </x:c>
      <x:c r="P1571" s="11" t="n">
        <x:v>0</x:v>
      </x:c>
      <x:c r="Q1571" s="12"/>
      <x:c r="R1571" s="12"/>
      <x:c r="S1571" s="11" t="n">
        <x:v>3185</x:v>
      </x:c>
      <x:c r="T1571" s="11"/>
    </x:row>
    <x:row r="1572" ht="23" customHeight="1">
      <x:c r="A1572" s="2" t="str">
        <x:v>Q64310</x:v>
      </x:c>
      <x:c r="B1572" s="2" t="str">
        <x:v>UN</x:v>
      </x:c>
      <x:c r="C1572" s="2" t="n">
        <x:v>1</x:v>
      </x:c>
      <x:c r="D1572" s="2" t="n">
        <x:v>1</x:v>
      </x:c>
      <x:c r="E1572" s="10"/>
      <x:c r="F1572" s="11" t="n">
        <x:v>269</x:v>
      </x:c>
      <x:c r="G1572" s="11" t="n">
        <x:v>0</x:v>
      </x:c>
      <x:c r="H1572" s="11" t="n">
        <x:v>0</x:v>
      </x:c>
      <x:c r="I1572" s="11" t="n">
        <x:v>1</x:v>
      </x:c>
      <x:c r="J1572" s="11" t="n">
        <x:v>0</x:v>
      </x:c>
      <x:c r="K1572" s="11" t="n">
        <x:v>0</x:v>
      </x:c>
      <x:c r="L1572" s="11" t="n">
        <x:f>IF(B1572="NED",1,IF(OR(B1572="ED",B1572="UN"),0,""))</x:f>
        <x:v>0</x:v>
      </x:c>
      <x:c r="M1572" s="11" t="n">
        <x:f>IF(AND(K1572=1,OR(B1572="ED",B1572="NED")),1,0)</x:f>
        <x:v>0</x:v>
      </x:c>
      <x:c r="N1572" s="11" t="n">
        <x:f>IF(K1572=1,1,0)</x:f>
        <x:v>0</x:v>
      </x:c>
      <x:c r="O1572" s="12" t="str">
        <x:v>Exclude UniProt Membrane keyword</x:v>
      </x:c>
      <x:c r="P1572" s="11" t="n">
        <x:v>0</x:v>
      </x:c>
      <x:c r="Q1572" s="12" t="str">
        <x:v>AF-Q64310-F1-model_v6</x:v>
      </x:c>
      <x:c r="R1572" s="12" t="str">
        <x:v>ok</x:v>
      </x:c>
      <x:c r="S1572" s="11" t="n">
        <x:v>1129</x:v>
      </x:c>
      <x:c r="T1572" s="11" t="n">
        <x:v>269</x:v>
      </x:c>
    </x:row>
    <x:row r="1573" ht="23" customHeight="1">
      <x:c r="A1573" s="2" t="str">
        <x:v>Q64314</x:v>
      </x:c>
      <x:c r="B1573" s="2" t="str">
        <x:v>UN</x:v>
      </x:c>
      <x:c r="C1573" s="2" t="n">
        <x:v>1</x:v>
      </x:c>
      <x:c r="D1573" s="2" t="n">
        <x:v>1</x:v>
      </x:c>
      <x:c r="E1573" s="10"/>
      <x:c r="F1573" s="11" t="n">
        <x:v>382</x:v>
      </x:c>
      <x:c r="G1573" s="11" t="n">
        <x:v>0</x:v>
      </x:c>
      <x:c r="H1573" s="11" t="n">
        <x:v>0</x:v>
      </x:c>
      <x:c r="I1573" s="11" t="n">
        <x:v>1</x:v>
      </x:c>
      <x:c r="J1573" s="11" t="n">
        <x:v>0</x:v>
      </x:c>
      <x:c r="K1573" s="11" t="n">
        <x:v>0</x:v>
      </x:c>
      <x:c r="L1573" s="11" t="n">
        <x:f>IF(B1573="NED",1,IF(OR(B1573="ED",B1573="UN"),0,""))</x:f>
        <x:v>0</x:v>
      </x:c>
      <x:c r="M1573" s="11" t="n">
        <x:f>IF(AND(K1573=1,OR(B1573="ED",B1573="NED")),1,0)</x:f>
        <x:v>0</x:v>
      </x:c>
      <x:c r="N1573" s="11" t="n">
        <x:f>IF(K1573=1,1,0)</x:f>
        <x:v>0</x:v>
      </x:c>
      <x:c r="O1573" s="12" t="str">
        <x:v>Exclude UniProt Membrane keyword</x:v>
      </x:c>
      <x:c r="P1573" s="11" t="n">
        <x:v>0</x:v>
      </x:c>
      <x:c r="Q1573" s="12" t="str">
        <x:v>AF-Q64314-F1-model_v6</x:v>
      </x:c>
      <x:c r="R1573" s="12" t="str">
        <x:v>ok</x:v>
      </x:c>
      <x:c r="S1573" s="11" t="n">
        <x:v>1130</x:v>
      </x:c>
      <x:c r="T1573" s="11" t="n">
        <x:v>382</x:v>
      </x:c>
    </x:row>
    <x:row r="1574" ht="23" customHeight="1">
      <x:c r="A1574" s="2" t="str">
        <x:v>Q64318</x:v>
      </x:c>
      <x:c r="B1574" s="2" t="str">
        <x:v>ED</x:v>
      </x:c>
      <x:c r="C1574" s="2" t="n">
        <x:v>1</x:v>
      </x:c>
      <x:c r="D1574" s="2"/>
      <x:c r="E1574" s="10" t="n">
        <x:v>49.26332139659803</x:v>
      </x:c>
      <x:c r="F1574" s="11" t="n">
        <x:v>1117</x:v>
      </x:c>
      <x:c r="G1574" s="11" t="n">
        <x:v>0</x:v>
      </x:c>
      <x:c r="H1574" s="11" t="n">
        <x:v>0</x:v>
      </x:c>
      <x:c r="I1574" s="11" t="n">
        <x:v>0</x:v>
      </x:c>
      <x:c r="J1574" s="11" t="n">
        <x:v>0</x:v>
      </x:c>
      <x:c r="K1574" s="11" t="n">
        <x:v>0</x:v>
      </x:c>
      <x:c r="L1574" s="11" t="n">
        <x:f>IF(B1574="NED",1,IF(OR(B1574="ED",B1574="UN"),0,""))</x:f>
        <x:v>0</x:v>
      </x:c>
      <x:c r="M1574" s="11" t="n">
        <x:f>IF(AND(K1574=1,OR(B1574="ED",B1574="NED")),1,0)</x:f>
        <x:v>0</x:v>
      </x:c>
      <x:c r="N1574" s="11" t="n">
        <x:f>IF(K1574=1,1,0)</x:f>
        <x:v>0</x:v>
      </x:c>
      <x:c r="O1574" s="12" t="str">
        <x:v>Retain protein mean pLDDT &gt;=70</x:v>
      </x:c>
      <x:c r="P1574" s="11" t="n">
        <x:v>0</x:v>
      </x:c>
      <x:c r="Q1574" s="12" t="str">
        <x:v>AF-Q64318-F1-model_v6</x:v>
      </x:c>
      <x:c r="R1574" s="12" t="str">
        <x:v>ok</x:v>
      </x:c>
      <x:c r="S1574" s="11" t="n">
        <x:v>1131</x:v>
      </x:c>
      <x:c r="T1574" s="11" t="n">
        <x:v>1117</x:v>
      </x:c>
    </x:row>
    <x:row r="1575" ht="23" customHeight="1">
      <x:c r="A1575" s="2" t="str">
        <x:v>Q64337</x:v>
      </x:c>
      <x:c r="B1575" s="2" t="str">
        <x:v>ED</x:v>
      </x:c>
      <x:c r="C1575" s="2" t="n">
        <x:v>1</x:v>
      </x:c>
      <x:c r="D1575" s="2" t="n">
        <x:v>1</x:v>
      </x:c>
      <x:c r="E1575" s="10" t="n">
        <x:v>66.90830316742081</x:v>
      </x:c>
      <x:c r="F1575" s="11" t="n">
        <x:v>442</x:v>
      </x:c>
      <x:c r="G1575" s="11" t="n">
        <x:v>0</x:v>
      </x:c>
      <x:c r="H1575" s="11" t="n">
        <x:v>0</x:v>
      </x:c>
      <x:c r="I1575" s="11" t="n">
        <x:v>0</x:v>
      </x:c>
      <x:c r="J1575" s="11" t="n">
        <x:v>0</x:v>
      </x:c>
      <x:c r="K1575" s="11" t="n">
        <x:v>0</x:v>
      </x:c>
      <x:c r="L1575" s="11" t="n">
        <x:f>IF(B1575="NED",1,IF(OR(B1575="ED",B1575="UN"),0,""))</x:f>
        <x:v>0</x:v>
      </x:c>
      <x:c r="M1575" s="11" t="n">
        <x:f>IF(AND(K1575=1,OR(B1575="ED",B1575="NED")),1,0)</x:f>
        <x:v>0</x:v>
      </x:c>
      <x:c r="N1575" s="11" t="n">
        <x:f>IF(K1575=1,1,0)</x:f>
        <x:v>0</x:v>
      </x:c>
      <x:c r="O1575" s="12" t="str">
        <x:v>Retain protein mean pLDDT &gt;=70</x:v>
      </x:c>
      <x:c r="P1575" s="11" t="n">
        <x:v>0</x:v>
      </x:c>
      <x:c r="Q1575" s="12" t="str">
        <x:v>AF-Q64337-F1-model_v6</x:v>
      </x:c>
      <x:c r="R1575" s="12" t="str">
        <x:v>ok</x:v>
      </x:c>
      <x:c r="S1575" s="11" t="n">
        <x:v>1132</x:v>
      </x:c>
      <x:c r="T1575" s="11" t="n">
        <x:v>442</x:v>
      </x:c>
    </x:row>
    <x:row r="1576" ht="23" customHeight="1">
      <x:c r="A1576" s="2" t="str">
        <x:v>Q64364</x:v>
      </x:c>
      <x:c r="B1576" s="2" t="str">
        <x:v>ED</x:v>
      </x:c>
      <x:c r="C1576" s="2" t="n">
        <x:v>0</x:v>
      </x:c>
      <x:c r="D1576" s="2" t="n">
        <x:v>0</x:v>
      </x:c>
      <x:c r="E1576" s="10" t="n">
        <x:v>52.98473372781065</x:v>
      </x:c>
      <x:c r="F1576" s="11" t="n">
        <x:v>169</x:v>
      </x:c>
      <x:c r="G1576" s="11" t="n">
        <x:v>0</x:v>
      </x:c>
      <x:c r="H1576" s="11" t="n">
        <x:v>0</x:v>
      </x:c>
      <x:c r="I1576" s="11" t="n">
        <x:v>0</x:v>
      </x:c>
      <x:c r="J1576" s="11" t="n">
        <x:v>0</x:v>
      </x:c>
      <x:c r="K1576" s="11" t="n">
        <x:v>0</x:v>
      </x:c>
      <x:c r="L1576" s="11" t="n">
        <x:f>IF(B1576="NED",1,IF(OR(B1576="ED",B1576="UN"),0,""))</x:f>
        <x:v>0</x:v>
      </x:c>
      <x:c r="M1576" s="11" t="n">
        <x:f>IF(AND(K1576=1,OR(B1576="ED",B1576="NED")),1,0)</x:f>
        <x:v>0</x:v>
      </x:c>
      <x:c r="N1576" s="11" t="n">
        <x:f>IF(K1576=1,1,0)</x:f>
        <x:v>0</x:v>
      </x:c>
      <x:c r="O1576" s="12" t="str">
        <x:v>Retain protein mean pLDDT &gt;=70</x:v>
      </x:c>
      <x:c r="P1576" s="11" t="n">
        <x:v>0</x:v>
      </x:c>
      <x:c r="Q1576" s="12" t="str">
        <x:v>AF-Q64364-F1-model_v6</x:v>
      </x:c>
      <x:c r="R1576" s="12" t="str">
        <x:v>ok</x:v>
      </x:c>
      <x:c r="S1576" s="11" t="n">
        <x:v>1133</x:v>
      </x:c>
      <x:c r="T1576" s="11" t="n">
        <x:v>169</x:v>
      </x:c>
    </x:row>
    <x:row r="1577" ht="23" customHeight="1">
      <x:c r="A1577" s="2" t="str">
        <x:v>Q64430</x:v>
      </x:c>
      <x:c r="B1577" s="2" t="str">
        <x:v>UN</x:v>
      </x:c>
      <x:c r="C1577" s="2" t="n">
        <x:v>1</x:v>
      </x:c>
      <x:c r="D1577" s="2" t="n">
        <x:v>1</x:v>
      </x:c>
      <x:c r="E1577" s="10"/>
      <x:c r="F1577" s="11" t="n">
        <x:v>1491</x:v>
      </x:c>
      <x:c r="G1577" s="11" t="n">
        <x:v>0</x:v>
      </x:c>
      <x:c r="H1577" s="11" t="n">
        <x:v>0</x:v>
      </x:c>
      <x:c r="I1577" s="11" t="n">
        <x:v>1</x:v>
      </x:c>
      <x:c r="J1577" s="11" t="n">
        <x:v>0</x:v>
      </x:c>
      <x:c r="K1577" s="11" t="n">
        <x:v>0</x:v>
      </x:c>
      <x:c r="L1577" s="11" t="n">
        <x:f>IF(B1577="NED",1,IF(OR(B1577="ED",B1577="UN"),0,""))</x:f>
        <x:v>0</x:v>
      </x:c>
      <x:c r="M1577" s="11" t="n">
        <x:f>IF(AND(K1577=1,OR(B1577="ED",B1577="NED")),1,0)</x:f>
        <x:v>0</x:v>
      </x:c>
      <x:c r="N1577" s="11" t="n">
        <x:f>IF(K1577=1,1,0)</x:f>
        <x:v>0</x:v>
      </x:c>
      <x:c r="O1577" s="12" t="str">
        <x:v>Exclude UniProt Membrane keyword</x:v>
      </x:c>
      <x:c r="P1577" s="11" t="n">
        <x:v>0</x:v>
      </x:c>
      <x:c r="Q1577" s="12" t="str">
        <x:v>AF-Q64430-F1-model_v6</x:v>
      </x:c>
      <x:c r="R1577" s="12" t="str">
        <x:v>ok</x:v>
      </x:c>
      <x:c r="S1577" s="11" t="n">
        <x:v>1134</x:v>
      </x:c>
      <x:c r="T1577" s="11" t="n">
        <x:v>1491</x:v>
      </x:c>
    </x:row>
    <x:row r="1578" ht="23" customHeight="1">
      <x:c r="A1578" s="2" t="str">
        <x:v>Q64433</x:v>
      </x:c>
      <x:c r="B1578" s="2" t="str">
        <x:v>ED</x:v>
      </x:c>
      <x:c r="C1578" s="2" t="n">
        <x:v>1</x:v>
      </x:c>
      <x:c r="D1578" s="2" t="n">
        <x:v>1</x:v>
      </x:c>
      <x:c r="E1578" s="10" t="n">
        <x:v>90.48764705882353</x:v>
      </x:c>
      <x:c r="F1578" s="11" t="n">
        <x:v>102</x:v>
      </x:c>
      <x:c r="G1578" s="11" t="n">
        <x:v>0</x:v>
      </x:c>
      <x:c r="H1578" s="11" t="n">
        <x:v>0</x:v>
      </x:c>
      <x:c r="I1578" s="11" t="n">
        <x:v>0</x:v>
      </x:c>
      <x:c r="J1578" s="11" t="n">
        <x:v>0</x:v>
      </x:c>
      <x:c r="K1578" s="11" t="n">
        <x:v>1</x:v>
      </x:c>
      <x:c r="L1578" s="11" t="n">
        <x:f>IF(B1578="NED",1,IF(OR(B1578="ED",B1578="UN"),0,""))</x:f>
        <x:v>0</x:v>
      </x:c>
      <x:c r="M1578" s="11" t="n">
        <x:f>IF(AND(K1578=1,OR(B1578="ED",B1578="NED")),1,0)</x:f>
        <x:v>1</x:v>
      </x:c>
      <x:c r="N1578" s="11" t="n">
        <x:f>IF(K1578=1,1,0)</x:f>
        <x:v>1</x:v>
      </x:c>
      <x:c r="O1578" s="12"/>
      <x:c r="P1578" s="11" t="n">
        <x:v>0</x:v>
      </x:c>
      <x:c r="Q1578" s="12" t="str">
        <x:v>AF-Q64433-F1-model_v6</x:v>
      </x:c>
      <x:c r="R1578" s="12" t="str">
        <x:v>ok</x:v>
      </x:c>
      <x:c r="S1578" s="11" t="n">
        <x:v>1135</x:v>
      </x:c>
      <x:c r="T1578" s="11" t="n">
        <x:v>102</x:v>
      </x:c>
    </x:row>
    <x:row r="1579" ht="23" customHeight="1">
      <x:c r="A1579" s="2" t="str">
        <x:v>Q64435</x:v>
      </x:c>
      <x:c r="B1579" s="2" t="str">
        <x:v>UN</x:v>
      </x:c>
      <x:c r="C1579" s="2" t="n">
        <x:v>1</x:v>
      </x:c>
      <x:c r="D1579" s="2" t="n">
        <x:v>1</x:v>
      </x:c>
      <x:c r="E1579" s="10"/>
      <x:c r="F1579" s="11" t="n">
        <x:v>531</x:v>
      </x:c>
      <x:c r="G1579" s="11" t="n">
        <x:v>0</x:v>
      </x:c>
      <x:c r="H1579" s="11" t="n">
        <x:v>0</x:v>
      </x:c>
      <x:c r="I1579" s="11" t="n">
        <x:v>1</x:v>
      </x:c>
      <x:c r="J1579" s="11" t="n">
        <x:v>0</x:v>
      </x:c>
      <x:c r="K1579" s="11" t="n">
        <x:v>0</x:v>
      </x:c>
      <x:c r="L1579" s="11" t="n">
        <x:f>IF(B1579="NED",1,IF(OR(B1579="ED",B1579="UN"),0,""))</x:f>
        <x:v>0</x:v>
      </x:c>
      <x:c r="M1579" s="11" t="n">
        <x:f>IF(AND(K1579=1,OR(B1579="ED",B1579="NED")),1,0)</x:f>
        <x:v>0</x:v>
      </x:c>
      <x:c r="N1579" s="11" t="n">
        <x:f>IF(K1579=1,1,0)</x:f>
        <x:v>0</x:v>
      </x:c>
      <x:c r="O1579" s="12" t="str">
        <x:v>Exclude UniProt Membrane keyword</x:v>
      </x:c>
      <x:c r="P1579" s="11" t="n">
        <x:v>0</x:v>
      </x:c>
      <x:c r="Q1579" s="12" t="str">
        <x:v>AF-Q64435-F1-model_v6</x:v>
      </x:c>
      <x:c r="R1579" s="12" t="str">
        <x:v>ok</x:v>
      </x:c>
      <x:c r="S1579" s="11" t="n">
        <x:v>1136</x:v>
      </x:c>
      <x:c r="T1579" s="11" t="n">
        <x:v>531</x:v>
      </x:c>
    </x:row>
    <x:row r="1580" ht="23" customHeight="1">
      <x:c r="A1580" s="2" t="str">
        <x:v>Q64437</x:v>
      </x:c>
      <x:c r="B1580" s="2" t="str">
        <x:v>UN</x:v>
      </x:c>
      <x:c r="C1580" s="2" t="n">
        <x:v>1</x:v>
      </x:c>
      <x:c r="D1580" s="2" t="n">
        <x:v>1</x:v>
      </x:c>
      <x:c r="E1580" s="10" t="n">
        <x:v>97.30342245989306</x:v>
      </x:c>
      <x:c r="F1580" s="11" t="n">
        <x:v>374</x:v>
      </x:c>
      <x:c r="G1580" s="11" t="n">
        <x:v>0</x:v>
      </x:c>
      <x:c r="H1580" s="11" t="n">
        <x:v>0</x:v>
      </x:c>
      <x:c r="I1580" s="11" t="n">
        <x:v>0</x:v>
      </x:c>
      <x:c r="J1580" s="11" t="n">
        <x:v>0</x:v>
      </x:c>
      <x:c r="K1580" s="11" t="n">
        <x:v>1</x:v>
      </x:c>
      <x:c r="L1580" s="11" t="n">
        <x:f>IF(B1580="NED",1,IF(OR(B1580="ED",B1580="UN"),0,""))</x:f>
        <x:v>0</x:v>
      </x:c>
      <x:c r="M1580" s="11" t="n">
        <x:f>IF(AND(K1580=1,OR(B1580="ED",B1580="NED")),1,0)</x:f>
        <x:v>0</x:v>
      </x:c>
      <x:c r="N1580" s="11" t="n">
        <x:f>IF(K1580=1,1,0)</x:f>
        <x:v>1</x:v>
      </x:c>
      <x:c r="O1580" s="12"/>
      <x:c r="P1580" s="11" t="n">
        <x:v>0</x:v>
      </x:c>
      <x:c r="Q1580" s="12" t="str">
        <x:v>AF-Q64437-F1-model_v6</x:v>
      </x:c>
      <x:c r="R1580" s="12" t="str">
        <x:v>ok</x:v>
      </x:c>
      <x:c r="S1580" s="11" t="n">
        <x:v>1137</x:v>
      </x:c>
      <x:c r="T1580" s="11" t="n">
        <x:v>374</x:v>
      </x:c>
    </x:row>
    <x:row r="1581" ht="23" customHeight="1">
      <x:c r="A1581" s="2" t="str">
        <x:v>Q64442</x:v>
      </x:c>
      <x:c r="B1581" s="2" t="str">
        <x:v>ED</x:v>
      </x:c>
      <x:c r="C1581" s="2" t="n">
        <x:v>1</x:v>
      </x:c>
      <x:c r="D1581" s="2" t="n">
        <x:v>1</x:v>
      </x:c>
      <x:c r="E1581" s="10"/>
      <x:c r="F1581" s="11" t="n">
        <x:v>357</x:v>
      </x:c>
      <x:c r="G1581" s="11" t="n">
        <x:v>0</x:v>
      </x:c>
      <x:c r="H1581" s="11" t="n">
        <x:v>0</x:v>
      </x:c>
      <x:c r="I1581" s="11" t="n">
        <x:v>1</x:v>
      </x:c>
      <x:c r="J1581" s="11" t="n">
        <x:v>0</x:v>
      </x:c>
      <x:c r="K1581" s="11" t="n">
        <x:v>0</x:v>
      </x:c>
      <x:c r="L1581" s="11" t="n">
        <x:f>IF(B1581="NED",1,IF(OR(B1581="ED",B1581="UN"),0,""))</x:f>
        <x:v>0</x:v>
      </x:c>
      <x:c r="M1581" s="11" t="n">
        <x:f>IF(AND(K1581=1,OR(B1581="ED",B1581="NED")),1,0)</x:f>
        <x:v>0</x:v>
      </x:c>
      <x:c r="N1581" s="11" t="n">
        <x:f>IF(K1581=1,1,0)</x:f>
        <x:v>0</x:v>
      </x:c>
      <x:c r="O1581" s="12" t="str">
        <x:v>Exclude UniProt Membrane keyword</x:v>
      </x:c>
      <x:c r="P1581" s="11" t="n">
        <x:v>0</x:v>
      </x:c>
      <x:c r="Q1581" s="12" t="str">
        <x:v>AF-Q64442-F1-model_v6</x:v>
      </x:c>
      <x:c r="R1581" s="12" t="str">
        <x:v>ok</x:v>
      </x:c>
      <x:c r="S1581" s="11" t="n">
        <x:v>1138</x:v>
      </x:c>
      <x:c r="T1581" s="11" t="n">
        <x:v>357</x:v>
      </x:c>
    </x:row>
    <x:row r="1582" ht="23" customHeight="1">
      <x:c r="A1582" s="2" t="str">
        <x:v>Q64511</x:v>
      </x:c>
      <x:c r="B1582" s="2" t="str">
        <x:v>NED</x:v>
      </x:c>
      <x:c r="C1582" s="2" t="n">
        <x:v>1</x:v>
      </x:c>
      <x:c r="D1582" s="2" t="n">
        <x:v>1</x:v>
      </x:c>
      <x:c r="E1582" s="10" t="n">
        <x:v>74.06440446650124</x:v>
      </x:c>
      <x:c r="F1582" s="11" t="n">
        <x:v>1612</x:v>
      </x:c>
      <x:c r="G1582" s="11" t="n">
        <x:v>0</x:v>
      </x:c>
      <x:c r="H1582" s="11" t="n">
        <x:v>0</x:v>
      </x:c>
      <x:c r="I1582" s="11" t="n">
        <x:v>0</x:v>
      </x:c>
      <x:c r="J1582" s="11" t="n">
        <x:v>0</x:v>
      </x:c>
      <x:c r="K1582" s="11" t="n">
        <x:v>1</x:v>
      </x:c>
      <x:c r="L1582" s="11" t="n">
        <x:f>IF(B1582="NED",1,IF(OR(B1582="ED",B1582="UN"),0,""))</x:f>
        <x:v>1</x:v>
      </x:c>
      <x:c r="M1582" s="11" t="n">
        <x:f>IF(AND(K1582=1,OR(B1582="ED",B1582="NED")),1,0)</x:f>
        <x:v>1</x:v>
      </x:c>
      <x:c r="N1582" s="11" t="n">
        <x:f>IF(K1582=1,1,0)</x:f>
        <x:v>1</x:v>
      </x:c>
      <x:c r="O1582" s="12"/>
      <x:c r="P1582" s="11" t="n">
        <x:v>0</x:v>
      </x:c>
      <x:c r="Q1582" s="12" t="str">
        <x:v>AF-Q64511-F1-model_v6</x:v>
      </x:c>
      <x:c r="R1582" s="12" t="str">
        <x:v>ok</x:v>
      </x:c>
      <x:c r="S1582" s="11" t="n">
        <x:v>1139</x:v>
      </x:c>
      <x:c r="T1582" s="11" t="n">
        <x:v>1612</x:v>
      </x:c>
    </x:row>
    <x:row r="1583" ht="23" customHeight="1">
      <x:c r="A1583" s="2" t="str">
        <x:v>Q64514-2</x:v>
      </x:c>
      <x:c r="B1583" s="2" t="str">
        <x:v>NED</x:v>
      </x:c>
      <x:c r="C1583" s="2"/>
      <x:c r="D1583" s="2"/>
      <x:c r="E1583" s="10"/>
      <x:c r="F1583" s="11"/>
      <x:c r="G1583" s="11" t="n">
        <x:v>0</x:v>
      </x:c>
      <x:c r="H1583" s="11" t="n">
        <x:v>0</x:v>
      </x:c>
      <x:c r="I1583" s="11"/>
      <x:c r="J1583" s="11"/>
      <x:c r="K1583" s="11" t="n">
        <x:v>0</x:v>
      </x:c>
      <x:c r="L1583" s="11" t="n">
        <x:f>IF(B1583="NED",1,IF(OR(B1583="ED",B1583="UN"),0,""))</x:f>
        <x:v>1</x:v>
      </x:c>
      <x:c r="M1583" s="11" t="n">
        <x:f>IF(AND(K1583=1,OR(B1583="ED",B1583="NED")),1,0)</x:f>
        <x:v>0</x:v>
      </x:c>
      <x:c r="N1583" s="11" t="n">
        <x:f>IF(K1583=1,1,0)</x:f>
        <x:v>0</x:v>
      </x:c>
      <x:c r="O1583" s="12" t="str">
        <x:v>Require exact native accession match</x:v>
      </x:c>
      <x:c r="P1583" s="11" t="n">
        <x:v>0</x:v>
      </x:c>
      <x:c r="Q1583" s="12"/>
      <x:c r="R1583" s="12"/>
      <x:c r="S1583" s="11" t="n">
        <x:v>1140</x:v>
      </x:c>
      <x:c r="T1583" s="11"/>
    </x:row>
    <x:row r="1584" ht="23" customHeight="1">
      <x:c r="A1584" s="2" t="str">
        <x:v>Q64520</x:v>
      </x:c>
      <x:c r="B1584" s="2" t="str">
        <x:v>ED</x:v>
      </x:c>
      <x:c r="C1584" s="2" t="n">
        <x:v>1</x:v>
      </x:c>
      <x:c r="D1584" s="2" t="n">
        <x:v>1</x:v>
      </x:c>
      <x:c r="E1584" s="10" t="n">
        <x:v>94.03641414141414</x:v>
      </x:c>
      <x:c r="F1584" s="11" t="n">
        <x:v>198</x:v>
      </x:c>
      <x:c r="G1584" s="11" t="n">
        <x:v>0</x:v>
      </x:c>
      <x:c r="H1584" s="11" t="n">
        <x:v>0</x:v>
      </x:c>
      <x:c r="I1584" s="11" t="n">
        <x:v>0</x:v>
      </x:c>
      <x:c r="J1584" s="11" t="n">
        <x:v>0</x:v>
      </x:c>
      <x:c r="K1584" s="11" t="n">
        <x:v>1</x:v>
      </x:c>
      <x:c r="L1584" s="11" t="n">
        <x:f>IF(B1584="NED",1,IF(OR(B1584="ED",B1584="UN"),0,""))</x:f>
        <x:v>0</x:v>
      </x:c>
      <x:c r="M1584" s="11" t="n">
        <x:f>IF(AND(K1584=1,OR(B1584="ED",B1584="NED")),1,0)</x:f>
        <x:v>1</x:v>
      </x:c>
      <x:c r="N1584" s="11" t="n">
        <x:f>IF(K1584=1,1,0)</x:f>
        <x:v>1</x:v>
      </x:c>
      <x:c r="O1584" s="12"/>
      <x:c r="P1584" s="11" t="n">
        <x:v>0</x:v>
      </x:c>
      <x:c r="Q1584" s="12" t="str">
        <x:v>AF-Q64520-F1-model_v6</x:v>
      </x:c>
      <x:c r="R1584" s="12" t="str">
        <x:v>ok</x:v>
      </x:c>
      <x:c r="S1584" s="11" t="n">
        <x:v>1141</x:v>
      </x:c>
      <x:c r="T1584" s="11" t="n">
        <x:v>198</x:v>
      </x:c>
    </x:row>
    <x:row r="1585" ht="23" customHeight="1">
      <x:c r="A1585" s="2" t="str">
        <x:v>Q64521</x:v>
      </x:c>
      <x:c r="B1585" s="2" t="str">
        <x:v>NED</x:v>
      </x:c>
      <x:c r="C1585" s="2" t="n">
        <x:v>1</x:v>
      </x:c>
      <x:c r="D1585" s="2" t="n">
        <x:v>1</x:v>
      </x:c>
      <x:c r="E1585" s="10"/>
      <x:c r="F1585" s="11" t="n">
        <x:v>727</x:v>
      </x:c>
      <x:c r="G1585" s="11" t="n">
        <x:v>0</x:v>
      </x:c>
      <x:c r="H1585" s="11" t="n">
        <x:v>0</x:v>
      </x:c>
      <x:c r="I1585" s="11" t="n">
        <x:v>1</x:v>
      </x:c>
      <x:c r="J1585" s="11" t="n">
        <x:v>0</x:v>
      </x:c>
      <x:c r="K1585" s="11" t="n">
        <x:v>0</x:v>
      </x:c>
      <x:c r="L1585" s="11" t="n">
        <x:f>IF(B1585="NED",1,IF(OR(B1585="ED",B1585="UN"),0,""))</x:f>
        <x:v>1</x:v>
      </x:c>
      <x:c r="M1585" s="11" t="n">
        <x:f>IF(AND(K1585=1,OR(B1585="ED",B1585="NED")),1,0)</x:f>
        <x:v>0</x:v>
      </x:c>
      <x:c r="N1585" s="11" t="n">
        <x:f>IF(K1585=1,1,0)</x:f>
        <x:v>0</x:v>
      </x:c>
      <x:c r="O1585" s="12" t="str">
        <x:v>Exclude UniProt Membrane keyword</x:v>
      </x:c>
      <x:c r="P1585" s="11" t="n">
        <x:v>0</x:v>
      </x:c>
      <x:c r="Q1585" s="12" t="str">
        <x:v>AF-Q64521-F1-model_v6</x:v>
      </x:c>
      <x:c r="R1585" s="12" t="str">
        <x:v>ok</x:v>
      </x:c>
      <x:c r="S1585" s="11" t="n">
        <x:v>1142</x:v>
      </x:c>
      <x:c r="T1585" s="11" t="n">
        <x:v>727</x:v>
      </x:c>
    </x:row>
    <x:row r="1586" ht="23" customHeight="1">
      <x:c r="A1586" s="2" t="str">
        <x:v>Q64674</x:v>
      </x:c>
      <x:c r="B1586" s="2" t="str">
        <x:v>ED</x:v>
      </x:c>
      <x:c r="C1586" s="2" t="n">
        <x:v>1</x:v>
      </x:c>
      <x:c r="D1586" s="2" t="n">
        <x:v>1</x:v>
      </x:c>
      <x:c r="E1586" s="10" t="n">
        <x:v>95.52990066225163</x:v>
      </x:c>
      <x:c r="F1586" s="11" t="n">
        <x:v>302</x:v>
      </x:c>
      <x:c r="G1586" s="11" t="n">
        <x:v>0</x:v>
      </x:c>
      <x:c r="H1586" s="11" t="n">
        <x:v>0</x:v>
      </x:c>
      <x:c r="I1586" s="11" t="n">
        <x:v>0</x:v>
      </x:c>
      <x:c r="J1586" s="11" t="n">
        <x:v>0</x:v>
      </x:c>
      <x:c r="K1586" s="11" t="n">
        <x:v>1</x:v>
      </x:c>
      <x:c r="L1586" s="11" t="n">
        <x:f>IF(B1586="NED",1,IF(OR(B1586="ED",B1586="UN"),0,""))</x:f>
        <x:v>0</x:v>
      </x:c>
      <x:c r="M1586" s="11" t="n">
        <x:f>IF(AND(K1586=1,OR(B1586="ED",B1586="NED")),1,0)</x:f>
        <x:v>1</x:v>
      </x:c>
      <x:c r="N1586" s="11" t="n">
        <x:f>IF(K1586=1,1,0)</x:f>
        <x:v>1</x:v>
      </x:c>
      <x:c r="O1586" s="12"/>
      <x:c r="P1586" s="11" t="n">
        <x:v>0</x:v>
      </x:c>
      <x:c r="Q1586" s="12" t="str">
        <x:v>AF-Q64674-F1-model_v6</x:v>
      </x:c>
      <x:c r="R1586" s="12" t="str">
        <x:v>ok</x:v>
      </x:c>
      <x:c r="S1586" s="11" t="n">
        <x:v>1143</x:v>
      </x:c>
      <x:c r="T1586" s="11" t="n">
        <x:v>302</x:v>
      </x:c>
    </x:row>
    <x:row r="1587" ht="23" customHeight="1">
      <x:c r="A1587" s="2" t="str">
        <x:v>Q64701</x:v>
      </x:c>
      <x:c r="B1587" s="2" t="str">
        <x:v>ED</x:v>
      </x:c>
      <x:c r="C1587" s="2" t="n">
        <x:v>1</x:v>
      </x:c>
      <x:c r="D1587" s="2" t="n">
        <x:v>1</x:v>
      </x:c>
      <x:c r="E1587" s="10" t="n">
        <x:v>72.73866415804328</x:v>
      </x:c>
      <x:c r="F1587" s="11" t="n">
        <x:v>1063</x:v>
      </x:c>
      <x:c r="G1587" s="11" t="n">
        <x:v>0</x:v>
      </x:c>
      <x:c r="H1587" s="11" t="n">
        <x:v>0</x:v>
      </x:c>
      <x:c r="I1587" s="11" t="n">
        <x:v>0</x:v>
      </x:c>
      <x:c r="J1587" s="11" t="n">
        <x:v>0</x:v>
      </x:c>
      <x:c r="K1587" s="11" t="n">
        <x:v>1</x:v>
      </x:c>
      <x:c r="L1587" s="11" t="n">
        <x:f>IF(B1587="NED",1,IF(OR(B1587="ED",B1587="UN"),0,""))</x:f>
        <x:v>0</x:v>
      </x:c>
      <x:c r="M1587" s="11" t="n">
        <x:f>IF(AND(K1587=1,OR(B1587="ED",B1587="NED")),1,0)</x:f>
        <x:v>1</x:v>
      </x:c>
      <x:c r="N1587" s="11" t="n">
        <x:f>IF(K1587=1,1,0)</x:f>
        <x:v>1</x:v>
      </x:c>
      <x:c r="O1587" s="12"/>
      <x:c r="P1587" s="11" t="n">
        <x:v>0</x:v>
      </x:c>
      <x:c r="Q1587" s="12" t="str">
        <x:v>AF-Q64701-F1-model_v6</x:v>
      </x:c>
      <x:c r="R1587" s="12" t="str">
        <x:v>ok</x:v>
      </x:c>
      <x:c r="S1587" s="11" t="n">
        <x:v>1144</x:v>
      </x:c>
      <x:c r="T1587" s="11" t="n">
        <x:v>1063</x:v>
      </x:c>
    </x:row>
    <x:row r="1588" ht="23" customHeight="1">
      <x:c r="A1588" s="2" t="str">
        <x:v>Q64727</x:v>
      </x:c>
      <x:c r="B1588" s="2" t="str">
        <x:v>ED</x:v>
      </x:c>
      <x:c r="C1588" s="2" t="n">
        <x:v>0</x:v>
      </x:c>
      <x:c r="D1588" s="2" t="n">
        <x:v>0</x:v>
      </x:c>
      <x:c r="E1588" s="10"/>
      <x:c r="F1588" s="11" t="n">
        <x:v>1066</x:v>
      </x:c>
      <x:c r="G1588" s="11" t="n">
        <x:v>0</x:v>
      </x:c>
      <x:c r="H1588" s="11" t="n">
        <x:v>0</x:v>
      </x:c>
      <x:c r="I1588" s="11" t="n">
        <x:v>1</x:v>
      </x:c>
      <x:c r="J1588" s="11" t="n">
        <x:v>0</x:v>
      </x:c>
      <x:c r="K1588" s="11" t="n">
        <x:v>0</x:v>
      </x:c>
      <x:c r="L1588" s="11" t="n">
        <x:f>IF(B1588="NED",1,IF(OR(B1588="ED",B1588="UN"),0,""))</x:f>
        <x:v>0</x:v>
      </x:c>
      <x:c r="M1588" s="11" t="n">
        <x:f>IF(AND(K1588=1,OR(B1588="ED",B1588="NED")),1,0)</x:f>
        <x:v>0</x:v>
      </x:c>
      <x:c r="N1588" s="11" t="n">
        <x:f>IF(K1588=1,1,0)</x:f>
        <x:v>0</x:v>
      </x:c>
      <x:c r="O1588" s="12" t="str">
        <x:v>Exclude UniProt Membrane keyword</x:v>
      </x:c>
      <x:c r="P1588" s="11" t="n">
        <x:v>0</x:v>
      </x:c>
      <x:c r="Q1588" s="12" t="str">
        <x:v>AF-Q64727-F1-model_v6</x:v>
      </x:c>
      <x:c r="R1588" s="12" t="str">
        <x:v>ok</x:v>
      </x:c>
      <x:c r="S1588" s="11" t="n">
        <x:v>1145</x:v>
      </x:c>
      <x:c r="T1588" s="11" t="n">
        <x:v>1066</x:v>
      </x:c>
    </x:row>
    <x:row r="1589" ht="23" customHeight="1">
      <x:c r="A1589" s="2" t="str">
        <x:v>Q64735-2</x:v>
      </x:c>
      <x:c r="B1589" s="2" t="str">
        <x:v>NED</x:v>
      </x:c>
      <x:c r="C1589" s="2"/>
      <x:c r="D1589" s="2"/>
      <x:c r="E1589" s="10"/>
      <x:c r="F1589" s="11"/>
      <x:c r="G1589" s="11" t="n">
        <x:v>0</x:v>
      </x:c>
      <x:c r="H1589" s="11" t="n">
        <x:v>0</x:v>
      </x:c>
      <x:c r="I1589" s="11"/>
      <x:c r="J1589" s="11"/>
      <x:c r="K1589" s="11" t="n">
        <x:v>0</x:v>
      </x:c>
      <x:c r="L1589" s="11" t="n">
        <x:f>IF(B1589="NED",1,IF(OR(B1589="ED",B1589="UN"),0,""))</x:f>
        <x:v>1</x:v>
      </x:c>
      <x:c r="M1589" s="11" t="n">
        <x:f>IF(AND(K1589=1,OR(B1589="ED",B1589="NED")),1,0)</x:f>
        <x:v>0</x:v>
      </x:c>
      <x:c r="N1589" s="11" t="n">
        <x:f>IF(K1589=1,1,0)</x:f>
        <x:v>0</x:v>
      </x:c>
      <x:c r="O1589" s="12" t="str">
        <x:v>Require exact native accession match</x:v>
      </x:c>
      <x:c r="P1589" s="11" t="n">
        <x:v>0</x:v>
      </x:c>
      <x:c r="Q1589" s="12"/>
      <x:c r="R1589" s="12"/>
      <x:c r="S1589" s="11" t="n">
        <x:v>1146</x:v>
      </x:c>
      <x:c r="T1589" s="11"/>
    </x:row>
    <x:row r="1590" ht="23" customHeight="1">
      <x:c r="A1590" s="2" t="str">
        <x:v>Q64737</x:v>
      </x:c>
      <x:c r="B1590" s="2" t="str">
        <x:v>ED</x:v>
      </x:c>
      <x:c r="C1590" s="2" t="n">
        <x:v>1</x:v>
      </x:c>
      <x:c r="D1590" s="2" t="n">
        <x:v>1</x:v>
      </x:c>
      <x:c r="E1590" s="10" t="n">
        <x:v>92.4230198019802</x:v>
      </x:c>
      <x:c r="F1590" s="11" t="n">
        <x:v>1010</x:v>
      </x:c>
      <x:c r="G1590" s="11" t="n">
        <x:v>0</x:v>
      </x:c>
      <x:c r="H1590" s="11" t="n">
        <x:v>0</x:v>
      </x:c>
      <x:c r="I1590" s="11" t="n">
        <x:v>0</x:v>
      </x:c>
      <x:c r="J1590" s="11" t="n">
        <x:v>0</x:v>
      </x:c>
      <x:c r="K1590" s="11" t="n">
        <x:v>1</x:v>
      </x:c>
      <x:c r="L1590" s="11" t="n">
        <x:f>IF(B1590="NED",1,IF(OR(B1590="ED",B1590="UN"),0,""))</x:f>
        <x:v>0</x:v>
      </x:c>
      <x:c r="M1590" s="11" t="n">
        <x:f>IF(AND(K1590=1,OR(B1590="ED",B1590="NED")),1,0)</x:f>
        <x:v>1</x:v>
      </x:c>
      <x:c r="N1590" s="11" t="n">
        <x:f>IF(K1590=1,1,0)</x:f>
        <x:v>1</x:v>
      </x:c>
      <x:c r="O1590" s="12"/>
      <x:c r="P1590" s="11" t="n">
        <x:v>0</x:v>
      </x:c>
      <x:c r="Q1590" s="12" t="str">
        <x:v>AF-Q64737-F1-model_v6</x:v>
      </x:c>
      <x:c r="R1590" s="12" t="str">
        <x:v>ok</x:v>
      </x:c>
      <x:c r="S1590" s="11" t="n">
        <x:v>1147</x:v>
      </x:c>
      <x:c r="T1590" s="11" t="n">
        <x:v>1010</x:v>
      </x:c>
    </x:row>
    <x:row r="1591" ht="23" customHeight="1">
      <x:c r="A1591" s="2" t="str">
        <x:v>Q66JV4</x:v>
      </x:c>
      <x:c r="B1591" s="2" t="str">
        <x:v>UN</x:v>
      </x:c>
      <x:c r="C1591" s="2" t="n">
        <x:v>1</x:v>
      </x:c>
      <x:c r="D1591" s="2" t="n">
        <x:v>1</x:v>
      </x:c>
      <x:c r="E1591" s="10" t="n">
        <x:v>60.800047961630696</x:v>
      </x:c>
      <x:c r="F1591" s="11" t="n">
        <x:v>834</x:v>
      </x:c>
      <x:c r="G1591" s="11" t="n">
        <x:v>0</x:v>
      </x:c>
      <x:c r="H1591" s="11" t="n">
        <x:v>0</x:v>
      </x:c>
      <x:c r="I1591" s="11" t="n">
        <x:v>0</x:v>
      </x:c>
      <x:c r="J1591" s="11" t="n">
        <x:v>0</x:v>
      </x:c>
      <x:c r="K1591" s="11" t="n">
        <x:v>0</x:v>
      </x:c>
      <x:c r="L1591" s="11" t="n">
        <x:f>IF(B1591="NED",1,IF(OR(B1591="ED",B1591="UN"),0,""))</x:f>
        <x:v>0</x:v>
      </x:c>
      <x:c r="M1591" s="11" t="n">
        <x:f>IF(AND(K1591=1,OR(B1591="ED",B1591="NED")),1,0)</x:f>
        <x:v>0</x:v>
      </x:c>
      <x:c r="N1591" s="11" t="n">
        <x:f>IF(K1591=1,1,0)</x:f>
        <x:v>0</x:v>
      </x:c>
      <x:c r="O1591" s="12" t="str">
        <x:v>Retain protein mean pLDDT &gt;=70</x:v>
      </x:c>
      <x:c r="P1591" s="11" t="n">
        <x:v>0</x:v>
      </x:c>
      <x:c r="Q1591" s="12" t="str">
        <x:v>AF-Q66JV4-F1-model_v6</x:v>
      </x:c>
      <x:c r="R1591" s="12" t="str">
        <x:v>ok</x:v>
      </x:c>
      <x:c r="S1591" s="11" t="n">
        <x:v>1148</x:v>
      </x:c>
      <x:c r="T1591" s="11" t="n">
        <x:v>834</x:v>
      </x:c>
    </x:row>
    <x:row r="1592" ht="23" customHeight="1">
      <x:c r="A1592" s="2" t="str">
        <x:v>Q66X19</x:v>
      </x:c>
      <x:c r="B1592" s="2" t="str">
        <x:v>UN</x:v>
      </x:c>
      <x:c r="C1592" s="2" t="n">
        <x:v>1</x:v>
      </x:c>
      <x:c r="D1592" s="2" t="n">
        <x:v>1</x:v>
      </x:c>
      <x:c r="E1592" s="10" t="n">
        <x:v>87.22853783231083</x:v>
      </x:c>
      <x:c r="F1592" s="11" t="n">
        <x:v>978</x:v>
      </x:c>
      <x:c r="G1592" s="11" t="n">
        <x:v>0</x:v>
      </x:c>
      <x:c r="H1592" s="11" t="n">
        <x:v>0</x:v>
      </x:c>
      <x:c r="I1592" s="11" t="n">
        <x:v>0</x:v>
      </x:c>
      <x:c r="J1592" s="11" t="n">
        <x:v>0</x:v>
      </x:c>
      <x:c r="K1592" s="11" t="n">
        <x:v>1</x:v>
      </x:c>
      <x:c r="L1592" s="11" t="n">
        <x:f>IF(B1592="NED",1,IF(OR(B1592="ED",B1592="UN"),0,""))</x:f>
        <x:v>0</x:v>
      </x:c>
      <x:c r="M1592" s="11" t="n">
        <x:f>IF(AND(K1592=1,OR(B1592="ED",B1592="NED")),1,0)</x:f>
        <x:v>0</x:v>
      </x:c>
      <x:c r="N1592" s="11" t="n">
        <x:f>IF(K1592=1,1,0)</x:f>
        <x:v>1</x:v>
      </x:c>
      <x:c r="O1592" s="12"/>
      <x:c r="P1592" s="11" t="n">
        <x:v>0</x:v>
      </x:c>
      <x:c r="Q1592" s="12" t="str">
        <x:v>AF-Q66X19-F1-model_v6</x:v>
      </x:c>
      <x:c r="R1592" s="12" t="str">
        <x:v>ok</x:v>
      </x:c>
      <x:c r="S1592" s="11" t="n">
        <x:v>1149</x:v>
      </x:c>
      <x:c r="T1592" s="11" t="n">
        <x:v>978</x:v>
      </x:c>
    </x:row>
    <x:row r="1593" ht="23" customHeight="1">
      <x:c r="A1593" s="2" t="str">
        <x:v>Q68EF0</x:v>
      </x:c>
      <x:c r="B1593" s="2" t="str">
        <x:v>ED</x:v>
      </x:c>
      <x:c r="C1593" s="2" t="n">
        <x:v>1</x:v>
      </x:c>
      <x:c r="D1593" s="2" t="n">
        <x:v>1</x:v>
      </x:c>
      <x:c r="E1593" s="10" t="n">
        <x:v>70.53282710280374</x:v>
      </x:c>
      <x:c r="F1593" s="11" t="n">
        <x:v>428</x:v>
      </x:c>
      <x:c r="G1593" s="11" t="n">
        <x:v>0</x:v>
      </x:c>
      <x:c r="H1593" s="11" t="n">
        <x:v>0</x:v>
      </x:c>
      <x:c r="I1593" s="11" t="n">
        <x:v>0</x:v>
      </x:c>
      <x:c r="J1593" s="11" t="n">
        <x:v>0</x:v>
      </x:c>
      <x:c r="K1593" s="11" t="n">
        <x:v>1</x:v>
      </x:c>
      <x:c r="L1593" s="11" t="n">
        <x:f>IF(B1593="NED",1,IF(OR(B1593="ED",B1593="UN"),0,""))</x:f>
        <x:v>0</x:v>
      </x:c>
      <x:c r="M1593" s="11" t="n">
        <x:f>IF(AND(K1593=1,OR(B1593="ED",B1593="NED")),1,0)</x:f>
        <x:v>1</x:v>
      </x:c>
      <x:c r="N1593" s="11" t="n">
        <x:f>IF(K1593=1,1,0)</x:f>
        <x:v>1</x:v>
      </x:c>
      <x:c r="O1593" s="12"/>
      <x:c r="P1593" s="11" t="n">
        <x:v>0</x:v>
      </x:c>
      <x:c r="Q1593" s="12" t="str">
        <x:v>AF-Q68EF0-F1-model_v6</x:v>
      </x:c>
      <x:c r="R1593" s="12" t="str">
        <x:v>ok</x:v>
      </x:c>
      <x:c r="S1593" s="11" t="n">
        <x:v>1150</x:v>
      </x:c>
      <x:c r="T1593" s="11" t="n">
        <x:v>428</x:v>
      </x:c>
    </x:row>
    <x:row r="1594" ht="23" customHeight="1">
      <x:c r="A1594" s="2" t="str">
        <x:v>Q68FD5</x:v>
      </x:c>
      <x:c r="B1594" s="2" t="str">
        <x:v>UN</x:v>
      </x:c>
      <x:c r="C1594" s="2" t="n">
        <x:v>1</x:v>
      </x:c>
      <x:c r="D1594" s="2" t="n">
        <x:v>1</x:v>
      </x:c>
      <x:c r="E1594" s="10"/>
      <x:c r="F1594" s="11" t="n">
        <x:v>1675</x:v>
      </x:c>
      <x:c r="G1594" s="11" t="n">
        <x:v>0</x:v>
      </x:c>
      <x:c r="H1594" s="11" t="n">
        <x:v>0</x:v>
      </x:c>
      <x:c r="I1594" s="11" t="n">
        <x:v>1</x:v>
      </x:c>
      <x:c r="J1594" s="11" t="n">
        <x:v>0</x:v>
      </x:c>
      <x:c r="K1594" s="11" t="n">
        <x:v>0</x:v>
      </x:c>
      <x:c r="L1594" s="11" t="n">
        <x:f>IF(B1594="NED",1,IF(OR(B1594="ED",B1594="UN"),0,""))</x:f>
        <x:v>0</x:v>
      </x:c>
      <x:c r="M1594" s="11" t="n">
        <x:f>IF(AND(K1594=1,OR(B1594="ED",B1594="NED")),1,0)</x:f>
        <x:v>0</x:v>
      </x:c>
      <x:c r="N1594" s="11" t="n">
        <x:f>IF(K1594=1,1,0)</x:f>
        <x:v>0</x:v>
      </x:c>
      <x:c r="O1594" s="12" t="str">
        <x:v>Exclude UniProt Membrane keyword</x:v>
      </x:c>
      <x:c r="P1594" s="11" t="n">
        <x:v>0</x:v>
      </x:c>
      <x:c r="Q1594" s="12" t="str">
        <x:v>AF-Q68FD5-F1-model_v6</x:v>
      </x:c>
      <x:c r="R1594" s="12" t="str">
        <x:v>ok</x:v>
      </x:c>
      <x:c r="S1594" s="11" t="n">
        <x:v>1151</x:v>
      </x:c>
      <x:c r="T1594" s="11" t="n">
        <x:v>1675</x:v>
      </x:c>
    </x:row>
    <x:row r="1595" ht="23" customHeight="1">
      <x:c r="A1595" s="2" t="str">
        <x:v>Q68FG3</x:v>
      </x:c>
      <x:c r="B1595" s="2" t="str">
        <x:v>UN</x:v>
      </x:c>
      <x:c r="C1595" s="2" t="n">
        <x:v>0</x:v>
      </x:c>
      <x:c r="D1595" s="2" t="n">
        <x:v>0</x:v>
      </x:c>
      <x:c r="E1595" s="10" t="n">
        <x:v>56.70548387096774</x:v>
      </x:c>
      <x:c r="F1595" s="11" t="n">
        <x:v>682</x:v>
      </x:c>
      <x:c r="G1595" s="11" t="n">
        <x:v>0</x:v>
      </x:c>
      <x:c r="H1595" s="11" t="n">
        <x:v>0</x:v>
      </x:c>
      <x:c r="I1595" s="11" t="n">
        <x:v>0</x:v>
      </x:c>
      <x:c r="J1595" s="11" t="n">
        <x:v>0</x:v>
      </x:c>
      <x:c r="K1595" s="11" t="n">
        <x:v>0</x:v>
      </x:c>
      <x:c r="L1595" s="11" t="n">
        <x:f>IF(B1595="NED",1,IF(OR(B1595="ED",B1595="UN"),0,""))</x:f>
        <x:v>0</x:v>
      </x:c>
      <x:c r="M1595" s="11" t="n">
        <x:f>IF(AND(K1595=1,OR(B1595="ED",B1595="NED")),1,0)</x:f>
        <x:v>0</x:v>
      </x:c>
      <x:c r="N1595" s="11" t="n">
        <x:f>IF(K1595=1,1,0)</x:f>
        <x:v>0</x:v>
      </x:c>
      <x:c r="O1595" s="12" t="str">
        <x:v>Retain protein mean pLDDT &gt;=70</x:v>
      </x:c>
      <x:c r="P1595" s="11" t="n">
        <x:v>0</x:v>
      </x:c>
      <x:c r="Q1595" s="12" t="str">
        <x:v>AF-Q68FG3-F1-model_v6</x:v>
      </x:c>
      <x:c r="R1595" s="12" t="str">
        <x:v>ok</x:v>
      </x:c>
      <x:c r="S1595" s="11" t="n">
        <x:v>1152</x:v>
      </x:c>
      <x:c r="T1595" s="11" t="n">
        <x:v>682</x:v>
      </x:c>
    </x:row>
    <x:row r="1596" ht="23" customHeight="1">
      <x:c r="A1596" s="2" t="str">
        <x:v>Q68FH0-2</x:v>
      </x:c>
      <x:c r="B1596" s="2" t="str">
        <x:v>ED</x:v>
      </x:c>
      <x:c r="C1596" s="2"/>
      <x:c r="D1596" s="2"/>
      <x:c r="E1596" s="10"/>
      <x:c r="F1596" s="11"/>
      <x:c r="G1596" s="11" t="n">
        <x:v>0</x:v>
      </x:c>
      <x:c r="H1596" s="11" t="n">
        <x:v>0</x:v>
      </x:c>
      <x:c r="I1596" s="11"/>
      <x:c r="J1596" s="11"/>
      <x:c r="K1596" s="11" t="n">
        <x:v>0</x:v>
      </x:c>
      <x:c r="L1596" s="11" t="n">
        <x:f>IF(B1596="NED",1,IF(OR(B1596="ED",B1596="UN"),0,""))</x:f>
        <x:v>0</x:v>
      </x:c>
      <x:c r="M1596" s="11" t="n">
        <x:f>IF(AND(K1596=1,OR(B1596="ED",B1596="NED")),1,0)</x:f>
        <x:v>0</x:v>
      </x:c>
      <x:c r="N1596" s="11" t="n">
        <x:f>IF(K1596=1,1,0)</x:f>
        <x:v>0</x:v>
      </x:c>
      <x:c r="O1596" s="12" t="str">
        <x:v>Require exact native accession match</x:v>
      </x:c>
      <x:c r="P1596" s="11" t="n">
        <x:v>0</x:v>
      </x:c>
      <x:c r="Q1596" s="12"/>
      <x:c r="R1596" s="12"/>
      <x:c r="S1596" s="11" t="n">
        <x:v>1153</x:v>
      </x:c>
      <x:c r="T1596" s="11"/>
    </x:row>
    <x:row r="1597" ht="23" customHeight="1">
      <x:c r="A1597" s="2" t="str">
        <x:v>Q69Z37</x:v>
      </x:c>
      <x:c r="B1597" s="2" t="str">
        <x:v>ED</x:v>
      </x:c>
      <x:c r="C1597" s="2" t="n">
        <x:v>1</x:v>
      </x:c>
      <x:c r="D1597" s="2" t="n">
        <x:v>1</x:v>
      </x:c>
      <x:c r="E1597" s="10" t="n">
        <x:v>83.21340166559897</x:v>
      </x:c>
      <x:c r="F1597" s="11" t="n">
        <x:v>1561</x:v>
      </x:c>
      <x:c r="G1597" s="11" t="n">
        <x:v>0</x:v>
      </x:c>
      <x:c r="H1597" s="11" t="n">
        <x:v>0</x:v>
      </x:c>
      <x:c r="I1597" s="11" t="n">
        <x:v>0</x:v>
      </x:c>
      <x:c r="J1597" s="11" t="n">
        <x:v>0</x:v>
      </x:c>
      <x:c r="K1597" s="11" t="n">
        <x:v>1</x:v>
      </x:c>
      <x:c r="L1597" s="11" t="n">
        <x:f>IF(B1597="NED",1,IF(OR(B1597="ED",B1597="UN"),0,""))</x:f>
        <x:v>0</x:v>
      </x:c>
      <x:c r="M1597" s="11" t="n">
        <x:f>IF(AND(K1597=1,OR(B1597="ED",B1597="NED")),1,0)</x:f>
        <x:v>1</x:v>
      </x:c>
      <x:c r="N1597" s="11" t="n">
        <x:f>IF(K1597=1,1,0)</x:f>
        <x:v>1</x:v>
      </x:c>
      <x:c r="O1597" s="12"/>
      <x:c r="P1597" s="11" t="n">
        <x:v>0</x:v>
      </x:c>
      <x:c r="Q1597" s="12" t="str">
        <x:v>AF-Q69Z37-F1-model_v6</x:v>
      </x:c>
      <x:c r="R1597" s="12" t="str">
        <x:v>ok</x:v>
      </x:c>
      <x:c r="S1597" s="11" t="n">
        <x:v>1154</x:v>
      </x:c>
      <x:c r="T1597" s="11" t="n">
        <x:v>1561</x:v>
      </x:c>
    </x:row>
    <x:row r="1598" ht="23" customHeight="1">
      <x:c r="A1598" s="2" t="str">
        <x:v>Q69Z38</x:v>
      </x:c>
      <x:c r="B1598" s="2" t="str">
        <x:v>ED</x:v>
      </x:c>
      <x:c r="C1598" s="2" t="n">
        <x:v>1</x:v>
      </x:c>
      <x:c r="D1598" s="2" t="n">
        <x:v>1</x:v>
      </x:c>
      <x:c r="E1598" s="10" t="n">
        <x:v>47.96286455331413</x:v>
      </x:c>
      <x:c r="F1598" s="11" t="n">
        <x:v>1735</x:v>
      </x:c>
      <x:c r="G1598" s="11" t="n">
        <x:v>0</x:v>
      </x:c>
      <x:c r="H1598" s="11" t="n">
        <x:v>0</x:v>
      </x:c>
      <x:c r="I1598" s="11" t="n">
        <x:v>0</x:v>
      </x:c>
      <x:c r="J1598" s="11" t="n">
        <x:v>0</x:v>
      </x:c>
      <x:c r="K1598" s="11" t="n">
        <x:v>0</x:v>
      </x:c>
      <x:c r="L1598" s="11" t="n">
        <x:f>IF(B1598="NED",1,IF(OR(B1598="ED",B1598="UN"),0,""))</x:f>
        <x:v>0</x:v>
      </x:c>
      <x:c r="M1598" s="11" t="n">
        <x:f>IF(AND(K1598=1,OR(B1598="ED",B1598="NED")),1,0)</x:f>
        <x:v>0</x:v>
      </x:c>
      <x:c r="N1598" s="11" t="n">
        <x:f>IF(K1598=1,1,0)</x:f>
        <x:v>0</x:v>
      </x:c>
      <x:c r="O1598" s="12" t="str">
        <x:v>Retain protein mean pLDDT &gt;=70</x:v>
      </x:c>
      <x:c r="P1598" s="11" t="n">
        <x:v>0</x:v>
      </x:c>
      <x:c r="Q1598" s="12" t="str">
        <x:v>AF-Q69Z38-F1-model_v6</x:v>
      </x:c>
      <x:c r="R1598" s="12" t="str">
        <x:v>ok</x:v>
      </x:c>
      <x:c r="S1598" s="11" t="n">
        <x:v>1155</x:v>
      </x:c>
      <x:c r="T1598" s="11" t="n">
        <x:v>1735</x:v>
      </x:c>
    </x:row>
    <x:row r="1599" ht="23" customHeight="1">
      <x:c r="A1599" s="2" t="str">
        <x:v>Q69Z99</x:v>
      </x:c>
      <x:c r="B1599" s="2" t="str">
        <x:v>ED</x:v>
      </x:c>
      <x:c r="C1599" s="2" t="n">
        <x:v>0</x:v>
      </x:c>
      <x:c r="D1599" s="2" t="n">
        <x:v>0</x:v>
      </x:c>
      <x:c r="E1599" s="10" t="n">
        <x:v>63.73750889679716</x:v>
      </x:c>
      <x:c r="F1599" s="11" t="n">
        <x:v>562</x:v>
      </x:c>
      <x:c r="G1599" s="11" t="n">
        <x:v>0</x:v>
      </x:c>
      <x:c r="H1599" s="11" t="n">
        <x:v>0</x:v>
      </x:c>
      <x:c r="I1599" s="11" t="n">
        <x:v>0</x:v>
      </x:c>
      <x:c r="J1599" s="11" t="n">
        <x:v>0</x:v>
      </x:c>
      <x:c r="K1599" s="11" t="n">
        <x:v>0</x:v>
      </x:c>
      <x:c r="L1599" s="11" t="n">
        <x:f>IF(B1599="NED",1,IF(OR(B1599="ED",B1599="UN"),0,""))</x:f>
        <x:v>0</x:v>
      </x:c>
      <x:c r="M1599" s="11" t="n">
        <x:f>IF(AND(K1599=1,OR(B1599="ED",B1599="NED")),1,0)</x:f>
        <x:v>0</x:v>
      </x:c>
      <x:c r="N1599" s="11" t="n">
        <x:f>IF(K1599=1,1,0)</x:f>
        <x:v>0</x:v>
      </x:c>
      <x:c r="O1599" s="12" t="str">
        <x:v>Retain protein mean pLDDT &gt;=70</x:v>
      </x:c>
      <x:c r="P1599" s="11" t="n">
        <x:v>0</x:v>
      </x:c>
      <x:c r="Q1599" s="12" t="str">
        <x:v>AF-Q69Z99-F1-model_v6</x:v>
      </x:c>
      <x:c r="R1599" s="12" t="str">
        <x:v>ok</x:v>
      </x:c>
      <x:c r="S1599" s="11" t="n">
        <x:v>1156</x:v>
      </x:c>
      <x:c r="T1599" s="11" t="n">
        <x:v>562</x:v>
      </x:c>
    </x:row>
    <x:row r="1600" ht="23" customHeight="1">
      <x:c r="A1600" s="2" t="str">
        <x:v>Q69ZA1</x:v>
      </x:c>
      <x:c r="B1600" s="2" t="str">
        <x:v>UN</x:v>
      </x:c>
      <x:c r="C1600" s="2" t="n">
        <x:v>1</x:v>
      </x:c>
      <x:c r="D1600" s="2" t="n">
        <x:v>1</x:v>
      </x:c>
      <x:c r="E1600" s="10"/>
      <x:c r="F1600" s="11" t="n">
        <x:v>1511</x:v>
      </x:c>
      <x:c r="G1600" s="11" t="n">
        <x:v>1</x:v>
      </x:c>
      <x:c r="H1600" s="11" t="n">
        <x:v>0</x:v>
      </x:c>
      <x:c r="I1600" s="11" t="n">
        <x:v>0</x:v>
      </x:c>
      <x:c r="J1600" s="11" t="n">
        <x:v>0</x:v>
      </x:c>
      <x:c r="K1600" s="11" t="n">
        <x:v>0</x:v>
      </x:c>
      <x:c r="L1600" s="11" t="n">
        <x:f>IF(B1600="NED",1,IF(OR(B1600="ED",B1600="UN"),0,""))</x:f>
        <x:v>0</x:v>
      </x:c>
      <x:c r="M1600" s="11" t="n">
        <x:f>IF(AND(K1600=1,OR(B1600="ED",B1600="NED")),1,0)</x:f>
        <x:v>0</x:v>
      </x:c>
      <x:c r="N1600" s="11" t="n">
        <x:f>IF(K1600=1,1,0)</x:f>
        <x:v>0</x:v>
      </x:c>
      <x:c r="O1600" s="12" t="str">
        <x:v>Exclude supplied knotted proteins</x:v>
      </x:c>
      <x:c r="P1600" s="11" t="n">
        <x:v>0</x:v>
      </x:c>
      <x:c r="Q1600" s="12" t="str">
        <x:v>AF-Q69ZA1-F1-model_v6</x:v>
      </x:c>
      <x:c r="R1600" s="12" t="str">
        <x:v>ok</x:v>
      </x:c>
      <x:c r="S1600" s="11" t="n">
        <x:v>1157</x:v>
      </x:c>
      <x:c r="T1600" s="11" t="n">
        <x:v>1511</x:v>
      </x:c>
    </x:row>
    <x:row r="1601" ht="23" customHeight="1">
      <x:c r="A1601" s="2" t="str">
        <x:v>Q69ZK6</x:v>
      </x:c>
      <x:c r="B1601" s="2" t="str">
        <x:v>UN</x:v>
      </x:c>
      <x:c r="C1601" s="2" t="n">
        <x:v>1</x:v>
      </x:c>
      <x:c r="D1601" s="2" t="n">
        <x:v>1</x:v>
      </x:c>
      <x:c r="E1601" s="10"/>
      <x:c r="F1601" s="11" t="n">
        <x:v>2350</x:v>
      </x:c>
      <x:c r="G1601" s="11" t="n">
        <x:v>1</x:v>
      </x:c>
      <x:c r="H1601" s="11" t="n">
        <x:v>0</x:v>
      </x:c>
      <x:c r="I1601" s="11" t="n">
        <x:v>0</x:v>
      </x:c>
      <x:c r="J1601" s="11" t="n">
        <x:v>0</x:v>
      </x:c>
      <x:c r="K1601" s="11" t="n">
        <x:v>0</x:v>
      </x:c>
      <x:c r="L1601" s="11" t="n">
        <x:f>IF(B1601="NED",1,IF(OR(B1601="ED",B1601="UN"),0,""))</x:f>
        <x:v>0</x:v>
      </x:c>
      <x:c r="M1601" s="11" t="n">
        <x:f>IF(AND(K1601=1,OR(B1601="ED",B1601="NED")),1,0)</x:f>
        <x:v>0</x:v>
      </x:c>
      <x:c r="N1601" s="11" t="n">
        <x:f>IF(K1601=1,1,0)</x:f>
        <x:v>0</x:v>
      </x:c>
      <x:c r="O1601" s="12" t="str">
        <x:v>Exclude supplied knotted proteins</x:v>
      </x:c>
      <x:c r="P1601" s="11" t="n">
        <x:v>1</x:v>
      </x:c>
      <x:c r="Q1601" s="12" t="str">
        <x:v>AF-Q69ZK6-F1-model_v6</x:v>
      </x:c>
      <x:c r="R1601" s="12" t="str">
        <x:v>ok</x:v>
      </x:c>
      <x:c r="S1601" s="11" t="n">
        <x:v>1158</x:v>
      </x:c>
      <x:c r="T1601" s="11" t="n">
        <x:v>2531</x:v>
      </x:c>
    </x:row>
    <x:row r="1602" ht="23" customHeight="1">
      <x:c r="A1602" s="2" t="str">
        <x:v>Q69ZN7</x:v>
      </x:c>
      <x:c r="B1602" s="2" t="str">
        <x:v>NED</x:v>
      </x:c>
      <x:c r="C1602" s="2" t="n">
        <x:v>1</x:v>
      </x:c>
      <x:c r="D1602" s="2" t="n">
        <x:v>1</x:v>
      </x:c>
      <x:c r="E1602" s="10"/>
      <x:c r="F1602" s="11" t="n">
        <x:v>2048</x:v>
      </x:c>
      <x:c r="G1602" s="11" t="n">
        <x:v>0</x:v>
      </x:c>
      <x:c r="H1602" s="11" t="n">
        <x:v>0</x:v>
      </x:c>
      <x:c r="I1602" s="11" t="n">
        <x:v>1</x:v>
      </x:c>
      <x:c r="J1602" s="11" t="n">
        <x:v>0</x:v>
      </x:c>
      <x:c r="K1602" s="11" t="n">
        <x:v>0</x:v>
      </x:c>
      <x:c r="L1602" s="11" t="n">
        <x:f>IF(B1602="NED",1,IF(OR(B1602="ED",B1602="UN"),0,""))</x:f>
        <x:v>1</x:v>
      </x:c>
      <x:c r="M1602" s="11" t="n">
        <x:f>IF(AND(K1602=1,OR(B1602="ED",B1602="NED")),1,0)</x:f>
        <x:v>0</x:v>
      </x:c>
      <x:c r="N1602" s="11" t="n">
        <x:f>IF(K1602=1,1,0)</x:f>
        <x:v>0</x:v>
      </x:c>
      <x:c r="O1602" s="12" t="str">
        <x:v>Exclude UniProt Membrane keyword</x:v>
      </x:c>
      <x:c r="P1602" s="11" t="n">
        <x:v>0</x:v>
      </x:c>
      <x:c r="Q1602" s="12" t="str">
        <x:v>AF-Q69ZN7-F1-model_v6</x:v>
      </x:c>
      <x:c r="R1602" s="12" t="str">
        <x:v>ok</x:v>
      </x:c>
      <x:c r="S1602" s="11" t="n">
        <x:v>1159</x:v>
      </x:c>
      <x:c r="T1602" s="11" t="n">
        <x:v>2048</x:v>
      </x:c>
    </x:row>
    <x:row r="1603" ht="23" customHeight="1">
      <x:c r="A1603" s="2" t="str">
        <x:v>Q69ZS7</x:v>
      </x:c>
      <x:c r="B1603" s="2" t="str">
        <x:v>ED</x:v>
      </x:c>
      <x:c r="C1603" s="2" t="n">
        <x:v>1</x:v>
      </x:c>
      <x:c r="D1603" s="2" t="n">
        <x:v>1</x:v>
      </x:c>
      <x:c r="E1603" s="10" t="n">
        <x:v>74.40721407624633</x:v>
      </x:c>
      <x:c r="F1603" s="11" t="n">
        <x:v>682</x:v>
      </x:c>
      <x:c r="G1603" s="11" t="n">
        <x:v>0</x:v>
      </x:c>
      <x:c r="H1603" s="11" t="n">
        <x:v>0</x:v>
      </x:c>
      <x:c r="I1603" s="11" t="n">
        <x:v>0</x:v>
      </x:c>
      <x:c r="J1603" s="11" t="n">
        <x:v>0</x:v>
      </x:c>
      <x:c r="K1603" s="11" t="n">
        <x:v>1</x:v>
      </x:c>
      <x:c r="L1603" s="11" t="n">
        <x:f>IF(B1603="NED",1,IF(OR(B1603="ED",B1603="UN"),0,""))</x:f>
        <x:v>0</x:v>
      </x:c>
      <x:c r="M1603" s="11" t="n">
        <x:f>IF(AND(K1603=1,OR(B1603="ED",B1603="NED")),1,0)</x:f>
        <x:v>1</x:v>
      </x:c>
      <x:c r="N1603" s="11" t="n">
        <x:f>IF(K1603=1,1,0)</x:f>
        <x:v>1</x:v>
      </x:c>
      <x:c r="O1603" s="12"/>
      <x:c r="P1603" s="11" t="n">
        <x:v>0</x:v>
      </x:c>
      <x:c r="Q1603" s="12" t="str">
        <x:v>AF-Q69ZS7-F1-model_v6</x:v>
      </x:c>
      <x:c r="R1603" s="12" t="str">
        <x:v>ok</x:v>
      </x:c>
      <x:c r="S1603" s="11" t="n">
        <x:v>1160</x:v>
      </x:c>
      <x:c r="T1603" s="11" t="n">
        <x:v>682</x:v>
      </x:c>
    </x:row>
    <x:row r="1604" ht="23" customHeight="1">
      <x:c r="A1604" s="2" t="str">
        <x:v>Q6A009</x:v>
      </x:c>
      <x:c r="B1604" s="2" t="str">
        <x:v>UN</x:v>
      </x:c>
      <x:c r="C1604" s="2" t="n">
        <x:v>1</x:v>
      </x:c>
      <x:c r="D1604" s="2" t="n">
        <x:v>1</x:v>
      </x:c>
      <x:c r="E1604" s="10" t="n">
        <x:v>79.06068477645728</x:v>
      </x:c>
      <x:c r="F1604" s="11" t="n">
        <x:v>1767</x:v>
      </x:c>
      <x:c r="G1604" s="11" t="n">
        <x:v>0</x:v>
      </x:c>
      <x:c r="H1604" s="11" t="n">
        <x:v>0</x:v>
      </x:c>
      <x:c r="I1604" s="11" t="n">
        <x:v>0</x:v>
      </x:c>
      <x:c r="J1604" s="11" t="n">
        <x:v>0</x:v>
      </x:c>
      <x:c r="K1604" s="11" t="n">
        <x:v>1</x:v>
      </x:c>
      <x:c r="L1604" s="11" t="n">
        <x:f>IF(B1604="NED",1,IF(OR(B1604="ED",B1604="UN"),0,""))</x:f>
        <x:v>0</x:v>
      </x:c>
      <x:c r="M1604" s="11" t="n">
        <x:f>IF(AND(K1604=1,OR(B1604="ED",B1604="NED")),1,0)</x:f>
        <x:v>0</x:v>
      </x:c>
      <x:c r="N1604" s="11" t="n">
        <x:f>IF(K1604=1,1,0)</x:f>
        <x:v>1</x:v>
      </x:c>
      <x:c r="O1604" s="12"/>
      <x:c r="P1604" s="11" t="n">
        <x:v>0</x:v>
      </x:c>
      <x:c r="Q1604" s="12" t="str">
        <x:v>AF-Q6A009-F1-model_v6</x:v>
      </x:c>
      <x:c r="R1604" s="12" t="str">
        <x:v>ok</x:v>
      </x:c>
      <x:c r="S1604" s="11" t="n">
        <x:v>1161</x:v>
      </x:c>
      <x:c r="T1604" s="11" t="n">
        <x:v>1767</x:v>
      </x:c>
    </x:row>
    <x:row r="1605" ht="23" customHeight="1">
      <x:c r="A1605" s="2" t="str">
        <x:v>Q6A026</x:v>
      </x:c>
      <x:c r="B1605" s="2" t="str">
        <x:v>UN</x:v>
      </x:c>
      <x:c r="C1605" s="2" t="n">
        <x:v>1</x:v>
      </x:c>
      <x:c r="D1605" s="2" t="n">
        <x:v>1</x:v>
      </x:c>
      <x:c r="E1605" s="10" t="n">
        <x:v>82.29836336336336</x:v>
      </x:c>
      <x:c r="F1605" s="11" t="n">
        <x:v>1332</x:v>
      </x:c>
      <x:c r="G1605" s="11" t="n">
        <x:v>0</x:v>
      </x:c>
      <x:c r="H1605" s="11" t="n">
        <x:v>0</x:v>
      </x:c>
      <x:c r="I1605" s="11" t="n">
        <x:v>0</x:v>
      </x:c>
      <x:c r="J1605" s="11" t="n">
        <x:v>0</x:v>
      </x:c>
      <x:c r="K1605" s="11" t="n">
        <x:v>1</x:v>
      </x:c>
      <x:c r="L1605" s="11" t="n">
        <x:f>IF(B1605="NED",1,IF(OR(B1605="ED",B1605="UN"),0,""))</x:f>
        <x:v>0</x:v>
      </x:c>
      <x:c r="M1605" s="11" t="n">
        <x:f>IF(AND(K1605=1,OR(B1605="ED",B1605="NED")),1,0)</x:f>
        <x:v>0</x:v>
      </x:c>
      <x:c r="N1605" s="11" t="n">
        <x:f>IF(K1605=1,1,0)</x:f>
        <x:v>1</x:v>
      </x:c>
      <x:c r="O1605" s="12"/>
      <x:c r="P1605" s="11" t="n">
        <x:v>0</x:v>
      </x:c>
      <x:c r="Q1605" s="12" t="str">
        <x:v>AF-Q6A026-F1-model_v6</x:v>
      </x:c>
      <x:c r="R1605" s="12" t="str">
        <x:v>ok</x:v>
      </x:c>
      <x:c r="S1605" s="11" t="n">
        <x:v>1162</x:v>
      </x:c>
      <x:c r="T1605" s="11" t="n">
        <x:v>1332</x:v>
      </x:c>
    </x:row>
    <x:row r="1606" ht="23" customHeight="1">
      <x:c r="A1606" s="2" t="str">
        <x:v>Q6A028</x:v>
      </x:c>
      <x:c r="B1606" s="2" t="str">
        <x:v>ED</x:v>
      </x:c>
      <x:c r="C1606" s="2" t="n">
        <x:v>1</x:v>
      </x:c>
      <x:c r="D1606" s="2" t="n">
        <x:v>1</x:v>
      </x:c>
      <x:c r="E1606" s="10"/>
      <x:c r="F1606" s="11" t="n">
        <x:v>585</x:v>
      </x:c>
      <x:c r="G1606" s="11" t="n">
        <x:v>0</x:v>
      </x:c>
      <x:c r="H1606" s="11" t="n">
        <x:v>0</x:v>
      </x:c>
      <x:c r="I1606" s="11" t="n">
        <x:v>1</x:v>
      </x:c>
      <x:c r="J1606" s="11" t="n">
        <x:v>0</x:v>
      </x:c>
      <x:c r="K1606" s="11" t="n">
        <x:v>0</x:v>
      </x:c>
      <x:c r="L1606" s="11" t="n">
        <x:f>IF(B1606="NED",1,IF(OR(B1606="ED",B1606="UN"),0,""))</x:f>
        <x:v>0</x:v>
      </x:c>
      <x:c r="M1606" s="11" t="n">
        <x:f>IF(AND(K1606=1,OR(B1606="ED",B1606="NED")),1,0)</x:f>
        <x:v>0</x:v>
      </x:c>
      <x:c r="N1606" s="11" t="n">
        <x:f>IF(K1606=1,1,0)</x:f>
        <x:v>0</x:v>
      </x:c>
      <x:c r="O1606" s="12" t="str">
        <x:v>Exclude UniProt Membrane keyword</x:v>
      </x:c>
      <x:c r="P1606" s="11" t="n">
        <x:v>0</x:v>
      </x:c>
      <x:c r="Q1606" s="12" t="str">
        <x:v>AF-Q6A028-F1-model_v6</x:v>
      </x:c>
      <x:c r="R1606" s="12" t="str">
        <x:v>ok</x:v>
      </x:c>
      <x:c r="S1606" s="11" t="n">
        <x:v>1163</x:v>
      </x:c>
      <x:c r="T1606" s="11" t="n">
        <x:v>585</x:v>
      </x:c>
    </x:row>
    <x:row r="1607" ht="23" customHeight="1">
      <x:c r="A1607" s="2" t="str">
        <x:v>Q6A058</x:v>
      </x:c>
      <x:c r="B1607" s="2" t="str">
        <x:v>UN</x:v>
      </x:c>
      <x:c r="C1607" s="2" t="n">
        <x:v>1</x:v>
      </x:c>
      <x:c r="D1607" s="2" t="n">
        <x:v>1</x:v>
      </x:c>
      <x:c r="E1607" s="10"/>
      <x:c r="F1607" s="11" t="n">
        <x:v>784</x:v>
      </x:c>
      <x:c r="G1607" s="11" t="n">
        <x:v>0</x:v>
      </x:c>
      <x:c r="H1607" s="11" t="n">
        <x:v>0</x:v>
      </x:c>
      <x:c r="I1607" s="11" t="n">
        <x:v>1</x:v>
      </x:c>
      <x:c r="J1607" s="11" t="n">
        <x:v>0</x:v>
      </x:c>
      <x:c r="K1607" s="11" t="n">
        <x:v>0</x:v>
      </x:c>
      <x:c r="L1607" s="11" t="n">
        <x:f>IF(B1607="NED",1,IF(OR(B1607="ED",B1607="UN"),0,""))</x:f>
        <x:v>0</x:v>
      </x:c>
      <x:c r="M1607" s="11" t="n">
        <x:f>IF(AND(K1607=1,OR(B1607="ED",B1607="NED")),1,0)</x:f>
        <x:v>0</x:v>
      </x:c>
      <x:c r="N1607" s="11" t="n">
        <x:f>IF(K1607=1,1,0)</x:f>
        <x:v>0</x:v>
      </x:c>
      <x:c r="O1607" s="12" t="str">
        <x:v>Exclude UniProt Membrane keyword</x:v>
      </x:c>
      <x:c r="P1607" s="11" t="n">
        <x:v>0</x:v>
      </x:c>
      <x:c r="Q1607" s="12" t="str">
        <x:v>AF-Q6A058-F1-model_v6</x:v>
      </x:c>
      <x:c r="R1607" s="12" t="str">
        <x:v>ok</x:v>
      </x:c>
      <x:c r="S1607" s="11" t="n">
        <x:v>1164</x:v>
      </x:c>
      <x:c r="T1607" s="11" t="n">
        <x:v>784</x:v>
      </x:c>
    </x:row>
    <x:row r="1608" ht="23" customHeight="1">
      <x:c r="A1608" s="2" t="str">
        <x:v>Q6A068</x:v>
      </x:c>
      <x:c r="B1608" s="2" t="str">
        <x:v>UN</x:v>
      </x:c>
      <x:c r="C1608" s="2" t="n">
        <x:v>1</x:v>
      </x:c>
      <x:c r="D1608" s="2" t="n">
        <x:v>1</x:v>
      </x:c>
      <x:c r="E1608" s="10" t="n">
        <x:v>76.1929800498753</x:v>
      </x:c>
      <x:c r="F1608" s="11" t="n">
        <x:v>802</x:v>
      </x:c>
      <x:c r="G1608" s="11" t="n">
        <x:v>0</x:v>
      </x:c>
      <x:c r="H1608" s="11" t="n">
        <x:v>0</x:v>
      </x:c>
      <x:c r="I1608" s="11" t="n">
        <x:v>0</x:v>
      </x:c>
      <x:c r="J1608" s="11" t="n">
        <x:v>0</x:v>
      </x:c>
      <x:c r="K1608" s="11" t="n">
        <x:v>1</x:v>
      </x:c>
      <x:c r="L1608" s="11" t="n">
        <x:f>IF(B1608="NED",1,IF(OR(B1608="ED",B1608="UN"),0,""))</x:f>
        <x:v>0</x:v>
      </x:c>
      <x:c r="M1608" s="11" t="n">
        <x:f>IF(AND(K1608=1,OR(B1608="ED",B1608="NED")),1,0)</x:f>
        <x:v>0</x:v>
      </x:c>
      <x:c r="N1608" s="11" t="n">
        <x:f>IF(K1608=1,1,0)</x:f>
        <x:v>1</x:v>
      </x:c>
      <x:c r="O1608" s="12"/>
      <x:c r="P1608" s="11" t="n">
        <x:v>0</x:v>
      </x:c>
      <x:c r="Q1608" s="12" t="str">
        <x:v>AF-Q6A068-F1-model_v6</x:v>
      </x:c>
      <x:c r="R1608" s="12" t="str">
        <x:v>ok</x:v>
      </x:c>
      <x:c r="S1608" s="11" t="n">
        <x:v>1165</x:v>
      </x:c>
      <x:c r="T1608" s="11" t="n">
        <x:v>802</x:v>
      </x:c>
    </x:row>
    <x:row r="1609" ht="23" customHeight="1">
      <x:c r="A1609" s="2" t="str">
        <x:v>Q6A0A2</x:v>
      </x:c>
      <x:c r="B1609" s="2" t="str">
        <x:v>ED</x:v>
      </x:c>
      <x:c r="C1609" s="2" t="n">
        <x:v>1</x:v>
      </x:c>
      <x:c r="D1609" s="2" t="n">
        <x:v>1</x:v>
      </x:c>
      <x:c r="E1609" s="10" t="n">
        <x:v>52.9817004048583</x:v>
      </x:c>
      <x:c r="F1609" s="11" t="n">
        <x:v>741</x:v>
      </x:c>
      <x:c r="G1609" s="11" t="n">
        <x:v>0</x:v>
      </x:c>
      <x:c r="H1609" s="11" t="n">
        <x:v>0</x:v>
      </x:c>
      <x:c r="I1609" s="11" t="n">
        <x:v>0</x:v>
      </x:c>
      <x:c r="J1609" s="11" t="n">
        <x:v>0</x:v>
      </x:c>
      <x:c r="K1609" s="11" t="n">
        <x:v>0</x:v>
      </x:c>
      <x:c r="L1609" s="11" t="n">
        <x:f>IF(B1609="NED",1,IF(OR(B1609="ED",B1609="UN"),0,""))</x:f>
        <x:v>0</x:v>
      </x:c>
      <x:c r="M1609" s="11" t="n">
        <x:f>IF(AND(K1609=1,OR(B1609="ED",B1609="NED")),1,0)</x:f>
        <x:v>0</x:v>
      </x:c>
      <x:c r="N1609" s="11" t="n">
        <x:f>IF(K1609=1,1,0)</x:f>
        <x:v>0</x:v>
      </x:c>
      <x:c r="O1609" s="12" t="str">
        <x:v>Retain protein mean pLDDT &gt;=70</x:v>
      </x:c>
      <x:c r="P1609" s="11" t="n">
        <x:v>0</x:v>
      </x:c>
      <x:c r="Q1609" s="12" t="str">
        <x:v>AF-Q6A0A2-F1-model_v6</x:v>
      </x:c>
      <x:c r="R1609" s="12" t="str">
        <x:v>ok</x:v>
      </x:c>
      <x:c r="S1609" s="11" t="n">
        <x:v>1166</x:v>
      </x:c>
      <x:c r="T1609" s="11" t="n">
        <x:v>741</x:v>
      </x:c>
    </x:row>
    <x:row r="1610" ht="23" customHeight="1">
      <x:c r="A1610" s="2" t="str">
        <x:v>Q6A0A9</x:v>
      </x:c>
      <x:c r="B1610" s="2" t="str">
        <x:v>UN</x:v>
      </x:c>
      <x:c r="C1610" s="2" t="n">
        <x:v>1</x:v>
      </x:c>
      <x:c r="D1610" s="2" t="n">
        <x:v>1</x:v>
      </x:c>
      <x:c r="E1610" s="10"/>
      <x:c r="F1610" s="11" t="n">
        <x:v>1112</x:v>
      </x:c>
      <x:c r="G1610" s="11" t="n">
        <x:v>0</x:v>
      </x:c>
      <x:c r="H1610" s="11" t="n">
        <x:v>0</x:v>
      </x:c>
      <x:c r="I1610" s="11" t="n">
        <x:v>1</x:v>
      </x:c>
      <x:c r="J1610" s="11" t="n">
        <x:v>0</x:v>
      </x:c>
      <x:c r="K1610" s="11" t="n">
        <x:v>0</x:v>
      </x:c>
      <x:c r="L1610" s="11" t="n">
        <x:f>IF(B1610="NED",1,IF(OR(B1610="ED",B1610="UN"),0,""))</x:f>
        <x:v>0</x:v>
      </x:c>
      <x:c r="M1610" s="11" t="n">
        <x:f>IF(AND(K1610=1,OR(B1610="ED",B1610="NED")),1,0)</x:f>
        <x:v>0</x:v>
      </x:c>
      <x:c r="N1610" s="11" t="n">
        <x:f>IF(K1610=1,1,0)</x:f>
        <x:v>0</x:v>
      </x:c>
      <x:c r="O1610" s="12" t="str">
        <x:v>Exclude UniProt Membrane keyword</x:v>
      </x:c>
      <x:c r="P1610" s="11" t="n">
        <x:v>0</x:v>
      </x:c>
      <x:c r="Q1610" s="12" t="str">
        <x:v>AF-Q6A0A9-F1-model_v6</x:v>
      </x:c>
      <x:c r="R1610" s="12" t="str">
        <x:v>ok</x:v>
      </x:c>
      <x:c r="S1610" s="11" t="n">
        <x:v>1167</x:v>
      </x:c>
      <x:c r="T1610" s="11" t="n">
        <x:v>1112</x:v>
      </x:c>
    </x:row>
    <x:row r="1611" ht="23" customHeight="1">
      <x:c r="A1611" s="2" t="str">
        <x:v>Q6DFV1</x:v>
      </x:c>
      <x:c r="B1611" s="2" t="str">
        <x:v>UN</x:v>
      </x:c>
      <x:c r="C1611" s="2" t="n">
        <x:v>0</x:v>
      </x:c>
      <x:c r="D1611" s="2" t="n">
        <x:v>0</x:v>
      </x:c>
      <x:c r="E1611" s="10" t="n">
        <x:v>87.2419244288225</x:v>
      </x:c>
      <x:c r="F1611" s="11" t="n">
        <x:v>1138</x:v>
      </x:c>
      <x:c r="G1611" s="11" t="n">
        <x:v>0</x:v>
      </x:c>
      <x:c r="H1611" s="11" t="n">
        <x:v>0</x:v>
      </x:c>
      <x:c r="I1611" s="11" t="n">
        <x:v>0</x:v>
      </x:c>
      <x:c r="J1611" s="11" t="n">
        <x:v>0</x:v>
      </x:c>
      <x:c r="K1611" s="11" t="n">
        <x:v>1</x:v>
      </x:c>
      <x:c r="L1611" s="11" t="n">
        <x:f>IF(B1611="NED",1,IF(OR(B1611="ED",B1611="UN"),0,""))</x:f>
        <x:v>0</x:v>
      </x:c>
      <x:c r="M1611" s="11" t="n">
        <x:f>IF(AND(K1611=1,OR(B1611="ED",B1611="NED")),1,0)</x:f>
        <x:v>0</x:v>
      </x:c>
      <x:c r="N1611" s="11" t="n">
        <x:f>IF(K1611=1,1,0)</x:f>
        <x:v>1</x:v>
      </x:c>
      <x:c r="O1611" s="12"/>
      <x:c r="P1611" s="11" t="n">
        <x:v>0</x:v>
      </x:c>
      <x:c r="Q1611" s="12" t="str">
        <x:v>AF-Q6DFV1-F1-model_v6</x:v>
      </x:c>
      <x:c r="R1611" s="12" t="str">
        <x:v>ok</x:v>
      </x:c>
      <x:c r="S1611" s="11" t="n">
        <x:v>1168</x:v>
      </x:c>
      <x:c r="T1611" s="11" t="n">
        <x:v>1138</x:v>
      </x:c>
    </x:row>
    <x:row r="1612" ht="23" customHeight="1">
      <x:c r="A1612" s="2" t="str">
        <x:v>Q6DFV5</x:v>
      </x:c>
      <x:c r="B1612" s="2" t="str">
        <x:v>UN</x:v>
      </x:c>
      <x:c r="C1612" s="2" t="n">
        <x:v>1</x:v>
      </x:c>
      <x:c r="D1612" s="2" t="n">
        <x:v>1</x:v>
      </x:c>
      <x:c r="E1612" s="10"/>
      <x:c r="F1612" s="11" t="n">
        <x:v>1964</x:v>
      </x:c>
      <x:c r="G1612" s="11" t="n">
        <x:v>1</x:v>
      </x:c>
      <x:c r="H1612" s="11" t="n">
        <x:v>0</x:v>
      </x:c>
      <x:c r="I1612" s="11" t="n">
        <x:v>0</x:v>
      </x:c>
      <x:c r="J1612" s="11" t="n">
        <x:v>0</x:v>
      </x:c>
      <x:c r="K1612" s="11" t="n">
        <x:v>0</x:v>
      </x:c>
      <x:c r="L1612" s="11" t="n">
        <x:f>IF(B1612="NED",1,IF(OR(B1612="ED",B1612="UN"),0,""))</x:f>
        <x:v>0</x:v>
      </x:c>
      <x:c r="M1612" s="11" t="n">
        <x:f>IF(AND(K1612=1,OR(B1612="ED",B1612="NED")),1,0)</x:f>
        <x:v>0</x:v>
      </x:c>
      <x:c r="N1612" s="11" t="n">
        <x:f>IF(K1612=1,1,0)</x:f>
        <x:v>0</x:v>
      </x:c>
      <x:c r="O1612" s="12" t="str">
        <x:v>Exclude supplied knotted proteins</x:v>
      </x:c>
      <x:c r="P1612" s="11" t="n">
        <x:v>0</x:v>
      </x:c>
      <x:c r="Q1612" s="12" t="str">
        <x:v>AF-Q6DFV5-F1-model_v6</x:v>
      </x:c>
      <x:c r="R1612" s="12" t="str">
        <x:v>ok</x:v>
      </x:c>
      <x:c r="S1612" s="11" t="n">
        <x:v>1169</x:v>
      </x:c>
      <x:c r="T1612" s="11" t="n">
        <x:v>1964</x:v>
      </x:c>
    </x:row>
    <x:row r="1613" ht="23" customHeight="1">
      <x:c r="A1613" s="2" t="str">
        <x:v>Q6DFW4</x:v>
      </x:c>
      <x:c r="B1613" s="2" t="str">
        <x:v>UN</x:v>
      </x:c>
      <x:c r="C1613" s="2" t="n">
        <x:v>1</x:v>
      </x:c>
      <x:c r="D1613" s="2" t="n">
        <x:v>1</x:v>
      </x:c>
      <x:c r="E1613" s="10" t="n">
        <x:v>76.12274253731343</x:v>
      </x:c>
      <x:c r="F1613" s="11" t="n">
        <x:v>536</x:v>
      </x:c>
      <x:c r="G1613" s="11" t="n">
        <x:v>0</x:v>
      </x:c>
      <x:c r="H1613" s="11" t="n">
        <x:v>0</x:v>
      </x:c>
      <x:c r="I1613" s="11" t="n">
        <x:v>0</x:v>
      </x:c>
      <x:c r="J1613" s="11" t="n">
        <x:v>0</x:v>
      </x:c>
      <x:c r="K1613" s="11" t="n">
        <x:v>1</x:v>
      </x:c>
      <x:c r="L1613" s="11" t="n">
        <x:f>IF(B1613="NED",1,IF(OR(B1613="ED",B1613="UN"),0,""))</x:f>
        <x:v>0</x:v>
      </x:c>
      <x:c r="M1613" s="11" t="n">
        <x:f>IF(AND(K1613=1,OR(B1613="ED",B1613="NED")),1,0)</x:f>
        <x:v>0</x:v>
      </x:c>
      <x:c r="N1613" s="11" t="n">
        <x:f>IF(K1613=1,1,0)</x:f>
        <x:v>1</x:v>
      </x:c>
      <x:c r="O1613" s="12"/>
      <x:c r="P1613" s="11" t="n">
        <x:v>0</x:v>
      </x:c>
      <x:c r="Q1613" s="12" t="str">
        <x:v>AF-Q6DFW4-F1-model_v6</x:v>
      </x:c>
      <x:c r="R1613" s="12" t="str">
        <x:v>ok</x:v>
      </x:c>
      <x:c r="S1613" s="11" t="n">
        <x:v>1170</x:v>
      </x:c>
      <x:c r="T1613" s="11" t="n">
        <x:v>536</x:v>
      </x:c>
    </x:row>
    <x:row r="1614" ht="23" customHeight="1">
      <x:c r="A1614" s="2" t="str">
        <x:v>Q6DFZ1</x:v>
      </x:c>
      <x:c r="B1614" s="2" t="str">
        <x:v>ED</x:v>
      </x:c>
      <x:c r="C1614" s="2" t="n">
        <x:v>1</x:v>
      </x:c>
      <x:c r="D1614" s="2" t="n">
        <x:v>1</x:v>
      </x:c>
      <x:c r="E1614" s="10"/>
      <x:c r="F1614" s="11" t="n">
        <x:v>1861</x:v>
      </x:c>
      <x:c r="G1614" s="11" t="n">
        <x:v>0</x:v>
      </x:c>
      <x:c r="H1614" s="11" t="n">
        <x:v>0</x:v>
      </x:c>
      <x:c r="I1614" s="11" t="n">
        <x:v>1</x:v>
      </x:c>
      <x:c r="J1614" s="11" t="n">
        <x:v>0</x:v>
      </x:c>
      <x:c r="K1614" s="11" t="n">
        <x:v>0</x:v>
      </x:c>
      <x:c r="L1614" s="11" t="n">
        <x:f>IF(B1614="NED",1,IF(OR(B1614="ED",B1614="UN"),0,""))</x:f>
        <x:v>0</x:v>
      </x:c>
      <x:c r="M1614" s="11" t="n">
        <x:f>IF(AND(K1614=1,OR(B1614="ED",B1614="NED")),1,0)</x:f>
        <x:v>0</x:v>
      </x:c>
      <x:c r="N1614" s="11" t="n">
        <x:f>IF(K1614=1,1,0)</x:f>
        <x:v>0</x:v>
      </x:c>
      <x:c r="O1614" s="12" t="str">
        <x:v>Exclude UniProt Membrane keyword</x:v>
      </x:c>
      <x:c r="P1614" s="11" t="n">
        <x:v>0</x:v>
      </x:c>
      <x:c r="Q1614" s="12" t="str">
        <x:v>AF-Q6DFZ1-F1-model_v6</x:v>
      </x:c>
      <x:c r="R1614" s="12" t="str">
        <x:v>ok</x:v>
      </x:c>
      <x:c r="S1614" s="11" t="n">
        <x:v>3186</x:v>
      </x:c>
      <x:c r="T1614" s="11" t="n">
        <x:v>1861</x:v>
      </x:c>
    </x:row>
    <x:row r="1615" ht="23" customHeight="1">
      <x:c r="A1615" s="2" t="str">
        <x:v>Q6DID3</x:v>
      </x:c>
      <x:c r="B1615" s="2" t="str">
        <x:v>UN</x:v>
      </x:c>
      <x:c r="C1615" s="2" t="n">
        <x:v>1</x:v>
      </x:c>
      <x:c r="D1615" s="2" t="n">
        <x:v>1</x:v>
      </x:c>
      <x:c r="E1615" s="10" t="n">
        <x:v>51.55126971608833</x:v>
      </x:c>
      <x:c r="F1615" s="11" t="n">
        <x:v>1268</x:v>
      </x:c>
      <x:c r="G1615" s="11" t="n">
        <x:v>0</x:v>
      </x:c>
      <x:c r="H1615" s="11" t="n">
        <x:v>0</x:v>
      </x:c>
      <x:c r="I1615" s="11" t="n">
        <x:v>0</x:v>
      </x:c>
      <x:c r="J1615" s="11" t="n">
        <x:v>0</x:v>
      </x:c>
      <x:c r="K1615" s="11" t="n">
        <x:v>0</x:v>
      </x:c>
      <x:c r="L1615" s="11" t="n">
        <x:f>IF(B1615="NED",1,IF(OR(B1615="ED",B1615="UN"),0,""))</x:f>
        <x:v>0</x:v>
      </x:c>
      <x:c r="M1615" s="11" t="n">
        <x:f>IF(AND(K1615=1,OR(B1615="ED",B1615="NED")),1,0)</x:f>
        <x:v>0</x:v>
      </x:c>
      <x:c r="N1615" s="11" t="n">
        <x:f>IF(K1615=1,1,0)</x:f>
        <x:v>0</x:v>
      </x:c>
      <x:c r="O1615" s="12" t="str">
        <x:v>Retain protein mean pLDDT &gt;=70</x:v>
      </x:c>
      <x:c r="P1615" s="11" t="n">
        <x:v>0</x:v>
      </x:c>
      <x:c r="Q1615" s="12" t="str">
        <x:v>AF-Q6DID3-F1-model_v6</x:v>
      </x:c>
      <x:c r="R1615" s="12" t="str">
        <x:v>ok</x:v>
      </x:c>
      <x:c r="S1615" s="11" t="n">
        <x:v>1171</x:v>
      </x:c>
      <x:c r="T1615" s="11" t="n">
        <x:v>1268</x:v>
      </x:c>
    </x:row>
    <x:row r="1616" ht="23" customHeight="1">
      <x:c r="A1616" s="2" t="str">
        <x:v>Q6DID7</x:v>
      </x:c>
      <x:c r="B1616" s="2" t="str">
        <x:v>UN</x:v>
      </x:c>
      <x:c r="C1616" s="2" t="n">
        <x:v>1</x:v>
      </x:c>
      <x:c r="D1616" s="2" t="n">
        <x:v>1</x:v>
      </x:c>
      <x:c r="E1616" s="10"/>
      <x:c r="F1616" s="11" t="n">
        <x:v>541</x:v>
      </x:c>
      <x:c r="G1616" s="11" t="n">
        <x:v>0</x:v>
      </x:c>
      <x:c r="H1616" s="11" t="n">
        <x:v>0</x:v>
      </x:c>
      <x:c r="I1616" s="11" t="n">
        <x:v>1</x:v>
      </x:c>
      <x:c r="J1616" s="11" t="n">
        <x:v>0</x:v>
      </x:c>
      <x:c r="K1616" s="11" t="n">
        <x:v>0</x:v>
      </x:c>
      <x:c r="L1616" s="11" t="n">
        <x:f>IF(B1616="NED",1,IF(OR(B1616="ED",B1616="UN"),0,""))</x:f>
        <x:v>0</x:v>
      </x:c>
      <x:c r="M1616" s="11" t="n">
        <x:f>IF(AND(K1616=1,OR(B1616="ED",B1616="NED")),1,0)</x:f>
        <x:v>0</x:v>
      </x:c>
      <x:c r="N1616" s="11" t="n">
        <x:f>IF(K1616=1,1,0)</x:f>
        <x:v>0</x:v>
      </x:c>
      <x:c r="O1616" s="12" t="str">
        <x:v>Exclude UniProt Membrane keyword</x:v>
      </x:c>
      <x:c r="P1616" s="11" t="n">
        <x:v>0</x:v>
      </x:c>
      <x:c r="Q1616" s="12" t="str">
        <x:v>AF-Q6DID7-F1-model_v6</x:v>
      </x:c>
      <x:c r="R1616" s="12" t="str">
        <x:v>ok</x:v>
      </x:c>
      <x:c r="S1616" s="11" t="n">
        <x:v>1172</x:v>
      </x:c>
      <x:c r="T1616" s="11" t="n">
        <x:v>541</x:v>
      </x:c>
    </x:row>
    <x:row r="1617" ht="23" customHeight="1">
      <x:c r="A1617" s="2" t="str">
        <x:v>Q6GQT9</x:v>
      </x:c>
      <x:c r="B1617" s="2" t="str">
        <x:v>UN</x:v>
      </x:c>
      <x:c r="C1617" s="2" t="n">
        <x:v>1</x:v>
      </x:c>
      <x:c r="D1617" s="2" t="n">
        <x:v>1</x:v>
      </x:c>
      <x:c r="E1617" s="10"/>
      <x:c r="F1617" s="11" t="n">
        <x:v>1214</x:v>
      </x:c>
      <x:c r="G1617" s="11" t="n">
        <x:v>0</x:v>
      </x:c>
      <x:c r="H1617" s="11" t="n">
        <x:v>0</x:v>
      </x:c>
      <x:c r="I1617" s="11" t="n">
        <x:v>1</x:v>
      </x:c>
      <x:c r="J1617" s="11" t="n">
        <x:v>0</x:v>
      </x:c>
      <x:c r="K1617" s="11" t="n">
        <x:v>0</x:v>
      </x:c>
      <x:c r="L1617" s="11" t="n">
        <x:f>IF(B1617="NED",1,IF(OR(B1617="ED",B1617="UN"),0,""))</x:f>
        <x:v>0</x:v>
      </x:c>
      <x:c r="M1617" s="11" t="n">
        <x:f>IF(AND(K1617=1,OR(B1617="ED",B1617="NED")),1,0)</x:f>
        <x:v>0</x:v>
      </x:c>
      <x:c r="N1617" s="11" t="n">
        <x:f>IF(K1617=1,1,0)</x:f>
        <x:v>0</x:v>
      </x:c>
      <x:c r="O1617" s="12" t="str">
        <x:v>Exclude UniProt Membrane keyword</x:v>
      </x:c>
      <x:c r="P1617" s="11" t="n">
        <x:v>0</x:v>
      </x:c>
      <x:c r="Q1617" s="12" t="str">
        <x:v>AF-Q6GQT9-F1-model_v6</x:v>
      </x:c>
      <x:c r="R1617" s="12" t="str">
        <x:v>ok</x:v>
      </x:c>
      <x:c r="S1617" s="11" t="n">
        <x:v>1173</x:v>
      </x:c>
      <x:c r="T1617" s="11" t="n">
        <x:v>1214</x:v>
      </x:c>
    </x:row>
    <x:row r="1618" ht="23" customHeight="1">
      <x:c r="A1618" s="2" t="str">
        <x:v>Q6GT24</x:v>
      </x:c>
      <x:c r="B1618" s="2" t="str">
        <x:v>ED</x:v>
      </x:c>
      <x:c r="C1618" s="2"/>
      <x:c r="D1618" s="2"/>
      <x:c r="E1618" s="10"/>
      <x:c r="F1618" s="11"/>
      <x:c r="G1618" s="11" t="n">
        <x:v>0</x:v>
      </x:c>
      <x:c r="H1618" s="11" t="n">
        <x:v>0</x:v>
      </x:c>
      <x:c r="I1618" s="11" t="n">
        <x:v>0</x:v>
      </x:c>
      <x:c r="J1618" s="11" t="n">
        <x:v>0</x:v>
      </x:c>
      <x:c r="K1618" s="11" t="n">
        <x:v>0</x:v>
      </x:c>
      <x:c r="L1618" s="11" t="n">
        <x:f>IF(B1618="NED",1,IF(OR(B1618="ED",B1618="UN"),0,""))</x:f>
        <x:v>0</x:v>
      </x:c>
      <x:c r="M1618" s="11" t="n">
        <x:f>IF(AND(K1618=1,OR(B1618="ED",B1618="NED")),1,0)</x:f>
        <x:v>0</x:v>
      </x:c>
      <x:c r="N1618" s="11" t="n">
        <x:f>IF(K1618=1,1,0)</x:f>
        <x:v>0</x:v>
      </x:c>
      <x:c r="O1618" s="12" t="str">
        <x:v>Require exact native accession match</x:v>
      </x:c>
      <x:c r="P1618" s="11" t="n">
        <x:v>0</x:v>
      </x:c>
      <x:c r="Q1618" s="12"/>
      <x:c r="R1618" s="12"/>
      <x:c r="S1618" s="11" t="n">
        <x:v>3187</x:v>
      </x:c>
      <x:c r="T1618" s="11" t="n">
        <x:v>224</x:v>
      </x:c>
    </x:row>
    <x:row r="1619" ht="23" customHeight="1">
      <x:c r="A1619" s="2" t="str">
        <x:v>Q6IRU2</x:v>
      </x:c>
      <x:c r="B1619" s="2" t="str">
        <x:v>ED</x:v>
      </x:c>
      <x:c r="C1619" s="2" t="n">
        <x:v>0</x:v>
      </x:c>
      <x:c r="D1619" s="2" t="n">
        <x:v>0</x:v>
      </x:c>
      <x:c r="E1619" s="10" t="n">
        <x:v>93.2083870967742</x:v>
      </x:c>
      <x:c r="F1619" s="11" t="n">
        <x:v>248</x:v>
      </x:c>
      <x:c r="G1619" s="11" t="n">
        <x:v>0</x:v>
      </x:c>
      <x:c r="H1619" s="11" t="n">
        <x:v>0</x:v>
      </x:c>
      <x:c r="I1619" s="11" t="n">
        <x:v>0</x:v>
      </x:c>
      <x:c r="J1619" s="11" t="n">
        <x:v>0</x:v>
      </x:c>
      <x:c r="K1619" s="11" t="n">
        <x:v>1</x:v>
      </x:c>
      <x:c r="L1619" s="11" t="n">
        <x:f>IF(B1619="NED",1,IF(OR(B1619="ED",B1619="UN"),0,""))</x:f>
        <x:v>0</x:v>
      </x:c>
      <x:c r="M1619" s="11" t="n">
        <x:f>IF(AND(K1619=1,OR(B1619="ED",B1619="NED")),1,0)</x:f>
        <x:v>1</x:v>
      </x:c>
      <x:c r="N1619" s="11" t="n">
        <x:f>IF(K1619=1,1,0)</x:f>
        <x:v>1</x:v>
      </x:c>
      <x:c r="O1619" s="12"/>
      <x:c r="P1619" s="11" t="n">
        <x:v>0</x:v>
      </x:c>
      <x:c r="Q1619" s="12" t="str">
        <x:v>AF-Q6IRU2-F1-model_v6</x:v>
      </x:c>
      <x:c r="R1619" s="12" t="str">
        <x:v>ok</x:v>
      </x:c>
      <x:c r="S1619" s="11" t="n">
        <x:v>1174</x:v>
      </x:c>
      <x:c r="T1619" s="11" t="n">
        <x:v>248</x:v>
      </x:c>
    </x:row>
    <x:row r="1620" ht="23" customHeight="1">
      <x:c r="A1620" s="2" t="str">
        <x:v>Q6JPI3</x:v>
      </x:c>
      <x:c r="B1620" s="2" t="str">
        <x:v>UN</x:v>
      </x:c>
      <x:c r="C1620" s="2" t="n">
        <x:v>1</x:v>
      </x:c>
      <x:c r="D1620" s="2" t="n">
        <x:v>1</x:v>
      </x:c>
      <x:c r="E1620" s="10" t="n">
        <x:v>55.81292251925691</x:v>
      </x:c>
      <x:c r="F1620" s="11" t="n">
        <x:v>2207</x:v>
      </x:c>
      <x:c r="G1620" s="11" t="n">
        <x:v>0</x:v>
      </x:c>
      <x:c r="H1620" s="11" t="n">
        <x:v>0</x:v>
      </x:c>
      <x:c r="I1620" s="11" t="n">
        <x:v>0</x:v>
      </x:c>
      <x:c r="J1620" s="11" t="n">
        <x:v>0</x:v>
      </x:c>
      <x:c r="K1620" s="11" t="n">
        <x:v>0</x:v>
      </x:c>
      <x:c r="L1620" s="11" t="n">
        <x:f>IF(B1620="NED",1,IF(OR(B1620="ED",B1620="UN"),0,""))</x:f>
        <x:v>0</x:v>
      </x:c>
      <x:c r="M1620" s="11" t="n">
        <x:f>IF(AND(K1620=1,OR(B1620="ED",B1620="NED")),1,0)</x:f>
        <x:v>0</x:v>
      </x:c>
      <x:c r="N1620" s="11" t="n">
        <x:f>IF(K1620=1,1,0)</x:f>
        <x:v>0</x:v>
      </x:c>
      <x:c r="O1620" s="12" t="str">
        <x:v>Retain protein mean pLDDT &gt;=70</x:v>
      </x:c>
      <x:c r="P1620" s="11" t="n">
        <x:v>0</x:v>
      </x:c>
      <x:c r="Q1620" s="12" t="str">
        <x:v>AF-Q6JPI3-F1-model_v6</x:v>
      </x:c>
      <x:c r="R1620" s="12" t="str">
        <x:v>ok</x:v>
      </x:c>
      <x:c r="S1620" s="11" t="n">
        <x:v>1175</x:v>
      </x:c>
      <x:c r="T1620" s="11" t="n">
        <x:v>2207</x:v>
      </x:c>
    </x:row>
    <x:row r="1621" ht="23" customHeight="1">
      <x:c r="A1621" s="2" t="str">
        <x:v>Q6KAR6</x:v>
      </x:c>
      <x:c r="B1621" s="2" t="str">
        <x:v>UN</x:v>
      </x:c>
      <x:c r="C1621" s="2" t="n">
        <x:v>1</x:v>
      </x:c>
      <x:c r="D1621" s="2" t="n">
        <x:v>1</x:v>
      </x:c>
      <x:c r="E1621" s="10" t="n">
        <x:v>87.94430463576158</x:v>
      </x:c>
      <x:c r="F1621" s="11" t="n">
        <x:v>755</x:v>
      </x:c>
      <x:c r="G1621" s="11" t="n">
        <x:v>0</x:v>
      </x:c>
      <x:c r="H1621" s="11" t="n">
        <x:v>0</x:v>
      </x:c>
      <x:c r="I1621" s="11" t="n">
        <x:v>0</x:v>
      </x:c>
      <x:c r="J1621" s="11" t="n">
        <x:v>0</x:v>
      </x:c>
      <x:c r="K1621" s="11" t="n">
        <x:v>1</x:v>
      </x:c>
      <x:c r="L1621" s="11" t="n">
        <x:f>IF(B1621="NED",1,IF(OR(B1621="ED",B1621="UN"),0,""))</x:f>
        <x:v>0</x:v>
      </x:c>
      <x:c r="M1621" s="11" t="n">
        <x:f>IF(AND(K1621=1,OR(B1621="ED",B1621="NED")),1,0)</x:f>
        <x:v>0</x:v>
      </x:c>
      <x:c r="N1621" s="11" t="n">
        <x:f>IF(K1621=1,1,0)</x:f>
        <x:v>1</x:v>
      </x:c>
      <x:c r="O1621" s="12"/>
      <x:c r="P1621" s="11" t="n">
        <x:v>0</x:v>
      </x:c>
      <x:c r="Q1621" s="12" t="str">
        <x:v>AF-Q6KAR6-F1-model_v6</x:v>
      </x:c>
      <x:c r="R1621" s="12" t="str">
        <x:v>ok</x:v>
      </x:c>
      <x:c r="S1621" s="11" t="n">
        <x:v>1176</x:v>
      </x:c>
      <x:c r="T1621" s="11" t="n">
        <x:v>755</x:v>
      </x:c>
    </x:row>
    <x:row r="1622" ht="23" customHeight="1">
      <x:c r="A1622" s="2" t="str">
        <x:v>Q6KCD5-2</x:v>
      </x:c>
      <x:c r="B1622" s="2" t="str">
        <x:v>ED</x:v>
      </x:c>
      <x:c r="C1622" s="2"/>
      <x:c r="D1622" s="2"/>
      <x:c r="E1622" s="10"/>
      <x:c r="F1622" s="11"/>
      <x:c r="G1622" s="11" t="n">
        <x:v>0</x:v>
      </x:c>
      <x:c r="H1622" s="11" t="n">
        <x:v>0</x:v>
      </x:c>
      <x:c r="I1622" s="11"/>
      <x:c r="J1622" s="11"/>
      <x:c r="K1622" s="11" t="n">
        <x:v>0</x:v>
      </x:c>
      <x:c r="L1622" s="11" t="n">
        <x:f>IF(B1622="NED",1,IF(OR(B1622="ED",B1622="UN"),0,""))</x:f>
        <x:v>0</x:v>
      </x:c>
      <x:c r="M1622" s="11" t="n">
        <x:f>IF(AND(K1622=1,OR(B1622="ED",B1622="NED")),1,0)</x:f>
        <x:v>0</x:v>
      </x:c>
      <x:c r="N1622" s="11" t="n">
        <x:f>IF(K1622=1,1,0)</x:f>
        <x:v>0</x:v>
      </x:c>
      <x:c r="O1622" s="12" t="str">
        <x:v>Require exact native accession match</x:v>
      </x:c>
      <x:c r="P1622" s="11" t="n">
        <x:v>0</x:v>
      </x:c>
      <x:c r="Q1622" s="12"/>
      <x:c r="R1622" s="12"/>
      <x:c r="S1622" s="11" t="n">
        <x:v>1177</x:v>
      </x:c>
      <x:c r="T1622" s="11"/>
    </x:row>
    <x:row r="1623" ht="23" customHeight="1">
      <x:c r="A1623" s="2" t="str">
        <x:v>Q6NS46</x:v>
      </x:c>
      <x:c r="B1623" s="2" t="str">
        <x:v>NED</x:v>
      </x:c>
      <x:c r="C1623" s="2" t="n">
        <x:v>1</x:v>
      </x:c>
      <x:c r="D1623" s="2" t="n">
        <x:v>1</x:v>
      </x:c>
      <x:c r="E1623" s="10" t="n">
        <x:v>75.73071428571428</x:v>
      </x:c>
      <x:c r="F1623" s="11" t="n">
        <x:v>1862</x:v>
      </x:c>
      <x:c r="G1623" s="11" t="n">
        <x:v>0</x:v>
      </x:c>
      <x:c r="H1623" s="11" t="n">
        <x:v>0</x:v>
      </x:c>
      <x:c r="I1623" s="11" t="n">
        <x:v>0</x:v>
      </x:c>
      <x:c r="J1623" s="11" t="n">
        <x:v>0</x:v>
      </x:c>
      <x:c r="K1623" s="11" t="n">
        <x:v>1</x:v>
      </x:c>
      <x:c r="L1623" s="11" t="n">
        <x:f>IF(B1623="NED",1,IF(OR(B1623="ED",B1623="UN"),0,""))</x:f>
        <x:v>1</x:v>
      </x:c>
      <x:c r="M1623" s="11" t="n">
        <x:f>IF(AND(K1623=1,OR(B1623="ED",B1623="NED")),1,0)</x:f>
        <x:v>1</x:v>
      </x:c>
      <x:c r="N1623" s="11" t="n">
        <x:f>IF(K1623=1,1,0)</x:f>
        <x:v>1</x:v>
      </x:c>
      <x:c r="O1623" s="12"/>
      <x:c r="P1623" s="11" t="n">
        <x:v>0</x:v>
      </x:c>
      <x:c r="Q1623" s="12" t="str">
        <x:v>AF-Q6NS46-F1-model_v6</x:v>
      </x:c>
      <x:c r="R1623" s="12" t="str">
        <x:v>ok</x:v>
      </x:c>
      <x:c r="S1623" s="11" t="n">
        <x:v>1178</x:v>
      </x:c>
      <x:c r="T1623" s="11" t="n">
        <x:v>1862</x:v>
      </x:c>
    </x:row>
    <x:row r="1624" ht="23" customHeight="1">
      <x:c r="A1624" s="2" t="str">
        <x:v>Q6NS79</x:v>
      </x:c>
      <x:c r="B1624" s="2" t="str">
        <x:v>ED</x:v>
      </x:c>
      <x:c r="C1624" s="2"/>
      <x:c r="D1624" s="2"/>
      <x:c r="E1624" s="10"/>
      <x:c r="F1624" s="11"/>
      <x:c r="G1624" s="11" t="n">
        <x:v>0</x:v>
      </x:c>
      <x:c r="H1624" s="11" t="n">
        <x:v>0</x:v>
      </x:c>
      <x:c r="I1624" s="11"/>
      <x:c r="J1624" s="11"/>
      <x:c r="K1624" s="11" t="n">
        <x:v>0</x:v>
      </x:c>
      <x:c r="L1624" s="11" t="n">
        <x:f>IF(B1624="NED",1,IF(OR(B1624="ED",B1624="UN"),0,""))</x:f>
        <x:v>0</x:v>
      </x:c>
      <x:c r="M1624" s="11" t="n">
        <x:f>IF(AND(K1624=1,OR(B1624="ED",B1624="NED")),1,0)</x:f>
        <x:v>0</x:v>
      </x:c>
      <x:c r="N1624" s="11" t="n">
        <x:f>IF(K1624=1,1,0)</x:f>
        <x:v>0</x:v>
      </x:c>
      <x:c r="O1624" s="12" t="str">
        <x:v>Require exact native accession match</x:v>
      </x:c>
      <x:c r="P1624" s="11" t="n">
        <x:v>0</x:v>
      </x:c>
      <x:c r="Q1624" s="12"/>
      <x:c r="R1624" s="12"/>
      <x:c r="S1624" s="11" t="n">
        <x:v>3188</x:v>
      </x:c>
      <x:c r="T1624" s="11"/>
    </x:row>
    <x:row r="1625" ht="23" customHeight="1">
      <x:c r="A1625" s="2" t="str">
        <x:v>Q6NSQ7</x:v>
      </x:c>
      <x:c r="B1625" s="2" t="str">
        <x:v>UN</x:v>
      </x:c>
      <x:c r="C1625" s="2" t="n">
        <x:v>0</x:v>
      </x:c>
      <x:c r="D1625" s="2" t="n">
        <x:v>0</x:v>
      </x:c>
      <x:c r="E1625" s="10" t="n">
        <x:v>69.53048936170214</x:v>
      </x:c>
      <x:c r="F1625" s="11" t="n">
        <x:v>470</x:v>
      </x:c>
      <x:c r="G1625" s="11" t="n">
        <x:v>0</x:v>
      </x:c>
      <x:c r="H1625" s="11" t="n">
        <x:v>0</x:v>
      </x:c>
      <x:c r="I1625" s="11" t="n">
        <x:v>0</x:v>
      </x:c>
      <x:c r="J1625" s="11" t="n">
        <x:v>0</x:v>
      </x:c>
      <x:c r="K1625" s="11" t="n">
        <x:v>0</x:v>
      </x:c>
      <x:c r="L1625" s="11" t="n">
        <x:f>IF(B1625="NED",1,IF(OR(B1625="ED",B1625="UN"),0,""))</x:f>
        <x:v>0</x:v>
      </x:c>
      <x:c r="M1625" s="11" t="n">
        <x:f>IF(AND(K1625=1,OR(B1625="ED",B1625="NED")),1,0)</x:f>
        <x:v>0</x:v>
      </x:c>
      <x:c r="N1625" s="11" t="n">
        <x:f>IF(K1625=1,1,0)</x:f>
        <x:v>0</x:v>
      </x:c>
      <x:c r="O1625" s="12" t="str">
        <x:v>Retain protein mean pLDDT &gt;=70</x:v>
      </x:c>
      <x:c r="P1625" s="11" t="n">
        <x:v>0</x:v>
      </x:c>
      <x:c r="Q1625" s="12" t="str">
        <x:v>AF-Q6NSQ7-F1-model_v6</x:v>
      </x:c>
      <x:c r="R1625" s="12" t="str">
        <x:v>ok</x:v>
      </x:c>
      <x:c r="S1625" s="11" t="n">
        <x:v>1179</x:v>
      </x:c>
      <x:c r="T1625" s="11" t="n">
        <x:v>470</x:v>
      </x:c>
    </x:row>
    <x:row r="1626" ht="23" customHeight="1">
      <x:c r="A1626" s="2" t="str">
        <x:v>Q6NV52</x:v>
      </x:c>
      <x:c r="B1626" s="2" t="str">
        <x:v>ED</x:v>
      </x:c>
      <x:c r="C1626" s="2"/>
      <x:c r="D1626" s="2"/>
      <x:c r="E1626" s="10"/>
      <x:c r="F1626" s="11"/>
      <x:c r="G1626" s="11" t="n">
        <x:v>0</x:v>
      </x:c>
      <x:c r="H1626" s="11" t="n">
        <x:v>0</x:v>
      </x:c>
      <x:c r="I1626" s="11" t="n">
        <x:v>0</x:v>
      </x:c>
      <x:c r="J1626" s="11" t="n">
        <x:v>0</x:v>
      </x:c>
      <x:c r="K1626" s="11" t="n">
        <x:v>0</x:v>
      </x:c>
      <x:c r="L1626" s="11" t="n">
        <x:f>IF(B1626="NED",1,IF(OR(B1626="ED",B1626="UN"),0,""))</x:f>
        <x:v>0</x:v>
      </x:c>
      <x:c r="M1626" s="11" t="n">
        <x:f>IF(AND(K1626=1,OR(B1626="ED",B1626="NED")),1,0)</x:f>
        <x:v>0</x:v>
      </x:c>
      <x:c r="N1626" s="11" t="n">
        <x:f>IF(K1626=1,1,0)</x:f>
        <x:v>0</x:v>
      </x:c>
      <x:c r="O1626" s="12" t="str">
        <x:v>Require exact native accession match</x:v>
      </x:c>
      <x:c r="P1626" s="11" t="n">
        <x:v>0</x:v>
      </x:c>
      <x:c r="Q1626" s="12"/>
      <x:c r="R1626" s="12"/>
      <x:c r="S1626" s="11" t="n">
        <x:v>3189</x:v>
      </x:c>
      <x:c r="T1626" s="11" t="n">
        <x:v>630</x:v>
      </x:c>
    </x:row>
    <x:row r="1627" ht="23" customHeight="1">
      <x:c r="A1627" s="2" t="str">
        <x:v>Q6NV83-2</x:v>
      </x:c>
      <x:c r="B1627" s="2" t="str">
        <x:v>NED</x:v>
      </x:c>
      <x:c r="C1627" s="2"/>
      <x:c r="D1627" s="2"/>
      <x:c r="E1627" s="10"/>
      <x:c r="F1627" s="11"/>
      <x:c r="G1627" s="11" t="n">
        <x:v>0</x:v>
      </x:c>
      <x:c r="H1627" s="11" t="n">
        <x:v>0</x:v>
      </x:c>
      <x:c r="I1627" s="11"/>
      <x:c r="J1627" s="11"/>
      <x:c r="K1627" s="11" t="n">
        <x:v>0</x:v>
      </x:c>
      <x:c r="L1627" s="11" t="n">
        <x:f>IF(B1627="NED",1,IF(OR(B1627="ED",B1627="UN"),0,""))</x:f>
        <x:v>1</x:v>
      </x:c>
      <x:c r="M1627" s="11" t="n">
        <x:f>IF(AND(K1627=1,OR(B1627="ED",B1627="NED")),1,0)</x:f>
        <x:v>0</x:v>
      </x:c>
      <x:c r="N1627" s="11" t="n">
        <x:f>IF(K1627=1,1,0)</x:f>
        <x:v>0</x:v>
      </x:c>
      <x:c r="O1627" s="12" t="str">
        <x:v>Require exact native accession match</x:v>
      </x:c>
      <x:c r="P1627" s="11" t="n">
        <x:v>0</x:v>
      </x:c>
      <x:c r="Q1627" s="12"/>
      <x:c r="R1627" s="12"/>
      <x:c r="S1627" s="11" t="n">
        <x:v>1180</x:v>
      </x:c>
      <x:c r="T1627" s="11"/>
    </x:row>
    <x:row r="1628" ht="23" customHeight="1">
      <x:c r="A1628" s="2" t="str">
        <x:v>Q6NV99</x:v>
      </x:c>
      <x:c r="B1628" s="2" t="str">
        <x:v>UN</x:v>
      </x:c>
      <x:c r="C1628" s="2" t="n">
        <x:v>0</x:v>
      </x:c>
      <x:c r="D1628" s="2" t="n">
        <x:v>0</x:v>
      </x:c>
      <x:c r="E1628" s="10" t="n">
        <x:v>55.87974276527331</x:v>
      </x:c>
      <x:c r="F1628" s="11" t="n">
        <x:v>933</x:v>
      </x:c>
      <x:c r="G1628" s="11" t="n">
        <x:v>0</x:v>
      </x:c>
      <x:c r="H1628" s="11" t="n">
        <x:v>0</x:v>
      </x:c>
      <x:c r="I1628" s="11" t="n">
        <x:v>0</x:v>
      </x:c>
      <x:c r="J1628" s="11" t="n">
        <x:v>0</x:v>
      </x:c>
      <x:c r="K1628" s="11" t="n">
        <x:v>0</x:v>
      </x:c>
      <x:c r="L1628" s="11" t="n">
        <x:f>IF(B1628="NED",1,IF(OR(B1628="ED",B1628="UN"),0,""))</x:f>
        <x:v>0</x:v>
      </x:c>
      <x:c r="M1628" s="11" t="n">
        <x:f>IF(AND(K1628=1,OR(B1628="ED",B1628="NED")),1,0)</x:f>
        <x:v>0</x:v>
      </x:c>
      <x:c r="N1628" s="11" t="n">
        <x:f>IF(K1628=1,1,0)</x:f>
        <x:v>0</x:v>
      </x:c>
      <x:c r="O1628" s="12" t="str">
        <x:v>Retain protein mean pLDDT &gt;=70</x:v>
      </x:c>
      <x:c r="P1628" s="11" t="n">
        <x:v>0</x:v>
      </x:c>
      <x:c r="Q1628" s="12" t="str">
        <x:v>AF-Q6NV99-F1-model_v6</x:v>
      </x:c>
      <x:c r="R1628" s="12" t="str">
        <x:v>ok</x:v>
      </x:c>
      <x:c r="S1628" s="11" t="n">
        <x:v>3190</x:v>
      </x:c>
      <x:c r="T1628" s="11" t="n">
        <x:v>933</x:v>
      </x:c>
    </x:row>
    <x:row r="1629" ht="23" customHeight="1">
      <x:c r="A1629" s="2" t="str">
        <x:v>Q6NVE9</x:v>
      </x:c>
      <x:c r="B1629" s="2" t="str">
        <x:v>UN</x:v>
      </x:c>
      <x:c r="C1629" s="2" t="n">
        <x:v>1</x:v>
      </x:c>
      <x:c r="D1629" s="2" t="n">
        <x:v>1</x:v>
      </x:c>
      <x:c r="E1629" s="10" t="n">
        <x:v>87.06667741935483</x:v>
      </x:c>
      <x:c r="F1629" s="11" t="n">
        <x:v>310</x:v>
      </x:c>
      <x:c r="G1629" s="11" t="n">
        <x:v>0</x:v>
      </x:c>
      <x:c r="H1629" s="11" t="n">
        <x:v>0</x:v>
      </x:c>
      <x:c r="I1629" s="11" t="n">
        <x:v>0</x:v>
      </x:c>
      <x:c r="J1629" s="11" t="n">
        <x:v>0</x:v>
      </x:c>
      <x:c r="K1629" s="11" t="n">
        <x:v>1</x:v>
      </x:c>
      <x:c r="L1629" s="11" t="n">
        <x:f>IF(B1629="NED",1,IF(OR(B1629="ED",B1629="UN"),0,""))</x:f>
        <x:v>0</x:v>
      </x:c>
      <x:c r="M1629" s="11" t="n">
        <x:f>IF(AND(K1629=1,OR(B1629="ED",B1629="NED")),1,0)</x:f>
        <x:v>0</x:v>
      </x:c>
      <x:c r="N1629" s="11" t="n">
        <x:f>IF(K1629=1,1,0)</x:f>
        <x:v>1</x:v>
      </x:c>
      <x:c r="O1629" s="12"/>
      <x:c r="P1629" s="11" t="n">
        <x:v>0</x:v>
      </x:c>
      <x:c r="Q1629" s="12" t="str">
        <x:v>AF-Q6NVE9-F1-model_v6</x:v>
      </x:c>
      <x:c r="R1629" s="12" t="str">
        <x:v>ok</x:v>
      </x:c>
      <x:c r="S1629" s="11" t="n">
        <x:v>1181</x:v>
      </x:c>
      <x:c r="T1629" s="11" t="n">
        <x:v>310</x:v>
      </x:c>
    </x:row>
    <x:row r="1630" ht="23" customHeight="1">
      <x:c r="A1630" s="2" t="str">
        <x:v>Q6NVF4</x:v>
      </x:c>
      <x:c r="B1630" s="2" t="str">
        <x:v>ED</x:v>
      </x:c>
      <x:c r="C1630" s="2" t="n">
        <x:v>1</x:v>
      </x:c>
      <x:c r="D1630" s="2" t="n">
        <x:v>1</x:v>
      </x:c>
      <x:c r="E1630" s="10" t="n">
        <x:v>71.64858472998138</x:v>
      </x:c>
      <x:c r="F1630" s="11" t="n">
        <x:v>1074</x:v>
      </x:c>
      <x:c r="G1630" s="11" t="n">
        <x:v>0</x:v>
      </x:c>
      <x:c r="H1630" s="11" t="n">
        <x:v>0</x:v>
      </x:c>
      <x:c r="I1630" s="11" t="n">
        <x:v>0</x:v>
      </x:c>
      <x:c r="J1630" s="11" t="n">
        <x:v>0</x:v>
      </x:c>
      <x:c r="K1630" s="11" t="n">
        <x:v>1</x:v>
      </x:c>
      <x:c r="L1630" s="11" t="n">
        <x:f>IF(B1630="NED",1,IF(OR(B1630="ED",B1630="UN"),0,""))</x:f>
        <x:v>0</x:v>
      </x:c>
      <x:c r="M1630" s="11" t="n">
        <x:f>IF(AND(K1630=1,OR(B1630="ED",B1630="NED")),1,0)</x:f>
        <x:v>1</x:v>
      </x:c>
      <x:c r="N1630" s="11" t="n">
        <x:f>IF(K1630=1,1,0)</x:f>
        <x:v>1</x:v>
      </x:c>
      <x:c r="O1630" s="12"/>
      <x:c r="P1630" s="11" t="n">
        <x:v>0</x:v>
      </x:c>
      <x:c r="Q1630" s="12" t="str">
        <x:v>AF-Q6NVF4-F1-model_v6</x:v>
      </x:c>
      <x:c r="R1630" s="12" t="str">
        <x:v>ok</x:v>
      </x:c>
      <x:c r="S1630" s="11" t="n">
        <x:v>1182</x:v>
      </x:c>
      <x:c r="T1630" s="11" t="n">
        <x:v>1074</x:v>
      </x:c>
    </x:row>
    <x:row r="1631" ht="23" customHeight="1">
      <x:c r="A1631" s="2" t="str">
        <x:v>Q6NVF9</x:v>
      </x:c>
      <x:c r="B1631" s="2" t="str">
        <x:v>UN</x:v>
      </x:c>
      <x:c r="C1631" s="2" t="n">
        <x:v>1</x:v>
      </x:c>
      <x:c r="D1631" s="2" t="n">
        <x:v>1</x:v>
      </x:c>
      <x:c r="E1631" s="10" t="n">
        <x:v>63.98549909255899</x:v>
      </x:c>
      <x:c r="F1631" s="11" t="n">
        <x:v>551</x:v>
      </x:c>
      <x:c r="G1631" s="11" t="n">
        <x:v>0</x:v>
      </x:c>
      <x:c r="H1631" s="11" t="n">
        <x:v>0</x:v>
      </x:c>
      <x:c r="I1631" s="11" t="n">
        <x:v>0</x:v>
      </x:c>
      <x:c r="J1631" s="11" t="n">
        <x:v>0</x:v>
      </x:c>
      <x:c r="K1631" s="11" t="n">
        <x:v>0</x:v>
      </x:c>
      <x:c r="L1631" s="11" t="n">
        <x:f>IF(B1631="NED",1,IF(OR(B1631="ED",B1631="UN"),0,""))</x:f>
        <x:v>0</x:v>
      </x:c>
      <x:c r="M1631" s="11" t="n">
        <x:f>IF(AND(K1631=1,OR(B1631="ED",B1631="NED")),1,0)</x:f>
        <x:v>0</x:v>
      </x:c>
      <x:c r="N1631" s="11" t="n">
        <x:f>IF(K1631=1,1,0)</x:f>
        <x:v>0</x:v>
      </x:c>
      <x:c r="O1631" s="12" t="str">
        <x:v>Retain protein mean pLDDT &gt;=70</x:v>
      </x:c>
      <x:c r="P1631" s="11" t="n">
        <x:v>0</x:v>
      </x:c>
      <x:c r="Q1631" s="12" t="str">
        <x:v>AF-Q6NVF9-F1-model_v6</x:v>
      </x:c>
      <x:c r="R1631" s="12" t="str">
        <x:v>ok</x:v>
      </x:c>
      <x:c r="S1631" s="11" t="n">
        <x:v>1183</x:v>
      </x:c>
      <x:c r="T1631" s="11" t="n">
        <x:v>551</x:v>
      </x:c>
    </x:row>
    <x:row r="1632" ht="23" customHeight="1">
      <x:c r="A1632" s="2" t="str">
        <x:v>Q6NWW9</x:v>
      </x:c>
      <x:c r="B1632" s="2" t="str">
        <x:v>NED</x:v>
      </x:c>
      <x:c r="C1632" s="2" t="n">
        <x:v>1</x:v>
      </x:c>
      <x:c r="D1632" s="2" t="n">
        <x:v>1</x:v>
      </x:c>
      <x:c r="E1632" s="10"/>
      <x:c r="F1632" s="11" t="n">
        <x:v>1207</x:v>
      </x:c>
      <x:c r="G1632" s="11" t="n">
        <x:v>0</x:v>
      </x:c>
      <x:c r="H1632" s="11" t="n">
        <x:v>0</x:v>
      </x:c>
      <x:c r="I1632" s="11" t="n">
        <x:v>1</x:v>
      </x:c>
      <x:c r="J1632" s="11" t="n">
        <x:v>0</x:v>
      </x:c>
      <x:c r="K1632" s="11" t="n">
        <x:v>0</x:v>
      </x:c>
      <x:c r="L1632" s="11" t="n">
        <x:f>IF(B1632="NED",1,IF(OR(B1632="ED",B1632="UN"),0,""))</x:f>
        <x:v>1</x:v>
      </x:c>
      <x:c r="M1632" s="11" t="n">
        <x:f>IF(AND(K1632=1,OR(B1632="ED",B1632="NED")),1,0)</x:f>
        <x:v>0</x:v>
      </x:c>
      <x:c r="N1632" s="11" t="n">
        <x:f>IF(K1632=1,1,0)</x:f>
        <x:v>0</x:v>
      </x:c>
      <x:c r="O1632" s="12" t="str">
        <x:v>Exclude UniProt Membrane keyword</x:v>
      </x:c>
      <x:c r="P1632" s="11" t="n">
        <x:v>0</x:v>
      </x:c>
      <x:c r="Q1632" s="12" t="str">
        <x:v>AF-Q6NWW9-F1-model_v6</x:v>
      </x:c>
      <x:c r="R1632" s="12" t="str">
        <x:v>ok</x:v>
      </x:c>
      <x:c r="S1632" s="11" t="n">
        <x:v>1184</x:v>
      </x:c>
      <x:c r="T1632" s="11" t="n">
        <x:v>1207</x:v>
      </x:c>
    </x:row>
    <x:row r="1633" ht="23" customHeight="1">
      <x:c r="A1633" s="2" t="str">
        <x:v>Q6NXI6-2</x:v>
      </x:c>
      <x:c r="B1633" s="2" t="str">
        <x:v>ED</x:v>
      </x:c>
      <x:c r="C1633" s="2"/>
      <x:c r="D1633" s="2"/>
      <x:c r="E1633" s="10"/>
      <x:c r="F1633" s="11"/>
      <x:c r="G1633" s="11" t="n">
        <x:v>0</x:v>
      </x:c>
      <x:c r="H1633" s="11" t="n">
        <x:v>0</x:v>
      </x:c>
      <x:c r="I1633" s="11"/>
      <x:c r="J1633" s="11"/>
      <x:c r="K1633" s="11" t="n">
        <x:v>0</x:v>
      </x:c>
      <x:c r="L1633" s="11" t="n">
        <x:f>IF(B1633="NED",1,IF(OR(B1633="ED",B1633="UN"),0,""))</x:f>
        <x:v>0</x:v>
      </x:c>
      <x:c r="M1633" s="11" t="n">
        <x:f>IF(AND(K1633=1,OR(B1633="ED",B1633="NED")),1,0)</x:f>
        <x:v>0</x:v>
      </x:c>
      <x:c r="N1633" s="11" t="n">
        <x:f>IF(K1633=1,1,0)</x:f>
        <x:v>0</x:v>
      </x:c>
      <x:c r="O1633" s="12" t="str">
        <x:v>Require exact native accession match</x:v>
      </x:c>
      <x:c r="P1633" s="11" t="n">
        <x:v>0</x:v>
      </x:c>
      <x:c r="Q1633" s="12"/>
      <x:c r="R1633" s="12"/>
      <x:c r="S1633" s="11" t="n">
        <x:v>1185</x:v>
      </x:c>
      <x:c r="T1633" s="11"/>
    </x:row>
    <x:row r="1634" ht="23" customHeight="1">
      <x:c r="A1634" s="2" t="str">
        <x:v>Q6NXJ0</x:v>
      </x:c>
      <x:c r="B1634" s="2" t="str">
        <x:v>ED</x:v>
      </x:c>
      <x:c r="C1634" s="2" t="n">
        <x:v>1</x:v>
      </x:c>
      <x:c r="D1634" s="2" t="n">
        <x:v>1</x:v>
      </x:c>
      <x:c r="E1634" s="10" t="n">
        <x:v>60.58477674810447</x:v>
      </x:c>
      <x:c r="F1634" s="11" t="n">
        <x:v>1187</x:v>
      </x:c>
      <x:c r="G1634" s="11" t="n">
        <x:v>0</x:v>
      </x:c>
      <x:c r="H1634" s="11" t="n">
        <x:v>0</x:v>
      </x:c>
      <x:c r="I1634" s="11" t="n">
        <x:v>0</x:v>
      </x:c>
      <x:c r="J1634" s="11" t="n">
        <x:v>0</x:v>
      </x:c>
      <x:c r="K1634" s="11" t="n">
        <x:v>0</x:v>
      </x:c>
      <x:c r="L1634" s="11" t="n">
        <x:f>IF(B1634="NED",1,IF(OR(B1634="ED",B1634="UN"),0,""))</x:f>
        <x:v>0</x:v>
      </x:c>
      <x:c r="M1634" s="11" t="n">
        <x:f>IF(AND(K1634=1,OR(B1634="ED",B1634="NED")),1,0)</x:f>
        <x:v>0</x:v>
      </x:c>
      <x:c r="N1634" s="11" t="n">
        <x:f>IF(K1634=1,1,0)</x:f>
        <x:v>0</x:v>
      </x:c>
      <x:c r="O1634" s="12" t="str">
        <x:v>Retain protein mean pLDDT &gt;=70</x:v>
      </x:c>
      <x:c r="P1634" s="11" t="n">
        <x:v>0</x:v>
      </x:c>
      <x:c r="Q1634" s="12" t="str">
        <x:v>AF-Q6NXJ0-F1-model_v6</x:v>
      </x:c>
      <x:c r="R1634" s="12" t="str">
        <x:v>ok</x:v>
      </x:c>
      <x:c r="S1634" s="11" t="n">
        <x:v>1186</x:v>
      </x:c>
      <x:c r="T1634" s="11" t="n">
        <x:v>1187</x:v>
      </x:c>
    </x:row>
    <x:row r="1635" ht="23" customHeight="1">
      <x:c r="A1635" s="2" t="str">
        <x:v>Q6NXL1</x:v>
      </x:c>
      <x:c r="B1635" s="2" t="str">
        <x:v>NED</x:v>
      </x:c>
      <x:c r="C1635" s="2" t="n">
        <x:v>1</x:v>
      </x:c>
      <x:c r="D1635" s="2" t="n">
        <x:v>1</x:v>
      </x:c>
      <x:c r="E1635" s="10"/>
      <x:c r="F1635" s="11" t="n">
        <x:v>1032</x:v>
      </x:c>
      <x:c r="G1635" s="11" t="n">
        <x:v>0</x:v>
      </x:c>
      <x:c r="H1635" s="11" t="n">
        <x:v>0</x:v>
      </x:c>
      <x:c r="I1635" s="11" t="n">
        <x:v>1</x:v>
      </x:c>
      <x:c r="J1635" s="11" t="n">
        <x:v>0</x:v>
      </x:c>
      <x:c r="K1635" s="11" t="n">
        <x:v>0</x:v>
      </x:c>
      <x:c r="L1635" s="11" t="n">
        <x:f>IF(B1635="NED",1,IF(OR(B1635="ED",B1635="UN"),0,""))</x:f>
        <x:v>1</x:v>
      </x:c>
      <x:c r="M1635" s="11" t="n">
        <x:f>IF(AND(K1635=1,OR(B1635="ED",B1635="NED")),1,0)</x:f>
        <x:v>0</x:v>
      </x:c>
      <x:c r="N1635" s="11" t="n">
        <x:f>IF(K1635=1,1,0)</x:f>
        <x:v>0</x:v>
      </x:c>
      <x:c r="O1635" s="12" t="str">
        <x:v>Exclude UniProt Membrane keyword</x:v>
      </x:c>
      <x:c r="P1635" s="11" t="n">
        <x:v>0</x:v>
      </x:c>
      <x:c r="Q1635" s="12" t="str">
        <x:v>AF-Q6NXL1-F1-model_v6</x:v>
      </x:c>
      <x:c r="R1635" s="12" t="str">
        <x:v>ok</x:v>
      </x:c>
      <x:c r="S1635" s="11" t="n">
        <x:v>3191</x:v>
      </x:c>
      <x:c r="T1635" s="11" t="n">
        <x:v>1032</x:v>
      </x:c>
    </x:row>
    <x:row r="1636" ht="23" customHeight="1">
      <x:c r="A1636" s="2" t="str">
        <x:v>Q6NZB0</x:v>
      </x:c>
      <x:c r="B1636" s="2" t="str">
        <x:v>ED</x:v>
      </x:c>
      <x:c r="C1636" s="2" t="n">
        <x:v>0</x:v>
      </x:c>
      <x:c r="D1636" s="2" t="n">
        <x:v>0</x:v>
      </x:c>
      <x:c r="E1636" s="10" t="n">
        <x:v>83.54790513833991</x:v>
      </x:c>
      <x:c r="F1636" s="11" t="n">
        <x:v>253</x:v>
      </x:c>
      <x:c r="G1636" s="11" t="n">
        <x:v>0</x:v>
      </x:c>
      <x:c r="H1636" s="11" t="n">
        <x:v>0</x:v>
      </x:c>
      <x:c r="I1636" s="11" t="n">
        <x:v>0</x:v>
      </x:c>
      <x:c r="J1636" s="11" t="n">
        <x:v>0</x:v>
      </x:c>
      <x:c r="K1636" s="11" t="n">
        <x:v>1</x:v>
      </x:c>
      <x:c r="L1636" s="11" t="n">
        <x:f>IF(B1636="NED",1,IF(OR(B1636="ED",B1636="UN"),0,""))</x:f>
        <x:v>0</x:v>
      </x:c>
      <x:c r="M1636" s="11" t="n">
        <x:f>IF(AND(K1636=1,OR(B1636="ED",B1636="NED")),1,0)</x:f>
        <x:v>1</x:v>
      </x:c>
      <x:c r="N1636" s="11" t="n">
        <x:f>IF(K1636=1,1,0)</x:f>
        <x:v>1</x:v>
      </x:c>
      <x:c r="O1636" s="12"/>
      <x:c r="P1636" s="11" t="n">
        <x:v>0</x:v>
      </x:c>
      <x:c r="Q1636" s="12" t="str">
        <x:v>AF-Q6NZB0-F1-model_v6</x:v>
      </x:c>
      <x:c r="R1636" s="12" t="str">
        <x:v>ok</x:v>
      </x:c>
      <x:c r="S1636" s="11" t="n">
        <x:v>1187</x:v>
      </x:c>
      <x:c r="T1636" s="11" t="n">
        <x:v>253</x:v>
      </x:c>
    </x:row>
    <x:row r="1637" ht="23" customHeight="1">
      <x:c r="A1637" s="2" t="str">
        <x:v>Q6NZD2</x:v>
      </x:c>
      <x:c r="B1637" s="2" t="str">
        <x:v>ED</x:v>
      </x:c>
      <x:c r="C1637" s="2"/>
      <x:c r="D1637" s="2"/>
      <x:c r="E1637" s="10"/>
      <x:c r="F1637" s="11"/>
      <x:c r="G1637" s="11" t="n">
        <x:v>0</x:v>
      </x:c>
      <x:c r="H1637" s="11" t="n">
        <x:v>0</x:v>
      </x:c>
      <x:c r="I1637" s="11" t="n">
        <x:v>1</x:v>
      </x:c>
      <x:c r="J1637" s="11" t="n">
        <x:v>0</x:v>
      </x:c>
      <x:c r="K1637" s="11" t="n">
        <x:v>0</x:v>
      </x:c>
      <x:c r="L1637" s="11" t="n">
        <x:f>IF(B1637="NED",1,IF(OR(B1637="ED",B1637="UN"),0,""))</x:f>
        <x:v>0</x:v>
      </x:c>
      <x:c r="M1637" s="11" t="n">
        <x:f>IF(AND(K1637=1,OR(B1637="ED",B1637="NED")),1,0)</x:f>
        <x:v>0</x:v>
      </x:c>
      <x:c r="N1637" s="11" t="n">
        <x:f>IF(K1637=1,1,0)</x:f>
        <x:v>0</x:v>
      </x:c>
      <x:c r="O1637" s="12" t="str">
        <x:v>Require exact native accession match</x:v>
      </x:c>
      <x:c r="P1637" s="11" t="n">
        <x:v>0</x:v>
      </x:c>
      <x:c r="Q1637" s="12"/>
      <x:c r="R1637" s="12"/>
      <x:c r="S1637" s="11" t="n">
        <x:v>3192</x:v>
      </x:c>
      <x:c r="T1637" s="11" t="n">
        <x:v>521</x:v>
      </x:c>
    </x:row>
    <x:row r="1638" ht="23" customHeight="1">
      <x:c r="A1638" s="2" t="str">
        <x:v>Q6NZF1</x:v>
      </x:c>
      <x:c r="B1638" s="2" t="str">
        <x:v>ED</x:v>
      </x:c>
      <x:c r="C1638" s="2" t="n">
        <x:v>1</x:v>
      </x:c>
      <x:c r="D1638" s="2" t="n">
        <x:v>1</x:v>
      </x:c>
      <x:c r="E1638" s="10" t="n">
        <x:v>56.41900252525252</x:v>
      </x:c>
      <x:c r="F1638" s="11" t="n">
        <x:v>792</x:v>
      </x:c>
      <x:c r="G1638" s="11" t="n">
        <x:v>0</x:v>
      </x:c>
      <x:c r="H1638" s="11" t="n">
        <x:v>0</x:v>
      </x:c>
      <x:c r="I1638" s="11" t="n">
        <x:v>0</x:v>
      </x:c>
      <x:c r="J1638" s="11" t="n">
        <x:v>0</x:v>
      </x:c>
      <x:c r="K1638" s="11" t="n">
        <x:v>0</x:v>
      </x:c>
      <x:c r="L1638" s="11" t="n">
        <x:f>IF(B1638="NED",1,IF(OR(B1638="ED",B1638="UN"),0,""))</x:f>
        <x:v>0</x:v>
      </x:c>
      <x:c r="M1638" s="11" t="n">
        <x:f>IF(AND(K1638=1,OR(B1638="ED",B1638="NED")),1,0)</x:f>
        <x:v>0</x:v>
      </x:c>
      <x:c r="N1638" s="11" t="n">
        <x:f>IF(K1638=1,1,0)</x:f>
        <x:v>0</x:v>
      </x:c>
      <x:c r="O1638" s="12" t="str">
        <x:v>Retain protein mean pLDDT &gt;=70</x:v>
      </x:c>
      <x:c r="P1638" s="11" t="n">
        <x:v>0</x:v>
      </x:c>
      <x:c r="Q1638" s="12" t="str">
        <x:v>AF-Q6NZF1-F1-model_v6</x:v>
      </x:c>
      <x:c r="R1638" s="12" t="str">
        <x:v>ok</x:v>
      </x:c>
      <x:c r="S1638" s="11" t="n">
        <x:v>1188</x:v>
      </x:c>
      <x:c r="T1638" s="11" t="n">
        <x:v>792</x:v>
      </x:c>
    </x:row>
    <x:row r="1639" ht="23" customHeight="1">
      <x:c r="A1639" s="2" t="str">
        <x:v>Q6NZL6</x:v>
      </x:c>
      <x:c r="B1639" s="2" t="str">
        <x:v>UN</x:v>
      </x:c>
      <x:c r="C1639" s="2" t="n">
        <x:v>1</x:v>
      </x:c>
      <x:c r="D1639" s="2" t="n">
        <x:v>1</x:v>
      </x:c>
      <x:c r="E1639" s="10" t="n">
        <x:v>76.3172487160675</x:v>
      </x:c>
      <x:c r="F1639" s="11" t="n">
        <x:v>1363</x:v>
      </x:c>
      <x:c r="G1639" s="11" t="n">
        <x:v>0</x:v>
      </x:c>
      <x:c r="H1639" s="11" t="n">
        <x:v>0</x:v>
      </x:c>
      <x:c r="I1639" s="11" t="n">
        <x:v>0</x:v>
      </x:c>
      <x:c r="J1639" s="11" t="n">
        <x:v>0</x:v>
      </x:c>
      <x:c r="K1639" s="11" t="n">
        <x:v>1</x:v>
      </x:c>
      <x:c r="L1639" s="11" t="n">
        <x:f>IF(B1639="NED",1,IF(OR(B1639="ED",B1639="UN"),0,""))</x:f>
        <x:v>0</x:v>
      </x:c>
      <x:c r="M1639" s="11" t="n">
        <x:f>IF(AND(K1639=1,OR(B1639="ED",B1639="NED")),1,0)</x:f>
        <x:v>0</x:v>
      </x:c>
      <x:c r="N1639" s="11" t="n">
        <x:f>IF(K1639=1,1,0)</x:f>
        <x:v>1</x:v>
      </x:c>
      <x:c r="O1639" s="12"/>
      <x:c r="P1639" s="11" t="n">
        <x:v>0</x:v>
      </x:c>
      <x:c r="Q1639" s="12" t="str">
        <x:v>AF-Q6NZL6-F1-model_v6</x:v>
      </x:c>
      <x:c r="R1639" s="12" t="str">
        <x:v>ok</x:v>
      </x:c>
      <x:c r="S1639" s="11" t="n">
        <x:v>1189</x:v>
      </x:c>
      <x:c r="T1639" s="11" t="n">
        <x:v>1363</x:v>
      </x:c>
    </x:row>
    <x:row r="1640" ht="23" customHeight="1">
      <x:c r="A1640" s="2" t="str">
        <x:v>Q6NZM9</x:v>
      </x:c>
      <x:c r="B1640" s="2" t="str">
        <x:v>ED</x:v>
      </x:c>
      <x:c r="C1640" s="2" t="n">
        <x:v>1</x:v>
      </x:c>
      <x:c r="D1640" s="2" t="n">
        <x:v>1</x:v>
      </x:c>
      <x:c r="E1640" s="10" t="n">
        <x:v>65.1221375464684</x:v>
      </x:c>
      <x:c r="F1640" s="11" t="n">
        <x:v>1076</x:v>
      </x:c>
      <x:c r="G1640" s="11" t="n">
        <x:v>0</x:v>
      </x:c>
      <x:c r="H1640" s="11" t="n">
        <x:v>0</x:v>
      </x:c>
      <x:c r="I1640" s="11" t="n">
        <x:v>0</x:v>
      </x:c>
      <x:c r="J1640" s="11" t="n">
        <x:v>0</x:v>
      </x:c>
      <x:c r="K1640" s="11" t="n">
        <x:v>0</x:v>
      </x:c>
      <x:c r="L1640" s="11" t="n">
        <x:f>IF(B1640="NED",1,IF(OR(B1640="ED",B1640="UN"),0,""))</x:f>
        <x:v>0</x:v>
      </x:c>
      <x:c r="M1640" s="11" t="n">
        <x:f>IF(AND(K1640=1,OR(B1640="ED",B1640="NED")),1,0)</x:f>
        <x:v>0</x:v>
      </x:c>
      <x:c r="N1640" s="11" t="n">
        <x:f>IF(K1640=1,1,0)</x:f>
        <x:v>0</x:v>
      </x:c>
      <x:c r="O1640" s="12" t="str">
        <x:v>Retain protein mean pLDDT &gt;=70</x:v>
      </x:c>
      <x:c r="P1640" s="11" t="n">
        <x:v>0</x:v>
      </x:c>
      <x:c r="Q1640" s="12" t="str">
        <x:v>AF-Q6NZM9-F1-model_v6</x:v>
      </x:c>
      <x:c r="R1640" s="12" t="str">
        <x:v>ok</x:v>
      </x:c>
      <x:c r="S1640" s="11" t="n">
        <x:v>1190</x:v>
      </x:c>
      <x:c r="T1640" s="11" t="n">
        <x:v>1076</x:v>
      </x:c>
    </x:row>
    <x:row r="1641" ht="23" customHeight="1">
      <x:c r="A1641" s="2" t="str">
        <x:v>Q6NZN0-5</x:v>
      </x:c>
      <x:c r="B1641" s="2" t="str">
        <x:v>ED</x:v>
      </x:c>
      <x:c r="C1641" s="2"/>
      <x:c r="D1641" s="2"/>
      <x:c r="E1641" s="10"/>
      <x:c r="F1641" s="11"/>
      <x:c r="G1641" s="11" t="n">
        <x:v>0</x:v>
      </x:c>
      <x:c r="H1641" s="11" t="n">
        <x:v>0</x:v>
      </x:c>
      <x:c r="I1641" s="11"/>
      <x:c r="J1641" s="11"/>
      <x:c r="K1641" s="11" t="n">
        <x:v>0</x:v>
      </x:c>
      <x:c r="L1641" s="11" t="n">
        <x:f>IF(B1641="NED",1,IF(OR(B1641="ED",B1641="UN"),0,""))</x:f>
        <x:v>0</x:v>
      </x:c>
      <x:c r="M1641" s="11" t="n">
        <x:f>IF(AND(K1641=1,OR(B1641="ED",B1641="NED")),1,0)</x:f>
        <x:v>0</x:v>
      </x:c>
      <x:c r="N1641" s="11" t="n">
        <x:f>IF(K1641=1,1,0)</x:f>
        <x:v>0</x:v>
      </x:c>
      <x:c r="O1641" s="12" t="str">
        <x:v>Require exact native accession match</x:v>
      </x:c>
      <x:c r="P1641" s="11" t="n">
        <x:v>0</x:v>
      </x:c>
      <x:c r="Q1641" s="12"/>
      <x:c r="R1641" s="12"/>
      <x:c r="S1641" s="11" t="n">
        <x:v>1191</x:v>
      </x:c>
      <x:c r="T1641" s="11"/>
    </x:row>
    <x:row r="1642" ht="23" customHeight="1">
      <x:c r="A1642" s="2" t="str">
        <x:v>Q6NZQ2</x:v>
      </x:c>
      <x:c r="B1642" s="2" t="str">
        <x:v>ED</x:v>
      </x:c>
      <x:c r="C1642" s="2" t="n">
        <x:v>1</x:v>
      </x:c>
      <x:c r="D1642" s="2" t="n">
        <x:v>1</x:v>
      </x:c>
      <x:c r="E1642" s="10" t="n">
        <x:v>72.83614264919942</x:v>
      </x:c>
      <x:c r="F1642" s="11" t="n">
        <x:v>687</x:v>
      </x:c>
      <x:c r="G1642" s="11" t="n">
        <x:v>0</x:v>
      </x:c>
      <x:c r="H1642" s="11" t="n">
        <x:v>0</x:v>
      </x:c>
      <x:c r="I1642" s="11" t="n">
        <x:v>0</x:v>
      </x:c>
      <x:c r="J1642" s="11" t="n">
        <x:v>0</x:v>
      </x:c>
      <x:c r="K1642" s="11" t="n">
        <x:v>1</x:v>
      </x:c>
      <x:c r="L1642" s="11" t="n">
        <x:f>IF(B1642="NED",1,IF(OR(B1642="ED",B1642="UN"),0,""))</x:f>
        <x:v>0</x:v>
      </x:c>
      <x:c r="M1642" s="11" t="n">
        <x:f>IF(AND(K1642=1,OR(B1642="ED",B1642="NED")),1,0)</x:f>
        <x:v>1</x:v>
      </x:c>
      <x:c r="N1642" s="11" t="n">
        <x:f>IF(K1642=1,1,0)</x:f>
        <x:v>1</x:v>
      </x:c>
      <x:c r="O1642" s="12"/>
      <x:c r="P1642" s="11" t="n">
        <x:v>0</x:v>
      </x:c>
      <x:c r="Q1642" s="12" t="str">
        <x:v>AF-Q6NZQ2-F1-model_v6</x:v>
      </x:c>
      <x:c r="R1642" s="12" t="str">
        <x:v>ok</x:v>
      </x:c>
      <x:c r="S1642" s="11" t="n">
        <x:v>3193</x:v>
      </x:c>
      <x:c r="T1642" s="11" t="n">
        <x:v>687</x:v>
      </x:c>
    </x:row>
    <x:row r="1643" ht="23" customHeight="1">
      <x:c r="A1643" s="2" t="str">
        <x:v>Q6NZQ4</x:v>
      </x:c>
      <x:c r="B1643" s="2" t="str">
        <x:v>ED</x:v>
      </x:c>
      <x:c r="C1643" s="2" t="n">
        <x:v>1</x:v>
      </x:c>
      <x:c r="D1643" s="2" t="n">
        <x:v>1</x:v>
      </x:c>
      <x:c r="E1643" s="10" t="n">
        <x:v>70.06513257575757</x:v>
      </x:c>
      <x:c r="F1643" s="11" t="n">
        <x:v>1056</x:v>
      </x:c>
      <x:c r="G1643" s="11" t="n">
        <x:v>0</x:v>
      </x:c>
      <x:c r="H1643" s="11" t="n">
        <x:v>0</x:v>
      </x:c>
      <x:c r="I1643" s="11" t="n">
        <x:v>0</x:v>
      </x:c>
      <x:c r="J1643" s="11" t="n">
        <x:v>0</x:v>
      </x:c>
      <x:c r="K1643" s="11" t="n">
        <x:v>1</x:v>
      </x:c>
      <x:c r="L1643" s="11" t="n">
        <x:f>IF(B1643="NED",1,IF(OR(B1643="ED",B1643="UN"),0,""))</x:f>
        <x:v>0</x:v>
      </x:c>
      <x:c r="M1643" s="11" t="n">
        <x:f>IF(AND(K1643=1,OR(B1643="ED",B1643="NED")),1,0)</x:f>
        <x:v>1</x:v>
      </x:c>
      <x:c r="N1643" s="11" t="n">
        <x:f>IF(K1643=1,1,0)</x:f>
        <x:v>1</x:v>
      </x:c>
      <x:c r="O1643" s="12"/>
      <x:c r="P1643" s="11" t="n">
        <x:v>0</x:v>
      </x:c>
      <x:c r="Q1643" s="12" t="str">
        <x:v>AF-Q6NZQ4-F1-model_v6</x:v>
      </x:c>
      <x:c r="R1643" s="12" t="str">
        <x:v>ok</x:v>
      </x:c>
      <x:c r="S1643" s="11" t="n">
        <x:v>1192</x:v>
      </x:c>
      <x:c r="T1643" s="11" t="n">
        <x:v>1056</x:v>
      </x:c>
    </x:row>
    <x:row r="1644" ht="23" customHeight="1">
      <x:c r="A1644" s="2" t="str">
        <x:v>Q6NZQ6-2</x:v>
      </x:c>
      <x:c r="B1644" s="2" t="str">
        <x:v>ED</x:v>
      </x:c>
      <x:c r="C1644" s="2"/>
      <x:c r="D1644" s="2"/>
      <x:c r="E1644" s="10"/>
      <x:c r="F1644" s="11"/>
      <x:c r="G1644" s="11" t="n">
        <x:v>0</x:v>
      </x:c>
      <x:c r="H1644" s="11" t="n">
        <x:v>0</x:v>
      </x:c>
      <x:c r="I1644" s="11"/>
      <x:c r="J1644" s="11"/>
      <x:c r="K1644" s="11" t="n">
        <x:v>0</x:v>
      </x:c>
      <x:c r="L1644" s="11" t="n">
        <x:f>IF(B1644="NED",1,IF(OR(B1644="ED",B1644="UN"),0,""))</x:f>
        <x:v>0</x:v>
      </x:c>
      <x:c r="M1644" s="11" t="n">
        <x:f>IF(AND(K1644=1,OR(B1644="ED",B1644="NED")),1,0)</x:f>
        <x:v>0</x:v>
      </x:c>
      <x:c r="N1644" s="11" t="n">
        <x:f>IF(K1644=1,1,0)</x:f>
        <x:v>0</x:v>
      </x:c>
      <x:c r="O1644" s="12" t="str">
        <x:v>Require exact native accession match</x:v>
      </x:c>
      <x:c r="P1644" s="11" t="n">
        <x:v>0</x:v>
      </x:c>
      <x:c r="Q1644" s="12"/>
      <x:c r="R1644" s="12"/>
      <x:c r="S1644" s="11" t="n">
        <x:v>1193</x:v>
      </x:c>
      <x:c r="T1644" s="11"/>
    </x:row>
    <x:row r="1645" ht="23" customHeight="1">
      <x:c r="A1645" s="2" t="str">
        <x:v>Q6NZR5</x:v>
      </x:c>
      <x:c r="B1645" s="2" t="str">
        <x:v>ED</x:v>
      </x:c>
      <x:c r="C1645" s="2" t="n">
        <x:v>1</x:v>
      </x:c>
      <x:c r="D1645" s="2" t="n">
        <x:v>1</x:v>
      </x:c>
      <x:c r="E1645" s="10" t="n">
        <x:v>81.12655144694533</x:v>
      </x:c>
      <x:c r="F1645" s="11" t="n">
        <x:v>1244</x:v>
      </x:c>
      <x:c r="G1645" s="11" t="n">
        <x:v>0</x:v>
      </x:c>
      <x:c r="H1645" s="11" t="n">
        <x:v>0</x:v>
      </x:c>
      <x:c r="I1645" s="11" t="n">
        <x:v>0</x:v>
      </x:c>
      <x:c r="J1645" s="11" t="n">
        <x:v>0</x:v>
      </x:c>
      <x:c r="K1645" s="11" t="n">
        <x:v>1</x:v>
      </x:c>
      <x:c r="L1645" s="11" t="n">
        <x:f>IF(B1645="NED",1,IF(OR(B1645="ED",B1645="UN"),0,""))</x:f>
        <x:v>0</x:v>
      </x:c>
      <x:c r="M1645" s="11" t="n">
        <x:f>IF(AND(K1645=1,OR(B1645="ED",B1645="NED")),1,0)</x:f>
        <x:v>1</x:v>
      </x:c>
      <x:c r="N1645" s="11" t="n">
        <x:f>IF(K1645=1,1,0)</x:f>
        <x:v>1</x:v>
      </x:c>
      <x:c r="O1645" s="12"/>
      <x:c r="P1645" s="11" t="n">
        <x:v>0</x:v>
      </x:c>
      <x:c r="Q1645" s="12" t="str">
        <x:v>AF-Q6NZR5-F1-model_v6</x:v>
      </x:c>
      <x:c r="R1645" s="12" t="str">
        <x:v>ok</x:v>
      </x:c>
      <x:c r="S1645" s="11" t="n">
        <x:v>3194</x:v>
      </x:c>
      <x:c r="T1645" s="11" t="n">
        <x:v>1244</x:v>
      </x:c>
    </x:row>
    <x:row r="1646" ht="23" customHeight="1">
      <x:c r="A1646" s="2" t="str">
        <x:v>Q6P069-2</x:v>
      </x:c>
      <x:c r="B1646" s="2" t="str">
        <x:v>UN</x:v>
      </x:c>
      <x:c r="C1646" s="2"/>
      <x:c r="D1646" s="2"/>
      <x:c r="E1646" s="10"/>
      <x:c r="F1646" s="11"/>
      <x:c r="G1646" s="11" t="n">
        <x:v>0</x:v>
      </x:c>
      <x:c r="H1646" s="11" t="n">
        <x:v>0</x:v>
      </x:c>
      <x:c r="I1646" s="11"/>
      <x:c r="J1646" s="11"/>
      <x:c r="K1646" s="11" t="n">
        <x:v>0</x:v>
      </x:c>
      <x:c r="L1646" s="11" t="n">
        <x:f>IF(B1646="NED",1,IF(OR(B1646="ED",B1646="UN"),0,""))</x:f>
        <x:v>0</x:v>
      </x:c>
      <x:c r="M1646" s="11" t="n">
        <x:f>IF(AND(K1646=1,OR(B1646="ED",B1646="NED")),1,0)</x:f>
        <x:v>0</x:v>
      </x:c>
      <x:c r="N1646" s="11" t="n">
        <x:f>IF(K1646=1,1,0)</x:f>
        <x:v>0</x:v>
      </x:c>
      <x:c r="O1646" s="12" t="str">
        <x:v>Require exact native accession match</x:v>
      </x:c>
      <x:c r="P1646" s="11" t="n">
        <x:v>0</x:v>
      </x:c>
      <x:c r="Q1646" s="12"/>
      <x:c r="R1646" s="12"/>
      <x:c r="S1646" s="11" t="n">
        <x:v>1194</x:v>
      </x:c>
      <x:c r="T1646" s="11"/>
    </x:row>
    <x:row r="1647" ht="23" customHeight="1">
      <x:c r="A1647" s="2" t="str">
        <x:v>Q6P1E1-2</x:v>
      </x:c>
      <x:c r="B1647" s="2" t="str">
        <x:v>ED</x:v>
      </x:c>
      <x:c r="C1647" s="2"/>
      <x:c r="D1647" s="2"/>
      <x:c r="E1647" s="10"/>
      <x:c r="F1647" s="11"/>
      <x:c r="G1647" s="11" t="n">
        <x:v>0</x:v>
      </x:c>
      <x:c r="H1647" s="11" t="n">
        <x:v>0</x:v>
      </x:c>
      <x:c r="I1647" s="11"/>
      <x:c r="J1647" s="11"/>
      <x:c r="K1647" s="11" t="n">
        <x:v>0</x:v>
      </x:c>
      <x:c r="L1647" s="11" t="n">
        <x:f>IF(B1647="NED",1,IF(OR(B1647="ED",B1647="UN"),0,""))</x:f>
        <x:v>0</x:v>
      </x:c>
      <x:c r="M1647" s="11" t="n">
        <x:f>IF(AND(K1647=1,OR(B1647="ED",B1647="NED")),1,0)</x:f>
        <x:v>0</x:v>
      </x:c>
      <x:c r="N1647" s="11" t="n">
        <x:f>IF(K1647=1,1,0)</x:f>
        <x:v>0</x:v>
      </x:c>
      <x:c r="O1647" s="12" t="str">
        <x:v>Require exact native accession match</x:v>
      </x:c>
      <x:c r="P1647" s="11" t="n">
        <x:v>0</x:v>
      </x:c>
      <x:c r="Q1647" s="12"/>
      <x:c r="R1647" s="12"/>
      <x:c r="S1647" s="11" t="n">
        <x:v>1195</x:v>
      </x:c>
      <x:c r="T1647" s="11"/>
    </x:row>
    <x:row r="1648" ht="23" customHeight="1">
      <x:c r="A1648" s="2" t="str">
        <x:v>Q6P1F6</x:v>
      </x:c>
      <x:c r="B1648" s="2" t="str">
        <x:v>UN</x:v>
      </x:c>
      <x:c r="C1648" s="2" t="n">
        <x:v>1</x:v>
      </x:c>
      <x:c r="D1648" s="2" t="n">
        <x:v>1</x:v>
      </x:c>
      <x:c r="E1648" s="10" t="n">
        <x:v>92.16492170022372</x:v>
      </x:c>
      <x:c r="F1648" s="11" t="n">
        <x:v>447</x:v>
      </x:c>
      <x:c r="G1648" s="11" t="n">
        <x:v>0</x:v>
      </x:c>
      <x:c r="H1648" s="11" t="n">
        <x:v>0</x:v>
      </x:c>
      <x:c r="I1648" s="11" t="n">
        <x:v>0</x:v>
      </x:c>
      <x:c r="J1648" s="11" t="n">
        <x:v>0</x:v>
      </x:c>
      <x:c r="K1648" s="11" t="n">
        <x:v>1</x:v>
      </x:c>
      <x:c r="L1648" s="11" t="n">
        <x:f>IF(B1648="NED",1,IF(OR(B1648="ED",B1648="UN"),0,""))</x:f>
        <x:v>0</x:v>
      </x:c>
      <x:c r="M1648" s="11" t="n">
        <x:f>IF(AND(K1648=1,OR(B1648="ED",B1648="NED")),1,0)</x:f>
        <x:v>0</x:v>
      </x:c>
      <x:c r="N1648" s="11" t="n">
        <x:f>IF(K1648=1,1,0)</x:f>
        <x:v>1</x:v>
      </x:c>
      <x:c r="O1648" s="12"/>
      <x:c r="P1648" s="11" t="n">
        <x:v>0</x:v>
      </x:c>
      <x:c r="Q1648" s="12" t="str">
        <x:v>AF-Q6P1F6-F1-model_v6</x:v>
      </x:c>
      <x:c r="R1648" s="12" t="str">
        <x:v>ok</x:v>
      </x:c>
      <x:c r="S1648" s="11" t="n">
        <x:v>1196</x:v>
      </x:c>
      <x:c r="T1648" s="11" t="n">
        <x:v>447</x:v>
      </x:c>
    </x:row>
    <x:row r="1649" ht="23" customHeight="1">
      <x:c r="A1649" s="2" t="str">
        <x:v>Q6P1G0</x:v>
      </x:c>
      <x:c r="B1649" s="2" t="str">
        <x:v>ED</x:v>
      </x:c>
      <x:c r="C1649" s="2" t="n">
        <x:v>1</x:v>
      </x:c>
      <x:c r="D1649" s="2" t="n">
        <x:v>1</x:v>
      </x:c>
      <x:c r="E1649" s="10" t="n">
        <x:v>80.41578547297297</x:v>
      </x:c>
      <x:c r="F1649" s="11" t="n">
        <x:v>1184</x:v>
      </x:c>
      <x:c r="G1649" s="11" t="n">
        <x:v>0</x:v>
      </x:c>
      <x:c r="H1649" s="11" t="n">
        <x:v>0</x:v>
      </x:c>
      <x:c r="I1649" s="11" t="n">
        <x:v>0</x:v>
      </x:c>
      <x:c r="J1649" s="11" t="n">
        <x:v>0</x:v>
      </x:c>
      <x:c r="K1649" s="11" t="n">
        <x:v>1</x:v>
      </x:c>
      <x:c r="L1649" s="11" t="n">
        <x:f>IF(B1649="NED",1,IF(OR(B1649="ED",B1649="UN"),0,""))</x:f>
        <x:v>0</x:v>
      </x:c>
      <x:c r="M1649" s="11" t="n">
        <x:f>IF(AND(K1649=1,OR(B1649="ED",B1649="NED")),1,0)</x:f>
        <x:v>1</x:v>
      </x:c>
      <x:c r="N1649" s="11" t="n">
        <x:f>IF(K1649=1,1,0)</x:f>
        <x:v>1</x:v>
      </x:c>
      <x:c r="O1649" s="12"/>
      <x:c r="P1649" s="11" t="n">
        <x:v>0</x:v>
      </x:c>
      <x:c r="Q1649" s="12" t="str">
        <x:v>AF-Q6P1G0-F1-model_v6</x:v>
      </x:c>
      <x:c r="R1649" s="12" t="str">
        <x:v>ok</x:v>
      </x:c>
      <x:c r="S1649" s="11" t="n">
        <x:v>1197</x:v>
      </x:c>
      <x:c r="T1649" s="11" t="n">
        <x:v>1184</x:v>
      </x:c>
    </x:row>
    <x:row r="1650" ht="23" customHeight="1">
      <x:c r="A1650" s="2" t="str">
        <x:v>Q6P1H6</x:v>
      </x:c>
      <x:c r="B1650" s="2" t="str">
        <x:v>ED</x:v>
      </x:c>
      <x:c r="C1650" s="2" t="n">
        <x:v>1</x:v>
      </x:c>
      <x:c r="D1650" s="2" t="n">
        <x:v>1</x:v>
      </x:c>
      <x:c r="E1650" s="10"/>
      <x:c r="F1650" s="11" t="n">
        <x:v>964</x:v>
      </x:c>
      <x:c r="G1650" s="11" t="n">
        <x:v>0</x:v>
      </x:c>
      <x:c r="H1650" s="11" t="n">
        <x:v>0</x:v>
      </x:c>
      <x:c r="I1650" s="11" t="n">
        <x:v>1</x:v>
      </x:c>
      <x:c r="J1650" s="11" t="n">
        <x:v>0</x:v>
      </x:c>
      <x:c r="K1650" s="11" t="n">
        <x:v>0</x:v>
      </x:c>
      <x:c r="L1650" s="11" t="n">
        <x:f>IF(B1650="NED",1,IF(OR(B1650="ED",B1650="UN"),0,""))</x:f>
        <x:v>0</x:v>
      </x:c>
      <x:c r="M1650" s="11" t="n">
        <x:f>IF(AND(K1650=1,OR(B1650="ED",B1650="NED")),1,0)</x:f>
        <x:v>0</x:v>
      </x:c>
      <x:c r="N1650" s="11" t="n">
        <x:f>IF(K1650=1,1,0)</x:f>
        <x:v>0</x:v>
      </x:c>
      <x:c r="O1650" s="12" t="str">
        <x:v>Exclude UniProt Membrane keyword</x:v>
      </x:c>
      <x:c r="P1650" s="11" t="n">
        <x:v>0</x:v>
      </x:c>
      <x:c r="Q1650" s="12" t="str">
        <x:v>AF-Q6P1H6-F1-model_v6</x:v>
      </x:c>
      <x:c r="R1650" s="12" t="str">
        <x:v>ok</x:v>
      </x:c>
      <x:c r="S1650" s="11" t="n">
        <x:v>1198</x:v>
      </x:c>
      <x:c r="T1650" s="11" t="n">
        <x:v>964</x:v>
      </x:c>
    </x:row>
    <x:row r="1651" ht="23" customHeight="1">
      <x:c r="A1651" s="2" t="str">
        <x:v>Q6P2B1</x:v>
      </x:c>
      <x:c r="B1651" s="2" t="str">
        <x:v>ED</x:v>
      </x:c>
      <x:c r="C1651" s="2" t="n">
        <x:v>0</x:v>
      </x:c>
      <x:c r="D1651" s="2" t="n">
        <x:v>0</x:v>
      </x:c>
      <x:c r="E1651" s="10" t="n">
        <x:v>95.37580715059588</x:v>
      </x:c>
      <x:c r="F1651" s="11" t="n">
        <x:v>923</x:v>
      </x:c>
      <x:c r="G1651" s="11" t="n">
        <x:v>0</x:v>
      </x:c>
      <x:c r="H1651" s="11" t="n">
        <x:v>0</x:v>
      </x:c>
      <x:c r="I1651" s="11" t="n">
        <x:v>0</x:v>
      </x:c>
      <x:c r="J1651" s="11" t="n">
        <x:v>0</x:v>
      </x:c>
      <x:c r="K1651" s="11" t="n">
        <x:v>1</x:v>
      </x:c>
      <x:c r="L1651" s="11" t="n">
        <x:f>IF(B1651="NED",1,IF(OR(B1651="ED",B1651="UN"),0,""))</x:f>
        <x:v>0</x:v>
      </x:c>
      <x:c r="M1651" s="11" t="n">
        <x:f>IF(AND(K1651=1,OR(B1651="ED",B1651="NED")),1,0)</x:f>
        <x:v>1</x:v>
      </x:c>
      <x:c r="N1651" s="11" t="n">
        <x:f>IF(K1651=1,1,0)</x:f>
        <x:v>1</x:v>
      </x:c>
      <x:c r="O1651" s="12"/>
      <x:c r="P1651" s="11" t="n">
        <x:v>0</x:v>
      </x:c>
      <x:c r="Q1651" s="12" t="str">
        <x:v>AF-Q6P2B1-F1-model_v6</x:v>
      </x:c>
      <x:c r="R1651" s="12" t="str">
        <x:v>ok</x:v>
      </x:c>
      <x:c r="S1651" s="11" t="n">
        <x:v>1199</x:v>
      </x:c>
      <x:c r="T1651" s="11" t="n">
        <x:v>923</x:v>
      </x:c>
    </x:row>
    <x:row r="1652" ht="23" customHeight="1">
      <x:c r="A1652" s="2" t="str">
        <x:v>Q6P2B2</x:v>
      </x:c>
      <x:c r="B1652" s="2" t="str">
        <x:v>UN</x:v>
      </x:c>
      <x:c r="C1652" s="2"/>
      <x:c r="D1652" s="2"/>
      <x:c r="E1652" s="10"/>
      <x:c r="F1652" s="11"/>
      <x:c r="G1652" s="11" t="n">
        <x:v>0</x:v>
      </x:c>
      <x:c r="H1652" s="11" t="n">
        <x:v>0</x:v>
      </x:c>
      <x:c r="I1652" s="11" t="n">
        <x:v>0</x:v>
      </x:c>
      <x:c r="J1652" s="11" t="n">
        <x:v>0</x:v>
      </x:c>
      <x:c r="K1652" s="11" t="n">
        <x:v>0</x:v>
      </x:c>
      <x:c r="L1652" s="11" t="n">
        <x:f>IF(B1652="NED",1,IF(OR(B1652="ED",B1652="UN"),0,""))</x:f>
        <x:v>0</x:v>
      </x:c>
      <x:c r="M1652" s="11" t="n">
        <x:f>IF(AND(K1652=1,OR(B1652="ED",B1652="NED")),1,0)</x:f>
        <x:v>0</x:v>
      </x:c>
      <x:c r="N1652" s="11" t="n">
        <x:f>IF(K1652=1,1,0)</x:f>
        <x:v>0</x:v>
      </x:c>
      <x:c r="O1652" s="12" t="str">
        <x:v>Require exact native accession match</x:v>
      </x:c>
      <x:c r="P1652" s="11" t="n">
        <x:v>0</x:v>
      </x:c>
      <x:c r="Q1652" s="12"/>
      <x:c r="R1652" s="12"/>
      <x:c r="S1652" s="11" t="n">
        <x:v>3195</x:v>
      </x:c>
      <x:c r="T1652" s="11" t="n">
        <x:v>430</x:v>
      </x:c>
    </x:row>
    <x:row r="1653" ht="23" customHeight="1">
      <x:c r="A1653" s="2" t="str">
        <x:v>Q6P3Y5-3</x:v>
      </x:c>
      <x:c r="B1653" s="2" t="str">
        <x:v>ED</x:v>
      </x:c>
      <x:c r="C1653" s="2"/>
      <x:c r="D1653" s="2"/>
      <x:c r="E1653" s="10"/>
      <x:c r="F1653" s="11"/>
      <x:c r="G1653" s="11" t="n">
        <x:v>0</x:v>
      </x:c>
      <x:c r="H1653" s="11" t="n">
        <x:v>0</x:v>
      </x:c>
      <x:c r="I1653" s="11"/>
      <x:c r="J1653" s="11"/>
      <x:c r="K1653" s="11" t="n">
        <x:v>0</x:v>
      </x:c>
      <x:c r="L1653" s="11" t="n">
        <x:f>IF(B1653="NED",1,IF(OR(B1653="ED",B1653="UN"),0,""))</x:f>
        <x:v>0</x:v>
      </x:c>
      <x:c r="M1653" s="11" t="n">
        <x:f>IF(AND(K1653=1,OR(B1653="ED",B1653="NED")),1,0)</x:f>
        <x:v>0</x:v>
      </x:c>
      <x:c r="N1653" s="11" t="n">
        <x:f>IF(K1653=1,1,0)</x:f>
        <x:v>0</x:v>
      </x:c>
      <x:c r="O1653" s="12" t="str">
        <x:v>Require exact native accession match</x:v>
      </x:c>
      <x:c r="P1653" s="11" t="n">
        <x:v>0</x:v>
      </x:c>
      <x:c r="Q1653" s="12"/>
      <x:c r="R1653" s="12"/>
      <x:c r="S1653" s="11" t="n">
        <x:v>1200</x:v>
      </x:c>
      <x:c r="T1653" s="11"/>
    </x:row>
    <x:row r="1654" ht="23" customHeight="1">
      <x:c r="A1654" s="2" t="str">
        <x:v>Q6P3Z8</x:v>
      </x:c>
      <x:c r="B1654" s="2" t="str">
        <x:v>UN</x:v>
      </x:c>
      <x:c r="C1654" s="2"/>
      <x:c r="D1654" s="2"/>
      <x:c r="E1654" s="10"/>
      <x:c r="F1654" s="11"/>
      <x:c r="G1654" s="11" t="n">
        <x:v>0</x:v>
      </x:c>
      <x:c r="H1654" s="11" t="n">
        <x:v>0</x:v>
      </x:c>
      <x:c r="I1654" s="11" t="n">
        <x:v>0</x:v>
      </x:c>
      <x:c r="J1654" s="11" t="n">
        <x:v>0</x:v>
      </x:c>
      <x:c r="K1654" s="11" t="n">
        <x:v>0</x:v>
      </x:c>
      <x:c r="L1654" s="11" t="n">
        <x:f>IF(B1654="NED",1,IF(OR(B1654="ED",B1654="UN"),0,""))</x:f>
        <x:v>0</x:v>
      </x:c>
      <x:c r="M1654" s="11" t="n">
        <x:f>IF(AND(K1654=1,OR(B1654="ED",B1654="NED")),1,0)</x:f>
        <x:v>0</x:v>
      </x:c>
      <x:c r="N1654" s="11" t="n">
        <x:f>IF(K1654=1,1,0)</x:f>
        <x:v>0</x:v>
      </x:c>
      <x:c r="O1654" s="12" t="str">
        <x:v>Require exact native accession match</x:v>
      </x:c>
      <x:c r="P1654" s="11" t="n">
        <x:v>0</x:v>
      </x:c>
      <x:c r="Q1654" s="12"/>
      <x:c r="R1654" s="12"/>
      <x:c r="S1654" s="11" t="n">
        <x:v>3196</x:v>
      </x:c>
      <x:c r="T1654" s="11" t="n">
        <x:v>829</x:v>
      </x:c>
    </x:row>
    <x:row r="1655" ht="23" customHeight="1">
      <x:c r="A1655" s="2" t="str">
        <x:v>Q6P4S8</x:v>
      </x:c>
      <x:c r="B1655" s="2" t="str">
        <x:v>UN</x:v>
      </x:c>
      <x:c r="C1655" s="2" t="n">
        <x:v>1</x:v>
      </x:c>
      <x:c r="D1655" s="2" t="n">
        <x:v>1</x:v>
      </x:c>
      <x:c r="E1655" s="10"/>
      <x:c r="F1655" s="11" t="n">
        <x:v>2195</x:v>
      </x:c>
      <x:c r="G1655" s="11" t="n">
        <x:v>0</x:v>
      </x:c>
      <x:c r="H1655" s="11" t="n">
        <x:v>0</x:v>
      </x:c>
      <x:c r="I1655" s="11" t="n">
        <x:v>1</x:v>
      </x:c>
      <x:c r="J1655" s="11" t="n">
        <x:v>0</x:v>
      </x:c>
      <x:c r="K1655" s="11" t="n">
        <x:v>0</x:v>
      </x:c>
      <x:c r="L1655" s="11" t="n">
        <x:f>IF(B1655="NED",1,IF(OR(B1655="ED",B1655="UN"),0,""))</x:f>
        <x:v>0</x:v>
      </x:c>
      <x:c r="M1655" s="11" t="n">
        <x:f>IF(AND(K1655=1,OR(B1655="ED",B1655="NED")),1,0)</x:f>
        <x:v>0</x:v>
      </x:c>
      <x:c r="N1655" s="11" t="n">
        <x:f>IF(K1655=1,1,0)</x:f>
        <x:v>0</x:v>
      </x:c>
      <x:c r="O1655" s="12" t="str">
        <x:v>Exclude UniProt Membrane keyword</x:v>
      </x:c>
      <x:c r="P1655" s="11" t="n">
        <x:v>0</x:v>
      </x:c>
      <x:c r="Q1655" s="12" t="str">
        <x:v>AF-Q6P4S8-F1-model_v6</x:v>
      </x:c>
      <x:c r="R1655" s="12" t="str">
        <x:v>ok</x:v>
      </x:c>
      <x:c r="S1655" s="11" t="n">
        <x:v>1201</x:v>
      </x:c>
      <x:c r="T1655" s="11" t="n">
        <x:v>2195</x:v>
      </x:c>
    </x:row>
    <x:row r="1656" ht="23" customHeight="1">
      <x:c r="A1656" s="2" t="str">
        <x:v>Q6P4T2</x:v>
      </x:c>
      <x:c r="B1656" s="2" t="str">
        <x:v>NED</x:v>
      </x:c>
      <x:c r="C1656" s="2" t="n">
        <x:v>1</x:v>
      </x:c>
      <x:c r="D1656" s="2" t="n">
        <x:v>1</x:v>
      </x:c>
      <x:c r="E1656" s="10" t="n">
        <x:v>85.90040730337078</x:v>
      </x:c>
      <x:c r="F1656" s="11" t="n">
        <x:v>2136</x:v>
      </x:c>
      <x:c r="G1656" s="11" t="n">
        <x:v>0</x:v>
      </x:c>
      <x:c r="H1656" s="11" t="n">
        <x:v>0</x:v>
      </x:c>
      <x:c r="I1656" s="11" t="n">
        <x:v>0</x:v>
      </x:c>
      <x:c r="J1656" s="11" t="n">
        <x:v>0</x:v>
      </x:c>
      <x:c r="K1656" s="11" t="n">
        <x:v>1</x:v>
      </x:c>
      <x:c r="L1656" s="11" t="n">
        <x:f>IF(B1656="NED",1,IF(OR(B1656="ED",B1656="UN"),0,""))</x:f>
        <x:v>1</x:v>
      </x:c>
      <x:c r="M1656" s="11" t="n">
        <x:f>IF(AND(K1656=1,OR(B1656="ED",B1656="NED")),1,0)</x:f>
        <x:v>1</x:v>
      </x:c>
      <x:c r="N1656" s="11" t="n">
        <x:f>IF(K1656=1,1,0)</x:f>
        <x:v>1</x:v>
      </x:c>
      <x:c r="O1656" s="12"/>
      <x:c r="P1656" s="11" t="n">
        <x:v>0</x:v>
      </x:c>
      <x:c r="Q1656" s="12" t="str">
        <x:v>AF-Q6P4T2-F1-model_v6</x:v>
      </x:c>
      <x:c r="R1656" s="12" t="str">
        <x:v>ok</x:v>
      </x:c>
      <x:c r="S1656" s="11" t="n">
        <x:v>1202</x:v>
      </x:c>
      <x:c r="T1656" s="11" t="n">
        <x:v>2136</x:v>
      </x:c>
    </x:row>
    <x:row r="1657" ht="23" customHeight="1">
      <x:c r="A1657" s="2" t="str">
        <x:v>Q6P542</x:v>
      </x:c>
      <x:c r="B1657" s="2" t="str">
        <x:v>ED</x:v>
      </x:c>
      <x:c r="C1657" s="2" t="n">
        <x:v>1</x:v>
      </x:c>
      <x:c r="D1657" s="2" t="n">
        <x:v>1</x:v>
      </x:c>
      <x:c r="E1657" s="10" t="n">
        <x:v>71.82814814814816</x:v>
      </x:c>
      <x:c r="F1657" s="11" t="n">
        <x:v>837</x:v>
      </x:c>
      <x:c r="G1657" s="11" t="n">
        <x:v>0</x:v>
      </x:c>
      <x:c r="H1657" s="11" t="n">
        <x:v>0</x:v>
      </x:c>
      <x:c r="I1657" s="11" t="n">
        <x:v>0</x:v>
      </x:c>
      <x:c r="J1657" s="11" t="n">
        <x:v>0</x:v>
      </x:c>
      <x:c r="K1657" s="11" t="n">
        <x:v>1</x:v>
      </x:c>
      <x:c r="L1657" s="11" t="n">
        <x:f>IF(B1657="NED",1,IF(OR(B1657="ED",B1657="UN"),0,""))</x:f>
        <x:v>0</x:v>
      </x:c>
      <x:c r="M1657" s="11" t="n">
        <x:f>IF(AND(K1657=1,OR(B1657="ED",B1657="NED")),1,0)</x:f>
        <x:v>1</x:v>
      </x:c>
      <x:c r="N1657" s="11" t="n">
        <x:f>IF(K1657=1,1,0)</x:f>
        <x:v>1</x:v>
      </x:c>
      <x:c r="O1657" s="12"/>
      <x:c r="P1657" s="11" t="n">
        <x:v>0</x:v>
      </x:c>
      <x:c r="Q1657" s="12" t="str">
        <x:v>AF-Q6P542-F1-model_v6</x:v>
      </x:c>
      <x:c r="R1657" s="12" t="str">
        <x:v>ok</x:v>
      </x:c>
      <x:c r="S1657" s="11" t="n">
        <x:v>1203</x:v>
      </x:c>
      <x:c r="T1657" s="11" t="n">
        <x:v>837</x:v>
      </x:c>
    </x:row>
    <x:row r="1658" ht="23" customHeight="1">
      <x:c r="A1658" s="2" t="str">
        <x:v>Q6P549</x:v>
      </x:c>
      <x:c r="B1658" s="2" t="str">
        <x:v>ED</x:v>
      </x:c>
      <x:c r="C1658" s="2" t="n">
        <x:v>1</x:v>
      </x:c>
      <x:c r="D1658" s="2" t="n">
        <x:v>1</x:v>
      </x:c>
      <x:c r="E1658" s="10"/>
      <x:c r="F1658" s="11" t="n">
        <x:v>1257</x:v>
      </x:c>
      <x:c r="G1658" s="11" t="n">
        <x:v>0</x:v>
      </x:c>
      <x:c r="H1658" s="11" t="n">
        <x:v>0</x:v>
      </x:c>
      <x:c r="I1658" s="11" t="n">
        <x:v>1</x:v>
      </x:c>
      <x:c r="J1658" s="11" t="n">
        <x:v>0</x:v>
      </x:c>
      <x:c r="K1658" s="11" t="n">
        <x:v>0</x:v>
      </x:c>
      <x:c r="L1658" s="11" t="n">
        <x:f>IF(B1658="NED",1,IF(OR(B1658="ED",B1658="UN"),0,""))</x:f>
        <x:v>0</x:v>
      </x:c>
      <x:c r="M1658" s="11" t="n">
        <x:f>IF(AND(K1658=1,OR(B1658="ED",B1658="NED")),1,0)</x:f>
        <x:v>0</x:v>
      </x:c>
      <x:c r="N1658" s="11" t="n">
        <x:f>IF(K1658=1,1,0)</x:f>
        <x:v>0</x:v>
      </x:c>
      <x:c r="O1658" s="12" t="str">
        <x:v>Exclude UniProt Membrane keyword</x:v>
      </x:c>
      <x:c r="P1658" s="11" t="n">
        <x:v>0</x:v>
      </x:c>
      <x:c r="Q1658" s="12" t="str">
        <x:v>AF-Q6P549-F1-model_v6</x:v>
      </x:c>
      <x:c r="R1658" s="12" t="str">
        <x:v>ok</x:v>
      </x:c>
      <x:c r="S1658" s="11" t="n">
        <x:v>1204</x:v>
      </x:c>
      <x:c r="T1658" s="11" t="n">
        <x:v>1257</x:v>
      </x:c>
    </x:row>
    <x:row r="1659" ht="23" customHeight="1">
      <x:c r="A1659" s="2" t="str">
        <x:v>Q6P5B0</x:v>
      </x:c>
      <x:c r="B1659" s="2" t="str">
        <x:v>ED</x:v>
      </x:c>
      <x:c r="C1659" s="2" t="n">
        <x:v>1</x:v>
      </x:c>
      <x:c r="D1659" s="2"/>
      <x:c r="E1659" s="10"/>
      <x:c r="F1659" s="11" t="n">
        <x:v>1295</x:v>
      </x:c>
      <x:c r="G1659" s="11" t="n">
        <x:v>0</x:v>
      </x:c>
      <x:c r="H1659" s="11" t="n">
        <x:v>0</x:v>
      </x:c>
      <x:c r="I1659" s="11" t="n">
        <x:v>1</x:v>
      </x:c>
      <x:c r="J1659" s="11" t="n">
        <x:v>0</x:v>
      </x:c>
      <x:c r="K1659" s="11" t="n">
        <x:v>0</x:v>
      </x:c>
      <x:c r="L1659" s="11" t="n">
        <x:f>IF(B1659="NED",1,IF(OR(B1659="ED",B1659="UN"),0,""))</x:f>
        <x:v>0</x:v>
      </x:c>
      <x:c r="M1659" s="11" t="n">
        <x:f>IF(AND(K1659=1,OR(B1659="ED",B1659="NED")),1,0)</x:f>
        <x:v>0</x:v>
      </x:c>
      <x:c r="N1659" s="11" t="n">
        <x:f>IF(K1659=1,1,0)</x:f>
        <x:v>0</x:v>
      </x:c>
      <x:c r="O1659" s="12" t="str">
        <x:v>Exclude UniProt Membrane keyword</x:v>
      </x:c>
      <x:c r="P1659" s="11" t="n">
        <x:v>0</x:v>
      </x:c>
      <x:c r="Q1659" s="12" t="str">
        <x:v>AF-Q6P5B0-F1-model_v6</x:v>
      </x:c>
      <x:c r="R1659" s="12" t="str">
        <x:v>ok</x:v>
      </x:c>
      <x:c r="S1659" s="11" t="n">
        <x:v>1205</x:v>
      </x:c>
      <x:c r="T1659" s="11" t="n">
        <x:v>1295</x:v>
      </x:c>
    </x:row>
    <x:row r="1660" ht="23" customHeight="1">
      <x:c r="A1660" s="2" t="str">
        <x:v>Q6P5B5</x:v>
      </x:c>
      <x:c r="B1660" s="2" t="str">
        <x:v>UN</x:v>
      </x:c>
      <x:c r="C1660" s="2"/>
      <x:c r="D1660" s="2"/>
      <x:c r="E1660" s="10"/>
      <x:c r="F1660" s="11"/>
      <x:c r="G1660" s="11" t="n">
        <x:v>0</x:v>
      </x:c>
      <x:c r="H1660" s="11" t="n">
        <x:v>0</x:v>
      </x:c>
      <x:c r="I1660" s="11" t="n">
        <x:v>0</x:v>
      </x:c>
      <x:c r="J1660" s="11" t="n">
        <x:v>0</x:v>
      </x:c>
      <x:c r="K1660" s="11" t="n">
        <x:v>0</x:v>
      </x:c>
      <x:c r="L1660" s="11" t="n">
        <x:f>IF(B1660="NED",1,IF(OR(B1660="ED",B1660="UN"),0,""))</x:f>
        <x:v>0</x:v>
      </x:c>
      <x:c r="M1660" s="11" t="n">
        <x:f>IF(AND(K1660=1,OR(B1660="ED",B1660="NED")),1,0)</x:f>
        <x:v>0</x:v>
      </x:c>
      <x:c r="N1660" s="11" t="n">
        <x:f>IF(K1660=1,1,0)</x:f>
        <x:v>0</x:v>
      </x:c>
      <x:c r="O1660" s="12" t="str">
        <x:v>Require exact native accession match</x:v>
      </x:c>
      <x:c r="P1660" s="11" t="n">
        <x:v>0</x:v>
      </x:c>
      <x:c r="Q1660" s="12"/>
      <x:c r="R1660" s="12"/>
      <x:c r="S1660" s="11" t="n">
        <x:v>3197</x:v>
      </x:c>
      <x:c r="T1660" s="11" t="n">
        <x:v>674</x:v>
      </x:c>
    </x:row>
    <x:row r="1661" ht="23" customHeight="1">
      <x:c r="A1661" s="2" t="str">
        <x:v>Q6P5D8</x:v>
      </x:c>
      <x:c r="B1661" s="2" t="str">
        <x:v>ED</x:v>
      </x:c>
      <x:c r="C1661" s="2" t="n">
        <x:v>1</x:v>
      </x:c>
      <x:c r="D1661" s="2" t="n">
        <x:v>1</x:v>
      </x:c>
      <x:c r="E1661" s="10" t="n">
        <x:v>79.91160438465371</x:v>
      </x:c>
      <x:c r="F1661" s="11" t="n">
        <x:v>2007</x:v>
      </x:c>
      <x:c r="G1661" s="11" t="n">
        <x:v>0</x:v>
      </x:c>
      <x:c r="H1661" s="11" t="n">
        <x:v>0</x:v>
      </x:c>
      <x:c r="I1661" s="11" t="n">
        <x:v>0</x:v>
      </x:c>
      <x:c r="J1661" s="11" t="n">
        <x:v>0</x:v>
      </x:c>
      <x:c r="K1661" s="11" t="n">
        <x:v>1</x:v>
      </x:c>
      <x:c r="L1661" s="11" t="n">
        <x:f>IF(B1661="NED",1,IF(OR(B1661="ED",B1661="UN"),0,""))</x:f>
        <x:v>0</x:v>
      </x:c>
      <x:c r="M1661" s="11" t="n">
        <x:f>IF(AND(K1661=1,OR(B1661="ED",B1661="NED")),1,0)</x:f>
        <x:v>1</x:v>
      </x:c>
      <x:c r="N1661" s="11" t="n">
        <x:f>IF(K1661=1,1,0)</x:f>
        <x:v>1</x:v>
      </x:c>
      <x:c r="O1661" s="12"/>
      <x:c r="P1661" s="11" t="n">
        <x:v>0</x:v>
      </x:c>
      <x:c r="Q1661" s="12" t="str">
        <x:v>AF-Q6P5D8-F1-model_v6</x:v>
      </x:c>
      <x:c r="R1661" s="12" t="str">
        <x:v>ok</x:v>
      </x:c>
      <x:c r="S1661" s="11" t="n">
        <x:v>1206</x:v>
      </x:c>
      <x:c r="T1661" s="11" t="n">
        <x:v>2007</x:v>
      </x:c>
    </x:row>
    <x:row r="1662" ht="23" customHeight="1">
      <x:c r="A1662" s="2" t="str">
        <x:v>Q6P5E4</x:v>
      </x:c>
      <x:c r="B1662" s="2" t="str">
        <x:v>ED</x:v>
      </x:c>
      <x:c r="C1662" s="2" t="n">
        <x:v>1</x:v>
      </x:c>
      <x:c r="D1662" s="2" t="n">
        <x:v>1</x:v>
      </x:c>
      <x:c r="E1662" s="10"/>
      <x:c r="F1662" s="11" t="n">
        <x:v>1551</x:v>
      </x:c>
      <x:c r="G1662" s="11" t="n">
        <x:v>1</x:v>
      </x:c>
      <x:c r="H1662" s="11" t="n">
        <x:v>0</x:v>
      </x:c>
      <x:c r="I1662" s="11" t="n">
        <x:v>0</x:v>
      </x:c>
      <x:c r="J1662" s="11" t="n">
        <x:v>0</x:v>
      </x:c>
      <x:c r="K1662" s="11" t="n">
        <x:v>0</x:v>
      </x:c>
      <x:c r="L1662" s="11" t="n">
        <x:f>IF(B1662="NED",1,IF(OR(B1662="ED",B1662="UN"),0,""))</x:f>
        <x:v>0</x:v>
      </x:c>
      <x:c r="M1662" s="11" t="n">
        <x:f>IF(AND(K1662=1,OR(B1662="ED",B1662="NED")),1,0)</x:f>
        <x:v>0</x:v>
      </x:c>
      <x:c r="N1662" s="11" t="n">
        <x:f>IF(K1662=1,1,0)</x:f>
        <x:v>0</x:v>
      </x:c>
      <x:c r="O1662" s="12" t="str">
        <x:v>Exclude supplied knotted proteins</x:v>
      </x:c>
      <x:c r="P1662" s="11" t="n">
        <x:v>0</x:v>
      </x:c>
      <x:c r="Q1662" s="12" t="str">
        <x:v>AF-Q6P5E4-F1-model_v6</x:v>
      </x:c>
      <x:c r="R1662" s="12" t="str">
        <x:v>ok</x:v>
      </x:c>
      <x:c r="S1662" s="11" t="n">
        <x:v>1207</x:v>
      </x:c>
      <x:c r="T1662" s="11" t="n">
        <x:v>1551</x:v>
      </x:c>
    </x:row>
    <x:row r="1663" ht="23" customHeight="1">
      <x:c r="A1663" s="2" t="str">
        <x:v>Q6P5E6</x:v>
      </x:c>
      <x:c r="B1663" s="2" t="str">
        <x:v>ED</x:v>
      </x:c>
      <x:c r="C1663" s="2" t="n">
        <x:v>1</x:v>
      </x:c>
      <x:c r="D1663" s="2" t="n">
        <x:v>1</x:v>
      </x:c>
      <x:c r="E1663" s="10"/>
      <x:c r="F1663" s="11" t="n">
        <x:v>603</x:v>
      </x:c>
      <x:c r="G1663" s="11" t="n">
        <x:v>0</x:v>
      </x:c>
      <x:c r="H1663" s="11" t="n">
        <x:v>0</x:v>
      </x:c>
      <x:c r="I1663" s="11" t="n">
        <x:v>1</x:v>
      </x:c>
      <x:c r="J1663" s="11" t="n">
        <x:v>0</x:v>
      </x:c>
      <x:c r="K1663" s="11" t="n">
        <x:v>0</x:v>
      </x:c>
      <x:c r="L1663" s="11" t="n">
        <x:f>IF(B1663="NED",1,IF(OR(B1663="ED",B1663="UN"),0,""))</x:f>
        <x:v>0</x:v>
      </x:c>
      <x:c r="M1663" s="11" t="n">
        <x:f>IF(AND(K1663=1,OR(B1663="ED",B1663="NED")),1,0)</x:f>
        <x:v>0</x:v>
      </x:c>
      <x:c r="N1663" s="11" t="n">
        <x:f>IF(K1663=1,1,0)</x:f>
        <x:v>0</x:v>
      </x:c>
      <x:c r="O1663" s="12" t="str">
        <x:v>Exclude UniProt Membrane keyword</x:v>
      </x:c>
      <x:c r="P1663" s="11" t="n">
        <x:v>0</x:v>
      </x:c>
      <x:c r="Q1663" s="12" t="str">
        <x:v>AF-Q6P5E6-F1-model_v6</x:v>
      </x:c>
      <x:c r="R1663" s="12" t="str">
        <x:v>ok</x:v>
      </x:c>
      <x:c r="S1663" s="11" t="n">
        <x:v>1208</x:v>
      </x:c>
      <x:c r="T1663" s="11" t="n">
        <x:v>603</x:v>
      </x:c>
    </x:row>
    <x:row r="1664" ht="23" customHeight="1">
      <x:c r="A1664" s="2" t="str">
        <x:v>Q6P5F9</x:v>
      </x:c>
      <x:c r="B1664" s="2" t="str">
        <x:v>ED</x:v>
      </x:c>
      <x:c r="C1664" s="2" t="n">
        <x:v>0</x:v>
      </x:c>
      <x:c r="D1664" s="2" t="n">
        <x:v>0</x:v>
      </x:c>
      <x:c r="E1664" s="10" t="n">
        <x:v>90.121802054155</x:v>
      </x:c>
      <x:c r="F1664" s="11" t="n">
        <x:v>1071</x:v>
      </x:c>
      <x:c r="G1664" s="11" t="n">
        <x:v>0</x:v>
      </x:c>
      <x:c r="H1664" s="11" t="n">
        <x:v>0</x:v>
      </x:c>
      <x:c r="I1664" s="11" t="n">
        <x:v>0</x:v>
      </x:c>
      <x:c r="J1664" s="11" t="n">
        <x:v>0</x:v>
      </x:c>
      <x:c r="K1664" s="11" t="n">
        <x:v>1</x:v>
      </x:c>
      <x:c r="L1664" s="11" t="n">
        <x:f>IF(B1664="NED",1,IF(OR(B1664="ED",B1664="UN"),0,""))</x:f>
        <x:v>0</x:v>
      </x:c>
      <x:c r="M1664" s="11" t="n">
        <x:f>IF(AND(K1664=1,OR(B1664="ED",B1664="NED")),1,0)</x:f>
        <x:v>1</x:v>
      </x:c>
      <x:c r="N1664" s="11" t="n">
        <x:f>IF(K1664=1,1,0)</x:f>
        <x:v>1</x:v>
      </x:c>
      <x:c r="O1664" s="12"/>
      <x:c r="P1664" s="11" t="n">
        <x:v>0</x:v>
      </x:c>
      <x:c r="Q1664" s="12" t="str">
        <x:v>AF-Q6P5F9-F1-model_v6</x:v>
      </x:c>
      <x:c r="R1664" s="12" t="str">
        <x:v>ok</x:v>
      </x:c>
      <x:c r="S1664" s="11" t="n">
        <x:v>1209</x:v>
      </x:c>
      <x:c r="T1664" s="11" t="n">
        <x:v>1071</x:v>
      </x:c>
    </x:row>
    <x:row r="1665" ht="23" customHeight="1">
      <x:c r="A1665" s="2" t="str">
        <x:v>Q6P5H2-2</x:v>
      </x:c>
      <x:c r="B1665" s="2" t="str">
        <x:v>UN</x:v>
      </x:c>
      <x:c r="C1665" s="2"/>
      <x:c r="D1665" s="2"/>
      <x:c r="E1665" s="10"/>
      <x:c r="F1665" s="11"/>
      <x:c r="G1665" s="11" t="n">
        <x:v>0</x:v>
      </x:c>
      <x:c r="H1665" s="11" t="n">
        <x:v>0</x:v>
      </x:c>
      <x:c r="I1665" s="11"/>
      <x:c r="J1665" s="11"/>
      <x:c r="K1665" s="11" t="n">
        <x:v>0</x:v>
      </x:c>
      <x:c r="L1665" s="11" t="n">
        <x:f>IF(B1665="NED",1,IF(OR(B1665="ED",B1665="UN"),0,""))</x:f>
        <x:v>0</x:v>
      </x:c>
      <x:c r="M1665" s="11" t="n">
        <x:f>IF(AND(K1665=1,OR(B1665="ED",B1665="NED")),1,0)</x:f>
        <x:v>0</x:v>
      </x:c>
      <x:c r="N1665" s="11" t="n">
        <x:f>IF(K1665=1,1,0)</x:f>
        <x:v>0</x:v>
      </x:c>
      <x:c r="O1665" s="12" t="str">
        <x:v>Require exact native accession match</x:v>
      </x:c>
      <x:c r="P1665" s="11" t="n">
        <x:v>0</x:v>
      </x:c>
      <x:c r="Q1665" s="12"/>
      <x:c r="R1665" s="12"/>
      <x:c r="S1665" s="11" t="n">
        <x:v>1210</x:v>
      </x:c>
      <x:c r="T1665" s="11"/>
    </x:row>
    <x:row r="1666" ht="23" customHeight="1">
      <x:c r="A1666" s="2" t="str">
        <x:v>Q6P6J9</x:v>
      </x:c>
      <x:c r="B1666" s="2" t="str">
        <x:v>ED</x:v>
      </x:c>
      <x:c r="C1666" s="2" t="n">
        <x:v>1</x:v>
      </x:c>
      <x:c r="D1666" s="2" t="n">
        <x:v>1</x:v>
      </x:c>
      <x:c r="E1666" s="10"/>
      <x:c r="F1666" s="11" t="n">
        <x:v>344</x:v>
      </x:c>
      <x:c r="G1666" s="11" t="n">
        <x:v>0</x:v>
      </x:c>
      <x:c r="H1666" s="11" t="n">
        <x:v>0</x:v>
      </x:c>
      <x:c r="I1666" s="11" t="n">
        <x:v>1</x:v>
      </x:c>
      <x:c r="J1666" s="11" t="n">
        <x:v>0</x:v>
      </x:c>
      <x:c r="K1666" s="11" t="n">
        <x:v>0</x:v>
      </x:c>
      <x:c r="L1666" s="11" t="n">
        <x:f>IF(B1666="NED",1,IF(OR(B1666="ED",B1666="UN"),0,""))</x:f>
        <x:v>0</x:v>
      </x:c>
      <x:c r="M1666" s="11" t="n">
        <x:f>IF(AND(K1666=1,OR(B1666="ED",B1666="NED")),1,0)</x:f>
        <x:v>0</x:v>
      </x:c>
      <x:c r="N1666" s="11" t="n">
        <x:f>IF(K1666=1,1,0)</x:f>
        <x:v>0</x:v>
      </x:c>
      <x:c r="O1666" s="12" t="str">
        <x:v>Exclude UniProt Membrane keyword</x:v>
      </x:c>
      <x:c r="P1666" s="11" t="n">
        <x:v>0</x:v>
      </x:c>
      <x:c r="Q1666" s="12" t="str">
        <x:v>AF-Q6P6J9-F1-model_v6</x:v>
      </x:c>
      <x:c r="R1666" s="12" t="str">
        <x:v>ok</x:v>
      </x:c>
      <x:c r="S1666" s="11" t="n">
        <x:v>1211</x:v>
      </x:c>
      <x:c r="T1666" s="11" t="n">
        <x:v>344</x:v>
      </x:c>
    </x:row>
    <x:row r="1667" ht="23" customHeight="1">
      <x:c r="A1667" s="2" t="str">
        <x:v>Q6P6L0-3</x:v>
      </x:c>
      <x:c r="B1667" s="2" t="str">
        <x:v>ED</x:v>
      </x:c>
      <x:c r="C1667" s="2"/>
      <x:c r="D1667" s="2"/>
      <x:c r="E1667" s="10"/>
      <x:c r="F1667" s="11"/>
      <x:c r="G1667" s="11" t="n">
        <x:v>0</x:v>
      </x:c>
      <x:c r="H1667" s="11" t="n">
        <x:v>0</x:v>
      </x:c>
      <x:c r="I1667" s="11"/>
      <x:c r="J1667" s="11"/>
      <x:c r="K1667" s="11" t="n">
        <x:v>0</x:v>
      </x:c>
      <x:c r="L1667" s="11" t="n">
        <x:f>IF(B1667="NED",1,IF(OR(B1667="ED",B1667="UN"),0,""))</x:f>
        <x:v>0</x:v>
      </x:c>
      <x:c r="M1667" s="11" t="n">
        <x:f>IF(AND(K1667=1,OR(B1667="ED",B1667="NED")),1,0)</x:f>
        <x:v>0</x:v>
      </x:c>
      <x:c r="N1667" s="11" t="n">
        <x:f>IF(K1667=1,1,0)</x:f>
        <x:v>0</x:v>
      </x:c>
      <x:c r="O1667" s="12" t="str">
        <x:v>Require exact native accession match</x:v>
      </x:c>
      <x:c r="P1667" s="11" t="n">
        <x:v>0</x:v>
      </x:c>
      <x:c r="Q1667" s="12"/>
      <x:c r="R1667" s="12"/>
      <x:c r="S1667" s="11" t="n">
        <x:v>1212</x:v>
      </x:c>
      <x:c r="T1667" s="11"/>
    </x:row>
    <x:row r="1668" ht="23" customHeight="1">
      <x:c r="A1668" s="2" t="str">
        <x:v>Q6P6L6</x:v>
      </x:c>
      <x:c r="B1668" s="2" t="str">
        <x:v>UN</x:v>
      </x:c>
      <x:c r="C1668" s="2" t="n">
        <x:v>1</x:v>
      </x:c>
      <x:c r="D1668" s="2" t="n">
        <x:v>1</x:v>
      </x:c>
      <x:c r="E1668" s="10" t="n">
        <x:v>84.38377126654065</x:v>
      </x:c>
      <x:c r="F1668" s="11" t="n">
        <x:v>1058</x:v>
      </x:c>
      <x:c r="G1668" s="11" t="n">
        <x:v>0</x:v>
      </x:c>
      <x:c r="H1668" s="11" t="n">
        <x:v>0</x:v>
      </x:c>
      <x:c r="I1668" s="11" t="n">
        <x:v>0</x:v>
      </x:c>
      <x:c r="J1668" s="11" t="n">
        <x:v>0</x:v>
      </x:c>
      <x:c r="K1668" s="11" t="n">
        <x:v>1</x:v>
      </x:c>
      <x:c r="L1668" s="11" t="n">
        <x:f>IF(B1668="NED",1,IF(OR(B1668="ED",B1668="UN"),0,""))</x:f>
        <x:v>0</x:v>
      </x:c>
      <x:c r="M1668" s="11" t="n">
        <x:f>IF(AND(K1668=1,OR(B1668="ED",B1668="NED")),1,0)</x:f>
        <x:v>0</x:v>
      </x:c>
      <x:c r="N1668" s="11" t="n">
        <x:f>IF(K1668=1,1,0)</x:f>
        <x:v>1</x:v>
      </x:c>
      <x:c r="O1668" s="12"/>
      <x:c r="P1668" s="11" t="n">
        <x:v>0</x:v>
      </x:c>
      <x:c r="Q1668" s="12" t="str">
        <x:v>AF-Q6P6L6-F1-model_v6</x:v>
      </x:c>
      <x:c r="R1668" s="12" t="str">
        <x:v>ok</x:v>
      </x:c>
      <x:c r="S1668" s="11" t="n">
        <x:v>3198</x:v>
      </x:c>
      <x:c r="T1668" s="11" t="n">
        <x:v>1058</x:v>
      </x:c>
    </x:row>
    <x:row r="1669" ht="23" customHeight="1">
      <x:c r="A1669" s="2" t="str">
        <x:v>Q6P8I4</x:v>
      </x:c>
      <x:c r="B1669" s="2" t="str">
        <x:v>ED</x:v>
      </x:c>
      <x:c r="C1669" s="2" t="n">
        <x:v>0</x:v>
      </x:c>
      <x:c r="D1669" s="2" t="n">
        <x:v>0</x:v>
      </x:c>
      <x:c r="E1669" s="10" t="n">
        <x:v>62.689157303370784</x:v>
      </x:c>
      <x:c r="F1669" s="11" t="n">
        <x:v>178</x:v>
      </x:c>
      <x:c r="G1669" s="11" t="n">
        <x:v>0</x:v>
      </x:c>
      <x:c r="H1669" s="11" t="n">
        <x:v>0</x:v>
      </x:c>
      <x:c r="I1669" s="11" t="n">
        <x:v>0</x:v>
      </x:c>
      <x:c r="J1669" s="11" t="n">
        <x:v>0</x:v>
      </x:c>
      <x:c r="K1669" s="11" t="n">
        <x:v>0</x:v>
      </x:c>
      <x:c r="L1669" s="11" t="n">
        <x:f>IF(B1669="NED",1,IF(OR(B1669="ED",B1669="UN"),0,""))</x:f>
        <x:v>0</x:v>
      </x:c>
      <x:c r="M1669" s="11" t="n">
        <x:f>IF(AND(K1669=1,OR(B1669="ED",B1669="NED")),1,0)</x:f>
        <x:v>0</x:v>
      </x:c>
      <x:c r="N1669" s="11" t="n">
        <x:f>IF(K1669=1,1,0)</x:f>
        <x:v>0</x:v>
      </x:c>
      <x:c r="O1669" s="12" t="str">
        <x:v>Retain protein mean pLDDT &gt;=70</x:v>
      </x:c>
      <x:c r="P1669" s="11" t="n">
        <x:v>0</x:v>
      </x:c>
      <x:c r="Q1669" s="12" t="str">
        <x:v>AF-Q6P8I4-F1-model_v6</x:v>
      </x:c>
      <x:c r="R1669" s="12" t="str">
        <x:v>ok</x:v>
      </x:c>
      <x:c r="S1669" s="11" t="n">
        <x:v>1213</x:v>
      </x:c>
      <x:c r="T1669" s="11" t="n">
        <x:v>178</x:v>
      </x:c>
    </x:row>
    <x:row r="1670" ht="23" customHeight="1">
      <x:c r="A1670" s="2" t="str">
        <x:v>Q6P8N8</x:v>
      </x:c>
      <x:c r="B1670" s="2" t="str">
        <x:v>UN</x:v>
      </x:c>
      <x:c r="C1670" s="2"/>
      <x:c r="D1670" s="2"/>
      <x:c r="E1670" s="10"/>
      <x:c r="F1670" s="11"/>
      <x:c r="G1670" s="11" t="n">
        <x:v>0</x:v>
      </x:c>
      <x:c r="H1670" s="11" t="n">
        <x:v>0</x:v>
      </x:c>
      <x:c r="I1670" s="11" t="n">
        <x:v>0</x:v>
      </x:c>
      <x:c r="J1670" s="11" t="n">
        <x:v>0</x:v>
      </x:c>
      <x:c r="K1670" s="11" t="n">
        <x:v>0</x:v>
      </x:c>
      <x:c r="L1670" s="11" t="n">
        <x:f>IF(B1670="NED",1,IF(OR(B1670="ED",B1670="UN"),0,""))</x:f>
        <x:v>0</x:v>
      </x:c>
      <x:c r="M1670" s="11" t="n">
        <x:f>IF(AND(K1670=1,OR(B1670="ED",B1670="NED")),1,0)</x:f>
        <x:v>0</x:v>
      </x:c>
      <x:c r="N1670" s="11" t="n">
        <x:f>IF(K1670=1,1,0)</x:f>
        <x:v>0</x:v>
      </x:c>
      <x:c r="O1670" s="12" t="str">
        <x:v>Require exact native accession match</x:v>
      </x:c>
      <x:c r="P1670" s="11" t="n">
        <x:v>0</x:v>
      </x:c>
      <x:c r="Q1670" s="12"/>
      <x:c r="R1670" s="12"/>
      <x:c r="S1670" s="11" t="n">
        <x:v>3199</x:v>
      </x:c>
      <x:c r="T1670" s="11" t="n">
        <x:v>620</x:v>
      </x:c>
    </x:row>
    <x:row r="1671" ht="23" customHeight="1">
      <x:c r="A1671" s="2" t="str">
        <x:v>Q6P8X1</x:v>
      </x:c>
      <x:c r="B1671" s="2" t="str">
        <x:v>NED</x:v>
      </x:c>
      <x:c r="C1671" s="2" t="n">
        <x:v>1</x:v>
      </x:c>
      <x:c r="D1671" s="2" t="n">
        <x:v>1</x:v>
      </x:c>
      <x:c r="E1671" s="10"/>
      <x:c r="F1671" s="11" t="n">
        <x:v>406</x:v>
      </x:c>
      <x:c r="G1671" s="11" t="n">
        <x:v>0</x:v>
      </x:c>
      <x:c r="H1671" s="11" t="n">
        <x:v>0</x:v>
      </x:c>
      <x:c r="I1671" s="11" t="n">
        <x:v>1</x:v>
      </x:c>
      <x:c r="J1671" s="11" t="n">
        <x:v>0</x:v>
      </x:c>
      <x:c r="K1671" s="11" t="n">
        <x:v>0</x:v>
      </x:c>
      <x:c r="L1671" s="11" t="n">
        <x:f>IF(B1671="NED",1,IF(OR(B1671="ED",B1671="UN"),0,""))</x:f>
        <x:v>1</x:v>
      </x:c>
      <x:c r="M1671" s="11" t="n">
        <x:f>IF(AND(K1671=1,OR(B1671="ED",B1671="NED")),1,0)</x:f>
        <x:v>0</x:v>
      </x:c>
      <x:c r="N1671" s="11" t="n">
        <x:f>IF(K1671=1,1,0)</x:f>
        <x:v>0</x:v>
      </x:c>
      <x:c r="O1671" s="12" t="str">
        <x:v>Exclude UniProt Membrane keyword</x:v>
      </x:c>
      <x:c r="P1671" s="11" t="n">
        <x:v>0</x:v>
      </x:c>
      <x:c r="Q1671" s="12" t="str">
        <x:v>AF-Q6P8X1-F1-model_v6</x:v>
      </x:c>
      <x:c r="R1671" s="12" t="str">
        <x:v>ok</x:v>
      </x:c>
      <x:c r="S1671" s="11" t="n">
        <x:v>1214</x:v>
      </x:c>
      <x:c r="T1671" s="11" t="n">
        <x:v>406</x:v>
      </x:c>
    </x:row>
    <x:row r="1672" ht="23" customHeight="1">
      <x:c r="A1672" s="2" t="str">
        <x:v>Q6P9J9</x:v>
      </x:c>
      <x:c r="B1672" s="2" t="str">
        <x:v>UN</x:v>
      </x:c>
      <x:c r="C1672" s="2" t="n">
        <x:v>1</x:v>
      </x:c>
      <x:c r="D1672" s="2" t="n">
        <x:v>1</x:v>
      </x:c>
      <x:c r="E1672" s="10"/>
      <x:c r="F1672" s="11" t="n">
        <x:v>911</x:v>
      </x:c>
      <x:c r="G1672" s="11" t="n">
        <x:v>0</x:v>
      </x:c>
      <x:c r="H1672" s="11" t="n">
        <x:v>1</x:v>
      </x:c>
      <x:c r="I1672" s="11" t="n">
        <x:v>1</x:v>
      </x:c>
      <x:c r="J1672" s="11" t="n">
        <x:v>0</x:v>
      </x:c>
      <x:c r="K1672" s="11" t="n">
        <x:v>0</x:v>
      </x:c>
      <x:c r="L1672" s="11" t="n">
        <x:f>IF(B1672="NED",1,IF(OR(B1672="ED",B1672="UN"),0,""))</x:f>
        <x:v>0</x:v>
      </x:c>
      <x:c r="M1672" s="11" t="n">
        <x:f>IF(AND(K1672=1,OR(B1672="ED",B1672="NED")),1,0)</x:f>
        <x:v>0</x:v>
      </x:c>
      <x:c r="N1672" s="11" t="n">
        <x:f>IF(K1672=1,1,0)</x:f>
        <x:v>0</x:v>
      </x:c>
      <x:c r="O1672" s="12" t="str">
        <x:v>Exclude supplied or detected covalent lassos</x:v>
      </x:c>
      <x:c r="P1672" s="11" t="n">
        <x:v>0</x:v>
      </x:c>
      <x:c r="Q1672" s="12" t="str">
        <x:v>AF-Q6P9J9-F1-model_v6</x:v>
      </x:c>
      <x:c r="R1672" s="12" t="str">
        <x:v>ok</x:v>
      </x:c>
      <x:c r="S1672" s="11" t="n">
        <x:v>1215</x:v>
      </x:c>
      <x:c r="T1672" s="11" t="n">
        <x:v>911</x:v>
      </x:c>
    </x:row>
    <x:row r="1673" ht="23" customHeight="1">
      <x:c r="A1673" s="2" t="str">
        <x:v>Q6P9P6</x:v>
      </x:c>
      <x:c r="B1673" s="2" t="str">
        <x:v>ED</x:v>
      </x:c>
      <x:c r="C1673" s="2" t="n">
        <x:v>1</x:v>
      </x:c>
      <x:c r="D1673" s="2" t="n">
        <x:v>1</x:v>
      </x:c>
      <x:c r="E1673" s="10" t="n">
        <x:v>74.94210076045627</x:v>
      </x:c>
      <x:c r="F1673" s="11" t="n">
        <x:v>1052</x:v>
      </x:c>
      <x:c r="G1673" s="11" t="n">
        <x:v>0</x:v>
      </x:c>
      <x:c r="H1673" s="11" t="n">
        <x:v>0</x:v>
      </x:c>
      <x:c r="I1673" s="11" t="n">
        <x:v>0</x:v>
      </x:c>
      <x:c r="J1673" s="11" t="n">
        <x:v>0</x:v>
      </x:c>
      <x:c r="K1673" s="11" t="n">
        <x:v>1</x:v>
      </x:c>
      <x:c r="L1673" s="11" t="n">
        <x:f>IF(B1673="NED",1,IF(OR(B1673="ED",B1673="UN"),0,""))</x:f>
        <x:v>0</x:v>
      </x:c>
      <x:c r="M1673" s="11" t="n">
        <x:f>IF(AND(K1673=1,OR(B1673="ED",B1673="NED")),1,0)</x:f>
        <x:v>1</x:v>
      </x:c>
      <x:c r="N1673" s="11" t="n">
        <x:f>IF(K1673=1,1,0)</x:f>
        <x:v>1</x:v>
      </x:c>
      <x:c r="O1673" s="12"/>
      <x:c r="P1673" s="11" t="n">
        <x:v>0</x:v>
      </x:c>
      <x:c r="Q1673" s="12" t="str">
        <x:v>AF-Q6P9P6-F1-model_v6</x:v>
      </x:c>
      <x:c r="R1673" s="12" t="str">
        <x:v>ok</x:v>
      </x:c>
      <x:c r="S1673" s="11" t="n">
        <x:v>1216</x:v>
      </x:c>
      <x:c r="T1673" s="11" t="n">
        <x:v>1052</x:v>
      </x:c>
    </x:row>
    <x:row r="1674" ht="23" customHeight="1">
      <x:c r="A1674" s="2" t="str">
        <x:v>Q6P9Q4</x:v>
      </x:c>
      <x:c r="B1674" s="2" t="str">
        <x:v>ED</x:v>
      </x:c>
      <x:c r="C1674" s="2" t="n">
        <x:v>1</x:v>
      </x:c>
      <x:c r="D1674" s="2" t="n">
        <x:v>1</x:v>
      </x:c>
      <x:c r="E1674" s="10" t="n">
        <x:v>67.64929824561403</x:v>
      </x:c>
      <x:c r="F1674" s="11" t="n">
        <x:v>1197</x:v>
      </x:c>
      <x:c r="G1674" s="11" t="n">
        <x:v>0</x:v>
      </x:c>
      <x:c r="H1674" s="11" t="n">
        <x:v>0</x:v>
      </x:c>
      <x:c r="I1674" s="11" t="n">
        <x:v>0</x:v>
      </x:c>
      <x:c r="J1674" s="11" t="n">
        <x:v>0</x:v>
      </x:c>
      <x:c r="K1674" s="11" t="n">
        <x:v>0</x:v>
      </x:c>
      <x:c r="L1674" s="11" t="n">
        <x:f>IF(B1674="NED",1,IF(OR(B1674="ED",B1674="UN"),0,""))</x:f>
        <x:v>0</x:v>
      </x:c>
      <x:c r="M1674" s="11" t="n">
        <x:f>IF(AND(K1674=1,OR(B1674="ED",B1674="NED")),1,0)</x:f>
        <x:v>0</x:v>
      </x:c>
      <x:c r="N1674" s="11" t="n">
        <x:f>IF(K1674=1,1,0)</x:f>
        <x:v>0</x:v>
      </x:c>
      <x:c r="O1674" s="12" t="str">
        <x:v>Retain protein mean pLDDT &gt;=70</x:v>
      </x:c>
      <x:c r="P1674" s="11" t="n">
        <x:v>0</x:v>
      </x:c>
      <x:c r="Q1674" s="12" t="str">
        <x:v>AF-Q6P9Q4-F1-model_v6</x:v>
      </x:c>
      <x:c r="R1674" s="12" t="str">
        <x:v>ok</x:v>
      </x:c>
      <x:c r="S1674" s="11" t="n">
        <x:v>1217</x:v>
      </x:c>
      <x:c r="T1674" s="11" t="n">
        <x:v>1197</x:v>
      </x:c>
    </x:row>
    <x:row r="1675" ht="23" customHeight="1">
      <x:c r="A1675" s="2" t="str">
        <x:v>Q6P9R1</x:v>
      </x:c>
      <x:c r="B1675" s="2" t="str">
        <x:v>ED</x:v>
      </x:c>
      <x:c r="C1675" s="2" t="n">
        <x:v>1</x:v>
      </x:c>
      <x:c r="D1675" s="2" t="n">
        <x:v>1</x:v>
      </x:c>
      <x:c r="E1675" s="10" t="n">
        <x:v>74.44773082942096</x:v>
      </x:c>
      <x:c r="F1675" s="11" t="n">
        <x:v>639</x:v>
      </x:c>
      <x:c r="G1675" s="11" t="n">
        <x:v>0</x:v>
      </x:c>
      <x:c r="H1675" s="11" t="n">
        <x:v>0</x:v>
      </x:c>
      <x:c r="I1675" s="11" t="n">
        <x:v>0</x:v>
      </x:c>
      <x:c r="J1675" s="11" t="n">
        <x:v>0</x:v>
      </x:c>
      <x:c r="K1675" s="11" t="n">
        <x:v>1</x:v>
      </x:c>
      <x:c r="L1675" s="11" t="n">
        <x:f>IF(B1675="NED",1,IF(OR(B1675="ED",B1675="UN"),0,""))</x:f>
        <x:v>0</x:v>
      </x:c>
      <x:c r="M1675" s="11" t="n">
        <x:f>IF(AND(K1675=1,OR(B1675="ED",B1675="NED")),1,0)</x:f>
        <x:v>1</x:v>
      </x:c>
      <x:c r="N1675" s="11" t="n">
        <x:f>IF(K1675=1,1,0)</x:f>
        <x:v>1</x:v>
      </x:c>
      <x:c r="O1675" s="12"/>
      <x:c r="P1675" s="11" t="n">
        <x:v>0</x:v>
      </x:c>
      <x:c r="Q1675" s="12" t="str">
        <x:v>AF-Q6P9R1-F1-model_v6</x:v>
      </x:c>
      <x:c r="R1675" s="12" t="str">
        <x:v>ok</x:v>
      </x:c>
      <x:c r="S1675" s="11" t="n">
        <x:v>1218</x:v>
      </x:c>
      <x:c r="T1675" s="11" t="n">
        <x:v>639</x:v>
      </x:c>
    </x:row>
    <x:row r="1676" ht="23" customHeight="1">
      <x:c r="A1676" s="2" t="str">
        <x:v>Q6P9R2</x:v>
      </x:c>
      <x:c r="B1676" s="2" t="str">
        <x:v>ED</x:v>
      </x:c>
      <x:c r="C1676" s="2" t="n">
        <x:v>1</x:v>
      </x:c>
      <x:c r="D1676" s="2" t="n">
        <x:v>1</x:v>
      </x:c>
      <x:c r="E1676" s="10" t="n">
        <x:v>76.37755218216319</x:v>
      </x:c>
      <x:c r="F1676" s="11" t="n">
        <x:v>527</x:v>
      </x:c>
      <x:c r="G1676" s="11" t="n">
        <x:v>0</x:v>
      </x:c>
      <x:c r="H1676" s="11" t="n">
        <x:v>0</x:v>
      </x:c>
      <x:c r="I1676" s="11" t="n">
        <x:v>0</x:v>
      </x:c>
      <x:c r="J1676" s="11" t="n">
        <x:v>0</x:v>
      </x:c>
      <x:c r="K1676" s="11" t="n">
        <x:v>1</x:v>
      </x:c>
      <x:c r="L1676" s="11" t="n">
        <x:f>IF(B1676="NED",1,IF(OR(B1676="ED",B1676="UN"),0,""))</x:f>
        <x:v>0</x:v>
      </x:c>
      <x:c r="M1676" s="11" t="n">
        <x:f>IF(AND(K1676=1,OR(B1676="ED",B1676="NED")),1,0)</x:f>
        <x:v>1</x:v>
      </x:c>
      <x:c r="N1676" s="11" t="n">
        <x:f>IF(K1676=1,1,0)</x:f>
        <x:v>1</x:v>
      </x:c>
      <x:c r="O1676" s="12"/>
      <x:c r="P1676" s="11" t="n">
        <x:v>0</x:v>
      </x:c>
      <x:c r="Q1676" s="12" t="str">
        <x:v>AF-Q6P9R2-F1-model_v6</x:v>
      </x:c>
      <x:c r="R1676" s="12" t="str">
        <x:v>ok</x:v>
      </x:c>
      <x:c r="S1676" s="11" t="n">
        <x:v>1219</x:v>
      </x:c>
      <x:c r="T1676" s="11" t="n">
        <x:v>527</x:v>
      </x:c>
    </x:row>
    <x:row r="1677" ht="23" customHeight="1">
      <x:c r="A1677" s="2" t="str">
        <x:v>Q6P9R4-2</x:v>
      </x:c>
      <x:c r="B1677" s="2" t="str">
        <x:v>ED</x:v>
      </x:c>
      <x:c r="C1677" s="2"/>
      <x:c r="D1677" s="2"/>
      <x:c r="E1677" s="10"/>
      <x:c r="F1677" s="11"/>
      <x:c r="G1677" s="11" t="n">
        <x:v>0</x:v>
      </x:c>
      <x:c r="H1677" s="11" t="n">
        <x:v>0</x:v>
      </x:c>
      <x:c r="I1677" s="11"/>
      <x:c r="J1677" s="11"/>
      <x:c r="K1677" s="11" t="n">
        <x:v>0</x:v>
      </x:c>
      <x:c r="L1677" s="11" t="n">
        <x:f>IF(B1677="NED",1,IF(OR(B1677="ED",B1677="UN"),0,""))</x:f>
        <x:v>0</x:v>
      </x:c>
      <x:c r="M1677" s="11" t="n">
        <x:f>IF(AND(K1677=1,OR(B1677="ED",B1677="NED")),1,0)</x:f>
        <x:v>0</x:v>
      </x:c>
      <x:c r="N1677" s="11" t="n">
        <x:f>IF(K1677=1,1,0)</x:f>
        <x:v>0</x:v>
      </x:c>
      <x:c r="O1677" s="12" t="str">
        <x:v>Require exact native accession match</x:v>
      </x:c>
      <x:c r="P1677" s="11" t="n">
        <x:v>0</x:v>
      </x:c>
      <x:c r="Q1677" s="12"/>
      <x:c r="R1677" s="12"/>
      <x:c r="S1677" s="11" t="n">
        <x:v>1220</x:v>
      </x:c>
      <x:c r="T1677" s="11"/>
    </x:row>
    <x:row r="1678" ht="23" customHeight="1">
      <x:c r="A1678" s="2" t="str">
        <x:v>Q6P9Z1</x:v>
      </x:c>
      <x:c r="B1678" s="2" t="str">
        <x:v>NED</x:v>
      </x:c>
      <x:c r="C1678" s="2" t="n">
        <x:v>1</x:v>
      </x:c>
      <x:c r="D1678" s="2" t="n">
        <x:v>1</x:v>
      </x:c>
      <x:c r="E1678" s="10" t="n">
        <x:v>79.66175983436852</x:v>
      </x:c>
      <x:c r="F1678" s="11" t="n">
        <x:v>483</x:v>
      </x:c>
      <x:c r="G1678" s="11" t="n">
        <x:v>0</x:v>
      </x:c>
      <x:c r="H1678" s="11" t="n">
        <x:v>0</x:v>
      </x:c>
      <x:c r="I1678" s="11" t="n">
        <x:v>0</x:v>
      </x:c>
      <x:c r="J1678" s="11" t="n">
        <x:v>0</x:v>
      </x:c>
      <x:c r="K1678" s="11" t="n">
        <x:v>1</x:v>
      </x:c>
      <x:c r="L1678" s="11" t="n">
        <x:f>IF(B1678="NED",1,IF(OR(B1678="ED",B1678="UN"),0,""))</x:f>
        <x:v>1</x:v>
      </x:c>
      <x:c r="M1678" s="11" t="n">
        <x:f>IF(AND(K1678=1,OR(B1678="ED",B1678="NED")),1,0)</x:f>
        <x:v>1</x:v>
      </x:c>
      <x:c r="N1678" s="11" t="n">
        <x:f>IF(K1678=1,1,0)</x:f>
        <x:v>1</x:v>
      </x:c>
      <x:c r="O1678" s="12"/>
      <x:c r="P1678" s="11" t="n">
        <x:v>0</x:v>
      </x:c>
      <x:c r="Q1678" s="12" t="str">
        <x:v>AF-Q6P9Z1-F1-model_v6</x:v>
      </x:c>
      <x:c r="R1678" s="12" t="str">
        <x:v>ok</x:v>
      </x:c>
      <x:c r="S1678" s="11" t="n">
        <x:v>1221</x:v>
      </x:c>
      <x:c r="T1678" s="11" t="n">
        <x:v>483</x:v>
      </x:c>
    </x:row>
    <x:row r="1679" ht="23" customHeight="1">
      <x:c r="A1679" s="2" t="str">
        <x:v>Q6PA06</x:v>
      </x:c>
      <x:c r="B1679" s="2" t="str">
        <x:v>ED</x:v>
      </x:c>
      <x:c r="C1679" s="2" t="n">
        <x:v>1</x:v>
      </x:c>
      <x:c r="D1679" s="2" t="n">
        <x:v>1</x:v>
      </x:c>
      <x:c r="E1679" s="10"/>
      <x:c r="F1679" s="11" t="n">
        <x:v>583</x:v>
      </x:c>
      <x:c r="G1679" s="11" t="n">
        <x:v>0</x:v>
      </x:c>
      <x:c r="H1679" s="11" t="n">
        <x:v>0</x:v>
      </x:c>
      <x:c r="I1679" s="11" t="n">
        <x:v>1</x:v>
      </x:c>
      <x:c r="J1679" s="11" t="n">
        <x:v>0</x:v>
      </x:c>
      <x:c r="K1679" s="11" t="n">
        <x:v>0</x:v>
      </x:c>
      <x:c r="L1679" s="11" t="n">
        <x:f>IF(B1679="NED",1,IF(OR(B1679="ED",B1679="UN"),0,""))</x:f>
        <x:v>0</x:v>
      </x:c>
      <x:c r="M1679" s="11" t="n">
        <x:f>IF(AND(K1679=1,OR(B1679="ED",B1679="NED")),1,0)</x:f>
        <x:v>0</x:v>
      </x:c>
      <x:c r="N1679" s="11" t="n">
        <x:f>IF(K1679=1,1,0)</x:f>
        <x:v>0</x:v>
      </x:c>
      <x:c r="O1679" s="12" t="str">
        <x:v>Exclude UniProt Membrane keyword</x:v>
      </x:c>
      <x:c r="P1679" s="11" t="n">
        <x:v>0</x:v>
      </x:c>
      <x:c r="Q1679" s="12" t="str">
        <x:v>AF-Q6PA06-F1-model_v6</x:v>
      </x:c>
      <x:c r="R1679" s="12" t="str">
        <x:v>ok</x:v>
      </x:c>
      <x:c r="S1679" s="11" t="n">
        <x:v>1222</x:v>
      </x:c>
      <x:c r="T1679" s="11" t="n">
        <x:v>583</x:v>
      </x:c>
    </x:row>
    <x:row r="1680" ht="23" customHeight="1">
      <x:c r="A1680" s="2" t="str">
        <x:v>Q6PAC3</x:v>
      </x:c>
      <x:c r="B1680" s="2" t="str">
        <x:v>NED</x:v>
      </x:c>
      <x:c r="C1680" s="2" t="n">
        <x:v>1</x:v>
      </x:c>
      <x:c r="D1680" s="2" t="n">
        <x:v>1</x:v>
      </x:c>
      <x:c r="E1680" s="10" t="n">
        <x:v>92.54867415730338</x:v>
      </x:c>
      <x:c r="F1680" s="11" t="n">
        <x:v>445</x:v>
      </x:c>
      <x:c r="G1680" s="11" t="n">
        <x:v>0</x:v>
      </x:c>
      <x:c r="H1680" s="11" t="n">
        <x:v>0</x:v>
      </x:c>
      <x:c r="I1680" s="11" t="n">
        <x:v>0</x:v>
      </x:c>
      <x:c r="J1680" s="11" t="n">
        <x:v>0</x:v>
      </x:c>
      <x:c r="K1680" s="11" t="n">
        <x:v>1</x:v>
      </x:c>
      <x:c r="L1680" s="11" t="n">
        <x:f>IF(B1680="NED",1,IF(OR(B1680="ED",B1680="UN"),0,""))</x:f>
        <x:v>1</x:v>
      </x:c>
      <x:c r="M1680" s="11" t="n">
        <x:f>IF(AND(K1680=1,OR(B1680="ED",B1680="NED")),1,0)</x:f>
        <x:v>1</x:v>
      </x:c>
      <x:c r="N1680" s="11" t="n">
        <x:f>IF(K1680=1,1,0)</x:f>
        <x:v>1</x:v>
      </x:c>
      <x:c r="O1680" s="12"/>
      <x:c r="P1680" s="11" t="n">
        <x:v>0</x:v>
      </x:c>
      <x:c r="Q1680" s="12" t="str">
        <x:v>AF-Q6PAC3-F1-model_v6</x:v>
      </x:c>
      <x:c r="R1680" s="12" t="str">
        <x:v>ok</x:v>
      </x:c>
      <x:c r="S1680" s="11" t="n">
        <x:v>1223</x:v>
      </x:c>
      <x:c r="T1680" s="11" t="n">
        <x:v>445</x:v>
      </x:c>
    </x:row>
    <x:row r="1681" ht="23" customHeight="1">
      <x:c r="A1681" s="2" t="str">
        <x:v>Q6PAJ1</x:v>
      </x:c>
      <x:c r="B1681" s="2" t="str">
        <x:v>ED</x:v>
      </x:c>
      <x:c r="C1681" s="2" t="n">
        <x:v>1</x:v>
      </x:c>
      <x:c r="D1681" s="2" t="n">
        <x:v>1</x:v>
      </x:c>
      <x:c r="E1681" s="10" t="n">
        <x:v>65.04223622047245</x:v>
      </x:c>
      <x:c r="F1681" s="11" t="n">
        <x:v>1270</x:v>
      </x:c>
      <x:c r="G1681" s="11" t="n">
        <x:v>0</x:v>
      </x:c>
      <x:c r="H1681" s="11" t="n">
        <x:v>0</x:v>
      </x:c>
      <x:c r="I1681" s="11" t="n">
        <x:v>0</x:v>
      </x:c>
      <x:c r="J1681" s="11" t="n">
        <x:v>0</x:v>
      </x:c>
      <x:c r="K1681" s="11" t="n">
        <x:v>0</x:v>
      </x:c>
      <x:c r="L1681" s="11" t="n">
        <x:f>IF(B1681="NED",1,IF(OR(B1681="ED",B1681="UN"),0,""))</x:f>
        <x:v>0</x:v>
      </x:c>
      <x:c r="M1681" s="11" t="n">
        <x:f>IF(AND(K1681=1,OR(B1681="ED",B1681="NED")),1,0)</x:f>
        <x:v>0</x:v>
      </x:c>
      <x:c r="N1681" s="11" t="n">
        <x:f>IF(K1681=1,1,0)</x:f>
        <x:v>0</x:v>
      </x:c>
      <x:c r="O1681" s="12" t="str">
        <x:v>Retain protein mean pLDDT &gt;=70</x:v>
      </x:c>
      <x:c r="P1681" s="11" t="n">
        <x:v>0</x:v>
      </x:c>
      <x:c r="Q1681" s="12" t="str">
        <x:v>AF-Q6PAJ1-F1-model_v6</x:v>
      </x:c>
      <x:c r="R1681" s="12" t="str">
        <x:v>ok</x:v>
      </x:c>
      <x:c r="S1681" s="11" t="n">
        <x:v>1224</x:v>
      </x:c>
      <x:c r="T1681" s="11" t="n">
        <x:v>1270</x:v>
      </x:c>
    </x:row>
    <x:row r="1682" ht="23" customHeight="1">
      <x:c r="A1682" s="2" t="str">
        <x:v>Q6PAM1</x:v>
      </x:c>
      <x:c r="B1682" s="2" t="str">
        <x:v>ED</x:v>
      </x:c>
      <x:c r="C1682" s="2" t="n">
        <x:v>0</x:v>
      </x:c>
      <x:c r="D1682" s="2" t="n">
        <x:v>0</x:v>
      </x:c>
      <x:c r="E1682" s="10" t="n">
        <x:v>72.68998194945848</x:v>
      </x:c>
      <x:c r="F1682" s="11" t="n">
        <x:v>554</x:v>
      </x:c>
      <x:c r="G1682" s="11" t="n">
        <x:v>0</x:v>
      </x:c>
      <x:c r="H1682" s="11" t="n">
        <x:v>0</x:v>
      </x:c>
      <x:c r="I1682" s="11" t="n">
        <x:v>0</x:v>
      </x:c>
      <x:c r="J1682" s="11" t="n">
        <x:v>0</x:v>
      </x:c>
      <x:c r="K1682" s="11" t="n">
        <x:v>1</x:v>
      </x:c>
      <x:c r="L1682" s="11" t="n">
        <x:f>IF(B1682="NED",1,IF(OR(B1682="ED",B1682="UN"),0,""))</x:f>
        <x:v>0</x:v>
      </x:c>
      <x:c r="M1682" s="11" t="n">
        <x:f>IF(AND(K1682=1,OR(B1682="ED",B1682="NED")),1,0)</x:f>
        <x:v>1</x:v>
      </x:c>
      <x:c r="N1682" s="11" t="n">
        <x:f>IF(K1682=1,1,0)</x:f>
        <x:v>1</x:v>
      </x:c>
      <x:c r="O1682" s="12"/>
      <x:c r="P1682" s="11" t="n">
        <x:v>0</x:v>
      </x:c>
      <x:c r="Q1682" s="12" t="str">
        <x:v>AF-Q6PAM1-F1-model_v6</x:v>
      </x:c>
      <x:c r="R1682" s="12" t="str">
        <x:v>ok</x:v>
      </x:c>
      <x:c r="S1682" s="11" t="n">
        <x:v>1225</x:v>
      </x:c>
      <x:c r="T1682" s="11" t="n">
        <x:v>554</x:v>
      </x:c>
    </x:row>
    <x:row r="1683" ht="23" customHeight="1">
      <x:c r="A1683" s="2" t="str">
        <x:v>Q6PAR5-5</x:v>
      </x:c>
      <x:c r="B1683" s="2" t="str">
        <x:v>ED</x:v>
      </x:c>
      <x:c r="C1683" s="2"/>
      <x:c r="D1683" s="2"/>
      <x:c r="E1683" s="10"/>
      <x:c r="F1683" s="11"/>
      <x:c r="G1683" s="11" t="n">
        <x:v>0</x:v>
      </x:c>
      <x:c r="H1683" s="11" t="n">
        <x:v>0</x:v>
      </x:c>
      <x:c r="I1683" s="11"/>
      <x:c r="J1683" s="11"/>
      <x:c r="K1683" s="11" t="n">
        <x:v>0</x:v>
      </x:c>
      <x:c r="L1683" s="11" t="n">
        <x:f>IF(B1683="NED",1,IF(OR(B1683="ED",B1683="UN"),0,""))</x:f>
        <x:v>0</x:v>
      </x:c>
      <x:c r="M1683" s="11" t="n">
        <x:f>IF(AND(K1683=1,OR(B1683="ED",B1683="NED")),1,0)</x:f>
        <x:v>0</x:v>
      </x:c>
      <x:c r="N1683" s="11" t="n">
        <x:f>IF(K1683=1,1,0)</x:f>
        <x:v>0</x:v>
      </x:c>
      <x:c r="O1683" s="12" t="str">
        <x:v>Require exact native accession match</x:v>
      </x:c>
      <x:c r="P1683" s="11" t="n">
        <x:v>0</x:v>
      </x:c>
      <x:c r="Q1683" s="12"/>
      <x:c r="R1683" s="12"/>
      <x:c r="S1683" s="11" t="n">
        <x:v>1226</x:v>
      </x:c>
      <x:c r="T1683" s="11"/>
    </x:row>
    <x:row r="1684" ht="23" customHeight="1">
      <x:c r="A1684" s="2" t="str">
        <x:v>Q6PAV2-2</x:v>
      </x:c>
      <x:c r="B1684" s="2" t="str">
        <x:v>UN</x:v>
      </x:c>
      <x:c r="C1684" s="2"/>
      <x:c r="D1684" s="2"/>
      <x:c r="E1684" s="10"/>
      <x:c r="F1684" s="11"/>
      <x:c r="G1684" s="11" t="n">
        <x:v>0</x:v>
      </x:c>
      <x:c r="H1684" s="11" t="n">
        <x:v>0</x:v>
      </x:c>
      <x:c r="I1684" s="11"/>
      <x:c r="J1684" s="11"/>
      <x:c r="K1684" s="11" t="n">
        <x:v>0</x:v>
      </x:c>
      <x:c r="L1684" s="11" t="n">
        <x:f>IF(B1684="NED",1,IF(OR(B1684="ED",B1684="UN"),0,""))</x:f>
        <x:v>0</x:v>
      </x:c>
      <x:c r="M1684" s="11" t="n">
        <x:f>IF(AND(K1684=1,OR(B1684="ED",B1684="NED")),1,0)</x:f>
        <x:v>0</x:v>
      </x:c>
      <x:c r="N1684" s="11" t="n">
        <x:f>IF(K1684=1,1,0)</x:f>
        <x:v>0</x:v>
      </x:c>
      <x:c r="O1684" s="12" t="str">
        <x:v>Require exact native accession match</x:v>
      </x:c>
      <x:c r="P1684" s="11" t="n">
        <x:v>0</x:v>
      </x:c>
      <x:c r="Q1684" s="12"/>
      <x:c r="R1684" s="12"/>
      <x:c r="S1684" s="11" t="n">
        <x:v>1227</x:v>
      </x:c>
      <x:c r="T1684" s="11"/>
    </x:row>
    <x:row r="1685" ht="23" customHeight="1">
      <x:c r="A1685" s="2" t="str">
        <x:v>Q6PB44-2</x:v>
      </x:c>
      <x:c r="B1685" s="2" t="str">
        <x:v>UN</x:v>
      </x:c>
      <x:c r="C1685" s="2"/>
      <x:c r="D1685" s="2"/>
      <x:c r="E1685" s="10"/>
      <x:c r="F1685" s="11"/>
      <x:c r="G1685" s="11" t="n">
        <x:v>0</x:v>
      </x:c>
      <x:c r="H1685" s="11" t="n">
        <x:v>0</x:v>
      </x:c>
      <x:c r="I1685" s="11"/>
      <x:c r="J1685" s="11"/>
      <x:c r="K1685" s="11" t="n">
        <x:v>0</x:v>
      </x:c>
      <x:c r="L1685" s="11" t="n">
        <x:f>IF(B1685="NED",1,IF(OR(B1685="ED",B1685="UN"),0,""))</x:f>
        <x:v>0</x:v>
      </x:c>
      <x:c r="M1685" s="11" t="n">
        <x:f>IF(AND(K1685=1,OR(B1685="ED",B1685="NED")),1,0)</x:f>
        <x:v>0</x:v>
      </x:c>
      <x:c r="N1685" s="11" t="n">
        <x:f>IF(K1685=1,1,0)</x:f>
        <x:v>0</x:v>
      </x:c>
      <x:c r="O1685" s="12" t="str">
        <x:v>Require exact native accession match</x:v>
      </x:c>
      <x:c r="P1685" s="11" t="n">
        <x:v>0</x:v>
      </x:c>
      <x:c r="Q1685" s="12"/>
      <x:c r="R1685" s="12"/>
      <x:c r="S1685" s="11" t="n">
        <x:v>1228</x:v>
      </x:c>
      <x:c r="T1685" s="11"/>
    </x:row>
    <x:row r="1686" ht="23" customHeight="1">
      <x:c r="A1686" s="2" t="str">
        <x:v>Q6PB66</x:v>
      </x:c>
      <x:c r="B1686" s="2" t="str">
        <x:v>UN</x:v>
      </x:c>
      <x:c r="C1686" s="2" t="n">
        <x:v>0</x:v>
      </x:c>
      <x:c r="D1686" s="2" t="n">
        <x:v>0</x:v>
      </x:c>
      <x:c r="E1686" s="10"/>
      <x:c r="F1686" s="11" t="n">
        <x:v>1392</x:v>
      </x:c>
      <x:c r="G1686" s="11" t="n">
        <x:v>0</x:v>
      </x:c>
      <x:c r="H1686" s="11" t="n">
        <x:v>0</x:v>
      </x:c>
      <x:c r="I1686" s="11" t="n">
        <x:v>1</x:v>
      </x:c>
      <x:c r="J1686" s="11" t="n">
        <x:v>0</x:v>
      </x:c>
      <x:c r="K1686" s="11" t="n">
        <x:v>0</x:v>
      </x:c>
      <x:c r="L1686" s="11" t="n">
        <x:f>IF(B1686="NED",1,IF(OR(B1686="ED",B1686="UN"),0,""))</x:f>
        <x:v>0</x:v>
      </x:c>
      <x:c r="M1686" s="11" t="n">
        <x:f>IF(AND(K1686=1,OR(B1686="ED",B1686="NED")),1,0)</x:f>
        <x:v>0</x:v>
      </x:c>
      <x:c r="N1686" s="11" t="n">
        <x:f>IF(K1686=1,1,0)</x:f>
        <x:v>0</x:v>
      </x:c>
      <x:c r="O1686" s="12" t="str">
        <x:v>Exclude UniProt Membrane keyword</x:v>
      </x:c>
      <x:c r="P1686" s="11" t="n">
        <x:v>0</x:v>
      </x:c>
      <x:c r="Q1686" s="12" t="str">
        <x:v>AF-Q6PB66-F1-model_v6</x:v>
      </x:c>
      <x:c r="R1686" s="12" t="str">
        <x:v>ok</x:v>
      </x:c>
      <x:c r="S1686" s="11" t="n">
        <x:v>1229</x:v>
      </x:c>
      <x:c r="T1686" s="11" t="n">
        <x:v>1392</x:v>
      </x:c>
    </x:row>
    <x:row r="1687" ht="23" customHeight="1">
      <x:c r="A1687" s="2" t="str">
        <x:v>Q6PCM2-2</x:v>
      </x:c>
      <x:c r="B1687" s="2" t="str">
        <x:v>UN</x:v>
      </x:c>
      <x:c r="C1687" s="2"/>
      <x:c r="D1687" s="2"/>
      <x:c r="E1687" s="10"/>
      <x:c r="F1687" s="11"/>
      <x:c r="G1687" s="11" t="n">
        <x:v>0</x:v>
      </x:c>
      <x:c r="H1687" s="11" t="n">
        <x:v>0</x:v>
      </x:c>
      <x:c r="I1687" s="11"/>
      <x:c r="J1687" s="11"/>
      <x:c r="K1687" s="11" t="n">
        <x:v>0</x:v>
      </x:c>
      <x:c r="L1687" s="11" t="n">
        <x:f>IF(B1687="NED",1,IF(OR(B1687="ED",B1687="UN"),0,""))</x:f>
        <x:v>0</x:v>
      </x:c>
      <x:c r="M1687" s="11" t="n">
        <x:f>IF(AND(K1687=1,OR(B1687="ED",B1687="NED")),1,0)</x:f>
        <x:v>0</x:v>
      </x:c>
      <x:c r="N1687" s="11" t="n">
        <x:f>IF(K1687=1,1,0)</x:f>
        <x:v>0</x:v>
      </x:c>
      <x:c r="O1687" s="12" t="str">
        <x:v>Require exact native accession match</x:v>
      </x:c>
      <x:c r="P1687" s="11" t="n">
        <x:v>0</x:v>
      </x:c>
      <x:c r="Q1687" s="12"/>
      <x:c r="R1687" s="12"/>
      <x:c r="S1687" s="11" t="n">
        <x:v>1230</x:v>
      </x:c>
      <x:c r="T1687" s="11"/>
    </x:row>
    <x:row r="1688" ht="23" customHeight="1">
      <x:c r="A1688" s="2" t="str">
        <x:v>Q6PD19</x:v>
      </x:c>
      <x:c r="B1688" s="2" t="str">
        <x:v>ED</x:v>
      </x:c>
      <x:c r="C1688" s="2" t="n">
        <x:v>0</x:v>
      </x:c>
      <x:c r="D1688" s="2" t="n">
        <x:v>0</x:v>
      </x:c>
      <x:c r="E1688" s="10"/>
      <x:c r="F1688" s="11" t="n">
        <x:v>689</x:v>
      </x:c>
      <x:c r="G1688" s="11" t="n">
        <x:v>0</x:v>
      </x:c>
      <x:c r="H1688" s="11" t="n">
        <x:v>0</x:v>
      </x:c>
      <x:c r="I1688" s="11" t="n">
        <x:v>1</x:v>
      </x:c>
      <x:c r="J1688" s="11" t="n">
        <x:v>0</x:v>
      </x:c>
      <x:c r="K1688" s="11" t="n">
        <x:v>0</x:v>
      </x:c>
      <x:c r="L1688" s="11" t="n">
        <x:f>IF(B1688="NED",1,IF(OR(B1688="ED",B1688="UN"),0,""))</x:f>
        <x:v>0</x:v>
      </x:c>
      <x:c r="M1688" s="11" t="n">
        <x:f>IF(AND(K1688=1,OR(B1688="ED",B1688="NED")),1,0)</x:f>
        <x:v>0</x:v>
      </x:c>
      <x:c r="N1688" s="11" t="n">
        <x:f>IF(K1688=1,1,0)</x:f>
        <x:v>0</x:v>
      </x:c>
      <x:c r="O1688" s="12" t="str">
        <x:v>Exclude UniProt Membrane keyword</x:v>
      </x:c>
      <x:c r="P1688" s="11" t="n">
        <x:v>0</x:v>
      </x:c>
      <x:c r="Q1688" s="12" t="str">
        <x:v>AF-Q6PD19-F1-model_v6</x:v>
      </x:c>
      <x:c r="R1688" s="12" t="str">
        <x:v>ok</x:v>
      </x:c>
      <x:c r="S1688" s="11" t="n">
        <x:v>1231</x:v>
      </x:c>
      <x:c r="T1688" s="11" t="n">
        <x:v>689</x:v>
      </x:c>
    </x:row>
    <x:row r="1689" ht="23" customHeight="1">
      <x:c r="A1689" s="2" t="str">
        <x:v>Q6PD26</x:v>
      </x:c>
      <x:c r="B1689" s="2" t="str">
        <x:v>NED</x:v>
      </x:c>
      <x:c r="C1689" s="2" t="n">
        <x:v>1</x:v>
      </x:c>
      <x:c r="D1689" s="2" t="n">
        <x:v>1</x:v>
      </x:c>
      <x:c r="E1689" s="10"/>
      <x:c r="F1689" s="11" t="n">
        <x:v>555</x:v>
      </x:c>
      <x:c r="G1689" s="11" t="n">
        <x:v>0</x:v>
      </x:c>
      <x:c r="H1689" s="11" t="n">
        <x:v>0</x:v>
      </x:c>
      <x:c r="I1689" s="11" t="n">
        <x:v>1</x:v>
      </x:c>
      <x:c r="J1689" s="11" t="n">
        <x:v>0</x:v>
      </x:c>
      <x:c r="K1689" s="11" t="n">
        <x:v>0</x:v>
      </x:c>
      <x:c r="L1689" s="11" t="n">
        <x:f>IF(B1689="NED",1,IF(OR(B1689="ED",B1689="UN"),0,""))</x:f>
        <x:v>1</x:v>
      </x:c>
      <x:c r="M1689" s="11" t="n">
        <x:f>IF(AND(K1689=1,OR(B1689="ED",B1689="NED")),1,0)</x:f>
        <x:v>0</x:v>
      </x:c>
      <x:c r="N1689" s="11" t="n">
        <x:f>IF(K1689=1,1,0)</x:f>
        <x:v>0</x:v>
      </x:c>
      <x:c r="O1689" s="12" t="str">
        <x:v>Exclude UniProt Membrane keyword</x:v>
      </x:c>
      <x:c r="P1689" s="11" t="n">
        <x:v>0</x:v>
      </x:c>
      <x:c r="Q1689" s="12" t="str">
        <x:v>AF-Q6PD26-F1-model_v6</x:v>
      </x:c>
      <x:c r="R1689" s="12" t="str">
        <x:v>ok</x:v>
      </x:c>
      <x:c r="S1689" s="11" t="n">
        <x:v>1232</x:v>
      </x:c>
      <x:c r="T1689" s="11" t="n">
        <x:v>555</x:v>
      </x:c>
    </x:row>
    <x:row r="1690" ht="23" customHeight="1">
      <x:c r="A1690" s="2" t="str">
        <x:v>Q6PDG5-2</x:v>
      </x:c>
      <x:c r="B1690" s="2" t="str">
        <x:v>UN</x:v>
      </x:c>
      <x:c r="C1690" s="2"/>
      <x:c r="D1690" s="2"/>
      <x:c r="E1690" s="10"/>
      <x:c r="F1690" s="11"/>
      <x:c r="G1690" s="11" t="n">
        <x:v>0</x:v>
      </x:c>
      <x:c r="H1690" s="11" t="n">
        <x:v>0</x:v>
      </x:c>
      <x:c r="I1690" s="11"/>
      <x:c r="J1690" s="11"/>
      <x:c r="K1690" s="11" t="n">
        <x:v>0</x:v>
      </x:c>
      <x:c r="L1690" s="11" t="n">
        <x:f>IF(B1690="NED",1,IF(OR(B1690="ED",B1690="UN"),0,""))</x:f>
        <x:v>0</x:v>
      </x:c>
      <x:c r="M1690" s="11" t="n">
        <x:f>IF(AND(K1690=1,OR(B1690="ED",B1690="NED")),1,0)</x:f>
        <x:v>0</x:v>
      </x:c>
      <x:c r="N1690" s="11" t="n">
        <x:f>IF(K1690=1,1,0)</x:f>
        <x:v>0</x:v>
      </x:c>
      <x:c r="O1690" s="12" t="str">
        <x:v>Require exact native accession match</x:v>
      </x:c>
      <x:c r="P1690" s="11" t="n">
        <x:v>0</x:v>
      </x:c>
      <x:c r="Q1690" s="12"/>
      <x:c r="R1690" s="12"/>
      <x:c r="S1690" s="11" t="n">
        <x:v>1233</x:v>
      </x:c>
      <x:c r="T1690" s="11"/>
    </x:row>
    <x:row r="1691" ht="23" customHeight="1">
      <x:c r="A1691" s="2" t="str">
        <x:v>Q6PDI5-2</x:v>
      </x:c>
      <x:c r="B1691" s="2" t="str">
        <x:v>ED</x:v>
      </x:c>
      <x:c r="C1691" s="2"/>
      <x:c r="D1691" s="2"/>
      <x:c r="E1691" s="10"/>
      <x:c r="F1691" s="11"/>
      <x:c r="G1691" s="11" t="n">
        <x:v>0</x:v>
      </x:c>
      <x:c r="H1691" s="11" t="n">
        <x:v>0</x:v>
      </x:c>
      <x:c r="I1691" s="11"/>
      <x:c r="J1691" s="11"/>
      <x:c r="K1691" s="11" t="n">
        <x:v>0</x:v>
      </x:c>
      <x:c r="L1691" s="11" t="n">
        <x:f>IF(B1691="NED",1,IF(OR(B1691="ED",B1691="UN"),0,""))</x:f>
        <x:v>0</x:v>
      </x:c>
      <x:c r="M1691" s="11" t="n">
        <x:f>IF(AND(K1691=1,OR(B1691="ED",B1691="NED")),1,0)</x:f>
        <x:v>0</x:v>
      </x:c>
      <x:c r="N1691" s="11" t="n">
        <x:f>IF(K1691=1,1,0)</x:f>
        <x:v>0</x:v>
      </x:c>
      <x:c r="O1691" s="12" t="str">
        <x:v>Require exact native accession match</x:v>
      </x:c>
      <x:c r="P1691" s="11" t="n">
        <x:v>0</x:v>
      </x:c>
      <x:c r="Q1691" s="12"/>
      <x:c r="R1691" s="12"/>
      <x:c r="S1691" s="11" t="n">
        <x:v>1234</x:v>
      </x:c>
      <x:c r="T1691" s="11"/>
    </x:row>
    <x:row r="1692" ht="23" customHeight="1">
      <x:c r="A1692" s="2" t="str">
        <x:v>Q6PDK2</x:v>
      </x:c>
      <x:c r="B1692" s="2" t="str">
        <x:v>ED</x:v>
      </x:c>
      <x:c r="C1692" s="2"/>
      <x:c r="D1692" s="2"/>
      <x:c r="E1692" s="10"/>
      <x:c r="F1692" s="11"/>
      <x:c r="G1692" s="11" t="n">
        <x:v>0</x:v>
      </x:c>
      <x:c r="H1692" s="11" t="n">
        <x:v>0</x:v>
      </x:c>
      <x:c r="I1692" s="11" t="n">
        <x:v>0</x:v>
      </x:c>
      <x:c r="J1692" s="11" t="n">
        <x:v>0</x:v>
      </x:c>
      <x:c r="K1692" s="11" t="n">
        <x:v>0</x:v>
      </x:c>
      <x:c r="L1692" s="11" t="n">
        <x:f>IF(B1692="NED",1,IF(OR(B1692="ED",B1692="UN"),0,""))</x:f>
        <x:v>0</x:v>
      </x:c>
      <x:c r="M1692" s="11" t="n">
        <x:f>IF(AND(K1692=1,OR(B1692="ED",B1692="NED")),1,0)</x:f>
        <x:v>0</x:v>
      </x:c>
      <x:c r="N1692" s="11" t="n">
        <x:f>IF(K1692=1,1,0)</x:f>
        <x:v>0</x:v>
      </x:c>
      <x:c r="O1692" s="12" t="str">
        <x:v>Require exact native accession match</x:v>
      </x:c>
      <x:c r="P1692" s="11" t="n">
        <x:v>0</x:v>
      </x:c>
      <x:c r="Q1692" s="12"/>
      <x:c r="R1692" s="12"/>
      <x:c r="S1692" s="11" t="n">
        <x:v>1235</x:v>
      </x:c>
      <x:c r="T1692" s="11" t="n">
        <x:v>5588</x:v>
      </x:c>
    </x:row>
    <x:row r="1693" ht="23" customHeight="1">
      <x:c r="A1693" s="2" t="str">
        <x:v>Q6PDL0</x:v>
      </x:c>
      <x:c r="B1693" s="2" t="str">
        <x:v>ED</x:v>
      </x:c>
      <x:c r="C1693" s="2" t="n">
        <x:v>1</x:v>
      </x:c>
      <x:c r="D1693" s="2" t="n">
        <x:v>1</x:v>
      </x:c>
      <x:c r="E1693" s="10" t="n">
        <x:v>61.4080487804878</x:v>
      </x:c>
      <x:c r="F1693" s="11" t="n">
        <x:v>492</x:v>
      </x:c>
      <x:c r="G1693" s="11" t="n">
        <x:v>0</x:v>
      </x:c>
      <x:c r="H1693" s="11" t="n">
        <x:v>0</x:v>
      </x:c>
      <x:c r="I1693" s="11" t="n">
        <x:v>0</x:v>
      </x:c>
      <x:c r="J1693" s="11" t="n">
        <x:v>0</x:v>
      </x:c>
      <x:c r="K1693" s="11" t="n">
        <x:v>0</x:v>
      </x:c>
      <x:c r="L1693" s="11" t="n">
        <x:f>IF(B1693="NED",1,IF(OR(B1693="ED",B1693="UN"),0,""))</x:f>
        <x:v>0</x:v>
      </x:c>
      <x:c r="M1693" s="11" t="n">
        <x:f>IF(AND(K1693=1,OR(B1693="ED",B1693="NED")),1,0)</x:f>
        <x:v>0</x:v>
      </x:c>
      <x:c r="N1693" s="11" t="n">
        <x:f>IF(K1693=1,1,0)</x:f>
        <x:v>0</x:v>
      </x:c>
      <x:c r="O1693" s="12" t="str">
        <x:v>Retain protein mean pLDDT &gt;=70</x:v>
      </x:c>
      <x:c r="P1693" s="11" t="n">
        <x:v>0</x:v>
      </x:c>
      <x:c r="Q1693" s="12" t="str">
        <x:v>AF-Q6PDL0-F1-model_v6</x:v>
      </x:c>
      <x:c r="R1693" s="12" t="str">
        <x:v>ok</x:v>
      </x:c>
      <x:c r="S1693" s="11" t="n">
        <x:v>1236</x:v>
      </x:c>
      <x:c r="T1693" s="11" t="n">
        <x:v>492</x:v>
      </x:c>
    </x:row>
    <x:row r="1694" ht="23" customHeight="1">
      <x:c r="A1694" s="2" t="str">
        <x:v>Q6PDM2</x:v>
      </x:c>
      <x:c r="B1694" s="2" t="str">
        <x:v>ED</x:v>
      </x:c>
      <x:c r="C1694" s="2" t="n">
        <x:v>1</x:v>
      </x:c>
      <x:c r="D1694" s="2" t="n">
        <x:v>1</x:v>
      </x:c>
      <x:c r="E1694" s="10" t="n">
        <x:v>68.99975806451613</x:v>
      </x:c>
      <x:c r="F1694" s="11" t="n">
        <x:v>248</x:v>
      </x:c>
      <x:c r="G1694" s="11" t="n">
        <x:v>0</x:v>
      </x:c>
      <x:c r="H1694" s="11" t="n">
        <x:v>0</x:v>
      </x:c>
      <x:c r="I1694" s="11" t="n">
        <x:v>0</x:v>
      </x:c>
      <x:c r="J1694" s="11" t="n">
        <x:v>0</x:v>
      </x:c>
      <x:c r="K1694" s="11" t="n">
        <x:v>0</x:v>
      </x:c>
      <x:c r="L1694" s="11" t="n">
        <x:f>IF(B1694="NED",1,IF(OR(B1694="ED",B1694="UN"),0,""))</x:f>
        <x:v>0</x:v>
      </x:c>
      <x:c r="M1694" s="11" t="n">
        <x:f>IF(AND(K1694=1,OR(B1694="ED",B1694="NED")),1,0)</x:f>
        <x:v>0</x:v>
      </x:c>
      <x:c r="N1694" s="11" t="n">
        <x:f>IF(K1694=1,1,0)</x:f>
        <x:v>0</x:v>
      </x:c>
      <x:c r="O1694" s="12" t="str">
        <x:v>Retain protein mean pLDDT &gt;=70</x:v>
      </x:c>
      <x:c r="P1694" s="11" t="n">
        <x:v>0</x:v>
      </x:c>
      <x:c r="Q1694" s="12" t="str">
        <x:v>AF-Q6PDM2-F1-model_v6</x:v>
      </x:c>
      <x:c r="R1694" s="12" t="str">
        <x:v>ok</x:v>
      </x:c>
      <x:c r="S1694" s="11" t="n">
        <x:v>1237</x:v>
      </x:c>
      <x:c r="T1694" s="11" t="n">
        <x:v>248</x:v>
      </x:c>
    </x:row>
    <x:row r="1695" ht="23" customHeight="1">
      <x:c r="A1695" s="2" t="str">
        <x:v>Q6PDN3</x:v>
      </x:c>
      <x:c r="B1695" s="2" t="str">
        <x:v>ED</x:v>
      </x:c>
      <x:c r="C1695" s="2" t="n">
        <x:v>1</x:v>
      </x:c>
      <x:c r="D1695" s="2" t="n">
        <x:v>1</x:v>
      </x:c>
      <x:c r="E1695" s="10" t="n">
        <x:v>65.0323390005152</x:v>
      </x:c>
      <x:c r="F1695" s="11" t="n">
        <x:v>1941</x:v>
      </x:c>
      <x:c r="G1695" s="11" t="n">
        <x:v>0</x:v>
      </x:c>
      <x:c r="H1695" s="11" t="n">
        <x:v>0</x:v>
      </x:c>
      <x:c r="I1695" s="11" t="n">
        <x:v>0</x:v>
      </x:c>
      <x:c r="J1695" s="11" t="n">
        <x:v>0</x:v>
      </x:c>
      <x:c r="K1695" s="11" t="n">
        <x:v>0</x:v>
      </x:c>
      <x:c r="L1695" s="11" t="n">
        <x:f>IF(B1695="NED",1,IF(OR(B1695="ED",B1695="UN"),0,""))</x:f>
        <x:v>0</x:v>
      </x:c>
      <x:c r="M1695" s="11" t="n">
        <x:f>IF(AND(K1695=1,OR(B1695="ED",B1695="NED")),1,0)</x:f>
        <x:v>0</x:v>
      </x:c>
      <x:c r="N1695" s="11" t="n">
        <x:f>IF(K1695=1,1,0)</x:f>
        <x:v>0</x:v>
      </x:c>
      <x:c r="O1695" s="12" t="str">
        <x:v>Retain protein mean pLDDT &gt;=70</x:v>
      </x:c>
      <x:c r="P1695" s="11" t="n">
        <x:v>0</x:v>
      </x:c>
      <x:c r="Q1695" s="12" t="str">
        <x:v>AF-Q6PDN3-F1-model_v6</x:v>
      </x:c>
      <x:c r="R1695" s="12" t="str">
        <x:v>ok</x:v>
      </x:c>
      <x:c r="S1695" s="11" t="n">
        <x:v>1238</x:v>
      </x:c>
      <x:c r="T1695" s="11" t="n">
        <x:v>1941</x:v>
      </x:c>
    </x:row>
    <x:row r="1696" ht="23" customHeight="1">
      <x:c r="A1696" s="2" t="str">
        <x:v>Q6PE01</x:v>
      </x:c>
      <x:c r="B1696" s="2" t="str">
        <x:v>ED</x:v>
      </x:c>
      <x:c r="C1696" s="2" t="n">
        <x:v>1</x:v>
      </x:c>
      <x:c r="D1696" s="2" t="n">
        <x:v>1</x:v>
      </x:c>
      <x:c r="E1696" s="10" t="n">
        <x:v>85.78846368715084</x:v>
      </x:c>
      <x:c r="F1696" s="11" t="n">
        <x:v>358</x:v>
      </x:c>
      <x:c r="G1696" s="11" t="n">
        <x:v>0</x:v>
      </x:c>
      <x:c r="H1696" s="11" t="n">
        <x:v>0</x:v>
      </x:c>
      <x:c r="I1696" s="11" t="n">
        <x:v>0</x:v>
      </x:c>
      <x:c r="J1696" s="11" t="n">
        <x:v>0</x:v>
      </x:c>
      <x:c r="K1696" s="11" t="n">
        <x:v>1</x:v>
      </x:c>
      <x:c r="L1696" s="11" t="n">
        <x:f>IF(B1696="NED",1,IF(OR(B1696="ED",B1696="UN"),0,""))</x:f>
        <x:v>0</x:v>
      </x:c>
      <x:c r="M1696" s="11" t="n">
        <x:f>IF(AND(K1696=1,OR(B1696="ED",B1696="NED")),1,0)</x:f>
        <x:v>1</x:v>
      </x:c>
      <x:c r="N1696" s="11" t="n">
        <x:f>IF(K1696=1,1,0)</x:f>
        <x:v>1</x:v>
      </x:c>
      <x:c r="O1696" s="12"/>
      <x:c r="P1696" s="11" t="n">
        <x:v>0</x:v>
      </x:c>
      <x:c r="Q1696" s="12" t="str">
        <x:v>AF-Q6PE01-F1-model_v6</x:v>
      </x:c>
      <x:c r="R1696" s="12" t="str">
        <x:v>ok</x:v>
      </x:c>
      <x:c r="S1696" s="11" t="n">
        <x:v>1239</x:v>
      </x:c>
      <x:c r="T1696" s="11" t="n">
        <x:v>358</x:v>
      </x:c>
    </x:row>
    <x:row r="1697" ht="23" customHeight="1">
      <x:c r="A1697" s="2" t="str">
        <x:v>Q6PE54</x:v>
      </x:c>
      <x:c r="B1697" s="2" t="str">
        <x:v>UN</x:v>
      </x:c>
      <x:c r="C1697" s="2" t="n">
        <x:v>1</x:v>
      </x:c>
      <x:c r="D1697" s="2" t="n">
        <x:v>1</x:v>
      </x:c>
      <x:c r="E1697" s="10" t="n">
        <x:v>82.98286264441592</x:v>
      </x:c>
      <x:c r="F1697" s="11" t="n">
        <x:v>779</x:v>
      </x:c>
      <x:c r="G1697" s="11" t="n">
        <x:v>0</x:v>
      </x:c>
      <x:c r="H1697" s="11" t="n">
        <x:v>0</x:v>
      </x:c>
      <x:c r="I1697" s="11" t="n">
        <x:v>0</x:v>
      </x:c>
      <x:c r="J1697" s="11" t="n">
        <x:v>0</x:v>
      </x:c>
      <x:c r="K1697" s="11" t="n">
        <x:v>1</x:v>
      </x:c>
      <x:c r="L1697" s="11" t="n">
        <x:f>IF(B1697="NED",1,IF(OR(B1697="ED",B1697="UN"),0,""))</x:f>
        <x:v>0</x:v>
      </x:c>
      <x:c r="M1697" s="11" t="n">
        <x:f>IF(AND(K1697=1,OR(B1697="ED",B1697="NED")),1,0)</x:f>
        <x:v>0</x:v>
      </x:c>
      <x:c r="N1697" s="11" t="n">
        <x:f>IF(K1697=1,1,0)</x:f>
        <x:v>1</x:v>
      </x:c>
      <x:c r="O1697" s="12"/>
      <x:c r="P1697" s="11" t="n">
        <x:v>0</x:v>
      </x:c>
      <x:c r="Q1697" s="12" t="str">
        <x:v>AF-Q6PE54-F1-model_v6</x:v>
      </x:c>
      <x:c r="R1697" s="12" t="str">
        <x:v>ok</x:v>
      </x:c>
      <x:c r="S1697" s="11" t="n">
        <x:v>1240</x:v>
      </x:c>
      <x:c r="T1697" s="11" t="n">
        <x:v>779</x:v>
      </x:c>
    </x:row>
    <x:row r="1698" ht="23" customHeight="1">
      <x:c r="A1698" s="2" t="str">
        <x:v>Q6PF96</x:v>
      </x:c>
      <x:c r="B1698" s="2" t="str">
        <x:v>UN</x:v>
      </x:c>
      <x:c r="C1698" s="2"/>
      <x:c r="D1698" s="2"/>
      <x:c r="E1698" s="10"/>
      <x:c r="F1698" s="11"/>
      <x:c r="G1698" s="11" t="n">
        <x:v>0</x:v>
      </x:c>
      <x:c r="H1698" s="11" t="n">
        <x:v>0</x:v>
      </x:c>
      <x:c r="I1698" s="11" t="n">
        <x:v>1</x:v>
      </x:c>
      <x:c r="J1698" s="11" t="n">
        <x:v>0</x:v>
      </x:c>
      <x:c r="K1698" s="11" t="n">
        <x:v>0</x:v>
      </x:c>
      <x:c r="L1698" s="11" t="n">
        <x:f>IF(B1698="NED",1,IF(OR(B1698="ED",B1698="UN"),0,""))</x:f>
        <x:v>0</x:v>
      </x:c>
      <x:c r="M1698" s="11" t="n">
        <x:f>IF(AND(K1698=1,OR(B1698="ED",B1698="NED")),1,0)</x:f>
        <x:v>0</x:v>
      </x:c>
      <x:c r="N1698" s="11" t="n">
        <x:f>IF(K1698=1,1,0)</x:f>
        <x:v>0</x:v>
      </x:c>
      <x:c r="O1698" s="12" t="str">
        <x:v>Require exact native accession match</x:v>
      </x:c>
      <x:c r="P1698" s="11" t="n">
        <x:v>0</x:v>
      </x:c>
      <x:c r="Q1698" s="12"/>
      <x:c r="R1698" s="12"/>
      <x:c r="S1698" s="11" t="n">
        <x:v>3200</x:v>
      </x:c>
      <x:c r="T1698" s="11" t="n">
        <x:v>556</x:v>
      </x:c>
    </x:row>
    <x:row r="1699" ht="23" customHeight="1">
      <x:c r="A1699" s="2" t="str">
        <x:v>Q6PFD9</x:v>
      </x:c>
      <x:c r="B1699" s="2" t="str">
        <x:v>UN</x:v>
      </x:c>
      <x:c r="C1699" s="2" t="n">
        <x:v>1</x:v>
      </x:c>
      <x:c r="D1699" s="2" t="n">
        <x:v>1</x:v>
      </x:c>
      <x:c r="E1699" s="10"/>
      <x:c r="F1699" s="11" t="n">
        <x:v>1816</x:v>
      </x:c>
      <x:c r="G1699" s="11" t="n">
        <x:v>0</x:v>
      </x:c>
      <x:c r="H1699" s="11" t="n">
        <x:v>0</x:v>
      </x:c>
      <x:c r="I1699" s="11" t="n">
        <x:v>1</x:v>
      </x:c>
      <x:c r="J1699" s="11" t="n">
        <x:v>0</x:v>
      </x:c>
      <x:c r="K1699" s="11" t="n">
        <x:v>0</x:v>
      </x:c>
      <x:c r="L1699" s="11" t="n">
        <x:f>IF(B1699="NED",1,IF(OR(B1699="ED",B1699="UN"),0,""))</x:f>
        <x:v>0</x:v>
      </x:c>
      <x:c r="M1699" s="11" t="n">
        <x:f>IF(AND(K1699=1,OR(B1699="ED",B1699="NED")),1,0)</x:f>
        <x:v>0</x:v>
      </x:c>
      <x:c r="N1699" s="11" t="n">
        <x:f>IF(K1699=1,1,0)</x:f>
        <x:v>0</x:v>
      </x:c>
      <x:c r="O1699" s="12" t="str">
        <x:v>Exclude UniProt Membrane keyword</x:v>
      </x:c>
      <x:c r="P1699" s="11" t="n">
        <x:v>0</x:v>
      </x:c>
      <x:c r="Q1699" s="12" t="str">
        <x:v>AF-Q6PFD9-F1-model_v6</x:v>
      </x:c>
      <x:c r="R1699" s="12" t="str">
        <x:v>ok</x:v>
      </x:c>
      <x:c r="S1699" s="11" t="n">
        <x:v>1241</x:v>
      </x:c>
      <x:c r="T1699" s="11" t="n">
        <x:v>1816</x:v>
      </x:c>
    </x:row>
    <x:row r="1700" ht="23" customHeight="1">
      <x:c r="A1700" s="2" t="str">
        <x:v>Q6PFQ7</x:v>
      </x:c>
      <x:c r="B1700" s="2" t="str">
        <x:v>UN</x:v>
      </x:c>
      <x:c r="C1700" s="2" t="n">
        <x:v>1</x:v>
      </x:c>
      <x:c r="D1700" s="2" t="n">
        <x:v>1</x:v>
      </x:c>
      <x:c r="E1700" s="10"/>
      <x:c r="F1700" s="11" t="n">
        <x:v>802</x:v>
      </x:c>
      <x:c r="G1700" s="11" t="n">
        <x:v>0</x:v>
      </x:c>
      <x:c r="H1700" s="11" t="n">
        <x:v>0</x:v>
      </x:c>
      <x:c r="I1700" s="11" t="n">
        <x:v>1</x:v>
      </x:c>
      <x:c r="J1700" s="11" t="n">
        <x:v>0</x:v>
      </x:c>
      <x:c r="K1700" s="11" t="n">
        <x:v>0</x:v>
      </x:c>
      <x:c r="L1700" s="11" t="n">
        <x:f>IF(B1700="NED",1,IF(OR(B1700="ED",B1700="UN"),0,""))</x:f>
        <x:v>0</x:v>
      </x:c>
      <x:c r="M1700" s="11" t="n">
        <x:f>IF(AND(K1700=1,OR(B1700="ED",B1700="NED")),1,0)</x:f>
        <x:v>0</x:v>
      </x:c>
      <x:c r="N1700" s="11" t="n">
        <x:f>IF(K1700=1,1,0)</x:f>
        <x:v>0</x:v>
      </x:c>
      <x:c r="O1700" s="12" t="str">
        <x:v>Exclude UniProt Membrane keyword</x:v>
      </x:c>
      <x:c r="P1700" s="11" t="n">
        <x:v>0</x:v>
      </x:c>
      <x:c r="Q1700" s="12" t="str">
        <x:v>AF-Q6PFQ7-F1-model_v6</x:v>
      </x:c>
      <x:c r="R1700" s="12" t="str">
        <x:v>ok</x:v>
      </x:c>
      <x:c r="S1700" s="11" t="n">
        <x:v>1242</x:v>
      </x:c>
      <x:c r="T1700" s="11" t="n">
        <x:v>802</x:v>
      </x:c>
    </x:row>
    <x:row r="1701" ht="23" customHeight="1">
      <x:c r="A1701" s="2" t="str">
        <x:v>Q6PFR5</x:v>
      </x:c>
      <x:c r="B1701" s="2" t="str">
        <x:v>ED</x:v>
      </x:c>
      <x:c r="C1701" s="2" t="n">
        <x:v>1</x:v>
      </x:c>
      <x:c r="D1701" s="2" t="n">
        <x:v>1</x:v>
      </x:c>
      <x:c r="E1701" s="10" t="n">
        <x:v>58.50814946619217</x:v>
      </x:c>
      <x:c r="F1701" s="11" t="n">
        <x:v>281</x:v>
      </x:c>
      <x:c r="G1701" s="11" t="n">
        <x:v>0</x:v>
      </x:c>
      <x:c r="H1701" s="11" t="n">
        <x:v>0</x:v>
      </x:c>
      <x:c r="I1701" s="11" t="n">
        <x:v>0</x:v>
      </x:c>
      <x:c r="J1701" s="11" t="n">
        <x:v>0</x:v>
      </x:c>
      <x:c r="K1701" s="11" t="n">
        <x:v>0</x:v>
      </x:c>
      <x:c r="L1701" s="11" t="n">
        <x:f>IF(B1701="NED",1,IF(OR(B1701="ED",B1701="UN"),0,""))</x:f>
        <x:v>0</x:v>
      </x:c>
      <x:c r="M1701" s="11" t="n">
        <x:f>IF(AND(K1701=1,OR(B1701="ED",B1701="NED")),1,0)</x:f>
        <x:v>0</x:v>
      </x:c>
      <x:c r="N1701" s="11" t="n">
        <x:f>IF(K1701=1,1,0)</x:f>
        <x:v>0</x:v>
      </x:c>
      <x:c r="O1701" s="12" t="str">
        <x:v>Retain protein mean pLDDT &gt;=70</x:v>
      </x:c>
      <x:c r="P1701" s="11" t="n">
        <x:v>0</x:v>
      </x:c>
      <x:c r="Q1701" s="12" t="str">
        <x:v>AF-Q6PFR5-F1-model_v6</x:v>
      </x:c>
      <x:c r="R1701" s="12" t="str">
        <x:v>ok</x:v>
      </x:c>
      <x:c r="S1701" s="11" t="n">
        <x:v>1243</x:v>
      </x:c>
      <x:c r="T1701" s="11" t="n">
        <x:v>281</x:v>
      </x:c>
    </x:row>
    <x:row r="1702" ht="23" customHeight="1">
      <x:c r="A1702" s="2" t="str">
        <x:v>Q6PGB6-2</x:v>
      </x:c>
      <x:c r="B1702" s="2" t="str">
        <x:v>ED</x:v>
      </x:c>
      <x:c r="C1702" s="2"/>
      <x:c r="D1702" s="2"/>
      <x:c r="E1702" s="10"/>
      <x:c r="F1702" s="11"/>
      <x:c r="G1702" s="11" t="n">
        <x:v>0</x:v>
      </x:c>
      <x:c r="H1702" s="11" t="n">
        <x:v>0</x:v>
      </x:c>
      <x:c r="I1702" s="11"/>
      <x:c r="J1702" s="11"/>
      <x:c r="K1702" s="11" t="n">
        <x:v>0</x:v>
      </x:c>
      <x:c r="L1702" s="11" t="n">
        <x:f>IF(B1702="NED",1,IF(OR(B1702="ED",B1702="UN"),0,""))</x:f>
        <x:v>0</x:v>
      </x:c>
      <x:c r="M1702" s="11" t="n">
        <x:f>IF(AND(K1702=1,OR(B1702="ED",B1702="NED")),1,0)</x:f>
        <x:v>0</x:v>
      </x:c>
      <x:c r="N1702" s="11" t="n">
        <x:f>IF(K1702=1,1,0)</x:f>
        <x:v>0</x:v>
      </x:c>
      <x:c r="O1702" s="12" t="str">
        <x:v>Require exact native accession match</x:v>
      </x:c>
      <x:c r="P1702" s="11" t="n">
        <x:v>0</x:v>
      </x:c>
      <x:c r="Q1702" s="12"/>
      <x:c r="R1702" s="12"/>
      <x:c r="S1702" s="11" t="n">
        <x:v>1244</x:v>
      </x:c>
      <x:c r="T1702" s="11"/>
    </x:row>
    <x:row r="1703" ht="23" customHeight="1">
      <x:c r="A1703" s="2" t="str">
        <x:v>Q6PGC1</x:v>
      </x:c>
      <x:c r="B1703" s="2" t="str">
        <x:v>UN</x:v>
      </x:c>
      <x:c r="C1703" s="2" t="n">
        <x:v>1</x:v>
      </x:c>
      <x:c r="D1703" s="2" t="n">
        <x:v>1</x:v>
      </x:c>
      <x:c r="E1703" s="10" t="n">
        <x:v>74.57284249084249</x:v>
      </x:c>
      <x:c r="F1703" s="11" t="n">
        <x:v>1365</x:v>
      </x:c>
      <x:c r="G1703" s="11" t="n">
        <x:v>0</x:v>
      </x:c>
      <x:c r="H1703" s="11" t="n">
        <x:v>0</x:v>
      </x:c>
      <x:c r="I1703" s="11" t="n">
        <x:v>0</x:v>
      </x:c>
      <x:c r="J1703" s="11" t="n">
        <x:v>0</x:v>
      </x:c>
      <x:c r="K1703" s="11" t="n">
        <x:v>1</x:v>
      </x:c>
      <x:c r="L1703" s="11" t="n">
        <x:f>IF(B1703="NED",1,IF(OR(B1703="ED",B1703="UN"),0,""))</x:f>
        <x:v>0</x:v>
      </x:c>
      <x:c r="M1703" s="11" t="n">
        <x:f>IF(AND(K1703=1,OR(B1703="ED",B1703="NED")),1,0)</x:f>
        <x:v>0</x:v>
      </x:c>
      <x:c r="N1703" s="11" t="n">
        <x:f>IF(K1703=1,1,0)</x:f>
        <x:v>1</x:v>
      </x:c>
      <x:c r="O1703" s="12"/>
      <x:c r="P1703" s="11" t="n">
        <x:v>0</x:v>
      </x:c>
      <x:c r="Q1703" s="12" t="str">
        <x:v>AF-Q6PGC1-F1-model_v6</x:v>
      </x:c>
      <x:c r="R1703" s="12" t="str">
        <x:v>ok</x:v>
      </x:c>
      <x:c r="S1703" s="11" t="n">
        <x:v>1245</x:v>
      </x:c>
      <x:c r="T1703" s="11" t="n">
        <x:v>1365</x:v>
      </x:c>
    </x:row>
    <x:row r="1704" ht="23" customHeight="1">
      <x:c r="A1704" s="2" t="str">
        <x:v>Q6PGF5</x:v>
      </x:c>
      <x:c r="B1704" s="2" t="str">
        <x:v>UN</x:v>
      </x:c>
      <x:c r="C1704" s="2" t="n">
        <x:v>1</x:v>
      </x:c>
      <x:c r="D1704" s="2" t="n">
        <x:v>1</x:v>
      </x:c>
      <x:c r="E1704" s="10" t="n">
        <x:v>71.52444704049844</x:v>
      </x:c>
      <x:c r="F1704" s="11" t="n">
        <x:v>1284</x:v>
      </x:c>
      <x:c r="G1704" s="11" t="n">
        <x:v>0</x:v>
      </x:c>
      <x:c r="H1704" s="11" t="n">
        <x:v>0</x:v>
      </x:c>
      <x:c r="I1704" s="11" t="n">
        <x:v>0</x:v>
      </x:c>
      <x:c r="J1704" s="11" t="n">
        <x:v>0</x:v>
      </x:c>
      <x:c r="K1704" s="11" t="n">
        <x:v>1</x:v>
      </x:c>
      <x:c r="L1704" s="11" t="n">
        <x:f>IF(B1704="NED",1,IF(OR(B1704="ED",B1704="UN"),0,""))</x:f>
        <x:v>0</x:v>
      </x:c>
      <x:c r="M1704" s="11" t="n">
        <x:f>IF(AND(K1704=1,OR(B1704="ED",B1704="NED")),1,0)</x:f>
        <x:v>0</x:v>
      </x:c>
      <x:c r="N1704" s="11" t="n">
        <x:f>IF(K1704=1,1,0)</x:f>
        <x:v>1</x:v>
      </x:c>
      <x:c r="O1704" s="12"/>
      <x:c r="P1704" s="11" t="n">
        <x:v>0</x:v>
      </x:c>
      <x:c r="Q1704" s="12" t="str">
        <x:v>AF-Q6PGF5-F1-model_v6</x:v>
      </x:c>
      <x:c r="R1704" s="12" t="str">
        <x:v>ok</x:v>
      </x:c>
      <x:c r="S1704" s="11" t="n">
        <x:v>3201</x:v>
      </x:c>
      <x:c r="T1704" s="11" t="n">
        <x:v>1284</x:v>
      </x:c>
    </x:row>
    <x:row r="1705" ht="23" customHeight="1">
      <x:c r="A1705" s="2" t="str">
        <x:v>Q6PGL7</x:v>
      </x:c>
      <x:c r="B1705" s="2" t="str">
        <x:v>ED</x:v>
      </x:c>
      <x:c r="C1705" s="2" t="n">
        <x:v>1</x:v>
      </x:c>
      <x:c r="D1705" s="2"/>
      <x:c r="E1705" s="10"/>
      <x:c r="F1705" s="11" t="n">
        <x:v>1334</x:v>
      </x:c>
      <x:c r="G1705" s="11" t="n">
        <x:v>0</x:v>
      </x:c>
      <x:c r="H1705" s="11" t="n">
        <x:v>0</x:v>
      </x:c>
      <x:c r="I1705" s="11" t="n">
        <x:v>1</x:v>
      </x:c>
      <x:c r="J1705" s="11" t="n">
        <x:v>0</x:v>
      </x:c>
      <x:c r="K1705" s="11" t="n">
        <x:v>0</x:v>
      </x:c>
      <x:c r="L1705" s="11" t="n">
        <x:f>IF(B1705="NED",1,IF(OR(B1705="ED",B1705="UN"),0,""))</x:f>
        <x:v>0</x:v>
      </x:c>
      <x:c r="M1705" s="11" t="n">
        <x:f>IF(AND(K1705=1,OR(B1705="ED",B1705="NED")),1,0)</x:f>
        <x:v>0</x:v>
      </x:c>
      <x:c r="N1705" s="11" t="n">
        <x:f>IF(K1705=1,1,0)</x:f>
        <x:v>0</x:v>
      </x:c>
      <x:c r="O1705" s="12" t="str">
        <x:v>Exclude UniProt Membrane keyword</x:v>
      </x:c>
      <x:c r="P1705" s="11" t="n">
        <x:v>0</x:v>
      </x:c>
      <x:c r="Q1705" s="12" t="str">
        <x:v>AF-Q6PGL7-F1-model_v6</x:v>
      </x:c>
      <x:c r="R1705" s="12" t="str">
        <x:v>ok</x:v>
      </x:c>
      <x:c r="S1705" s="11" t="n">
        <x:v>1246</x:v>
      </x:c>
      <x:c r="T1705" s="11" t="n">
        <x:v>1334</x:v>
      </x:c>
    </x:row>
    <x:row r="1706" ht="23" customHeight="1">
      <x:c r="A1706" s="2" t="str">
        <x:v>Q6PHQ8</x:v>
      </x:c>
      <x:c r="B1706" s="2" t="str">
        <x:v>UN</x:v>
      </x:c>
      <x:c r="C1706" s="2" t="n">
        <x:v>1</x:v>
      </x:c>
      <x:c r="D1706" s="2" t="n">
        <x:v>1</x:v>
      </x:c>
      <x:c r="E1706" s="10" t="n">
        <x:v>89.80714482758621</x:v>
      </x:c>
      <x:c r="F1706" s="11" t="n">
        <x:v>725</x:v>
      </x:c>
      <x:c r="G1706" s="11" t="n">
        <x:v>0</x:v>
      </x:c>
      <x:c r="H1706" s="11" t="n">
        <x:v>0</x:v>
      </x:c>
      <x:c r="I1706" s="11" t="n">
        <x:v>0</x:v>
      </x:c>
      <x:c r="J1706" s="11" t="n">
        <x:v>0</x:v>
      </x:c>
      <x:c r="K1706" s="11" t="n">
        <x:v>1</x:v>
      </x:c>
      <x:c r="L1706" s="11" t="n">
        <x:f>IF(B1706="NED",1,IF(OR(B1706="ED",B1706="UN"),0,""))</x:f>
        <x:v>0</x:v>
      </x:c>
      <x:c r="M1706" s="11" t="n">
        <x:f>IF(AND(K1706=1,OR(B1706="ED",B1706="NED")),1,0)</x:f>
        <x:v>0</x:v>
      </x:c>
      <x:c r="N1706" s="11" t="n">
        <x:f>IF(K1706=1,1,0)</x:f>
        <x:v>1</x:v>
      </x:c>
      <x:c r="O1706" s="12"/>
      <x:c r="P1706" s="11" t="n">
        <x:v>0</x:v>
      </x:c>
      <x:c r="Q1706" s="12" t="str">
        <x:v>AF-Q6PHQ8-F1-model_v6</x:v>
      </x:c>
      <x:c r="R1706" s="12" t="str">
        <x:v>ok</x:v>
      </x:c>
      <x:c r="S1706" s="11" t="n">
        <x:v>1247</x:v>
      </x:c>
      <x:c r="T1706" s="11" t="n">
        <x:v>725</x:v>
      </x:c>
    </x:row>
    <x:row r="1707" ht="23" customHeight="1">
      <x:c r="A1707" s="2" t="str">
        <x:v>Q6PHZ5</x:v>
      </x:c>
      <x:c r="B1707" s="2" t="str">
        <x:v>ED</x:v>
      </x:c>
      <x:c r="C1707" s="2" t="n">
        <x:v>1</x:v>
      </x:c>
      <x:c r="D1707" s="2" t="n">
        <x:v>1</x:v>
      </x:c>
      <x:c r="E1707" s="10" t="n">
        <x:v>60.50095828635851</x:v>
      </x:c>
      <x:c r="F1707" s="11" t="n">
        <x:v>887</x:v>
      </x:c>
      <x:c r="G1707" s="11" t="n">
        <x:v>0</x:v>
      </x:c>
      <x:c r="H1707" s="11" t="n">
        <x:v>0</x:v>
      </x:c>
      <x:c r="I1707" s="11" t="n">
        <x:v>0</x:v>
      </x:c>
      <x:c r="J1707" s="11" t="n">
        <x:v>0</x:v>
      </x:c>
      <x:c r="K1707" s="11" t="n">
        <x:v>0</x:v>
      </x:c>
      <x:c r="L1707" s="11" t="n">
        <x:f>IF(B1707="NED",1,IF(OR(B1707="ED",B1707="UN"),0,""))</x:f>
        <x:v>0</x:v>
      </x:c>
      <x:c r="M1707" s="11" t="n">
        <x:f>IF(AND(K1707=1,OR(B1707="ED",B1707="NED")),1,0)</x:f>
        <x:v>0</x:v>
      </x:c>
      <x:c r="N1707" s="11" t="n">
        <x:f>IF(K1707=1,1,0)</x:f>
        <x:v>0</x:v>
      </x:c>
      <x:c r="O1707" s="12" t="str">
        <x:v>Retain protein mean pLDDT &gt;=70</x:v>
      </x:c>
      <x:c r="P1707" s="11" t="n">
        <x:v>0</x:v>
      </x:c>
      <x:c r="Q1707" s="12" t="str">
        <x:v>AF-Q6PHZ5-F1-model_v6</x:v>
      </x:c>
      <x:c r="R1707" s="12" t="str">
        <x:v>ok</x:v>
      </x:c>
      <x:c r="S1707" s="11" t="n">
        <x:v>1248</x:v>
      </x:c>
      <x:c r="T1707" s="11" t="n">
        <x:v>887</x:v>
      </x:c>
    </x:row>
    <x:row r="1708" ht="23" customHeight="1">
      <x:c r="A1708" s="2" t="str">
        <x:v>Q6PIJ4</x:v>
      </x:c>
      <x:c r="B1708" s="2" t="str">
        <x:v>UN</x:v>
      </x:c>
      <x:c r="C1708" s="2" t="n">
        <x:v>1</x:v>
      </x:c>
      <x:c r="D1708" s="2"/>
      <x:c r="E1708" s="10" t="n">
        <x:v>54.88321759259259</x:v>
      </x:c>
      <x:c r="F1708" s="11" t="n">
        <x:v>1296</x:v>
      </x:c>
      <x:c r="G1708" s="11" t="n">
        <x:v>0</x:v>
      </x:c>
      <x:c r="H1708" s="11" t="n">
        <x:v>0</x:v>
      </x:c>
      <x:c r="I1708" s="11" t="n">
        <x:v>0</x:v>
      </x:c>
      <x:c r="J1708" s="11" t="n">
        <x:v>0</x:v>
      </x:c>
      <x:c r="K1708" s="11" t="n">
        <x:v>0</x:v>
      </x:c>
      <x:c r="L1708" s="11" t="n">
        <x:f>IF(B1708="NED",1,IF(OR(B1708="ED",B1708="UN"),0,""))</x:f>
        <x:v>0</x:v>
      </x:c>
      <x:c r="M1708" s="11" t="n">
        <x:f>IF(AND(K1708=1,OR(B1708="ED",B1708="NED")),1,0)</x:f>
        <x:v>0</x:v>
      </x:c>
      <x:c r="N1708" s="11" t="n">
        <x:f>IF(K1708=1,1,0)</x:f>
        <x:v>0</x:v>
      </x:c>
      <x:c r="O1708" s="12" t="str">
        <x:v>Retain protein mean pLDDT &gt;=70</x:v>
      </x:c>
      <x:c r="P1708" s="11" t="n">
        <x:v>0</x:v>
      </x:c>
      <x:c r="Q1708" s="12" t="str">
        <x:v>AF-Q6PIJ4-F1-model_v6</x:v>
      </x:c>
      <x:c r="R1708" s="12" t="str">
        <x:v>ok</x:v>
      </x:c>
      <x:c r="S1708" s="11" t="n">
        <x:v>1249</x:v>
      </x:c>
      <x:c r="T1708" s="11" t="n">
        <x:v>1296</x:v>
      </x:c>
    </x:row>
    <x:row r="1709" ht="23" customHeight="1">
      <x:c r="A1709" s="2" t="str">
        <x:v>Q6PIP5</x:v>
      </x:c>
      <x:c r="B1709" s="2" t="str">
        <x:v>ED</x:v>
      </x:c>
      <x:c r="C1709" s="2" t="n">
        <x:v>1</x:v>
      </x:c>
      <x:c r="D1709" s="2" t="n">
        <x:v>1</x:v>
      </x:c>
      <x:c r="E1709" s="10" t="n">
        <x:v>85.77278350515465</x:v>
      </x:c>
      <x:c r="F1709" s="11" t="n">
        <x:v>582</x:v>
      </x:c>
      <x:c r="G1709" s="11" t="n">
        <x:v>0</x:v>
      </x:c>
      <x:c r="H1709" s="11" t="n">
        <x:v>0</x:v>
      </x:c>
      <x:c r="I1709" s="11" t="n">
        <x:v>0</x:v>
      </x:c>
      <x:c r="J1709" s="11" t="n">
        <x:v>0</x:v>
      </x:c>
      <x:c r="K1709" s="11" t="n">
        <x:v>1</x:v>
      </x:c>
      <x:c r="L1709" s="11" t="n">
        <x:f>IF(B1709="NED",1,IF(OR(B1709="ED",B1709="UN"),0,""))</x:f>
        <x:v>0</x:v>
      </x:c>
      <x:c r="M1709" s="11" t="n">
        <x:f>IF(AND(K1709=1,OR(B1709="ED",B1709="NED")),1,0)</x:f>
        <x:v>1</x:v>
      </x:c>
      <x:c r="N1709" s="11" t="n">
        <x:f>IF(K1709=1,1,0)</x:f>
        <x:v>1</x:v>
      </x:c>
      <x:c r="O1709" s="12"/>
      <x:c r="P1709" s="11" t="n">
        <x:v>0</x:v>
      </x:c>
      <x:c r="Q1709" s="12" t="str">
        <x:v>AF-Q6PIP5-F1-model_v6</x:v>
      </x:c>
      <x:c r="R1709" s="12" t="str">
        <x:v>ok</x:v>
      </x:c>
      <x:c r="S1709" s="11" t="n">
        <x:v>1250</x:v>
      </x:c>
      <x:c r="T1709" s="11" t="n">
        <x:v>582</x:v>
      </x:c>
    </x:row>
    <x:row r="1710" ht="23" customHeight="1">
      <x:c r="A1710" s="2" t="str">
        <x:v>Q6PIU9</x:v>
      </x:c>
      <x:c r="B1710" s="2" t="str">
        <x:v>ED</x:v>
      </x:c>
      <x:c r="C1710" s="2" t="n">
        <x:v>0</x:v>
      </x:c>
      <x:c r="D1710" s="2" t="n">
        <x:v>0</x:v>
      </x:c>
      <x:c r="E1710" s="10" t="n">
        <x:v>55.45242937853107</x:v>
      </x:c>
      <x:c r="F1710" s="11" t="n">
        <x:v>354</x:v>
      </x:c>
      <x:c r="G1710" s="11" t="n">
        <x:v>0</x:v>
      </x:c>
      <x:c r="H1710" s="11" t="n">
        <x:v>0</x:v>
      </x:c>
      <x:c r="I1710" s="11" t="n">
        <x:v>0</x:v>
      </x:c>
      <x:c r="J1710" s="11" t="n">
        <x:v>0</x:v>
      </x:c>
      <x:c r="K1710" s="11" t="n">
        <x:v>0</x:v>
      </x:c>
      <x:c r="L1710" s="11" t="n">
        <x:f>IF(B1710="NED",1,IF(OR(B1710="ED",B1710="UN"),0,""))</x:f>
        <x:v>0</x:v>
      </x:c>
      <x:c r="M1710" s="11" t="n">
        <x:f>IF(AND(K1710=1,OR(B1710="ED",B1710="NED")),1,0)</x:f>
        <x:v>0</x:v>
      </x:c>
      <x:c r="N1710" s="11" t="n">
        <x:f>IF(K1710=1,1,0)</x:f>
        <x:v>0</x:v>
      </x:c>
      <x:c r="O1710" s="12" t="str">
        <x:v>Retain protein mean pLDDT &gt;=70</x:v>
      </x:c>
      <x:c r="P1710" s="11" t="n">
        <x:v>0</x:v>
      </x:c>
      <x:c r="Q1710" s="12" t="str">
        <x:v>AF-Q6PIU9-F1-model_v6</x:v>
      </x:c>
      <x:c r="R1710" s="12" t="str">
        <x:v>ok</x:v>
      </x:c>
      <x:c r="S1710" s="11" t="n">
        <x:v>1251</x:v>
      </x:c>
      <x:c r="T1710" s="11" t="n">
        <x:v>354</x:v>
      </x:c>
    </x:row>
    <x:row r="1711" ht="23" customHeight="1">
      <x:c r="A1711" s="2" t="str">
        <x:v>Q6PR54-2</x:v>
      </x:c>
      <x:c r="B1711" s="2" t="str">
        <x:v>UN</x:v>
      </x:c>
      <x:c r="C1711" s="2"/>
      <x:c r="D1711" s="2"/>
      <x:c r="E1711" s="10"/>
      <x:c r="F1711" s="11"/>
      <x:c r="G1711" s="11" t="n">
        <x:v>0</x:v>
      </x:c>
      <x:c r="H1711" s="11" t="n">
        <x:v>0</x:v>
      </x:c>
      <x:c r="I1711" s="11"/>
      <x:c r="J1711" s="11"/>
      <x:c r="K1711" s="11" t="n">
        <x:v>0</x:v>
      </x:c>
      <x:c r="L1711" s="11" t="n">
        <x:f>IF(B1711="NED",1,IF(OR(B1711="ED",B1711="UN"),0,""))</x:f>
        <x:v>0</x:v>
      </x:c>
      <x:c r="M1711" s="11" t="n">
        <x:f>IF(AND(K1711=1,OR(B1711="ED",B1711="NED")),1,0)</x:f>
        <x:v>0</x:v>
      </x:c>
      <x:c r="N1711" s="11" t="n">
        <x:f>IF(K1711=1,1,0)</x:f>
        <x:v>0</x:v>
      </x:c>
      <x:c r="O1711" s="12" t="str">
        <x:v>Require exact native accession match</x:v>
      </x:c>
      <x:c r="P1711" s="11" t="n">
        <x:v>0</x:v>
      </x:c>
      <x:c r="Q1711" s="12"/>
      <x:c r="R1711" s="12"/>
      <x:c r="S1711" s="11" t="n">
        <x:v>1252</x:v>
      </x:c>
      <x:c r="T1711" s="11"/>
    </x:row>
    <x:row r="1712" ht="23" customHeight="1">
      <x:c r="A1712" s="2" t="str">
        <x:v>Q6Q899</x:v>
      </x:c>
      <x:c r="B1712" s="2" t="str">
        <x:v>UN</x:v>
      </x:c>
      <x:c r="C1712" s="2" t="n">
        <x:v>1</x:v>
      </x:c>
      <x:c r="D1712" s="2" t="n">
        <x:v>1</x:v>
      </x:c>
      <x:c r="E1712" s="10"/>
      <x:c r="F1712" s="11" t="n">
        <x:v>926</x:v>
      </x:c>
      <x:c r="G1712" s="11" t="n">
        <x:v>0</x:v>
      </x:c>
      <x:c r="H1712" s="11" t="n">
        <x:v>0</x:v>
      </x:c>
      <x:c r="I1712" s="11" t="n">
        <x:v>1</x:v>
      </x:c>
      <x:c r="J1712" s="11" t="n">
        <x:v>0</x:v>
      </x:c>
      <x:c r="K1712" s="11" t="n">
        <x:v>0</x:v>
      </x:c>
      <x:c r="L1712" s="11" t="n">
        <x:f>IF(B1712="NED",1,IF(OR(B1712="ED",B1712="UN"),0,""))</x:f>
        <x:v>0</x:v>
      </x:c>
      <x:c r="M1712" s="11" t="n">
        <x:f>IF(AND(K1712=1,OR(B1712="ED",B1712="NED")),1,0)</x:f>
        <x:v>0</x:v>
      </x:c>
      <x:c r="N1712" s="11" t="n">
        <x:f>IF(K1712=1,1,0)</x:f>
        <x:v>0</x:v>
      </x:c>
      <x:c r="O1712" s="12" t="str">
        <x:v>Exclude UniProt Membrane keyword</x:v>
      </x:c>
      <x:c r="P1712" s="11" t="n">
        <x:v>0</x:v>
      </x:c>
      <x:c r="Q1712" s="12" t="str">
        <x:v>AF-Q6Q899-F1-model_v6</x:v>
      </x:c>
      <x:c r="R1712" s="12" t="str">
        <x:v>ok</x:v>
      </x:c>
      <x:c r="S1712" s="11" t="n">
        <x:v>1253</x:v>
      </x:c>
      <x:c r="T1712" s="11" t="n">
        <x:v>926</x:v>
      </x:c>
    </x:row>
    <x:row r="1713" ht="23" customHeight="1">
      <x:c r="A1713" s="2" t="str">
        <x:v>Q6QI06</x:v>
      </x:c>
      <x:c r="B1713" s="2" t="str">
        <x:v>ED</x:v>
      </x:c>
      <x:c r="C1713" s="2" t="n">
        <x:v>1</x:v>
      </x:c>
      <x:c r="D1713" s="2" t="n">
        <x:v>1</x:v>
      </x:c>
      <x:c r="E1713" s="10"/>
      <x:c r="F1713" s="11" t="n">
        <x:v>1708</x:v>
      </x:c>
      <x:c r="G1713" s="11" t="n">
        <x:v>0</x:v>
      </x:c>
      <x:c r="H1713" s="11" t="n">
        <x:v>0</x:v>
      </x:c>
      <x:c r="I1713" s="11" t="n">
        <x:v>1</x:v>
      </x:c>
      <x:c r="J1713" s="11" t="n">
        <x:v>0</x:v>
      </x:c>
      <x:c r="K1713" s="11" t="n">
        <x:v>0</x:v>
      </x:c>
      <x:c r="L1713" s="11" t="n">
        <x:f>IF(B1713="NED",1,IF(OR(B1713="ED",B1713="UN"),0,""))</x:f>
        <x:v>0</x:v>
      </x:c>
      <x:c r="M1713" s="11" t="n">
        <x:f>IF(AND(K1713=1,OR(B1713="ED",B1713="NED")),1,0)</x:f>
        <x:v>0</x:v>
      </x:c>
      <x:c r="N1713" s="11" t="n">
        <x:f>IF(K1713=1,1,0)</x:f>
        <x:v>0</x:v>
      </x:c>
      <x:c r="O1713" s="12" t="str">
        <x:v>Exclude UniProt Membrane keyword</x:v>
      </x:c>
      <x:c r="P1713" s="11" t="n">
        <x:v>0</x:v>
      </x:c>
      <x:c r="Q1713" s="12" t="str">
        <x:v>AF-Q6QI06-F1-model_v6</x:v>
      </x:c>
      <x:c r="R1713" s="12" t="str">
        <x:v>ok</x:v>
      </x:c>
      <x:c r="S1713" s="11" t="n">
        <x:v>1254</x:v>
      </x:c>
      <x:c r="T1713" s="11" t="n">
        <x:v>1708</x:v>
      </x:c>
    </x:row>
    <x:row r="1714" ht="23" customHeight="1">
      <x:c r="A1714" s="2" t="str">
        <x:v>Q6TYB5</x:v>
      </x:c>
      <x:c r="B1714" s="2" t="str">
        <x:v>NED</x:v>
      </x:c>
      <x:c r="C1714" s="2" t="n">
        <x:v>0</x:v>
      </x:c>
      <x:c r="D1714" s="2" t="n">
        <x:v>0</x:v>
      </x:c>
      <x:c r="E1714" s="10" t="n">
        <x:v>71.74945402298852</x:v>
      </x:c>
      <x:c r="F1714" s="11" t="n">
        <x:v>348</x:v>
      </x:c>
      <x:c r="G1714" s="11" t="n">
        <x:v>0</x:v>
      </x:c>
      <x:c r="H1714" s="11" t="n">
        <x:v>0</x:v>
      </x:c>
      <x:c r="I1714" s="11" t="n">
        <x:v>0</x:v>
      </x:c>
      <x:c r="J1714" s="11" t="n">
        <x:v>0</x:v>
      </x:c>
      <x:c r="K1714" s="11" t="n">
        <x:v>1</x:v>
      </x:c>
      <x:c r="L1714" s="11" t="n">
        <x:f>IF(B1714="NED",1,IF(OR(B1714="ED",B1714="UN"),0,""))</x:f>
        <x:v>1</x:v>
      </x:c>
      <x:c r="M1714" s="11" t="n">
        <x:f>IF(AND(K1714=1,OR(B1714="ED",B1714="NED")),1,0)</x:f>
        <x:v>1</x:v>
      </x:c>
      <x:c r="N1714" s="11" t="n">
        <x:f>IF(K1714=1,1,0)</x:f>
        <x:v>1</x:v>
      </x:c>
      <x:c r="O1714" s="12"/>
      <x:c r="P1714" s="11" t="n">
        <x:v>0</x:v>
      </x:c>
      <x:c r="Q1714" s="12" t="str">
        <x:v>AF-Q6TYB5-F1-model_v6</x:v>
      </x:c>
      <x:c r="R1714" s="12" t="str">
        <x:v>ok</x:v>
      </x:c>
      <x:c r="S1714" s="11" t="n">
        <x:v>1255</x:v>
      </x:c>
      <x:c r="T1714" s="11" t="n">
        <x:v>348</x:v>
      </x:c>
    </x:row>
    <x:row r="1715" ht="23" customHeight="1">
      <x:c r="A1715" s="2" t="str">
        <x:v>Q6URW6-2</x:v>
      </x:c>
      <x:c r="B1715" s="2" t="str">
        <x:v>UN</x:v>
      </x:c>
      <x:c r="C1715" s="2"/>
      <x:c r="D1715" s="2"/>
      <x:c r="E1715" s="10"/>
      <x:c r="F1715" s="11"/>
      <x:c r="G1715" s="11" t="n">
        <x:v>0</x:v>
      </x:c>
      <x:c r="H1715" s="11" t="n">
        <x:v>0</x:v>
      </x:c>
      <x:c r="I1715" s="11"/>
      <x:c r="J1715" s="11"/>
      <x:c r="K1715" s="11" t="n">
        <x:v>0</x:v>
      </x:c>
      <x:c r="L1715" s="11" t="n">
        <x:f>IF(B1715="NED",1,IF(OR(B1715="ED",B1715="UN"),0,""))</x:f>
        <x:v>0</x:v>
      </x:c>
      <x:c r="M1715" s="11" t="n">
        <x:f>IF(AND(K1715=1,OR(B1715="ED",B1715="NED")),1,0)</x:f>
        <x:v>0</x:v>
      </x:c>
      <x:c r="N1715" s="11" t="n">
        <x:f>IF(K1715=1,1,0)</x:f>
        <x:v>0</x:v>
      </x:c>
      <x:c r="O1715" s="12" t="str">
        <x:v>Require exact native accession match</x:v>
      </x:c>
      <x:c r="P1715" s="11" t="n">
        <x:v>0</x:v>
      </x:c>
      <x:c r="Q1715" s="12"/>
      <x:c r="R1715" s="12"/>
      <x:c r="S1715" s="11" t="n">
        <x:v>1256</x:v>
      </x:c>
      <x:c r="T1715" s="11"/>
    </x:row>
    <x:row r="1716" ht="23" customHeight="1">
      <x:c r="A1716" s="2" t="str">
        <x:v>Q6VNB8</x:v>
      </x:c>
      <x:c r="B1716" s="2" t="str">
        <x:v>ED</x:v>
      </x:c>
      <x:c r="C1716" s="2"/>
      <x:c r="D1716" s="2"/>
      <x:c r="E1716" s="10"/>
      <x:c r="F1716" s="11"/>
      <x:c r="G1716" s="11" t="n">
        <x:v>0</x:v>
      </x:c>
      <x:c r="H1716" s="11" t="n">
        <x:v>0</x:v>
      </x:c>
      <x:c r="I1716" s="11" t="n">
        <x:v>1</x:v>
      </x:c>
      <x:c r="J1716" s="11" t="n">
        <x:v>0</x:v>
      </x:c>
      <x:c r="K1716" s="11" t="n">
        <x:v>0</x:v>
      </x:c>
      <x:c r="L1716" s="11" t="n">
        <x:f>IF(B1716="NED",1,IF(OR(B1716="ED",B1716="UN"),0,""))</x:f>
        <x:v>0</x:v>
      </x:c>
      <x:c r="M1716" s="11" t="n">
        <x:f>IF(AND(K1716=1,OR(B1716="ED",B1716="NED")),1,0)</x:f>
        <x:v>0</x:v>
      </x:c>
      <x:c r="N1716" s="11" t="n">
        <x:f>IF(K1716=1,1,0)</x:f>
        <x:v>0</x:v>
      </x:c>
      <x:c r="O1716" s="12" t="str">
        <x:v>Require exact native accession match</x:v>
      </x:c>
      <x:c r="P1716" s="11" t="n">
        <x:v>0</x:v>
      </x:c>
      <x:c r="Q1716" s="12"/>
      <x:c r="R1716" s="12"/>
      <x:c r="S1716" s="11" t="n">
        <x:v>1257</x:v>
      </x:c>
      <x:c r="T1716" s="11" t="n">
        <x:v>3508</x:v>
      </x:c>
    </x:row>
    <x:row r="1717" ht="23" customHeight="1">
      <x:c r="A1717" s="2" t="str">
        <x:v>Q6WKZ8-2</x:v>
      </x:c>
      <x:c r="B1717" s="2" t="str">
        <x:v>ED</x:v>
      </x:c>
      <x:c r="C1717" s="2"/>
      <x:c r="D1717" s="2"/>
      <x:c r="E1717" s="10"/>
      <x:c r="F1717" s="11"/>
      <x:c r="G1717" s="11" t="n">
        <x:v>0</x:v>
      </x:c>
      <x:c r="H1717" s="11" t="n">
        <x:v>0</x:v>
      </x:c>
      <x:c r="I1717" s="11"/>
      <x:c r="J1717" s="11"/>
      <x:c r="K1717" s="11" t="n">
        <x:v>0</x:v>
      </x:c>
      <x:c r="L1717" s="11" t="n">
        <x:f>IF(B1717="NED",1,IF(OR(B1717="ED",B1717="UN"),0,""))</x:f>
        <x:v>0</x:v>
      </x:c>
      <x:c r="M1717" s="11" t="n">
        <x:f>IF(AND(K1717=1,OR(B1717="ED",B1717="NED")),1,0)</x:f>
        <x:v>0</x:v>
      </x:c>
      <x:c r="N1717" s="11" t="n">
        <x:f>IF(K1717=1,1,0)</x:f>
        <x:v>0</x:v>
      </x:c>
      <x:c r="O1717" s="12" t="str">
        <x:v>Require exact native accession match</x:v>
      </x:c>
      <x:c r="P1717" s="11" t="n">
        <x:v>0</x:v>
      </x:c>
      <x:c r="Q1717" s="12"/>
      <x:c r="R1717" s="12"/>
      <x:c r="S1717" s="11" t="n">
        <x:v>1258</x:v>
      </x:c>
      <x:c r="T1717" s="11"/>
    </x:row>
    <x:row r="1718" ht="23" customHeight="1">
      <x:c r="A1718" s="2" t="str">
        <x:v>Q6XZL8</x:v>
      </x:c>
      <x:c r="B1718" s="2" t="str">
        <x:v>ED</x:v>
      </x:c>
      <x:c r="C1718" s="2" t="n">
        <x:v>1</x:v>
      </x:c>
      <x:c r="D1718" s="2" t="n">
        <x:v>1</x:v>
      </x:c>
      <x:c r="E1718" s="10" t="n">
        <x:v>53.3066948051948</x:v>
      </x:c>
      <x:c r="F1718" s="11" t="n">
        <x:v>1540</x:v>
      </x:c>
      <x:c r="G1718" s="11" t="n">
        <x:v>0</x:v>
      </x:c>
      <x:c r="H1718" s="11" t="n">
        <x:v>0</x:v>
      </x:c>
      <x:c r="I1718" s="11" t="n">
        <x:v>0</x:v>
      </x:c>
      <x:c r="J1718" s="11" t="n">
        <x:v>0</x:v>
      </x:c>
      <x:c r="K1718" s="11" t="n">
        <x:v>0</x:v>
      </x:c>
      <x:c r="L1718" s="11" t="n">
        <x:f>IF(B1718="NED",1,IF(OR(B1718="ED",B1718="UN"),0,""))</x:f>
        <x:v>0</x:v>
      </x:c>
      <x:c r="M1718" s="11" t="n">
        <x:f>IF(AND(K1718=1,OR(B1718="ED",B1718="NED")),1,0)</x:f>
        <x:v>0</x:v>
      </x:c>
      <x:c r="N1718" s="11" t="n">
        <x:f>IF(K1718=1,1,0)</x:f>
        <x:v>0</x:v>
      </x:c>
      <x:c r="O1718" s="12" t="str">
        <x:v>Retain protein mean pLDDT &gt;=70</x:v>
      </x:c>
      <x:c r="P1718" s="11" t="n">
        <x:v>0</x:v>
      </x:c>
      <x:c r="Q1718" s="12" t="str">
        <x:v>AF-Q6XZL8-F1-model_v6</x:v>
      </x:c>
      <x:c r="R1718" s="12" t="str">
        <x:v>ok</x:v>
      </x:c>
      <x:c r="S1718" s="11" t="n">
        <x:v>3202</x:v>
      </x:c>
      <x:c r="T1718" s="11" t="n">
        <x:v>1540</x:v>
      </x:c>
    </x:row>
    <x:row r="1719" ht="23" customHeight="1">
      <x:c r="A1719" s="2" t="str">
        <x:v>Q6ZPE2</x:v>
      </x:c>
      <x:c r="B1719" s="2" t="str">
        <x:v>UN</x:v>
      </x:c>
      <x:c r="C1719" s="2" t="n">
        <x:v>1</x:v>
      </x:c>
      <x:c r="D1719" s="2" t="n">
        <x:v>1</x:v>
      </x:c>
      <x:c r="E1719" s="10" t="n">
        <x:v>72.87869309051955</x:v>
      </x:c>
      <x:c r="F1719" s="11" t="n">
        <x:v>1867</x:v>
      </x:c>
      <x:c r="G1719" s="11" t="n">
        <x:v>0</x:v>
      </x:c>
      <x:c r="H1719" s="11" t="n">
        <x:v>0</x:v>
      </x:c>
      <x:c r="I1719" s="11" t="n">
        <x:v>0</x:v>
      </x:c>
      <x:c r="J1719" s="11" t="n">
        <x:v>0</x:v>
      </x:c>
      <x:c r="K1719" s="11" t="n">
        <x:v>1</x:v>
      </x:c>
      <x:c r="L1719" s="11" t="n">
        <x:f>IF(B1719="NED",1,IF(OR(B1719="ED",B1719="UN"),0,""))</x:f>
        <x:v>0</x:v>
      </x:c>
      <x:c r="M1719" s="11" t="n">
        <x:f>IF(AND(K1719=1,OR(B1719="ED",B1719="NED")),1,0)</x:f>
        <x:v>0</x:v>
      </x:c>
      <x:c r="N1719" s="11" t="n">
        <x:f>IF(K1719=1,1,0)</x:f>
        <x:v>1</x:v>
      </x:c>
      <x:c r="O1719" s="12"/>
      <x:c r="P1719" s="11" t="n">
        <x:v>0</x:v>
      </x:c>
      <x:c r="Q1719" s="12" t="str">
        <x:v>AF-Q6ZPE2-F1-model_v6</x:v>
      </x:c>
      <x:c r="R1719" s="12" t="str">
        <x:v>ok</x:v>
      </x:c>
      <x:c r="S1719" s="11" t="n">
        <x:v>1259</x:v>
      </x:c>
      <x:c r="T1719" s="11" t="n">
        <x:v>1867</x:v>
      </x:c>
    </x:row>
    <x:row r="1720" ht="23" customHeight="1">
      <x:c r="A1720" s="2" t="str">
        <x:v>Q6ZPF4</x:v>
      </x:c>
      <x:c r="B1720" s="2" t="str">
        <x:v>ED</x:v>
      </x:c>
      <x:c r="C1720" s="2" t="n">
        <x:v>1</x:v>
      </x:c>
      <x:c r="D1720" s="2"/>
      <x:c r="E1720" s="10"/>
      <x:c r="F1720" s="11" t="n">
        <x:v>1028</x:v>
      </x:c>
      <x:c r="G1720" s="11" t="n">
        <x:v>0</x:v>
      </x:c>
      <x:c r="H1720" s="11" t="n">
        <x:v>0</x:v>
      </x:c>
      <x:c r="I1720" s="11" t="n">
        <x:v>1</x:v>
      </x:c>
      <x:c r="J1720" s="11" t="n">
        <x:v>0</x:v>
      </x:c>
      <x:c r="K1720" s="11" t="n">
        <x:v>0</x:v>
      </x:c>
      <x:c r="L1720" s="11" t="n">
        <x:f>IF(B1720="NED",1,IF(OR(B1720="ED",B1720="UN"),0,""))</x:f>
        <x:v>0</x:v>
      </x:c>
      <x:c r="M1720" s="11" t="n">
        <x:f>IF(AND(K1720=1,OR(B1720="ED",B1720="NED")),1,0)</x:f>
        <x:v>0</x:v>
      </x:c>
      <x:c r="N1720" s="11" t="n">
        <x:f>IF(K1720=1,1,0)</x:f>
        <x:v>0</x:v>
      </x:c>
      <x:c r="O1720" s="12" t="str">
        <x:v>Exclude UniProt Membrane keyword</x:v>
      </x:c>
      <x:c r="P1720" s="11" t="n">
        <x:v>0</x:v>
      </x:c>
      <x:c r="Q1720" s="12" t="str">
        <x:v>AF-Q6ZPF4-F1-model_v6</x:v>
      </x:c>
      <x:c r="R1720" s="12" t="str">
        <x:v>ok</x:v>
      </x:c>
      <x:c r="S1720" s="11" t="n">
        <x:v>1260</x:v>
      </x:c>
      <x:c r="T1720" s="11" t="n">
        <x:v>1028</x:v>
      </x:c>
    </x:row>
    <x:row r="1721" ht="23" customHeight="1">
      <x:c r="A1721" s="2" t="str">
        <x:v>Q6ZPG2</x:v>
      </x:c>
      <x:c r="B1721" s="2" t="str">
        <x:v>UN</x:v>
      </x:c>
      <x:c r="C1721" s="2" t="n">
        <x:v>1</x:v>
      </x:c>
      <x:c r="D1721" s="2" t="n">
        <x:v>1</x:v>
      </x:c>
      <x:c r="E1721" s="10" t="n">
        <x:v>74.2673212379936</x:v>
      </x:c>
      <x:c r="F1721" s="11" t="n">
        <x:v>1874</x:v>
      </x:c>
      <x:c r="G1721" s="11" t="n">
        <x:v>0</x:v>
      </x:c>
      <x:c r="H1721" s="11" t="n">
        <x:v>0</x:v>
      </x:c>
      <x:c r="I1721" s="11" t="n">
        <x:v>0</x:v>
      </x:c>
      <x:c r="J1721" s="11" t="n">
        <x:v>0</x:v>
      </x:c>
      <x:c r="K1721" s="11" t="n">
        <x:v>1</x:v>
      </x:c>
      <x:c r="L1721" s="11" t="n">
        <x:f>IF(B1721="NED",1,IF(OR(B1721="ED",B1721="UN"),0,""))</x:f>
        <x:v>0</x:v>
      </x:c>
      <x:c r="M1721" s="11" t="n">
        <x:f>IF(AND(K1721=1,OR(B1721="ED",B1721="NED")),1,0)</x:f>
        <x:v>0</x:v>
      </x:c>
      <x:c r="N1721" s="11" t="n">
        <x:f>IF(K1721=1,1,0)</x:f>
        <x:v>1</x:v>
      </x:c>
      <x:c r="O1721" s="12"/>
      <x:c r="P1721" s="11" t="n">
        <x:v>0</x:v>
      </x:c>
      <x:c r="Q1721" s="12" t="str">
        <x:v>AF-Q6ZPG2-F1-model_v6</x:v>
      </x:c>
      <x:c r="R1721" s="12" t="str">
        <x:v>ok</x:v>
      </x:c>
      <x:c r="S1721" s="11" t="n">
        <x:v>1261</x:v>
      </x:c>
      <x:c r="T1721" s="11" t="n">
        <x:v>1874</x:v>
      </x:c>
    </x:row>
    <x:row r="1722" ht="23" customHeight="1">
      <x:c r="A1722" s="2" t="str">
        <x:v>Q6ZPJ3</x:v>
      </x:c>
      <x:c r="B1722" s="2" t="str">
        <x:v>ED</x:v>
      </x:c>
      <x:c r="C1722" s="2" t="n">
        <x:v>1</x:v>
      </x:c>
      <x:c r="D1722" s="2" t="n">
        <x:v>1</x:v>
      </x:c>
      <x:c r="E1722" s="10" t="n">
        <x:v>66.50587732919256</x:v>
      </x:c>
      <x:c r="F1722" s="11" t="n">
        <x:v>1288</x:v>
      </x:c>
      <x:c r="G1722" s="11" t="n">
        <x:v>0</x:v>
      </x:c>
      <x:c r="H1722" s="11" t="n">
        <x:v>0</x:v>
      </x:c>
      <x:c r="I1722" s="11" t="n">
        <x:v>0</x:v>
      </x:c>
      <x:c r="J1722" s="11" t="n">
        <x:v>0</x:v>
      </x:c>
      <x:c r="K1722" s="11" t="n">
        <x:v>0</x:v>
      </x:c>
      <x:c r="L1722" s="11" t="n">
        <x:f>IF(B1722="NED",1,IF(OR(B1722="ED",B1722="UN"),0,""))</x:f>
        <x:v>0</x:v>
      </x:c>
      <x:c r="M1722" s="11" t="n">
        <x:f>IF(AND(K1722=1,OR(B1722="ED",B1722="NED")),1,0)</x:f>
        <x:v>0</x:v>
      </x:c>
      <x:c r="N1722" s="11" t="n">
        <x:f>IF(K1722=1,1,0)</x:f>
        <x:v>0</x:v>
      </x:c>
      <x:c r="O1722" s="12" t="str">
        <x:v>Retain protein mean pLDDT &gt;=70</x:v>
      </x:c>
      <x:c r="P1722" s="11" t="n">
        <x:v>0</x:v>
      </x:c>
      <x:c r="Q1722" s="12" t="str">
        <x:v>AF-Q6ZPJ3-F1-model_v6</x:v>
      </x:c>
      <x:c r="R1722" s="12" t="str">
        <x:v>ok</x:v>
      </x:c>
      <x:c r="S1722" s="11" t="n">
        <x:v>1262</x:v>
      </x:c>
      <x:c r="T1722" s="11" t="n">
        <x:v>1288</x:v>
      </x:c>
    </x:row>
    <x:row r="1723" ht="23" customHeight="1">
      <x:c r="A1723" s="2" t="str">
        <x:v>Q6ZPR5</x:v>
      </x:c>
      <x:c r="B1723" s="2" t="str">
        <x:v>UN</x:v>
      </x:c>
      <x:c r="C1723" s="2" t="n">
        <x:v>1</x:v>
      </x:c>
      <x:c r="D1723" s="2" t="n">
        <x:v>1</x:v>
      </x:c>
      <x:c r="E1723" s="10"/>
      <x:c r="F1723" s="11" t="n">
        <x:v>823</x:v>
      </x:c>
      <x:c r="G1723" s="11" t="n">
        <x:v>0</x:v>
      </x:c>
      <x:c r="H1723" s="11" t="n">
        <x:v>0</x:v>
      </x:c>
      <x:c r="I1723" s="11" t="n">
        <x:v>1</x:v>
      </x:c>
      <x:c r="J1723" s="11" t="n">
        <x:v>0</x:v>
      </x:c>
      <x:c r="K1723" s="11" t="n">
        <x:v>0</x:v>
      </x:c>
      <x:c r="L1723" s="11" t="n">
        <x:f>IF(B1723="NED",1,IF(OR(B1723="ED",B1723="UN"),0,""))</x:f>
        <x:v>0</x:v>
      </x:c>
      <x:c r="M1723" s="11" t="n">
        <x:f>IF(AND(K1723=1,OR(B1723="ED",B1723="NED")),1,0)</x:f>
        <x:v>0</x:v>
      </x:c>
      <x:c r="N1723" s="11" t="n">
        <x:f>IF(K1723=1,1,0)</x:f>
        <x:v>0</x:v>
      </x:c>
      <x:c r="O1723" s="12" t="str">
        <x:v>Exclude UniProt Membrane keyword</x:v>
      </x:c>
      <x:c r="P1723" s="11" t="n">
        <x:v>0</x:v>
      </x:c>
      <x:c r="Q1723" s="12" t="str">
        <x:v>AF-Q6ZPR5-F1-model_v6</x:v>
      </x:c>
      <x:c r="R1723" s="12" t="str">
        <x:v>ok</x:v>
      </x:c>
      <x:c r="S1723" s="11" t="n">
        <x:v>1263</x:v>
      </x:c>
      <x:c r="T1723" s="11" t="n">
        <x:v>823</x:v>
      </x:c>
    </x:row>
    <x:row r="1724" ht="23" customHeight="1">
      <x:c r="A1724" s="2" t="str">
        <x:v>Q6ZPT1</x:v>
      </x:c>
      <x:c r="B1724" s="2" t="str">
        <x:v>ED</x:v>
      </x:c>
      <x:c r="C1724" s="2" t="n">
        <x:v>1</x:v>
      </x:c>
      <x:c r="D1724" s="2" t="n">
        <x:v>1</x:v>
      </x:c>
      <x:c r="E1724" s="10" t="n">
        <x:v>91.57058346839548</x:v>
      </x:c>
      <x:c r="F1724" s="11" t="n">
        <x:v>617</x:v>
      </x:c>
      <x:c r="G1724" s="11" t="n">
        <x:v>0</x:v>
      </x:c>
      <x:c r="H1724" s="11" t="n">
        <x:v>0</x:v>
      </x:c>
      <x:c r="I1724" s="11" t="n">
        <x:v>0</x:v>
      </x:c>
      <x:c r="J1724" s="11" t="n">
        <x:v>0</x:v>
      </x:c>
      <x:c r="K1724" s="11" t="n">
        <x:v>1</x:v>
      </x:c>
      <x:c r="L1724" s="11" t="n">
        <x:f>IF(B1724="NED",1,IF(OR(B1724="ED",B1724="UN"),0,""))</x:f>
        <x:v>0</x:v>
      </x:c>
      <x:c r="M1724" s="11" t="n">
        <x:f>IF(AND(K1724=1,OR(B1724="ED",B1724="NED")),1,0)</x:f>
        <x:v>1</x:v>
      </x:c>
      <x:c r="N1724" s="11" t="n">
        <x:f>IF(K1724=1,1,0)</x:f>
        <x:v>1</x:v>
      </x:c>
      <x:c r="O1724" s="12"/>
      <x:c r="P1724" s="11" t="n">
        <x:v>0</x:v>
      </x:c>
      <x:c r="Q1724" s="12" t="str">
        <x:v>AF-Q6ZPT1-F1-model_v6</x:v>
      </x:c>
      <x:c r="R1724" s="12" t="str">
        <x:v>ok</x:v>
      </x:c>
      <x:c r="S1724" s="11" t="n">
        <x:v>1264</x:v>
      </x:c>
      <x:c r="T1724" s="11" t="n">
        <x:v>617</x:v>
      </x:c>
    </x:row>
    <x:row r="1725" ht="23" customHeight="1">
      <x:c r="A1725" s="2" t="str">
        <x:v>Q6ZPY2</x:v>
      </x:c>
      <x:c r="B1725" s="2" t="str">
        <x:v>ED</x:v>
      </x:c>
      <x:c r="C1725" s="2" t="n">
        <x:v>1</x:v>
      </x:c>
      <x:c r="D1725" s="2" t="n">
        <x:v>1</x:v>
      </x:c>
      <x:c r="E1725" s="10" t="n">
        <x:v>72.74424778761062</x:v>
      </x:c>
      <x:c r="F1725" s="11" t="n">
        <x:v>1017</x:v>
      </x:c>
      <x:c r="G1725" s="11" t="n">
        <x:v>0</x:v>
      </x:c>
      <x:c r="H1725" s="11" t="n">
        <x:v>0</x:v>
      </x:c>
      <x:c r="I1725" s="11" t="n">
        <x:v>0</x:v>
      </x:c>
      <x:c r="J1725" s="11" t="n">
        <x:v>0</x:v>
      </x:c>
      <x:c r="K1725" s="11" t="n">
        <x:v>1</x:v>
      </x:c>
      <x:c r="L1725" s="11" t="n">
        <x:f>IF(B1725="NED",1,IF(OR(B1725="ED",B1725="UN"),0,""))</x:f>
        <x:v>0</x:v>
      </x:c>
      <x:c r="M1725" s="11" t="n">
        <x:f>IF(AND(K1725=1,OR(B1725="ED",B1725="NED")),1,0)</x:f>
        <x:v>1</x:v>
      </x:c>
      <x:c r="N1725" s="11" t="n">
        <x:f>IF(K1725=1,1,0)</x:f>
        <x:v>1</x:v>
      </x:c>
      <x:c r="O1725" s="12"/>
      <x:c r="P1725" s="11" t="n">
        <x:v>0</x:v>
      </x:c>
      <x:c r="Q1725" s="12" t="str">
        <x:v>AF-Q6ZPY2-F1-model_v6</x:v>
      </x:c>
      <x:c r="R1725" s="12" t="str">
        <x:v>ok</x:v>
      </x:c>
      <x:c r="S1725" s="11" t="n">
        <x:v>1265</x:v>
      </x:c>
      <x:c r="T1725" s="11" t="n">
        <x:v>1017</x:v>
      </x:c>
    </x:row>
    <x:row r="1726" ht="23" customHeight="1">
      <x:c r="A1726" s="2" t="str">
        <x:v>Q6ZPZ3-2</x:v>
      </x:c>
      <x:c r="B1726" s="2" t="str">
        <x:v>ED</x:v>
      </x:c>
      <x:c r="C1726" s="2"/>
      <x:c r="D1726" s="2"/>
      <x:c r="E1726" s="10"/>
      <x:c r="F1726" s="11"/>
      <x:c r="G1726" s="11" t="n">
        <x:v>0</x:v>
      </x:c>
      <x:c r="H1726" s="11" t="n">
        <x:v>0</x:v>
      </x:c>
      <x:c r="I1726" s="11"/>
      <x:c r="J1726" s="11"/>
      <x:c r="K1726" s="11" t="n">
        <x:v>0</x:v>
      </x:c>
      <x:c r="L1726" s="11" t="n">
        <x:f>IF(B1726="NED",1,IF(OR(B1726="ED",B1726="UN"),0,""))</x:f>
        <x:v>0</x:v>
      </x:c>
      <x:c r="M1726" s="11" t="n">
        <x:f>IF(AND(K1726=1,OR(B1726="ED",B1726="NED")),1,0)</x:f>
        <x:v>0</x:v>
      </x:c>
      <x:c r="N1726" s="11" t="n">
        <x:f>IF(K1726=1,1,0)</x:f>
        <x:v>0</x:v>
      </x:c>
      <x:c r="O1726" s="12" t="str">
        <x:v>Require exact native accession match</x:v>
      </x:c>
      <x:c r="P1726" s="11" t="n">
        <x:v>0</x:v>
      </x:c>
      <x:c r="Q1726" s="12"/>
      <x:c r="R1726" s="12"/>
      <x:c r="S1726" s="11" t="n">
        <x:v>1266</x:v>
      </x:c>
      <x:c r="T1726" s="11"/>
    </x:row>
    <x:row r="1727" ht="23" customHeight="1">
      <x:c r="A1727" s="2" t="str">
        <x:v>Q6ZQ03</x:v>
      </x:c>
      <x:c r="B1727" s="2" t="str">
        <x:v>ED</x:v>
      </x:c>
      <x:c r="C1727" s="2" t="n">
        <x:v>1</x:v>
      </x:c>
      <x:c r="D1727" s="2"/>
      <x:c r="E1727" s="10"/>
      <x:c r="F1727" s="11" t="n">
        <x:v>1031</x:v>
      </x:c>
      <x:c r="G1727" s="11" t="n">
        <x:v>1</x:v>
      </x:c>
      <x:c r="H1727" s="11" t="n">
        <x:v>0</x:v>
      </x:c>
      <x:c r="I1727" s="11" t="n">
        <x:v>0</x:v>
      </x:c>
      <x:c r="J1727" s="11" t="n">
        <x:v>0</x:v>
      </x:c>
      <x:c r="K1727" s="11" t="n">
        <x:v>0</x:v>
      </x:c>
      <x:c r="L1727" s="11" t="n">
        <x:f>IF(B1727="NED",1,IF(OR(B1727="ED",B1727="UN"),0,""))</x:f>
        <x:v>0</x:v>
      </x:c>
      <x:c r="M1727" s="11" t="n">
        <x:f>IF(AND(K1727=1,OR(B1727="ED",B1727="NED")),1,0)</x:f>
        <x:v>0</x:v>
      </x:c>
      <x:c r="N1727" s="11" t="n">
        <x:f>IF(K1727=1,1,0)</x:f>
        <x:v>0</x:v>
      </x:c>
      <x:c r="O1727" s="12" t="str">
        <x:v>Exclude supplied knotted proteins</x:v>
      </x:c>
      <x:c r="P1727" s="11" t="n">
        <x:v>0</x:v>
      </x:c>
      <x:c r="Q1727" s="12" t="str">
        <x:v>AF-Q6ZQ03-F1-model_v6</x:v>
      </x:c>
      <x:c r="R1727" s="12" t="str">
        <x:v>ok</x:v>
      </x:c>
      <x:c r="S1727" s="11" t="n">
        <x:v>1267</x:v>
      </x:c>
      <x:c r="T1727" s="11" t="n">
        <x:v>1031</x:v>
      </x:c>
    </x:row>
    <x:row r="1728" ht="23" customHeight="1">
      <x:c r="A1728" s="2" t="str">
        <x:v>Q6ZQ06</x:v>
      </x:c>
      <x:c r="B1728" s="2" t="str">
        <x:v>ED</x:v>
      </x:c>
      <x:c r="C1728" s="2" t="n">
        <x:v>1</x:v>
      </x:c>
      <x:c r="D1728" s="2"/>
      <x:c r="E1728" s="10" t="n">
        <x:v>62.52024946543122</x:v>
      </x:c>
      <x:c r="F1728" s="11" t="n">
        <x:v>1403</x:v>
      </x:c>
      <x:c r="G1728" s="11" t="n">
        <x:v>0</x:v>
      </x:c>
      <x:c r="H1728" s="11" t="n">
        <x:v>0</x:v>
      </x:c>
      <x:c r="I1728" s="11" t="n">
        <x:v>0</x:v>
      </x:c>
      <x:c r="J1728" s="11" t="n">
        <x:v>0</x:v>
      </x:c>
      <x:c r="K1728" s="11" t="n">
        <x:v>0</x:v>
      </x:c>
      <x:c r="L1728" s="11" t="n">
        <x:f>IF(B1728="NED",1,IF(OR(B1728="ED",B1728="UN"),0,""))</x:f>
        <x:v>0</x:v>
      </x:c>
      <x:c r="M1728" s="11" t="n">
        <x:f>IF(AND(K1728=1,OR(B1728="ED",B1728="NED")),1,0)</x:f>
        <x:v>0</x:v>
      </x:c>
      <x:c r="N1728" s="11" t="n">
        <x:f>IF(K1728=1,1,0)</x:f>
        <x:v>0</x:v>
      </x:c>
      <x:c r="O1728" s="12" t="str">
        <x:v>Retain protein mean pLDDT &gt;=70</x:v>
      </x:c>
      <x:c r="P1728" s="11" t="n">
        <x:v>0</x:v>
      </x:c>
      <x:c r="Q1728" s="12" t="str">
        <x:v>AF-Q6ZQ06-F1-model_v6</x:v>
      </x:c>
      <x:c r="R1728" s="12" t="str">
        <x:v>ok</x:v>
      </x:c>
      <x:c r="S1728" s="11" t="n">
        <x:v>1268</x:v>
      </x:c>
      <x:c r="T1728" s="11" t="n">
        <x:v>1403</x:v>
      </x:c>
    </x:row>
    <x:row r="1729" ht="23" customHeight="1">
      <x:c r="A1729" s="2" t="str">
        <x:v>Q6ZQ08</x:v>
      </x:c>
      <x:c r="B1729" s="2" t="str">
        <x:v>ED</x:v>
      </x:c>
      <x:c r="C1729" s="2" t="n">
        <x:v>1</x:v>
      </x:c>
      <x:c r="D1729" s="2" t="n">
        <x:v>1</x:v>
      </x:c>
      <x:c r="E1729" s="10" t="n">
        <x:v>74.51881263157894</x:v>
      </x:c>
      <x:c r="F1729" s="11" t="n">
        <x:v>2375</x:v>
      </x:c>
      <x:c r="G1729" s="11" t="n">
        <x:v>0</x:v>
      </x:c>
      <x:c r="H1729" s="11" t="n">
        <x:v>0</x:v>
      </x:c>
      <x:c r="I1729" s="11" t="n">
        <x:v>0</x:v>
      </x:c>
      <x:c r="J1729" s="11" t="n">
        <x:v>0</x:v>
      </x:c>
      <x:c r="K1729" s="11" t="n">
        <x:v>1</x:v>
      </x:c>
      <x:c r="L1729" s="11" t="n">
        <x:f>IF(B1729="NED",1,IF(OR(B1729="ED",B1729="UN"),0,""))</x:f>
        <x:v>0</x:v>
      </x:c>
      <x:c r="M1729" s="11" t="n">
        <x:f>IF(AND(K1729=1,OR(B1729="ED",B1729="NED")),1,0)</x:f>
        <x:v>1</x:v>
      </x:c>
      <x:c r="N1729" s="11" t="n">
        <x:f>IF(K1729=1,1,0)</x:f>
        <x:v>1</x:v>
      </x:c>
      <x:c r="O1729" s="12"/>
      <x:c r="P1729" s="11" t="n">
        <x:v>0</x:v>
      </x:c>
      <x:c r="Q1729" s="12" t="str">
        <x:v>AF-Q6ZQ08-F1-model_v6</x:v>
      </x:c>
      <x:c r="R1729" s="12" t="str">
        <x:v>ok</x:v>
      </x:c>
      <x:c r="S1729" s="11" t="n">
        <x:v>1269</x:v>
      </x:c>
      <x:c r="T1729" s="11" t="n">
        <x:v>2375</x:v>
      </x:c>
    </x:row>
    <x:row r="1730" ht="23" customHeight="1">
      <x:c r="A1730" s="2" t="str">
        <x:v>Q6ZQ38</x:v>
      </x:c>
      <x:c r="B1730" s="2" t="str">
        <x:v>ED</x:v>
      </x:c>
      <x:c r="C1730" s="2" t="n">
        <x:v>0</x:v>
      </x:c>
      <x:c r="D1730" s="2" t="n">
        <x:v>0</x:v>
      </x:c>
      <x:c r="E1730" s="10" t="n">
        <x:v>85.7339430894309</x:v>
      </x:c>
      <x:c r="F1730" s="11" t="n">
        <x:v>1230</x:v>
      </x:c>
      <x:c r="G1730" s="11" t="n">
        <x:v>0</x:v>
      </x:c>
      <x:c r="H1730" s="11" t="n">
        <x:v>0</x:v>
      </x:c>
      <x:c r="I1730" s="11" t="n">
        <x:v>0</x:v>
      </x:c>
      <x:c r="J1730" s="11" t="n">
        <x:v>0</x:v>
      </x:c>
      <x:c r="K1730" s="11" t="n">
        <x:v>1</x:v>
      </x:c>
      <x:c r="L1730" s="11" t="n">
        <x:f>IF(B1730="NED",1,IF(OR(B1730="ED",B1730="UN"),0,""))</x:f>
        <x:v>0</x:v>
      </x:c>
      <x:c r="M1730" s="11" t="n">
        <x:f>IF(AND(K1730=1,OR(B1730="ED",B1730="NED")),1,0)</x:f>
        <x:v>1</x:v>
      </x:c>
      <x:c r="N1730" s="11" t="n">
        <x:f>IF(K1730=1,1,0)</x:f>
        <x:v>1</x:v>
      </x:c>
      <x:c r="O1730" s="12"/>
      <x:c r="P1730" s="11" t="n">
        <x:v>0</x:v>
      </x:c>
      <x:c r="Q1730" s="12" t="str">
        <x:v>AF-Q6ZQ38-F1-model_v6</x:v>
      </x:c>
      <x:c r="R1730" s="12" t="str">
        <x:v>ok</x:v>
      </x:c>
      <x:c r="S1730" s="11" t="n">
        <x:v>1270</x:v>
      </x:c>
      <x:c r="T1730" s="11" t="n">
        <x:v>1230</x:v>
      </x:c>
    </x:row>
    <x:row r="1731" ht="23" customHeight="1">
      <x:c r="A1731" s="2" t="str">
        <x:v>Q6ZQ73</x:v>
      </x:c>
      <x:c r="B1731" s="2" t="str">
        <x:v>ED</x:v>
      </x:c>
      <x:c r="C1731" s="2" t="n">
        <x:v>0</x:v>
      </x:c>
      <x:c r="D1731" s="2" t="n">
        <x:v>0</x:v>
      </x:c>
      <x:c r="E1731" s="10" t="n">
        <x:v>87.0453036437247</x:v>
      </x:c>
      <x:c r="F1731" s="11" t="n">
        <x:v>1235</x:v>
      </x:c>
      <x:c r="G1731" s="11" t="n">
        <x:v>0</x:v>
      </x:c>
      <x:c r="H1731" s="11" t="n">
        <x:v>0</x:v>
      </x:c>
      <x:c r="I1731" s="11" t="n">
        <x:v>0</x:v>
      </x:c>
      <x:c r="J1731" s="11" t="n">
        <x:v>0</x:v>
      </x:c>
      <x:c r="K1731" s="11" t="n">
        <x:v>1</x:v>
      </x:c>
      <x:c r="L1731" s="11" t="n">
        <x:f>IF(B1731="NED",1,IF(OR(B1731="ED",B1731="UN"),0,""))</x:f>
        <x:v>0</x:v>
      </x:c>
      <x:c r="M1731" s="11" t="n">
        <x:f>IF(AND(K1731=1,OR(B1731="ED",B1731="NED")),1,0)</x:f>
        <x:v>1</x:v>
      </x:c>
      <x:c r="N1731" s="11" t="n">
        <x:f>IF(K1731=1,1,0)</x:f>
        <x:v>1</x:v>
      </x:c>
      <x:c r="O1731" s="12"/>
      <x:c r="P1731" s="11" t="n">
        <x:v>0</x:v>
      </x:c>
      <x:c r="Q1731" s="12" t="str">
        <x:v>AF-Q6ZQ73-F1-model_v6</x:v>
      </x:c>
      <x:c r="R1731" s="12" t="str">
        <x:v>ok</x:v>
      </x:c>
      <x:c r="S1731" s="11" t="n">
        <x:v>1271</x:v>
      </x:c>
      <x:c r="T1731" s="11" t="n">
        <x:v>1235</x:v>
      </x:c>
    </x:row>
    <x:row r="1732" ht="23" customHeight="1">
      <x:c r="A1732" s="2" t="str">
        <x:v>Q6ZQ88</x:v>
      </x:c>
      <x:c r="B1732" s="2" t="str">
        <x:v>NED</x:v>
      </x:c>
      <x:c r="C1732" s="2" t="n">
        <x:v>1</x:v>
      </x:c>
      <x:c r="D1732" s="2" t="n">
        <x:v>1</x:v>
      </x:c>
      <x:c r="E1732" s="10" t="n">
        <x:v>84.30283704572099</x:v>
      </x:c>
      <x:c r="F1732" s="11" t="n">
        <x:v>853</x:v>
      </x:c>
      <x:c r="G1732" s="11" t="n">
        <x:v>0</x:v>
      </x:c>
      <x:c r="H1732" s="11" t="n">
        <x:v>0</x:v>
      </x:c>
      <x:c r="I1732" s="11" t="n">
        <x:v>0</x:v>
      </x:c>
      <x:c r="J1732" s="11" t="n">
        <x:v>0</x:v>
      </x:c>
      <x:c r="K1732" s="11" t="n">
        <x:v>1</x:v>
      </x:c>
      <x:c r="L1732" s="11" t="n">
        <x:f>IF(B1732="NED",1,IF(OR(B1732="ED",B1732="UN"),0,""))</x:f>
        <x:v>1</x:v>
      </x:c>
      <x:c r="M1732" s="11" t="n">
        <x:f>IF(AND(K1732=1,OR(B1732="ED",B1732="NED")),1,0)</x:f>
        <x:v>1</x:v>
      </x:c>
      <x:c r="N1732" s="11" t="n">
        <x:f>IF(K1732=1,1,0)</x:f>
        <x:v>1</x:v>
      </x:c>
      <x:c r="O1732" s="12"/>
      <x:c r="P1732" s="11" t="n">
        <x:v>0</x:v>
      </x:c>
      <x:c r="Q1732" s="12" t="str">
        <x:v>AF-Q6ZQ88-F1-model_v6</x:v>
      </x:c>
      <x:c r="R1732" s="12" t="str">
        <x:v>ok</x:v>
      </x:c>
      <x:c r="S1732" s="11" t="n">
        <x:v>1272</x:v>
      </x:c>
      <x:c r="T1732" s="11" t="n">
        <x:v>853</x:v>
      </x:c>
    </x:row>
    <x:row r="1733" ht="23" customHeight="1">
      <x:c r="A1733" s="2" t="str">
        <x:v>Q6ZQB6-3</x:v>
      </x:c>
      <x:c r="B1733" s="2" t="str">
        <x:v>ED</x:v>
      </x:c>
      <x:c r="C1733" s="2"/>
      <x:c r="D1733" s="2"/>
      <x:c r="E1733" s="10"/>
      <x:c r="F1733" s="11"/>
      <x:c r="G1733" s="11" t="n">
        <x:v>0</x:v>
      </x:c>
      <x:c r="H1733" s="11" t="n">
        <x:v>0</x:v>
      </x:c>
      <x:c r="I1733" s="11"/>
      <x:c r="J1733" s="11"/>
      <x:c r="K1733" s="11" t="n">
        <x:v>0</x:v>
      </x:c>
      <x:c r="L1733" s="11" t="n">
        <x:f>IF(B1733="NED",1,IF(OR(B1733="ED",B1733="UN"),0,""))</x:f>
        <x:v>0</x:v>
      </x:c>
      <x:c r="M1733" s="11" t="n">
        <x:f>IF(AND(K1733=1,OR(B1733="ED",B1733="NED")),1,0)</x:f>
        <x:v>0</x:v>
      </x:c>
      <x:c r="N1733" s="11" t="n">
        <x:f>IF(K1733=1,1,0)</x:f>
        <x:v>0</x:v>
      </x:c>
      <x:c r="O1733" s="12" t="str">
        <x:v>Require exact native accession match</x:v>
      </x:c>
      <x:c r="P1733" s="11" t="n">
        <x:v>0</x:v>
      </x:c>
      <x:c r="Q1733" s="12"/>
      <x:c r="R1733" s="12"/>
      <x:c r="S1733" s="11" t="n">
        <x:v>1273</x:v>
      </x:c>
      <x:c r="T1733" s="11"/>
    </x:row>
    <x:row r="1734" ht="23" customHeight="1">
      <x:c r="A1734" s="2" t="str">
        <x:v>Q6ZQF0</x:v>
      </x:c>
      <x:c r="B1734" s="2" t="str">
        <x:v>UN</x:v>
      </x:c>
      <x:c r="C1734" s="2" t="n">
        <x:v>1</x:v>
      </x:c>
      <x:c r="D1734" s="2" t="n">
        <x:v>1</x:v>
      </x:c>
      <x:c r="E1734" s="10" t="n">
        <x:v>65.34177557755775</x:v>
      </x:c>
      <x:c r="F1734" s="11" t="n">
        <x:v>1515</x:v>
      </x:c>
      <x:c r="G1734" s="11" t="n">
        <x:v>0</x:v>
      </x:c>
      <x:c r="H1734" s="11" t="n">
        <x:v>0</x:v>
      </x:c>
      <x:c r="I1734" s="11" t="n">
        <x:v>0</x:v>
      </x:c>
      <x:c r="J1734" s="11" t="n">
        <x:v>0</x:v>
      </x:c>
      <x:c r="K1734" s="11" t="n">
        <x:v>0</x:v>
      </x:c>
      <x:c r="L1734" s="11" t="n">
        <x:f>IF(B1734="NED",1,IF(OR(B1734="ED",B1734="UN"),0,""))</x:f>
        <x:v>0</x:v>
      </x:c>
      <x:c r="M1734" s="11" t="n">
        <x:f>IF(AND(K1734=1,OR(B1734="ED",B1734="NED")),1,0)</x:f>
        <x:v>0</x:v>
      </x:c>
      <x:c r="N1734" s="11" t="n">
        <x:f>IF(K1734=1,1,0)</x:f>
        <x:v>0</x:v>
      </x:c>
      <x:c r="O1734" s="12" t="str">
        <x:v>Retain protein mean pLDDT &gt;=70</x:v>
      </x:c>
      <x:c r="P1734" s="11" t="n">
        <x:v>0</x:v>
      </x:c>
      <x:c r="Q1734" s="12" t="str">
        <x:v>AF-Q6ZQF0-F1-model_v6</x:v>
      </x:c>
      <x:c r="R1734" s="12" t="str">
        <x:v>ok</x:v>
      </x:c>
      <x:c r="S1734" s="11" t="n">
        <x:v>1274</x:v>
      </x:c>
      <x:c r="T1734" s="11" t="n">
        <x:v>1515</x:v>
      </x:c>
    </x:row>
    <x:row r="1735" ht="23" customHeight="1">
      <x:c r="A1735" s="2" t="str">
        <x:v>Q6ZQH8</x:v>
      </x:c>
      <x:c r="B1735" s="2" t="str">
        <x:v>NED</x:v>
      </x:c>
      <x:c r="C1735" s="2" t="n">
        <x:v>1</x:v>
      </x:c>
      <x:c r="D1735" s="2" t="n">
        <x:v>1</x:v>
      </x:c>
      <x:c r="E1735" s="10" t="n">
        <x:v>79.49606594656053</x:v>
      </x:c>
      <x:c r="F1735" s="11" t="n">
        <x:v>1759</x:v>
      </x:c>
      <x:c r="G1735" s="11" t="n">
        <x:v>0</x:v>
      </x:c>
      <x:c r="H1735" s="11" t="n">
        <x:v>0</x:v>
      </x:c>
      <x:c r="I1735" s="11" t="n">
        <x:v>0</x:v>
      </x:c>
      <x:c r="J1735" s="11" t="n">
        <x:v>0</x:v>
      </x:c>
      <x:c r="K1735" s="11" t="n">
        <x:v>1</x:v>
      </x:c>
      <x:c r="L1735" s="11" t="n">
        <x:f>IF(B1735="NED",1,IF(OR(B1735="ED",B1735="UN"),0,""))</x:f>
        <x:v>1</x:v>
      </x:c>
      <x:c r="M1735" s="11" t="n">
        <x:f>IF(AND(K1735=1,OR(B1735="ED",B1735="NED")),1,0)</x:f>
        <x:v>1</x:v>
      </x:c>
      <x:c r="N1735" s="11" t="n">
        <x:f>IF(K1735=1,1,0)</x:f>
        <x:v>1</x:v>
      </x:c>
      <x:c r="O1735" s="12"/>
      <x:c r="P1735" s="11" t="n">
        <x:v>0</x:v>
      </x:c>
      <x:c r="Q1735" s="12" t="str">
        <x:v>AF-Q6ZQH8-F1-model_v6</x:v>
      </x:c>
      <x:c r="R1735" s="12" t="str">
        <x:v>ok</x:v>
      </x:c>
      <x:c r="S1735" s="11" t="n">
        <x:v>1275</x:v>
      </x:c>
      <x:c r="T1735" s="11" t="n">
        <x:v>1759</x:v>
      </x:c>
    </x:row>
    <x:row r="1736" ht="23" customHeight="1">
      <x:c r="A1736" s="2" t="str">
        <x:v>Q6ZQI3</x:v>
      </x:c>
      <x:c r="B1736" s="2" t="str">
        <x:v>ED</x:v>
      </x:c>
      <x:c r="C1736" s="2" t="n">
        <x:v>1</x:v>
      </x:c>
      <x:c r="D1736" s="2" t="n">
        <x:v>1</x:v>
      </x:c>
      <x:c r="E1736" s="10"/>
      <x:c r="F1736" s="11" t="n">
        <x:v>291</x:v>
      </x:c>
      <x:c r="G1736" s="11" t="n">
        <x:v>0</x:v>
      </x:c>
      <x:c r="H1736" s="11" t="n">
        <x:v>0</x:v>
      </x:c>
      <x:c r="I1736" s="11" t="n">
        <x:v>1</x:v>
      </x:c>
      <x:c r="J1736" s="11" t="n">
        <x:v>0</x:v>
      </x:c>
      <x:c r="K1736" s="11" t="n">
        <x:v>0</x:v>
      </x:c>
      <x:c r="L1736" s="11" t="n">
        <x:f>IF(B1736="NED",1,IF(OR(B1736="ED",B1736="UN"),0,""))</x:f>
        <x:v>0</x:v>
      </x:c>
      <x:c r="M1736" s="11" t="n">
        <x:f>IF(AND(K1736=1,OR(B1736="ED",B1736="NED")),1,0)</x:f>
        <x:v>0</x:v>
      </x:c>
      <x:c r="N1736" s="11" t="n">
        <x:f>IF(K1736=1,1,0)</x:f>
        <x:v>0</x:v>
      </x:c>
      <x:c r="O1736" s="12" t="str">
        <x:v>Exclude UniProt Membrane keyword</x:v>
      </x:c>
      <x:c r="P1736" s="11" t="n">
        <x:v>0</x:v>
      </x:c>
      <x:c r="Q1736" s="12" t="str">
        <x:v>AF-Q6ZQI3-F1-model_v6</x:v>
      </x:c>
      <x:c r="R1736" s="12" t="str">
        <x:v>ok</x:v>
      </x:c>
      <x:c r="S1736" s="11" t="n">
        <x:v>1276</x:v>
      </x:c>
      <x:c r="T1736" s="11" t="n">
        <x:v>291</x:v>
      </x:c>
    </x:row>
    <x:row r="1737" ht="23" customHeight="1">
      <x:c r="A1737" s="2" t="str">
        <x:v>Q6ZQK0</x:v>
      </x:c>
      <x:c r="B1737" s="2" t="str">
        <x:v>UN</x:v>
      </x:c>
      <x:c r="C1737" s="2" t="n">
        <x:v>1</x:v>
      </x:c>
      <x:c r="D1737" s="2" t="n">
        <x:v>1</x:v>
      </x:c>
      <x:c r="E1737" s="10" t="n">
        <x:v>72.1003984063745</x:v>
      </x:c>
      <x:c r="F1737" s="11" t="n">
        <x:v>1506</x:v>
      </x:c>
      <x:c r="G1737" s="11" t="n">
        <x:v>0</x:v>
      </x:c>
      <x:c r="H1737" s="11" t="n">
        <x:v>0</x:v>
      </x:c>
      <x:c r="I1737" s="11" t="n">
        <x:v>0</x:v>
      </x:c>
      <x:c r="J1737" s="11" t="n">
        <x:v>0</x:v>
      </x:c>
      <x:c r="K1737" s="11" t="n">
        <x:v>1</x:v>
      </x:c>
      <x:c r="L1737" s="11" t="n">
        <x:f>IF(B1737="NED",1,IF(OR(B1737="ED",B1737="UN"),0,""))</x:f>
        <x:v>0</x:v>
      </x:c>
      <x:c r="M1737" s="11" t="n">
        <x:f>IF(AND(K1737=1,OR(B1737="ED",B1737="NED")),1,0)</x:f>
        <x:v>0</x:v>
      </x:c>
      <x:c r="N1737" s="11" t="n">
        <x:f>IF(K1737=1,1,0)</x:f>
        <x:v>1</x:v>
      </x:c>
      <x:c r="O1737" s="12"/>
      <x:c r="P1737" s="11" t="n">
        <x:v>0</x:v>
      </x:c>
      <x:c r="Q1737" s="12" t="str">
        <x:v>AF-Q6ZQK0-F1-model_v6</x:v>
      </x:c>
      <x:c r="R1737" s="12" t="str">
        <x:v>ok</x:v>
      </x:c>
      <x:c r="S1737" s="11" t="n">
        <x:v>1277</x:v>
      </x:c>
      <x:c r="T1737" s="11" t="n">
        <x:v>1506</x:v>
      </x:c>
    </x:row>
    <x:row r="1738" ht="23" customHeight="1">
      <x:c r="A1738" s="2" t="str">
        <x:v>Q6ZQL4</x:v>
      </x:c>
      <x:c r="B1738" s="2" t="str">
        <x:v>ED</x:v>
      </x:c>
      <x:c r="C1738" s="2" t="n">
        <x:v>1</x:v>
      </x:c>
      <x:c r="D1738" s="2" t="n">
        <x:v>1</x:v>
      </x:c>
      <x:c r="E1738" s="10" t="n">
        <x:v>69.4918611521418</x:v>
      </x:c>
      <x:c r="F1738" s="11" t="n">
        <x:v>677</x:v>
      </x:c>
      <x:c r="G1738" s="11" t="n">
        <x:v>0</x:v>
      </x:c>
      <x:c r="H1738" s="11" t="n">
        <x:v>0</x:v>
      </x:c>
      <x:c r="I1738" s="11" t="n">
        <x:v>0</x:v>
      </x:c>
      <x:c r="J1738" s="11" t="n">
        <x:v>0</x:v>
      </x:c>
      <x:c r="K1738" s="11" t="n">
        <x:v>0</x:v>
      </x:c>
      <x:c r="L1738" s="11" t="n">
        <x:f>IF(B1738="NED",1,IF(OR(B1738="ED",B1738="UN"),0,""))</x:f>
        <x:v>0</x:v>
      </x:c>
      <x:c r="M1738" s="11" t="n">
        <x:f>IF(AND(K1738=1,OR(B1738="ED",B1738="NED")),1,0)</x:f>
        <x:v>0</x:v>
      </x:c>
      <x:c r="N1738" s="11" t="n">
        <x:f>IF(K1738=1,1,0)</x:f>
        <x:v>0</x:v>
      </x:c>
      <x:c r="O1738" s="12" t="str">
        <x:v>Retain protein mean pLDDT &gt;=70</x:v>
      </x:c>
      <x:c r="P1738" s="11" t="n">
        <x:v>0</x:v>
      </x:c>
      <x:c r="Q1738" s="12" t="str">
        <x:v>AF-Q6ZQL4-F1-model_v6</x:v>
      </x:c>
      <x:c r="R1738" s="12" t="str">
        <x:v>ok</x:v>
      </x:c>
      <x:c r="S1738" s="11" t="n">
        <x:v>1278</x:v>
      </x:c>
      <x:c r="T1738" s="11" t="n">
        <x:v>677</x:v>
      </x:c>
    </x:row>
    <x:row r="1739" ht="23" customHeight="1">
      <x:c r="A1739" s="2" t="str">
        <x:v>Q6ZWM4</x:v>
      </x:c>
      <x:c r="B1739" s="2" t="str">
        <x:v>ED</x:v>
      </x:c>
      <x:c r="C1739" s="2" t="n">
        <x:v>1</x:v>
      </x:c>
      <x:c r="D1739" s="2" t="n">
        <x:v>1</x:v>
      </x:c>
      <x:c r="E1739" s="10" t="n">
        <x:v>95.75</x:v>
      </x:c>
      <x:c r="F1739" s="11" t="n">
        <x:v>96</x:v>
      </x:c>
      <x:c r="G1739" s="11" t="n">
        <x:v>0</x:v>
      </x:c>
      <x:c r="H1739" s="11" t="n">
        <x:v>0</x:v>
      </x:c>
      <x:c r="I1739" s="11" t="n">
        <x:v>0</x:v>
      </x:c>
      <x:c r="J1739" s="11" t="n">
        <x:v>0</x:v>
      </x:c>
      <x:c r="K1739" s="11" t="n">
        <x:v>1</x:v>
      </x:c>
      <x:c r="L1739" s="11" t="n">
        <x:f>IF(B1739="NED",1,IF(OR(B1739="ED",B1739="UN"),0,""))</x:f>
        <x:v>0</x:v>
      </x:c>
      <x:c r="M1739" s="11" t="n">
        <x:f>IF(AND(K1739=1,OR(B1739="ED",B1739="NED")),1,0)</x:f>
        <x:v>1</x:v>
      </x:c>
      <x:c r="N1739" s="11" t="n">
        <x:f>IF(K1739=1,1,0)</x:f>
        <x:v>1</x:v>
      </x:c>
      <x:c r="O1739" s="12"/>
      <x:c r="P1739" s="11" t="n">
        <x:v>0</x:v>
      </x:c>
      <x:c r="Q1739" s="12" t="str">
        <x:v>AF-Q6ZWM4-F1-model_v6</x:v>
      </x:c>
      <x:c r="R1739" s="12" t="str">
        <x:v>ok</x:v>
      </x:c>
      <x:c r="S1739" s="11" t="n">
        <x:v>1279</x:v>
      </x:c>
      <x:c r="T1739" s="11" t="n">
        <x:v>96</x:v>
      </x:c>
    </x:row>
    <x:row r="1740" ht="23" customHeight="1">
      <x:c r="A1740" s="2" t="str">
        <x:v>Q6ZWQ5</x:v>
      </x:c>
      <x:c r="B1740" s="2" t="str">
        <x:v>ED</x:v>
      </x:c>
      <x:c r="C1740" s="2"/>
      <x:c r="D1740" s="2"/>
      <x:c r="E1740" s="10"/>
      <x:c r="F1740" s="11"/>
      <x:c r="G1740" s="11" t="n">
        <x:v>0</x:v>
      </x:c>
      <x:c r="H1740" s="11" t="n">
        <x:v>0</x:v>
      </x:c>
      <x:c r="I1740" s="11" t="n">
        <x:v>0</x:v>
      </x:c>
      <x:c r="J1740" s="11" t="n">
        <x:v>0</x:v>
      </x:c>
      <x:c r="K1740" s="11" t="n">
        <x:v>0</x:v>
      </x:c>
      <x:c r="L1740" s="11" t="n">
        <x:f>IF(B1740="NED",1,IF(OR(B1740="ED",B1740="UN"),0,""))</x:f>
        <x:v>0</x:v>
      </x:c>
      <x:c r="M1740" s="11" t="n">
        <x:f>IF(AND(K1740=1,OR(B1740="ED",B1740="NED")),1,0)</x:f>
        <x:v>0</x:v>
      </x:c>
      <x:c r="N1740" s="11" t="n">
        <x:f>IF(K1740=1,1,0)</x:f>
        <x:v>0</x:v>
      </x:c>
      <x:c r="O1740" s="12" t="str">
        <x:v>Require exact native accession match</x:v>
      </x:c>
      <x:c r="P1740" s="11" t="n">
        <x:v>0</x:v>
      </x:c>
      <x:c r="Q1740" s="12"/>
      <x:c r="R1740" s="12"/>
      <x:c r="S1740" s="11" t="n">
        <x:v>3203</x:v>
      </x:c>
      <x:c r="T1740" s="11" t="n">
        <x:v>162</x:v>
      </x:c>
    </x:row>
    <x:row r="1741" ht="23" customHeight="1">
      <x:c r="A1741" s="2" t="str">
        <x:v>Q6ZWQ9</x:v>
      </x:c>
      <x:c r="B1741" s="2" t="str">
        <x:v>NED</x:v>
      </x:c>
      <x:c r="C1741" s="2"/>
      <x:c r="D1741" s="2"/>
      <x:c r="E1741" s="10"/>
      <x:c r="F1741" s="11"/>
      <x:c r="G1741" s="11" t="n">
        <x:v>0</x:v>
      </x:c>
      <x:c r="H1741" s="11" t="n">
        <x:v>0</x:v>
      </x:c>
      <x:c r="I1741" s="11" t="n">
        <x:v>0</x:v>
      </x:c>
      <x:c r="J1741" s="11" t="n">
        <x:v>0</x:v>
      </x:c>
      <x:c r="K1741" s="11" t="n">
        <x:v>0</x:v>
      </x:c>
      <x:c r="L1741" s="11" t="n">
        <x:f>IF(B1741="NED",1,IF(OR(B1741="ED",B1741="UN"),0,""))</x:f>
        <x:v>1</x:v>
      </x:c>
      <x:c r="M1741" s="11" t="n">
        <x:f>IF(AND(K1741=1,OR(B1741="ED",B1741="NED")),1,0)</x:f>
        <x:v>0</x:v>
      </x:c>
      <x:c r="N1741" s="11" t="n">
        <x:f>IF(K1741=1,1,0)</x:f>
        <x:v>0</x:v>
      </x:c>
      <x:c r="O1741" s="12" t="str">
        <x:v>Require exact native accession match</x:v>
      </x:c>
      <x:c r="P1741" s="11" t="n">
        <x:v>0</x:v>
      </x:c>
      <x:c r="Q1741" s="12"/>
      <x:c r="R1741" s="12"/>
      <x:c r="S1741" s="11" t="n">
        <x:v>3204</x:v>
      </x:c>
      <x:c r="T1741" s="11" t="n">
        <x:v>172</x:v>
      </x:c>
    </x:row>
    <x:row r="1742" ht="23" customHeight="1">
      <x:c r="A1742" s="2" t="str">
        <x:v>Q6ZWR6-4</x:v>
      </x:c>
      <x:c r="B1742" s="2" t="str">
        <x:v>ED</x:v>
      </x:c>
      <x:c r="C1742" s="2"/>
      <x:c r="D1742" s="2"/>
      <x:c r="E1742" s="10"/>
      <x:c r="F1742" s="11"/>
      <x:c r="G1742" s="11" t="n">
        <x:v>0</x:v>
      </x:c>
      <x:c r="H1742" s="11" t="n">
        <x:v>0</x:v>
      </x:c>
      <x:c r="I1742" s="11"/>
      <x:c r="J1742" s="11"/>
      <x:c r="K1742" s="11" t="n">
        <x:v>0</x:v>
      </x:c>
      <x:c r="L1742" s="11" t="n">
        <x:f>IF(B1742="NED",1,IF(OR(B1742="ED",B1742="UN"),0,""))</x:f>
        <x:v>0</x:v>
      </x:c>
      <x:c r="M1742" s="11" t="n">
        <x:f>IF(AND(K1742=1,OR(B1742="ED",B1742="NED")),1,0)</x:f>
        <x:v>0</x:v>
      </x:c>
      <x:c r="N1742" s="11" t="n">
        <x:f>IF(K1742=1,1,0)</x:f>
        <x:v>0</x:v>
      </x:c>
      <x:c r="O1742" s="12" t="str">
        <x:v>Require exact native accession match</x:v>
      </x:c>
      <x:c r="P1742" s="11" t="n">
        <x:v>0</x:v>
      </x:c>
      <x:c r="Q1742" s="12"/>
      <x:c r="R1742" s="12"/>
      <x:c r="S1742" s="11" t="n">
        <x:v>1280</x:v>
      </x:c>
      <x:c r="T1742" s="11"/>
    </x:row>
    <x:row r="1743" ht="23" customHeight="1">
      <x:c r="A1743" s="2" t="str">
        <x:v>Q6ZWX6</x:v>
      </x:c>
      <x:c r="B1743" s="2" t="str">
        <x:v>ED</x:v>
      </x:c>
      <x:c r="C1743" s="2" t="n">
        <x:v>1</x:v>
      </x:c>
      <x:c r="D1743" s="2" t="n">
        <x:v>1</x:v>
      </x:c>
      <x:c r="E1743" s="10" t="n">
        <x:v>78.76488888888889</x:v>
      </x:c>
      <x:c r="F1743" s="11" t="n">
        <x:v>315</x:v>
      </x:c>
      <x:c r="G1743" s="11" t="n">
        <x:v>0</x:v>
      </x:c>
      <x:c r="H1743" s="11" t="n">
        <x:v>0</x:v>
      </x:c>
      <x:c r="I1743" s="11" t="n">
        <x:v>0</x:v>
      </x:c>
      <x:c r="J1743" s="11" t="n">
        <x:v>0</x:v>
      </x:c>
      <x:c r="K1743" s="11" t="n">
        <x:v>1</x:v>
      </x:c>
      <x:c r="L1743" s="11" t="n">
        <x:f>IF(B1743="NED",1,IF(OR(B1743="ED",B1743="UN"),0,""))</x:f>
        <x:v>0</x:v>
      </x:c>
      <x:c r="M1743" s="11" t="n">
        <x:f>IF(AND(K1743=1,OR(B1743="ED",B1743="NED")),1,0)</x:f>
        <x:v>1</x:v>
      </x:c>
      <x:c r="N1743" s="11" t="n">
        <x:f>IF(K1743=1,1,0)</x:f>
        <x:v>1</x:v>
      </x:c>
      <x:c r="O1743" s="12"/>
      <x:c r="P1743" s="11" t="n">
        <x:v>0</x:v>
      </x:c>
      <x:c r="Q1743" s="12" t="str">
        <x:v>AF-Q6ZWX6-F1-model_v6</x:v>
      </x:c>
      <x:c r="R1743" s="12" t="str">
        <x:v>ok</x:v>
      </x:c>
      <x:c r="S1743" s="11" t="n">
        <x:v>1281</x:v>
      </x:c>
      <x:c r="T1743" s="11" t="n">
        <x:v>315</x:v>
      </x:c>
    </x:row>
    <x:row r="1744" ht="23" customHeight="1">
      <x:c r="A1744" s="2" t="str">
        <x:v>Q6ZWZ6</x:v>
      </x:c>
      <x:c r="B1744" s="2" t="str">
        <x:v>UN</x:v>
      </x:c>
      <x:c r="C1744" s="2"/>
      <x:c r="D1744" s="2"/>
      <x:c r="E1744" s="10"/>
      <x:c r="F1744" s="11"/>
      <x:c r="G1744" s="11" t="n">
        <x:v>0</x:v>
      </x:c>
      <x:c r="H1744" s="11" t="n">
        <x:v>0</x:v>
      </x:c>
      <x:c r="I1744" s="11"/>
      <x:c r="J1744" s="11"/>
      <x:c r="K1744" s="11" t="n">
        <x:v>0</x:v>
      </x:c>
      <x:c r="L1744" s="11" t="n">
        <x:f>IF(B1744="NED",1,IF(OR(B1744="ED",B1744="UN"),0,""))</x:f>
        <x:v>0</x:v>
      </x:c>
      <x:c r="M1744" s="11" t="n">
        <x:f>IF(AND(K1744=1,OR(B1744="ED",B1744="NED")),1,0)</x:f>
        <x:v>0</x:v>
      </x:c>
      <x:c r="N1744" s="11" t="n">
        <x:f>IF(K1744=1,1,0)</x:f>
        <x:v>0</x:v>
      </x:c>
      <x:c r="O1744" s="12" t="str">
        <x:v>Require exact native accession match</x:v>
      </x:c>
      <x:c r="P1744" s="11" t="n">
        <x:v>0</x:v>
      </x:c>
      <x:c r="Q1744" s="12"/>
      <x:c r="R1744" s="12"/>
      <x:c r="S1744" s="11" t="n">
        <x:v>3205</x:v>
      </x:c>
      <x:c r="T1744" s="11"/>
    </x:row>
    <x:row r="1745" ht="23" customHeight="1">
      <x:c r="A1745" s="2" t="str">
        <x:v>Q71FD7</x:v>
      </x:c>
      <x:c r="B1745" s="2" t="str">
        <x:v>UN</x:v>
      </x:c>
      <x:c r="C1745" s="2" t="n">
        <x:v>1</x:v>
      </x:c>
      <x:c r="D1745" s="2"/>
      <x:c r="E1745" s="10" t="n">
        <x:v>66.11962666666666</x:v>
      </x:c>
      <x:c r="F1745" s="11" t="n">
        <x:v>375</x:v>
      </x:c>
      <x:c r="G1745" s="11" t="n">
        <x:v>0</x:v>
      </x:c>
      <x:c r="H1745" s="11" t="n">
        <x:v>0</x:v>
      </x:c>
      <x:c r="I1745" s="11" t="n">
        <x:v>0</x:v>
      </x:c>
      <x:c r="J1745" s="11" t="n">
        <x:v>0</x:v>
      </x:c>
      <x:c r="K1745" s="11" t="n">
        <x:v>0</x:v>
      </x:c>
      <x:c r="L1745" s="11" t="n">
        <x:f>IF(B1745="NED",1,IF(OR(B1745="ED",B1745="UN"),0,""))</x:f>
        <x:v>0</x:v>
      </x:c>
      <x:c r="M1745" s="11" t="n">
        <x:f>IF(AND(K1745=1,OR(B1745="ED",B1745="NED")),1,0)</x:f>
        <x:v>0</x:v>
      </x:c>
      <x:c r="N1745" s="11" t="n">
        <x:f>IF(K1745=1,1,0)</x:f>
        <x:v>0</x:v>
      </x:c>
      <x:c r="O1745" s="12" t="str">
        <x:v>Retain protein mean pLDDT &gt;=70</x:v>
      </x:c>
      <x:c r="P1745" s="11" t="n">
        <x:v>0</x:v>
      </x:c>
      <x:c r="Q1745" s="12" t="str">
        <x:v>AF-Q71FD7-F1-model_v6</x:v>
      </x:c>
      <x:c r="R1745" s="12" t="str">
        <x:v>ok</x:v>
      </x:c>
      <x:c r="S1745" s="11" t="n">
        <x:v>1282</x:v>
      </x:c>
      <x:c r="T1745" s="11" t="n">
        <x:v>375</x:v>
      </x:c>
    </x:row>
    <x:row r="1746" ht="23" customHeight="1">
      <x:c r="A1746" s="2" t="str">
        <x:v>Q71LX4</x:v>
      </x:c>
      <x:c r="B1746" s="2" t="str">
        <x:v>ED</x:v>
      </x:c>
      <x:c r="C1746" s="2" t="n">
        <x:v>1</x:v>
      </x:c>
      <x:c r="D1746" s="2" t="n">
        <x:v>1</x:v>
      </x:c>
      <x:c r="E1746" s="10"/>
      <x:c r="F1746" s="11" t="n">
        <x:v>2375</x:v>
      </x:c>
      <x:c r="G1746" s="11" t="n">
        <x:v>0</x:v>
      </x:c>
      <x:c r="H1746" s="11" t="n">
        <x:v>0</x:v>
      </x:c>
      <x:c r="I1746" s="11" t="n">
        <x:v>1</x:v>
      </x:c>
      <x:c r="J1746" s="11" t="n">
        <x:v>0</x:v>
      </x:c>
      <x:c r="K1746" s="11" t="n">
        <x:v>0</x:v>
      </x:c>
      <x:c r="L1746" s="11" t="n">
        <x:f>IF(B1746="NED",1,IF(OR(B1746="ED",B1746="UN"),0,""))</x:f>
        <x:v>0</x:v>
      </x:c>
      <x:c r="M1746" s="11" t="n">
        <x:f>IF(AND(K1746=1,OR(B1746="ED",B1746="NED")),1,0)</x:f>
        <x:v>0</x:v>
      </x:c>
      <x:c r="N1746" s="11" t="n">
        <x:f>IF(K1746=1,1,0)</x:f>
        <x:v>0</x:v>
      </x:c>
      <x:c r="O1746" s="12" t="str">
        <x:v>Exclude UniProt Membrane keyword</x:v>
      </x:c>
      <x:c r="P1746" s="11" t="n">
        <x:v>0</x:v>
      </x:c>
      <x:c r="Q1746" s="12" t="str">
        <x:v>AF-Q71LX4-F1-model_v6</x:v>
      </x:c>
      <x:c r="R1746" s="12" t="str">
        <x:v>ok</x:v>
      </x:c>
      <x:c r="S1746" s="11" t="n">
        <x:v>1283</x:v>
      </x:c>
      <x:c r="T1746" s="11" t="n">
        <x:v>2375</x:v>
      </x:c>
    </x:row>
    <x:row r="1747" ht="23" customHeight="1">
      <x:c r="A1747" s="2" t="str">
        <x:v>Q71RI9-2</x:v>
      </x:c>
      <x:c r="B1747" s="2" t="str">
        <x:v>ED</x:v>
      </x:c>
      <x:c r="C1747" s="2"/>
      <x:c r="D1747" s="2"/>
      <x:c r="E1747" s="10"/>
      <x:c r="F1747" s="11"/>
      <x:c r="G1747" s="11" t="n">
        <x:v>0</x:v>
      </x:c>
      <x:c r="H1747" s="11" t="n">
        <x:v>0</x:v>
      </x:c>
      <x:c r="I1747" s="11"/>
      <x:c r="J1747" s="11"/>
      <x:c r="K1747" s="11" t="n">
        <x:v>0</x:v>
      </x:c>
      <x:c r="L1747" s="11" t="n">
        <x:f>IF(B1747="NED",1,IF(OR(B1747="ED",B1747="UN"),0,""))</x:f>
        <x:v>0</x:v>
      </x:c>
      <x:c r="M1747" s="11" t="n">
        <x:f>IF(AND(K1747=1,OR(B1747="ED",B1747="NED")),1,0)</x:f>
        <x:v>0</x:v>
      </x:c>
      <x:c r="N1747" s="11" t="n">
        <x:f>IF(K1747=1,1,0)</x:f>
        <x:v>0</x:v>
      </x:c>
      <x:c r="O1747" s="12" t="str">
        <x:v>Require exact native accession match</x:v>
      </x:c>
      <x:c r="P1747" s="11" t="n">
        <x:v>0</x:v>
      </x:c>
      <x:c r="Q1747" s="12"/>
      <x:c r="R1747" s="12"/>
      <x:c r="S1747" s="11" t="n">
        <x:v>1284</x:v>
      </x:c>
      <x:c r="T1747" s="11"/>
    </x:row>
    <x:row r="1748" ht="23" customHeight="1">
      <x:c r="A1748" s="2" t="str">
        <x:v>Q75NR7</x:v>
      </x:c>
      <x:c r="B1748" s="2" t="str">
        <x:v>ED</x:v>
      </x:c>
      <x:c r="C1748" s="2" t="n">
        <x:v>1</x:v>
      </x:c>
      <x:c r="D1748" s="2" t="n">
        <x:v>1</x:v>
      </x:c>
      <x:c r="E1748" s="10" t="n">
        <x:v>66.03833059210527</x:v>
      </x:c>
      <x:c r="F1748" s="11" t="n">
        <x:v>1216</x:v>
      </x:c>
      <x:c r="G1748" s="11" t="n">
        <x:v>0</x:v>
      </x:c>
      <x:c r="H1748" s="11" t="n">
        <x:v>0</x:v>
      </x:c>
      <x:c r="I1748" s="11" t="n">
        <x:v>0</x:v>
      </x:c>
      <x:c r="J1748" s="11" t="n">
        <x:v>0</x:v>
      </x:c>
      <x:c r="K1748" s="11" t="n">
        <x:v>0</x:v>
      </x:c>
      <x:c r="L1748" s="11" t="n">
        <x:f>IF(B1748="NED",1,IF(OR(B1748="ED",B1748="UN"),0,""))</x:f>
        <x:v>0</x:v>
      </x:c>
      <x:c r="M1748" s="11" t="n">
        <x:f>IF(AND(K1748=1,OR(B1748="ED",B1748="NED")),1,0)</x:f>
        <x:v>0</x:v>
      </x:c>
      <x:c r="N1748" s="11" t="n">
        <x:f>IF(K1748=1,1,0)</x:f>
        <x:v>0</x:v>
      </x:c>
      <x:c r="O1748" s="12" t="str">
        <x:v>Retain protein mean pLDDT &gt;=70</x:v>
      </x:c>
      <x:c r="P1748" s="11" t="n">
        <x:v>0</x:v>
      </x:c>
      <x:c r="Q1748" s="12" t="str">
        <x:v>AF-Q75NR7-F1-model_v6</x:v>
      </x:c>
      <x:c r="R1748" s="12" t="str">
        <x:v>ok</x:v>
      </x:c>
      <x:c r="S1748" s="11" t="n">
        <x:v>1285</x:v>
      </x:c>
      <x:c r="T1748" s="11" t="n">
        <x:v>1216</x:v>
      </x:c>
    </x:row>
    <x:row r="1749" ht="23" customHeight="1">
      <x:c r="A1749" s="2" t="str">
        <x:v>Q76KJ5</x:v>
      </x:c>
      <x:c r="B1749" s="2" t="str">
        <x:v>UN</x:v>
      </x:c>
      <x:c r="C1749" s="2" t="n">
        <x:v>1</x:v>
      </x:c>
      <x:c r="D1749" s="2" t="n">
        <x:v>1</x:v>
      </x:c>
      <x:c r="E1749" s="10" t="n">
        <x:v>63.177969924812025</x:v>
      </x:c>
      <x:c r="F1749" s="11" t="n">
        <x:v>399</x:v>
      </x:c>
      <x:c r="G1749" s="11" t="n">
        <x:v>0</x:v>
      </x:c>
      <x:c r="H1749" s="11" t="n">
        <x:v>0</x:v>
      </x:c>
      <x:c r="I1749" s="11" t="n">
        <x:v>0</x:v>
      </x:c>
      <x:c r="J1749" s="11" t="n">
        <x:v>0</x:v>
      </x:c>
      <x:c r="K1749" s="11" t="n">
        <x:v>0</x:v>
      </x:c>
      <x:c r="L1749" s="11" t="n">
        <x:f>IF(B1749="NED",1,IF(OR(B1749="ED",B1749="UN"),0,""))</x:f>
        <x:v>0</x:v>
      </x:c>
      <x:c r="M1749" s="11" t="n">
        <x:f>IF(AND(K1749=1,OR(B1749="ED",B1749="NED")),1,0)</x:f>
        <x:v>0</x:v>
      </x:c>
      <x:c r="N1749" s="11" t="n">
        <x:f>IF(K1749=1,1,0)</x:f>
        <x:v>0</x:v>
      </x:c>
      <x:c r="O1749" s="12" t="str">
        <x:v>Retain protein mean pLDDT &gt;=70</x:v>
      </x:c>
      <x:c r="P1749" s="11" t="n">
        <x:v>0</x:v>
      </x:c>
      <x:c r="Q1749" s="12" t="str">
        <x:v>AF-Q76KJ5-F1-model_v6</x:v>
      </x:c>
      <x:c r="R1749" s="12" t="str">
        <x:v>ok</x:v>
      </x:c>
      <x:c r="S1749" s="11" t="n">
        <x:v>1286</x:v>
      </x:c>
      <x:c r="T1749" s="11" t="n">
        <x:v>399</x:v>
      </x:c>
    </x:row>
    <x:row r="1750" ht="23" customHeight="1">
      <x:c r="A1750" s="2" t="str">
        <x:v>Q76MZ3</x:v>
      </x:c>
      <x:c r="B1750" s="2" t="str">
        <x:v>UN</x:v>
      </x:c>
      <x:c r="C1750" s="2" t="n">
        <x:v>0</x:v>
      </x:c>
      <x:c r="D1750" s="2" t="n">
        <x:v>0</x:v>
      </x:c>
      <x:c r="E1750" s="10"/>
      <x:c r="F1750" s="11" t="n">
        <x:v>589</x:v>
      </x:c>
      <x:c r="G1750" s="11" t="n">
        <x:v>0</x:v>
      </x:c>
      <x:c r="H1750" s="11" t="n">
        <x:v>0</x:v>
      </x:c>
      <x:c r="I1750" s="11" t="n">
        <x:v>1</x:v>
      </x:c>
      <x:c r="J1750" s="11" t="n">
        <x:v>0</x:v>
      </x:c>
      <x:c r="K1750" s="11" t="n">
        <x:v>0</x:v>
      </x:c>
      <x:c r="L1750" s="11" t="n">
        <x:f>IF(B1750="NED",1,IF(OR(B1750="ED",B1750="UN"),0,""))</x:f>
        <x:v>0</x:v>
      </x:c>
      <x:c r="M1750" s="11" t="n">
        <x:f>IF(AND(K1750=1,OR(B1750="ED",B1750="NED")),1,0)</x:f>
        <x:v>0</x:v>
      </x:c>
      <x:c r="N1750" s="11" t="n">
        <x:f>IF(K1750=1,1,0)</x:f>
        <x:v>0</x:v>
      </x:c>
      <x:c r="O1750" s="12" t="str">
        <x:v>Exclude UniProt Membrane keyword</x:v>
      </x:c>
      <x:c r="P1750" s="11" t="n">
        <x:v>0</x:v>
      </x:c>
      <x:c r="Q1750" s="12" t="str">
        <x:v>AF-Q76MZ3-F1-model_v6</x:v>
      </x:c>
      <x:c r="R1750" s="12" t="str">
        <x:v>ok</x:v>
      </x:c>
      <x:c r="S1750" s="11" t="n">
        <x:v>1287</x:v>
      </x:c>
      <x:c r="T1750" s="11" t="n">
        <x:v>589</x:v>
      </x:c>
    </x:row>
    <x:row r="1751" ht="23" customHeight="1">
      <x:c r="A1751" s="2" t="str">
        <x:v>Q76N33</x:v>
      </x:c>
      <x:c r="B1751" s="2" t="str">
        <x:v>ED</x:v>
      </x:c>
      <x:c r="C1751" s="2" t="n">
        <x:v>1</x:v>
      </x:c>
      <x:c r="D1751" s="2" t="n">
        <x:v>1</x:v>
      </x:c>
      <x:c r="E1751" s="10" t="n">
        <x:v>83.55043577981651</x:v>
      </x:c>
      <x:c r="F1751" s="11" t="n">
        <x:v>436</x:v>
      </x:c>
      <x:c r="G1751" s="11" t="n">
        <x:v>0</x:v>
      </x:c>
      <x:c r="H1751" s="11" t="n">
        <x:v>0</x:v>
      </x:c>
      <x:c r="I1751" s="11" t="n">
        <x:v>0</x:v>
      </x:c>
      <x:c r="J1751" s="11" t="n">
        <x:v>0</x:v>
      </x:c>
      <x:c r="K1751" s="11" t="n">
        <x:v>1</x:v>
      </x:c>
      <x:c r="L1751" s="11" t="n">
        <x:f>IF(B1751="NED",1,IF(OR(B1751="ED",B1751="UN"),0,""))</x:f>
        <x:v>0</x:v>
      </x:c>
      <x:c r="M1751" s="11" t="n">
        <x:f>IF(AND(K1751=1,OR(B1751="ED",B1751="NED")),1,0)</x:f>
        <x:v>1</x:v>
      </x:c>
      <x:c r="N1751" s="11" t="n">
        <x:f>IF(K1751=1,1,0)</x:f>
        <x:v>1</x:v>
      </x:c>
      <x:c r="O1751" s="12"/>
      <x:c r="P1751" s="11" t="n">
        <x:v>0</x:v>
      </x:c>
      <x:c r="Q1751" s="12" t="str">
        <x:v>AF-Q76N33-F1-model_v6</x:v>
      </x:c>
      <x:c r="R1751" s="12" t="str">
        <x:v>ok</x:v>
      </x:c>
      <x:c r="S1751" s="11" t="n">
        <x:v>1288</x:v>
      </x:c>
      <x:c r="T1751" s="11" t="n">
        <x:v>436</x:v>
      </x:c>
    </x:row>
    <x:row r="1752" ht="23" customHeight="1">
      <x:c r="A1752" s="2" t="str">
        <x:v>Q78IK2</x:v>
      </x:c>
      <x:c r="B1752" s="2" t="str">
        <x:v>ED</x:v>
      </x:c>
      <x:c r="C1752" s="2" t="n">
        <x:v>0</x:v>
      </x:c>
      <x:c r="D1752" s="2" t="n">
        <x:v>0</x:v>
      </x:c>
      <x:c r="E1752" s="10"/>
      <x:c r="F1752" s="11" t="n">
        <x:v>58</x:v>
      </x:c>
      <x:c r="G1752" s="11" t="n">
        <x:v>0</x:v>
      </x:c>
      <x:c r="H1752" s="11" t="n">
        <x:v>0</x:v>
      </x:c>
      <x:c r="I1752" s="11" t="n">
        <x:v>1</x:v>
      </x:c>
      <x:c r="J1752" s="11" t="n">
        <x:v>0</x:v>
      </x:c>
      <x:c r="K1752" s="11" t="n">
        <x:v>0</x:v>
      </x:c>
      <x:c r="L1752" s="11" t="n">
        <x:f>IF(B1752="NED",1,IF(OR(B1752="ED",B1752="UN"),0,""))</x:f>
        <x:v>0</x:v>
      </x:c>
      <x:c r="M1752" s="11" t="n">
        <x:f>IF(AND(K1752=1,OR(B1752="ED",B1752="NED")),1,0)</x:f>
        <x:v>0</x:v>
      </x:c>
      <x:c r="N1752" s="11" t="n">
        <x:f>IF(K1752=1,1,0)</x:f>
        <x:v>0</x:v>
      </x:c>
      <x:c r="O1752" s="12" t="str">
        <x:v>Exclude UniProt Membrane keyword</x:v>
      </x:c>
      <x:c r="P1752" s="11" t="n">
        <x:v>0</x:v>
      </x:c>
      <x:c r="Q1752" s="12" t="str">
        <x:v>AF-Q78IK2-F1-model_v6</x:v>
      </x:c>
      <x:c r="R1752" s="12" t="str">
        <x:v>ok</x:v>
      </x:c>
      <x:c r="S1752" s="11" t="n">
        <x:v>1289</x:v>
      </x:c>
      <x:c r="T1752" s="11" t="n">
        <x:v>58</x:v>
      </x:c>
    </x:row>
    <x:row r="1753" ht="23" customHeight="1">
      <x:c r="A1753" s="2" t="str">
        <x:v>Q78IK4</x:v>
      </x:c>
      <x:c r="B1753" s="2" t="str">
        <x:v>ED</x:v>
      </x:c>
      <x:c r="C1753" s="2" t="n">
        <x:v>0</x:v>
      </x:c>
      <x:c r="D1753" s="2" t="n">
        <x:v>0</x:v>
      </x:c>
      <x:c r="E1753" s="10"/>
      <x:c r="F1753" s="11" t="n">
        <x:v>265</x:v>
      </x:c>
      <x:c r="G1753" s="11" t="n">
        <x:v>0</x:v>
      </x:c>
      <x:c r="H1753" s="11" t="n">
        <x:v>0</x:v>
      </x:c>
      <x:c r="I1753" s="11" t="n">
        <x:v>1</x:v>
      </x:c>
      <x:c r="J1753" s="11" t="n">
        <x:v>0</x:v>
      </x:c>
      <x:c r="K1753" s="11" t="n">
        <x:v>0</x:v>
      </x:c>
      <x:c r="L1753" s="11" t="n">
        <x:f>IF(B1753="NED",1,IF(OR(B1753="ED",B1753="UN"),0,""))</x:f>
        <x:v>0</x:v>
      </x:c>
      <x:c r="M1753" s="11" t="n">
        <x:f>IF(AND(K1753=1,OR(B1753="ED",B1753="NED")),1,0)</x:f>
        <x:v>0</x:v>
      </x:c>
      <x:c r="N1753" s="11" t="n">
        <x:f>IF(K1753=1,1,0)</x:f>
        <x:v>0</x:v>
      </x:c>
      <x:c r="O1753" s="12" t="str">
        <x:v>Exclude UniProt Membrane keyword</x:v>
      </x:c>
      <x:c r="P1753" s="11" t="n">
        <x:v>0</x:v>
      </x:c>
      <x:c r="Q1753" s="12" t="str">
        <x:v>AF-Q78IK4-F1-model_v6</x:v>
      </x:c>
      <x:c r="R1753" s="12" t="str">
        <x:v>ok</x:v>
      </x:c>
      <x:c r="S1753" s="11" t="n">
        <x:v>1290</x:v>
      </x:c>
      <x:c r="T1753" s="11" t="n">
        <x:v>265</x:v>
      </x:c>
    </x:row>
    <x:row r="1754" ht="23" customHeight="1">
      <x:c r="A1754" s="2" t="str">
        <x:v>Q78JE5</x:v>
      </x:c>
      <x:c r="B1754" s="2" t="str">
        <x:v>UN</x:v>
      </x:c>
      <x:c r="C1754" s="2" t="n">
        <x:v>1</x:v>
      </x:c>
      <x:c r="D1754" s="2" t="n">
        <x:v>1</x:v>
      </x:c>
      <x:c r="E1754" s="10" t="n">
        <x:v>86.04674129353234</x:v>
      </x:c>
      <x:c r="F1754" s="11" t="n">
        <x:v>402</x:v>
      </x:c>
      <x:c r="G1754" s="11" t="n">
        <x:v>0</x:v>
      </x:c>
      <x:c r="H1754" s="11" t="n">
        <x:v>0</x:v>
      </x:c>
      <x:c r="I1754" s="11" t="n">
        <x:v>0</x:v>
      </x:c>
      <x:c r="J1754" s="11" t="n">
        <x:v>0</x:v>
      </x:c>
      <x:c r="K1754" s="11" t="n">
        <x:v>1</x:v>
      </x:c>
      <x:c r="L1754" s="11" t="n">
        <x:f>IF(B1754="NED",1,IF(OR(B1754="ED",B1754="UN"),0,""))</x:f>
        <x:v>0</x:v>
      </x:c>
      <x:c r="M1754" s="11" t="n">
        <x:f>IF(AND(K1754=1,OR(B1754="ED",B1754="NED")),1,0)</x:f>
        <x:v>0</x:v>
      </x:c>
      <x:c r="N1754" s="11" t="n">
        <x:f>IF(K1754=1,1,0)</x:f>
        <x:v>1</x:v>
      </x:c>
      <x:c r="O1754" s="12"/>
      <x:c r="P1754" s="11" t="n">
        <x:v>0</x:v>
      </x:c>
      <x:c r="Q1754" s="12" t="str">
        <x:v>AF-Q78JE5-F1-model_v6</x:v>
      </x:c>
      <x:c r="R1754" s="12" t="str">
        <x:v>ok</x:v>
      </x:c>
      <x:c r="S1754" s="11" t="n">
        <x:v>1291</x:v>
      </x:c>
      <x:c r="T1754" s="11" t="n">
        <x:v>402</x:v>
      </x:c>
    </x:row>
    <x:row r="1755" ht="23" customHeight="1">
      <x:c r="A1755" s="2" t="str">
        <x:v>Q78JW9</x:v>
      </x:c>
      <x:c r="B1755" s="2" t="str">
        <x:v>ED</x:v>
      </x:c>
      <x:c r="C1755" s="2" t="n">
        <x:v>0</x:v>
      </x:c>
      <x:c r="D1755" s="2" t="n">
        <x:v>0</x:v>
      </x:c>
      <x:c r="E1755" s="10" t="n">
        <x:v>65.11323369565217</x:v>
      </x:c>
      <x:c r="F1755" s="11" t="n">
        <x:v>368</x:v>
      </x:c>
      <x:c r="G1755" s="11" t="n">
        <x:v>0</x:v>
      </x:c>
      <x:c r="H1755" s="11" t="n">
        <x:v>0</x:v>
      </x:c>
      <x:c r="I1755" s="11" t="n">
        <x:v>0</x:v>
      </x:c>
      <x:c r="J1755" s="11" t="n">
        <x:v>0</x:v>
      </x:c>
      <x:c r="K1755" s="11" t="n">
        <x:v>0</x:v>
      </x:c>
      <x:c r="L1755" s="11" t="n">
        <x:f>IF(B1755="NED",1,IF(OR(B1755="ED",B1755="UN"),0,""))</x:f>
        <x:v>0</x:v>
      </x:c>
      <x:c r="M1755" s="11" t="n">
        <x:f>IF(AND(K1755=1,OR(B1755="ED",B1755="NED")),1,0)</x:f>
        <x:v>0</x:v>
      </x:c>
      <x:c r="N1755" s="11" t="n">
        <x:f>IF(K1755=1,1,0)</x:f>
        <x:v>0</x:v>
      </x:c>
      <x:c r="O1755" s="12" t="str">
        <x:v>Retain protein mean pLDDT &gt;=70</x:v>
      </x:c>
      <x:c r="P1755" s="11" t="n">
        <x:v>0</x:v>
      </x:c>
      <x:c r="Q1755" s="12" t="str">
        <x:v>AF-Q78JW9-F1-model_v6</x:v>
      </x:c>
      <x:c r="R1755" s="12" t="str">
        <x:v>ok</x:v>
      </x:c>
      <x:c r="S1755" s="11" t="n">
        <x:v>1292</x:v>
      </x:c>
      <x:c r="T1755" s="11" t="n">
        <x:v>368</x:v>
      </x:c>
    </x:row>
    <x:row r="1756" ht="23" customHeight="1">
      <x:c r="A1756" s="2" t="str">
        <x:v>Q78PY7</x:v>
      </x:c>
      <x:c r="B1756" s="2" t="str">
        <x:v>UN</x:v>
      </x:c>
      <x:c r="C1756" s="2" t="n">
        <x:v>1</x:v>
      </x:c>
      <x:c r="D1756" s="2" t="n">
        <x:v>1</x:v>
      </x:c>
      <x:c r="E1756" s="10" t="n">
        <x:v>89.84008791208791</x:v>
      </x:c>
      <x:c r="F1756" s="11" t="n">
        <x:v>910</x:v>
      </x:c>
      <x:c r="G1756" s="11" t="n">
        <x:v>0</x:v>
      </x:c>
      <x:c r="H1756" s="11" t="n">
        <x:v>0</x:v>
      </x:c>
      <x:c r="I1756" s="11" t="n">
        <x:v>0</x:v>
      </x:c>
      <x:c r="J1756" s="11" t="n">
        <x:v>0</x:v>
      </x:c>
      <x:c r="K1756" s="11" t="n">
        <x:v>1</x:v>
      </x:c>
      <x:c r="L1756" s="11" t="n">
        <x:f>IF(B1756="NED",1,IF(OR(B1756="ED",B1756="UN"),0,""))</x:f>
        <x:v>0</x:v>
      </x:c>
      <x:c r="M1756" s="11" t="n">
        <x:f>IF(AND(K1756=1,OR(B1756="ED",B1756="NED")),1,0)</x:f>
        <x:v>0</x:v>
      </x:c>
      <x:c r="N1756" s="11" t="n">
        <x:f>IF(K1756=1,1,0)</x:f>
        <x:v>1</x:v>
      </x:c>
      <x:c r="O1756" s="12"/>
      <x:c r="P1756" s="11" t="n">
        <x:v>0</x:v>
      </x:c>
      <x:c r="Q1756" s="12" t="str">
        <x:v>AF-Q78PY7-F1-model_v6</x:v>
      </x:c>
      <x:c r="R1756" s="12" t="str">
        <x:v>ok</x:v>
      </x:c>
      <x:c r="S1756" s="11" t="n">
        <x:v>1293</x:v>
      </x:c>
      <x:c r="T1756" s="11" t="n">
        <x:v>910</x:v>
      </x:c>
    </x:row>
    <x:row r="1757" ht="23" customHeight="1">
      <x:c r="A1757" s="2" t="str">
        <x:v>Q78XF5</x:v>
      </x:c>
      <x:c r="B1757" s="2" t="str">
        <x:v>UN</x:v>
      </x:c>
      <x:c r="C1757" s="2" t="n">
        <x:v>0</x:v>
      </x:c>
      <x:c r="D1757" s="2" t="n">
        <x:v>0</x:v>
      </x:c>
      <x:c r="E1757" s="10"/>
      <x:c r="F1757" s="11" t="n">
        <x:v>149</x:v>
      </x:c>
      <x:c r="G1757" s="11" t="n">
        <x:v>0</x:v>
      </x:c>
      <x:c r="H1757" s="11" t="n">
        <x:v>0</x:v>
      </x:c>
      <x:c r="I1757" s="11" t="n">
        <x:v>1</x:v>
      </x:c>
      <x:c r="J1757" s="11" t="n">
        <x:v>0</x:v>
      </x:c>
      <x:c r="K1757" s="11" t="n">
        <x:v>0</x:v>
      </x:c>
      <x:c r="L1757" s="11" t="n">
        <x:f>IF(B1757="NED",1,IF(OR(B1757="ED",B1757="UN"),0,""))</x:f>
        <x:v>0</x:v>
      </x:c>
      <x:c r="M1757" s="11" t="n">
        <x:f>IF(AND(K1757=1,OR(B1757="ED",B1757="NED")),1,0)</x:f>
        <x:v>0</x:v>
      </x:c>
      <x:c r="N1757" s="11" t="n">
        <x:f>IF(K1757=1,1,0)</x:f>
        <x:v>0</x:v>
      </x:c>
      <x:c r="O1757" s="12" t="str">
        <x:v>Exclude UniProt Membrane keyword</x:v>
      </x:c>
      <x:c r="P1757" s="11" t="n">
        <x:v>0</x:v>
      </x:c>
      <x:c r="Q1757" s="12" t="str">
        <x:v>AF-Q78XF5-F1-model_v6</x:v>
      </x:c>
      <x:c r="R1757" s="12" t="str">
        <x:v>ok</x:v>
      </x:c>
      <x:c r="S1757" s="11" t="n">
        <x:v>1294</x:v>
      </x:c>
      <x:c r="T1757" s="11" t="n">
        <x:v>149</x:v>
      </x:c>
    </x:row>
    <x:row r="1758" ht="23" customHeight="1">
      <x:c r="A1758" s="2" t="str">
        <x:v>Q78YZ6-3</x:v>
      </x:c>
      <x:c r="B1758" s="2" t="str">
        <x:v>UN</x:v>
      </x:c>
      <x:c r="C1758" s="2"/>
      <x:c r="D1758" s="2"/>
      <x:c r="E1758" s="10"/>
      <x:c r="F1758" s="11"/>
      <x:c r="G1758" s="11" t="n">
        <x:v>0</x:v>
      </x:c>
      <x:c r="H1758" s="11" t="n">
        <x:v>0</x:v>
      </x:c>
      <x:c r="I1758" s="11"/>
      <x:c r="J1758" s="11"/>
      <x:c r="K1758" s="11" t="n">
        <x:v>0</x:v>
      </x:c>
      <x:c r="L1758" s="11" t="n">
        <x:f>IF(B1758="NED",1,IF(OR(B1758="ED",B1758="UN"),0,""))</x:f>
        <x:v>0</x:v>
      </x:c>
      <x:c r="M1758" s="11" t="n">
        <x:f>IF(AND(K1758=1,OR(B1758="ED",B1758="NED")),1,0)</x:f>
        <x:v>0</x:v>
      </x:c>
      <x:c r="N1758" s="11" t="n">
        <x:f>IF(K1758=1,1,0)</x:f>
        <x:v>0</x:v>
      </x:c>
      <x:c r="O1758" s="12" t="str">
        <x:v>Require exact native accession match</x:v>
      </x:c>
      <x:c r="P1758" s="11" t="n">
        <x:v>0</x:v>
      </x:c>
      <x:c r="Q1758" s="12"/>
      <x:c r="R1758" s="12"/>
      <x:c r="S1758" s="11" t="n">
        <x:v>1295</x:v>
      </x:c>
      <x:c r="T1758" s="11"/>
    </x:row>
    <x:row r="1759" ht="23" customHeight="1">
      <x:c r="A1759" s="2" t="str">
        <x:v>Q78ZA7</x:v>
      </x:c>
      <x:c r="B1759" s="2" t="str">
        <x:v>ED</x:v>
      </x:c>
      <x:c r="C1759" s="2" t="n">
        <x:v>0</x:v>
      </x:c>
      <x:c r="D1759" s="2" t="n">
        <x:v>0</x:v>
      </x:c>
      <x:c r="E1759" s="10" t="n">
        <x:v>80.16096</x:v>
      </x:c>
      <x:c r="F1759" s="11" t="n">
        <x:v>375</x:v>
      </x:c>
      <x:c r="G1759" s="11" t="n">
        <x:v>0</x:v>
      </x:c>
      <x:c r="H1759" s="11" t="n">
        <x:v>0</x:v>
      </x:c>
      <x:c r="I1759" s="11" t="n">
        <x:v>0</x:v>
      </x:c>
      <x:c r="J1759" s="11" t="n">
        <x:v>0</x:v>
      </x:c>
      <x:c r="K1759" s="11" t="n">
        <x:v>1</x:v>
      </x:c>
      <x:c r="L1759" s="11" t="n">
        <x:f>IF(B1759="NED",1,IF(OR(B1759="ED",B1759="UN"),0,""))</x:f>
        <x:v>0</x:v>
      </x:c>
      <x:c r="M1759" s="11" t="n">
        <x:f>IF(AND(K1759=1,OR(B1759="ED",B1759="NED")),1,0)</x:f>
        <x:v>1</x:v>
      </x:c>
      <x:c r="N1759" s="11" t="n">
        <x:f>IF(K1759=1,1,0)</x:f>
        <x:v>1</x:v>
      </x:c>
      <x:c r="O1759" s="12"/>
      <x:c r="P1759" s="11" t="n">
        <x:v>0</x:v>
      </x:c>
      <x:c r="Q1759" s="12" t="str">
        <x:v>AF-Q78ZA7-F1-model_v6</x:v>
      </x:c>
      <x:c r="R1759" s="12" t="str">
        <x:v>ok</x:v>
      </x:c>
      <x:c r="S1759" s="11" t="n">
        <x:v>1296</x:v>
      </x:c>
      <x:c r="T1759" s="11" t="n">
        <x:v>375</x:v>
      </x:c>
    </x:row>
    <x:row r="1760" ht="23" customHeight="1">
      <x:c r="A1760" s="2" t="str">
        <x:v>Q791V5</x:v>
      </x:c>
      <x:c r="B1760" s="2" t="str">
        <x:v>UN</x:v>
      </x:c>
      <x:c r="C1760" s="2" t="n">
        <x:v>1</x:v>
      </x:c>
      <x:c r="D1760" s="2" t="n">
        <x:v>1</x:v>
      </x:c>
      <x:c r="E1760" s="10"/>
      <x:c r="F1760" s="11" t="n">
        <x:v>303</x:v>
      </x:c>
      <x:c r="G1760" s="11" t="n">
        <x:v>0</x:v>
      </x:c>
      <x:c r="H1760" s="11" t="n">
        <x:v>0</x:v>
      </x:c>
      <x:c r="I1760" s="11" t="n">
        <x:v>1</x:v>
      </x:c>
      <x:c r="J1760" s="11" t="n">
        <x:v>0</x:v>
      </x:c>
      <x:c r="K1760" s="11" t="n">
        <x:v>0</x:v>
      </x:c>
      <x:c r="L1760" s="11" t="n">
        <x:f>IF(B1760="NED",1,IF(OR(B1760="ED",B1760="UN"),0,""))</x:f>
        <x:v>0</x:v>
      </x:c>
      <x:c r="M1760" s="11" t="n">
        <x:f>IF(AND(K1760=1,OR(B1760="ED",B1760="NED")),1,0)</x:f>
        <x:v>0</x:v>
      </x:c>
      <x:c r="N1760" s="11" t="n">
        <x:f>IF(K1760=1,1,0)</x:f>
        <x:v>0</x:v>
      </x:c>
      <x:c r="O1760" s="12" t="str">
        <x:v>Exclude UniProt Membrane keyword</x:v>
      </x:c>
      <x:c r="P1760" s="11" t="n">
        <x:v>0</x:v>
      </x:c>
      <x:c r="Q1760" s="12" t="str">
        <x:v>AF-Q791V5-F1-model_v6</x:v>
      </x:c>
      <x:c r="R1760" s="12" t="str">
        <x:v>ok</x:v>
      </x:c>
      <x:c r="S1760" s="11" t="n">
        <x:v>1297</x:v>
      </x:c>
      <x:c r="T1760" s="11" t="n">
        <x:v>303</x:v>
      </x:c>
    </x:row>
    <x:row r="1761" ht="23" customHeight="1">
      <x:c r="A1761" s="2" t="str">
        <x:v>Q7JJ13</x:v>
      </x:c>
      <x:c r="B1761" s="2" t="str">
        <x:v>UN</x:v>
      </x:c>
      <x:c r="C1761" s="2" t="n">
        <x:v>0</x:v>
      </x:c>
      <x:c r="D1761" s="2" t="n">
        <x:v>0</x:v>
      </x:c>
      <x:c r="E1761" s="10" t="n">
        <x:v>64.68159147869675</x:v>
      </x:c>
      <x:c r="F1761" s="11" t="n">
        <x:v>798</x:v>
      </x:c>
      <x:c r="G1761" s="11" t="n">
        <x:v>0</x:v>
      </x:c>
      <x:c r="H1761" s="11" t="n">
        <x:v>0</x:v>
      </x:c>
      <x:c r="I1761" s="11" t="n">
        <x:v>0</x:v>
      </x:c>
      <x:c r="J1761" s="11" t="n">
        <x:v>0</x:v>
      </x:c>
      <x:c r="K1761" s="11" t="n">
        <x:v>0</x:v>
      </x:c>
      <x:c r="L1761" s="11" t="n">
        <x:f>IF(B1761="NED",1,IF(OR(B1761="ED",B1761="UN"),0,""))</x:f>
        <x:v>0</x:v>
      </x:c>
      <x:c r="M1761" s="11" t="n">
        <x:f>IF(AND(K1761=1,OR(B1761="ED",B1761="NED")),1,0)</x:f>
        <x:v>0</x:v>
      </x:c>
      <x:c r="N1761" s="11" t="n">
        <x:f>IF(K1761=1,1,0)</x:f>
        <x:v>0</x:v>
      </x:c>
      <x:c r="O1761" s="12" t="str">
        <x:v>Retain protein mean pLDDT &gt;=70</x:v>
      </x:c>
      <x:c r="P1761" s="11" t="n">
        <x:v>0</x:v>
      </x:c>
      <x:c r="Q1761" s="12" t="str">
        <x:v>AF-Q7JJ13-F1-model_v6</x:v>
      </x:c>
      <x:c r="R1761" s="12" t="str">
        <x:v>ok</x:v>
      </x:c>
      <x:c r="S1761" s="11" t="n">
        <x:v>1298</x:v>
      </x:c>
      <x:c r="T1761" s="11" t="n">
        <x:v>798</x:v>
      </x:c>
    </x:row>
    <x:row r="1762" ht="23" customHeight="1">
      <x:c r="A1762" s="2" t="str">
        <x:v>Q7M6Y3-6</x:v>
      </x:c>
      <x:c r="B1762" s="2" t="str">
        <x:v>UN</x:v>
      </x:c>
      <x:c r="C1762" s="2"/>
      <x:c r="D1762" s="2"/>
      <x:c r="E1762" s="10"/>
      <x:c r="F1762" s="11"/>
      <x:c r="G1762" s="11" t="n">
        <x:v>0</x:v>
      </x:c>
      <x:c r="H1762" s="11" t="n">
        <x:v>0</x:v>
      </x:c>
      <x:c r="I1762" s="11"/>
      <x:c r="J1762" s="11"/>
      <x:c r="K1762" s="11" t="n">
        <x:v>0</x:v>
      </x:c>
      <x:c r="L1762" s="11" t="n">
        <x:f>IF(B1762="NED",1,IF(OR(B1762="ED",B1762="UN"),0,""))</x:f>
        <x:v>0</x:v>
      </x:c>
      <x:c r="M1762" s="11" t="n">
        <x:f>IF(AND(K1762=1,OR(B1762="ED",B1762="NED")),1,0)</x:f>
        <x:v>0</x:v>
      </x:c>
      <x:c r="N1762" s="11" t="n">
        <x:f>IF(K1762=1,1,0)</x:f>
        <x:v>0</x:v>
      </x:c>
      <x:c r="O1762" s="12" t="str">
        <x:v>Require exact native accession match</x:v>
      </x:c>
      <x:c r="P1762" s="11" t="n">
        <x:v>0</x:v>
      </x:c>
      <x:c r="Q1762" s="12"/>
      <x:c r="R1762" s="12"/>
      <x:c r="S1762" s="11" t="n">
        <x:v>1299</x:v>
      </x:c>
      <x:c r="T1762" s="11"/>
    </x:row>
    <x:row r="1763" ht="23" customHeight="1">
      <x:c r="A1763" s="2" t="str">
        <x:v>Q7M739</x:v>
      </x:c>
      <x:c r="B1763" s="2" t="str">
        <x:v>NED</x:v>
      </x:c>
      <x:c r="C1763" s="2"/>
      <x:c r="D1763" s="2"/>
      <x:c r="E1763" s="10"/>
      <x:c r="F1763" s="11"/>
      <x:c r="G1763" s="11" t="n">
        <x:v>0</x:v>
      </x:c>
      <x:c r="H1763" s="11" t="n">
        <x:v>0</x:v>
      </x:c>
      <x:c r="I1763" s="11" t="n">
        <x:v>1</x:v>
      </x:c>
      <x:c r="J1763" s="11" t="n">
        <x:v>0</x:v>
      </x:c>
      <x:c r="K1763" s="11" t="n">
        <x:v>0</x:v>
      </x:c>
      <x:c r="L1763" s="11" t="n">
        <x:f>IF(B1763="NED",1,IF(OR(B1763="ED",B1763="UN"),0,""))</x:f>
        <x:v>1</x:v>
      </x:c>
      <x:c r="M1763" s="11" t="n">
        <x:f>IF(AND(K1763=1,OR(B1763="ED",B1763="NED")),1,0)</x:f>
        <x:v>0</x:v>
      </x:c>
      <x:c r="N1763" s="11" t="n">
        <x:f>IF(K1763=1,1,0)</x:f>
        <x:v>0</x:v>
      </x:c>
      <x:c r="O1763" s="12" t="str">
        <x:v>Require exact native accession match</x:v>
      </x:c>
      <x:c r="P1763" s="11" t="n">
        <x:v>0</x:v>
      </x:c>
      <x:c r="Q1763" s="12"/>
      <x:c r="R1763" s="12"/>
      <x:c r="S1763" s="11" t="n">
        <x:v>3206</x:v>
      </x:c>
      <x:c r="T1763" s="11" t="n">
        <x:v>2357</x:v>
      </x:c>
    </x:row>
    <x:row r="1764" ht="23" customHeight="1">
      <x:c r="A1764" s="2" t="str">
        <x:v>Q7TMB8</x:v>
      </x:c>
      <x:c r="B1764" s="2" t="str">
        <x:v>NED</x:v>
      </x:c>
      <x:c r="C1764" s="2" t="n">
        <x:v>1</x:v>
      </x:c>
      <x:c r="D1764" s="2" t="n">
        <x:v>1</x:v>
      </x:c>
      <x:c r="E1764" s="10" t="n">
        <x:v>90.97062250598565</x:v>
      </x:c>
      <x:c r="F1764" s="11" t="n">
        <x:v>1253</x:v>
      </x:c>
      <x:c r="G1764" s="11" t="n">
        <x:v>0</x:v>
      </x:c>
      <x:c r="H1764" s="11" t="n">
        <x:v>0</x:v>
      </x:c>
      <x:c r="I1764" s="11" t="n">
        <x:v>0</x:v>
      </x:c>
      <x:c r="J1764" s="11" t="n">
        <x:v>0</x:v>
      </x:c>
      <x:c r="K1764" s="11" t="n">
        <x:v>1</x:v>
      </x:c>
      <x:c r="L1764" s="11" t="n">
        <x:f>IF(B1764="NED",1,IF(OR(B1764="ED",B1764="UN"),0,""))</x:f>
        <x:v>1</x:v>
      </x:c>
      <x:c r="M1764" s="11" t="n">
        <x:f>IF(AND(K1764=1,OR(B1764="ED",B1764="NED")),1,0)</x:f>
        <x:v>1</x:v>
      </x:c>
      <x:c r="N1764" s="11" t="n">
        <x:f>IF(K1764=1,1,0)</x:f>
        <x:v>1</x:v>
      </x:c>
      <x:c r="O1764" s="12"/>
      <x:c r="P1764" s="11" t="n">
        <x:v>0</x:v>
      </x:c>
      <x:c r="Q1764" s="12" t="str">
        <x:v>AF-Q7TMB8-F1-model_v6</x:v>
      </x:c>
      <x:c r="R1764" s="12" t="str">
        <x:v>ok</x:v>
      </x:c>
      <x:c r="S1764" s="11" t="n">
        <x:v>1300</x:v>
      </x:c>
      <x:c r="T1764" s="11" t="n">
        <x:v>1253</x:v>
      </x:c>
    </x:row>
    <x:row r="1765" ht="23" customHeight="1">
      <x:c r="A1765" s="2" t="str">
        <x:v>Q7TME2</x:v>
      </x:c>
      <x:c r="B1765" s="2" t="str">
        <x:v>ED</x:v>
      </x:c>
      <x:c r="C1765" s="2" t="n">
        <x:v>0</x:v>
      </x:c>
      <x:c r="D1765" s="2" t="n">
        <x:v>0</x:v>
      </x:c>
      <x:c r="E1765" s="10" t="n">
        <x:v>63.49997424892704</x:v>
      </x:c>
      <x:c r="F1765" s="11" t="n">
        <x:v>1165</x:v>
      </x:c>
      <x:c r="G1765" s="11" t="n">
        <x:v>0</x:v>
      </x:c>
      <x:c r="H1765" s="11" t="n">
        <x:v>0</x:v>
      </x:c>
      <x:c r="I1765" s="11" t="n">
        <x:v>0</x:v>
      </x:c>
      <x:c r="J1765" s="11" t="n">
        <x:v>0</x:v>
      </x:c>
      <x:c r="K1765" s="11" t="n">
        <x:v>0</x:v>
      </x:c>
      <x:c r="L1765" s="11" t="n">
        <x:f>IF(B1765="NED",1,IF(OR(B1765="ED",B1765="UN"),0,""))</x:f>
        <x:v>0</x:v>
      </x:c>
      <x:c r="M1765" s="11" t="n">
        <x:f>IF(AND(K1765=1,OR(B1765="ED",B1765="NED")),1,0)</x:f>
        <x:v>0</x:v>
      </x:c>
      <x:c r="N1765" s="11" t="n">
        <x:f>IF(K1765=1,1,0)</x:f>
        <x:v>0</x:v>
      </x:c>
      <x:c r="O1765" s="12" t="str">
        <x:v>Retain protein mean pLDDT &gt;=70</x:v>
      </x:c>
      <x:c r="P1765" s="11" t="n">
        <x:v>0</x:v>
      </x:c>
      <x:c r="Q1765" s="12" t="str">
        <x:v>AF-Q7TME2-F1-model_v6</x:v>
      </x:c>
      <x:c r="R1765" s="12" t="str">
        <x:v>ok</x:v>
      </x:c>
      <x:c r="S1765" s="11" t="n">
        <x:v>1301</x:v>
      </x:c>
      <x:c r="T1765" s="11" t="n">
        <x:v>1165</x:v>
      </x:c>
    </x:row>
    <x:row r="1766" ht="23" customHeight="1">
      <x:c r="A1766" s="2" t="str">
        <x:v>Q7TMK9-2</x:v>
      </x:c>
      <x:c r="B1766" s="2" t="str">
        <x:v>UN</x:v>
      </x:c>
      <x:c r="C1766" s="2"/>
      <x:c r="D1766" s="2"/>
      <x:c r="E1766" s="10"/>
      <x:c r="F1766" s="11"/>
      <x:c r="G1766" s="11" t="n">
        <x:v>0</x:v>
      </x:c>
      <x:c r="H1766" s="11" t="n">
        <x:v>0</x:v>
      </x:c>
      <x:c r="I1766" s="11"/>
      <x:c r="J1766" s="11"/>
      <x:c r="K1766" s="11" t="n">
        <x:v>0</x:v>
      </x:c>
      <x:c r="L1766" s="11" t="n">
        <x:f>IF(B1766="NED",1,IF(OR(B1766="ED",B1766="UN"),0,""))</x:f>
        <x:v>0</x:v>
      </x:c>
      <x:c r="M1766" s="11" t="n">
        <x:f>IF(AND(K1766=1,OR(B1766="ED",B1766="NED")),1,0)</x:f>
        <x:v>0</x:v>
      </x:c>
      <x:c r="N1766" s="11" t="n">
        <x:f>IF(K1766=1,1,0)</x:f>
        <x:v>0</x:v>
      </x:c>
      <x:c r="O1766" s="12" t="str">
        <x:v>Require exact native accession match</x:v>
      </x:c>
      <x:c r="P1766" s="11" t="n">
        <x:v>0</x:v>
      </x:c>
      <x:c r="Q1766" s="12"/>
      <x:c r="R1766" s="12"/>
      <x:c r="S1766" s="11" t="n">
        <x:v>1302</x:v>
      </x:c>
      <x:c r="T1766" s="11"/>
    </x:row>
    <x:row r="1767" ht="23" customHeight="1">
      <x:c r="A1767" s="2" t="str">
        <x:v>Q7TMM9</x:v>
      </x:c>
      <x:c r="B1767" s="2" t="str">
        <x:v>UN</x:v>
      </x:c>
      <x:c r="C1767" s="2" t="n">
        <x:v>1</x:v>
      </x:c>
      <x:c r="D1767" s="2" t="n">
        <x:v>1</x:v>
      </x:c>
      <x:c r="E1767" s="10" t="n">
        <x:v>91.8865617977528</x:v>
      </x:c>
      <x:c r="F1767" s="11" t="n">
        <x:v>445</x:v>
      </x:c>
      <x:c r="G1767" s="11" t="n">
        <x:v>0</x:v>
      </x:c>
      <x:c r="H1767" s="11" t="n">
        <x:v>0</x:v>
      </x:c>
      <x:c r="I1767" s="11" t="n">
        <x:v>0</x:v>
      </x:c>
      <x:c r="J1767" s="11" t="n">
        <x:v>0</x:v>
      </x:c>
      <x:c r="K1767" s="11" t="n">
        <x:v>1</x:v>
      </x:c>
      <x:c r="L1767" s="11" t="n">
        <x:f>IF(B1767="NED",1,IF(OR(B1767="ED",B1767="UN"),0,""))</x:f>
        <x:v>0</x:v>
      </x:c>
      <x:c r="M1767" s="11" t="n">
        <x:f>IF(AND(K1767=1,OR(B1767="ED",B1767="NED")),1,0)</x:f>
        <x:v>0</x:v>
      </x:c>
      <x:c r="N1767" s="11" t="n">
        <x:f>IF(K1767=1,1,0)</x:f>
        <x:v>1</x:v>
      </x:c>
      <x:c r="O1767" s="12"/>
      <x:c r="P1767" s="11" t="n">
        <x:v>0</x:v>
      </x:c>
      <x:c r="Q1767" s="12" t="str">
        <x:v>AF-Q7TMM9-F1-model_v6</x:v>
      </x:c>
      <x:c r="R1767" s="12" t="str">
        <x:v>ok</x:v>
      </x:c>
      <x:c r="S1767" s="11" t="n">
        <x:v>1303</x:v>
      </x:c>
      <x:c r="T1767" s="11" t="n">
        <x:v>445</x:v>
      </x:c>
    </x:row>
    <x:row r="1768" ht="23" customHeight="1">
      <x:c r="A1768" s="2" t="str">
        <x:v>Q7TMQ7</x:v>
      </x:c>
      <x:c r="B1768" s="2" t="str">
        <x:v>ED</x:v>
      </x:c>
      <x:c r="C1768" s="2" t="n">
        <x:v>1</x:v>
      </x:c>
      <x:c r="D1768" s="2" t="n">
        <x:v>1</x:v>
      </x:c>
      <x:c r="E1768" s="10"/>
      <x:c r="F1768" s="11" t="n">
        <x:v>748</x:v>
      </x:c>
      <x:c r="G1768" s="11" t="n">
        <x:v>0</x:v>
      </x:c>
      <x:c r="H1768" s="11" t="n">
        <x:v>0</x:v>
      </x:c>
      <x:c r="I1768" s="11" t="n">
        <x:v>1</x:v>
      </x:c>
      <x:c r="J1768" s="11" t="n">
        <x:v>0</x:v>
      </x:c>
      <x:c r="K1768" s="11" t="n">
        <x:v>0</x:v>
      </x:c>
      <x:c r="L1768" s="11" t="n">
        <x:f>IF(B1768="NED",1,IF(OR(B1768="ED",B1768="UN"),0,""))</x:f>
        <x:v>0</x:v>
      </x:c>
      <x:c r="M1768" s="11" t="n">
        <x:f>IF(AND(K1768=1,OR(B1768="ED",B1768="NED")),1,0)</x:f>
        <x:v>0</x:v>
      </x:c>
      <x:c r="N1768" s="11" t="n">
        <x:f>IF(K1768=1,1,0)</x:f>
        <x:v>0</x:v>
      </x:c>
      <x:c r="O1768" s="12" t="str">
        <x:v>Exclude UniProt Membrane keyword</x:v>
      </x:c>
      <x:c r="P1768" s="11" t="n">
        <x:v>0</x:v>
      </x:c>
      <x:c r="Q1768" s="12" t="str">
        <x:v>AF-Q7TMQ7-F1-model_v6</x:v>
      </x:c>
      <x:c r="R1768" s="12" t="str">
        <x:v>ok</x:v>
      </x:c>
      <x:c r="S1768" s="11" t="n">
        <x:v>1304</x:v>
      </x:c>
      <x:c r="T1768" s="11" t="n">
        <x:v>748</x:v>
      </x:c>
    </x:row>
    <x:row r="1769" ht="23" customHeight="1">
      <x:c r="A1769" s="2" t="str">
        <x:v>Q7TMV3</x:v>
      </x:c>
      <x:c r="B1769" s="2" t="str">
        <x:v>UN</x:v>
      </x:c>
      <x:c r="C1769" s="2" t="n">
        <x:v>1</x:v>
      </x:c>
      <x:c r="D1769" s="2" t="n">
        <x:v>1</x:v>
      </x:c>
      <x:c r="E1769" s="10" t="n">
        <x:v>78.33188976377953</x:v>
      </x:c>
      <x:c r="F1769" s="11" t="n">
        <x:v>762</x:v>
      </x:c>
      <x:c r="G1769" s="11" t="n">
        <x:v>0</x:v>
      </x:c>
      <x:c r="H1769" s="11" t="n">
        <x:v>0</x:v>
      </x:c>
      <x:c r="I1769" s="11" t="n">
        <x:v>0</x:v>
      </x:c>
      <x:c r="J1769" s="11" t="n">
        <x:v>0</x:v>
      </x:c>
      <x:c r="K1769" s="11" t="n">
        <x:v>1</x:v>
      </x:c>
      <x:c r="L1769" s="11" t="n">
        <x:f>IF(B1769="NED",1,IF(OR(B1769="ED",B1769="UN"),0,""))</x:f>
        <x:v>0</x:v>
      </x:c>
      <x:c r="M1769" s="11" t="n">
        <x:f>IF(AND(K1769=1,OR(B1769="ED",B1769="NED")),1,0)</x:f>
        <x:v>0</x:v>
      </x:c>
      <x:c r="N1769" s="11" t="n">
        <x:f>IF(K1769=1,1,0)</x:f>
        <x:v>1</x:v>
      </x:c>
      <x:c r="O1769" s="12"/>
      <x:c r="P1769" s="11" t="n">
        <x:v>0</x:v>
      </x:c>
      <x:c r="Q1769" s="12" t="str">
        <x:v>AF-Q7TMV3-F1-model_v6</x:v>
      </x:c>
      <x:c r="R1769" s="12" t="str">
        <x:v>ok</x:v>
      </x:c>
      <x:c r="S1769" s="11" t="n">
        <x:v>1305</x:v>
      </x:c>
      <x:c r="T1769" s="11" t="n">
        <x:v>762</x:v>
      </x:c>
    </x:row>
    <x:row r="1770" ht="23" customHeight="1">
      <x:c r="A1770" s="2" t="str">
        <x:v>Q7TMY8-3</x:v>
      </x:c>
      <x:c r="B1770" s="2" t="str">
        <x:v>NED</x:v>
      </x:c>
      <x:c r="C1770" s="2"/>
      <x:c r="D1770" s="2"/>
      <x:c r="E1770" s="10"/>
      <x:c r="F1770" s="11"/>
      <x:c r="G1770" s="11" t="n">
        <x:v>0</x:v>
      </x:c>
      <x:c r="H1770" s="11" t="n">
        <x:v>0</x:v>
      </x:c>
      <x:c r="I1770" s="11"/>
      <x:c r="J1770" s="11"/>
      <x:c r="K1770" s="11" t="n">
        <x:v>0</x:v>
      </x:c>
      <x:c r="L1770" s="11" t="n">
        <x:f>IF(B1770="NED",1,IF(OR(B1770="ED",B1770="UN"),0,""))</x:f>
        <x:v>1</x:v>
      </x:c>
      <x:c r="M1770" s="11" t="n">
        <x:f>IF(AND(K1770=1,OR(B1770="ED",B1770="NED")),1,0)</x:f>
        <x:v>0</x:v>
      </x:c>
      <x:c r="N1770" s="11" t="n">
        <x:f>IF(K1770=1,1,0)</x:f>
        <x:v>0</x:v>
      </x:c>
      <x:c r="O1770" s="12" t="str">
        <x:v>Require exact native accession match</x:v>
      </x:c>
      <x:c r="P1770" s="11" t="n">
        <x:v>0</x:v>
      </x:c>
      <x:c r="Q1770" s="12"/>
      <x:c r="R1770" s="12"/>
      <x:c r="S1770" s="11" t="n">
        <x:v>1306</x:v>
      </x:c>
      <x:c r="T1770" s="11"/>
    </x:row>
    <x:row r="1771" ht="23" customHeight="1">
      <x:c r="A1771" s="2" t="str">
        <x:v>Q7TN98-4</x:v>
      </x:c>
      <x:c r="B1771" s="2" t="str">
        <x:v>ED</x:v>
      </x:c>
      <x:c r="C1771" s="2"/>
      <x:c r="D1771" s="2"/>
      <x:c r="E1771" s="10"/>
      <x:c r="F1771" s="11"/>
      <x:c r="G1771" s="11" t="n">
        <x:v>0</x:v>
      </x:c>
      <x:c r="H1771" s="11" t="n">
        <x:v>0</x:v>
      </x:c>
      <x:c r="I1771" s="11"/>
      <x:c r="J1771" s="11"/>
      <x:c r="K1771" s="11" t="n">
        <x:v>0</x:v>
      </x:c>
      <x:c r="L1771" s="11" t="n">
        <x:f>IF(B1771="NED",1,IF(OR(B1771="ED",B1771="UN"),0,""))</x:f>
        <x:v>0</x:v>
      </x:c>
      <x:c r="M1771" s="11" t="n">
        <x:f>IF(AND(K1771=1,OR(B1771="ED",B1771="NED")),1,0)</x:f>
        <x:v>0</x:v>
      </x:c>
      <x:c r="N1771" s="11" t="n">
        <x:f>IF(K1771=1,1,0)</x:f>
        <x:v>0</x:v>
      </x:c>
      <x:c r="O1771" s="12" t="str">
        <x:v>Require exact native accession match</x:v>
      </x:c>
      <x:c r="P1771" s="11" t="n">
        <x:v>0</x:v>
      </x:c>
      <x:c r="Q1771" s="12"/>
      <x:c r="R1771" s="12"/>
      <x:c r="S1771" s="11" t="n">
        <x:v>1307</x:v>
      </x:c>
      <x:c r="T1771" s="11"/>
    </x:row>
    <x:row r="1772" ht="23" customHeight="1">
      <x:c r="A1772" s="2" t="str">
        <x:v>Q7TNC4-2</x:v>
      </x:c>
      <x:c r="B1772" s="2" t="str">
        <x:v>UN</x:v>
      </x:c>
      <x:c r="C1772" s="2"/>
      <x:c r="D1772" s="2"/>
      <x:c r="E1772" s="10"/>
      <x:c r="F1772" s="11"/>
      <x:c r="G1772" s="11" t="n">
        <x:v>0</x:v>
      </x:c>
      <x:c r="H1772" s="11" t="n">
        <x:v>0</x:v>
      </x:c>
      <x:c r="I1772" s="11"/>
      <x:c r="J1772" s="11"/>
      <x:c r="K1772" s="11" t="n">
        <x:v>0</x:v>
      </x:c>
      <x:c r="L1772" s="11" t="n">
        <x:f>IF(B1772="NED",1,IF(OR(B1772="ED",B1772="UN"),0,""))</x:f>
        <x:v>0</x:v>
      </x:c>
      <x:c r="M1772" s="11" t="n">
        <x:f>IF(AND(K1772=1,OR(B1772="ED",B1772="NED")),1,0)</x:f>
        <x:v>0</x:v>
      </x:c>
      <x:c r="N1772" s="11" t="n">
        <x:f>IF(K1772=1,1,0)</x:f>
        <x:v>0</x:v>
      </x:c>
      <x:c r="O1772" s="12" t="str">
        <x:v>Require exact native accession match</x:v>
      </x:c>
      <x:c r="P1772" s="11" t="n">
        <x:v>0</x:v>
      </x:c>
      <x:c r="Q1772" s="12"/>
      <x:c r="R1772" s="12"/>
      <x:c r="S1772" s="11" t="n">
        <x:v>1308</x:v>
      </x:c>
      <x:c r="T1772" s="11"/>
    </x:row>
    <x:row r="1773" ht="23" customHeight="1">
      <x:c r="A1773" s="2" t="str">
        <x:v>Q7TNL7</x:v>
      </x:c>
      <x:c r="B1773" s="2" t="str">
        <x:v>ED</x:v>
      </x:c>
      <x:c r="C1773" s="2" t="n">
        <x:v>1</x:v>
      </x:c>
      <x:c r="D1773" s="2" t="n">
        <x:v>1</x:v>
      </x:c>
      <x:c r="E1773" s="10" t="n">
        <x:v>69.64889380530974</x:v>
      </x:c>
      <x:c r="F1773" s="11" t="n">
        <x:v>452</x:v>
      </x:c>
      <x:c r="G1773" s="11" t="n">
        <x:v>0</x:v>
      </x:c>
      <x:c r="H1773" s="11" t="n">
        <x:v>0</x:v>
      </x:c>
      <x:c r="I1773" s="11" t="n">
        <x:v>0</x:v>
      </x:c>
      <x:c r="J1773" s="11" t="n">
        <x:v>0</x:v>
      </x:c>
      <x:c r="K1773" s="11" t="n">
        <x:v>0</x:v>
      </x:c>
      <x:c r="L1773" s="11" t="n">
        <x:f>IF(B1773="NED",1,IF(OR(B1773="ED",B1773="UN"),0,""))</x:f>
        <x:v>0</x:v>
      </x:c>
      <x:c r="M1773" s="11" t="n">
        <x:f>IF(AND(K1773=1,OR(B1773="ED",B1773="NED")),1,0)</x:f>
        <x:v>0</x:v>
      </x:c>
      <x:c r="N1773" s="11" t="n">
        <x:f>IF(K1773=1,1,0)</x:f>
        <x:v>0</x:v>
      </x:c>
      <x:c r="O1773" s="12" t="str">
        <x:v>Retain protein mean pLDDT &gt;=70</x:v>
      </x:c>
      <x:c r="P1773" s="11" t="n">
        <x:v>0</x:v>
      </x:c>
      <x:c r="Q1773" s="12" t="str">
        <x:v>AF-Q7TNL7-F1-model_v6</x:v>
      </x:c>
      <x:c r="R1773" s="12" t="str">
        <x:v>ok</x:v>
      </x:c>
      <x:c r="S1773" s="11" t="n">
        <x:v>3207</x:v>
      </x:c>
      <x:c r="T1773" s="11" t="n">
        <x:v>452</x:v>
      </x:c>
    </x:row>
    <x:row r="1774" ht="23" customHeight="1">
      <x:c r="A1774" s="2" t="str">
        <x:v>Q7TNP2</x:v>
      </x:c>
      <x:c r="B1774" s="2" t="str">
        <x:v>UN</x:v>
      </x:c>
      <x:c r="C1774" s="2" t="n">
        <x:v>0</x:v>
      </x:c>
      <x:c r="D1774" s="2" t="n">
        <x:v>0</x:v>
      </x:c>
      <x:c r="E1774" s="10" t="n">
        <x:v>92.59059900166388</x:v>
      </x:c>
      <x:c r="F1774" s="11" t="n">
        <x:v>601</x:v>
      </x:c>
      <x:c r="G1774" s="11" t="n">
        <x:v>0</x:v>
      </x:c>
      <x:c r="H1774" s="11" t="n">
        <x:v>0</x:v>
      </x:c>
      <x:c r="I1774" s="11" t="n">
        <x:v>0</x:v>
      </x:c>
      <x:c r="J1774" s="11" t="n">
        <x:v>0</x:v>
      </x:c>
      <x:c r="K1774" s="11" t="n">
        <x:v>1</x:v>
      </x:c>
      <x:c r="L1774" s="11" t="n">
        <x:f>IF(B1774="NED",1,IF(OR(B1774="ED",B1774="UN"),0,""))</x:f>
        <x:v>0</x:v>
      </x:c>
      <x:c r="M1774" s="11" t="n">
        <x:f>IF(AND(K1774=1,OR(B1774="ED",B1774="NED")),1,0)</x:f>
        <x:v>0</x:v>
      </x:c>
      <x:c r="N1774" s="11" t="n">
        <x:f>IF(K1774=1,1,0)</x:f>
        <x:v>1</x:v>
      </x:c>
      <x:c r="O1774" s="12"/>
      <x:c r="P1774" s="11" t="n">
        <x:v>0</x:v>
      </x:c>
      <x:c r="Q1774" s="12" t="str">
        <x:v>AF-Q7TNP2-F1-model_v6</x:v>
      </x:c>
      <x:c r="R1774" s="12" t="str">
        <x:v>ok</x:v>
      </x:c>
      <x:c r="S1774" s="11" t="n">
        <x:v>1309</x:v>
      </x:c>
      <x:c r="T1774" s="11" t="n">
        <x:v>601</x:v>
      </x:c>
    </x:row>
    <x:row r="1775" ht="23" customHeight="1">
      <x:c r="A1775" s="2" t="str">
        <x:v>Q7TNV0</x:v>
      </x:c>
      <x:c r="B1775" s="2" t="str">
        <x:v>ED</x:v>
      </x:c>
      <x:c r="C1775" s="2" t="n">
        <x:v>1</x:v>
      </x:c>
      <x:c r="D1775" s="2"/>
      <x:c r="E1775" s="10" t="n">
        <x:v>65.2437894736842</x:v>
      </x:c>
      <x:c r="F1775" s="11" t="n">
        <x:v>380</x:v>
      </x:c>
      <x:c r="G1775" s="11" t="n">
        <x:v>0</x:v>
      </x:c>
      <x:c r="H1775" s="11" t="n">
        <x:v>0</x:v>
      </x:c>
      <x:c r="I1775" s="11" t="n">
        <x:v>0</x:v>
      </x:c>
      <x:c r="J1775" s="11" t="n">
        <x:v>0</x:v>
      </x:c>
      <x:c r="K1775" s="11" t="n">
        <x:v>0</x:v>
      </x:c>
      <x:c r="L1775" s="11" t="n">
        <x:f>IF(B1775="NED",1,IF(OR(B1775="ED",B1775="UN"),0,""))</x:f>
        <x:v>0</x:v>
      </x:c>
      <x:c r="M1775" s="11" t="n">
        <x:f>IF(AND(K1775=1,OR(B1775="ED",B1775="NED")),1,0)</x:f>
        <x:v>0</x:v>
      </x:c>
      <x:c r="N1775" s="11" t="n">
        <x:f>IF(K1775=1,1,0)</x:f>
        <x:v>0</x:v>
      </x:c>
      <x:c r="O1775" s="12" t="str">
        <x:v>Retain protein mean pLDDT &gt;=70</x:v>
      </x:c>
      <x:c r="P1775" s="11" t="n">
        <x:v>0</x:v>
      </x:c>
      <x:c r="Q1775" s="12" t="str">
        <x:v>AF-Q7TNV0-F1-model_v6</x:v>
      </x:c>
      <x:c r="R1775" s="12" t="str">
        <x:v>ok</x:v>
      </x:c>
      <x:c r="S1775" s="11" t="n">
        <x:v>1310</x:v>
      </x:c>
      <x:c r="T1775" s="11" t="n">
        <x:v>380</x:v>
      </x:c>
    </x:row>
    <x:row r="1776" ht="23" customHeight="1">
      <x:c r="A1776" s="2" t="str">
        <x:v>Q7TPD0</x:v>
      </x:c>
      <x:c r="B1776" s="2" t="str">
        <x:v>UN</x:v>
      </x:c>
      <x:c r="C1776" s="2" t="n">
        <x:v>0</x:v>
      </x:c>
      <x:c r="D1776" s="2" t="n">
        <x:v>0</x:v>
      </x:c>
      <x:c r="E1776" s="10" t="n">
        <x:v>83.51062439961575</x:v>
      </x:c>
      <x:c r="F1776" s="11" t="n">
        <x:v>1041</x:v>
      </x:c>
      <x:c r="G1776" s="11" t="n">
        <x:v>0</x:v>
      </x:c>
      <x:c r="H1776" s="11" t="n">
        <x:v>0</x:v>
      </x:c>
      <x:c r="I1776" s="11" t="n">
        <x:v>0</x:v>
      </x:c>
      <x:c r="J1776" s="11" t="n">
        <x:v>0</x:v>
      </x:c>
      <x:c r="K1776" s="11" t="n">
        <x:v>1</x:v>
      </x:c>
      <x:c r="L1776" s="11" t="n">
        <x:f>IF(B1776="NED",1,IF(OR(B1776="ED",B1776="UN"),0,""))</x:f>
        <x:v>0</x:v>
      </x:c>
      <x:c r="M1776" s="11" t="n">
        <x:f>IF(AND(K1776=1,OR(B1776="ED",B1776="NED")),1,0)</x:f>
        <x:v>0</x:v>
      </x:c>
      <x:c r="N1776" s="11" t="n">
        <x:f>IF(K1776=1,1,0)</x:f>
        <x:v>1</x:v>
      </x:c>
      <x:c r="O1776" s="12"/>
      <x:c r="P1776" s="11" t="n">
        <x:v>0</x:v>
      </x:c>
      <x:c r="Q1776" s="12" t="str">
        <x:v>AF-Q7TPD0-F1-model_v6</x:v>
      </x:c>
      <x:c r="R1776" s="12" t="str">
        <x:v>ok</x:v>
      </x:c>
      <x:c r="S1776" s="11" t="n">
        <x:v>1311</x:v>
      </x:c>
      <x:c r="T1776" s="11" t="n">
        <x:v>1041</x:v>
      </x:c>
    </x:row>
    <x:row r="1777" ht="23" customHeight="1">
      <x:c r="A1777" s="2" t="str">
        <x:v>Q7TPD2</x:v>
      </x:c>
      <x:c r="B1777" s="2" t="str">
        <x:v>UN</x:v>
      </x:c>
      <x:c r="C1777" s="2" t="n">
        <x:v>1</x:v>
      </x:c>
      <x:c r="D1777" s="2" t="n">
        <x:v>1</x:v>
      </x:c>
      <x:c r="E1777" s="10" t="n">
        <x:v>84.87148148148148</x:v>
      </x:c>
      <x:c r="F1777" s="11" t="n">
        <x:v>378</x:v>
      </x:c>
      <x:c r="G1777" s="11" t="n">
        <x:v>0</x:v>
      </x:c>
      <x:c r="H1777" s="11" t="n">
        <x:v>0</x:v>
      </x:c>
      <x:c r="I1777" s="11" t="n">
        <x:v>0</x:v>
      </x:c>
      <x:c r="J1777" s="11" t="n">
        <x:v>0</x:v>
      </x:c>
      <x:c r="K1777" s="11" t="n">
        <x:v>1</x:v>
      </x:c>
      <x:c r="L1777" s="11" t="n">
        <x:f>IF(B1777="NED",1,IF(OR(B1777="ED",B1777="UN"),0,""))</x:f>
        <x:v>0</x:v>
      </x:c>
      <x:c r="M1777" s="11" t="n">
        <x:f>IF(AND(K1777=1,OR(B1777="ED",B1777="NED")),1,0)</x:f>
        <x:v>0</x:v>
      </x:c>
      <x:c r="N1777" s="11" t="n">
        <x:f>IF(K1777=1,1,0)</x:f>
        <x:v>1</x:v>
      </x:c>
      <x:c r="O1777" s="12"/>
      <x:c r="P1777" s="11" t="n">
        <x:v>0</x:v>
      </x:c>
      <x:c r="Q1777" s="12" t="str">
        <x:v>AF-Q7TPD2-F1-model_v6</x:v>
      </x:c>
      <x:c r="R1777" s="12" t="str">
        <x:v>ok</x:v>
      </x:c>
      <x:c r="S1777" s="11" t="n">
        <x:v>1312</x:v>
      </x:c>
      <x:c r="T1777" s="11" t="n">
        <x:v>378</x:v>
      </x:c>
    </x:row>
    <x:row r="1778" ht="23" customHeight="1">
      <x:c r="A1778" s="2" t="str">
        <x:v>Q7TPE5</x:v>
      </x:c>
      <x:c r="B1778" s="2" t="str">
        <x:v>UN</x:v>
      </x:c>
      <x:c r="C1778" s="2" t="n">
        <x:v>1</x:v>
      </x:c>
      <x:c r="D1778" s="2" t="n">
        <x:v>1</x:v>
      </x:c>
      <x:c r="E1778" s="10" t="n">
        <x:v>63.58627450980393</x:v>
      </x:c>
      <x:c r="F1778" s="11" t="n">
        <x:v>306</x:v>
      </x:c>
      <x:c r="G1778" s="11" t="n">
        <x:v>0</x:v>
      </x:c>
      <x:c r="H1778" s="11" t="n">
        <x:v>0</x:v>
      </x:c>
      <x:c r="I1778" s="11" t="n">
        <x:v>0</x:v>
      </x:c>
      <x:c r="J1778" s="11" t="n">
        <x:v>0</x:v>
      </x:c>
      <x:c r="K1778" s="11" t="n">
        <x:v>0</x:v>
      </x:c>
      <x:c r="L1778" s="11" t="n">
        <x:f>IF(B1778="NED",1,IF(OR(B1778="ED",B1778="UN"),0,""))</x:f>
        <x:v>0</x:v>
      </x:c>
      <x:c r="M1778" s="11" t="n">
        <x:f>IF(AND(K1778=1,OR(B1778="ED",B1778="NED")),1,0)</x:f>
        <x:v>0</x:v>
      </x:c>
      <x:c r="N1778" s="11" t="n">
        <x:f>IF(K1778=1,1,0)</x:f>
        <x:v>0</x:v>
      </x:c>
      <x:c r="O1778" s="12" t="str">
        <x:v>Retain protein mean pLDDT &gt;=70</x:v>
      </x:c>
      <x:c r="P1778" s="11" t="n">
        <x:v>0</x:v>
      </x:c>
      <x:c r="Q1778" s="12" t="str">
        <x:v>AF-Q7TPE5-F1-model_v6</x:v>
      </x:c>
      <x:c r="R1778" s="12" t="str">
        <x:v>ok</x:v>
      </x:c>
      <x:c r="S1778" s="11" t="n">
        <x:v>1313</x:v>
      </x:c>
      <x:c r="T1778" s="11" t="n">
        <x:v>306</x:v>
      </x:c>
    </x:row>
    <x:row r="1779" ht="23" customHeight="1">
      <x:c r="A1779" s="2" t="str">
        <x:v>Q7TPM9</x:v>
      </x:c>
      <x:c r="B1779" s="2" t="str">
        <x:v>UN</x:v>
      </x:c>
      <x:c r="C1779" s="2" t="n">
        <x:v>1</x:v>
      </x:c>
      <x:c r="D1779" s="2" t="n">
        <x:v>1</x:v>
      </x:c>
      <x:c r="E1779" s="10" t="n">
        <x:v>80.27412451361867</x:v>
      </x:c>
      <x:c r="F1779" s="11" t="n">
        <x:v>771</x:v>
      </x:c>
      <x:c r="G1779" s="11" t="n">
        <x:v>0</x:v>
      </x:c>
      <x:c r="H1779" s="11" t="n">
        <x:v>0</x:v>
      </x:c>
      <x:c r="I1779" s="11" t="n">
        <x:v>0</x:v>
      </x:c>
      <x:c r="J1779" s="11" t="n">
        <x:v>0</x:v>
      </x:c>
      <x:c r="K1779" s="11" t="n">
        <x:v>1</x:v>
      </x:c>
      <x:c r="L1779" s="11" t="n">
        <x:f>IF(B1779="NED",1,IF(OR(B1779="ED",B1779="UN"),0,""))</x:f>
        <x:v>0</x:v>
      </x:c>
      <x:c r="M1779" s="11" t="n">
        <x:f>IF(AND(K1779=1,OR(B1779="ED",B1779="NED")),1,0)</x:f>
        <x:v>0</x:v>
      </x:c>
      <x:c r="N1779" s="11" t="n">
        <x:f>IF(K1779=1,1,0)</x:f>
        <x:v>1</x:v>
      </x:c>
      <x:c r="O1779" s="12"/>
      <x:c r="P1779" s="11" t="n">
        <x:v>0</x:v>
      </x:c>
      <x:c r="Q1779" s="12" t="str">
        <x:v>AF-Q7TPM9-F1-model_v6</x:v>
      </x:c>
      <x:c r="R1779" s="12" t="str">
        <x:v>ok</x:v>
      </x:c>
      <x:c r="S1779" s="11" t="n">
        <x:v>1314</x:v>
      </x:c>
      <x:c r="T1779" s="11" t="n">
        <x:v>771</x:v>
      </x:c>
    </x:row>
    <x:row r="1780" ht="23" customHeight="1">
      <x:c r="A1780" s="2" t="str">
        <x:v>Q7TPQ3-2</x:v>
      </x:c>
      <x:c r="B1780" s="2" t="str">
        <x:v>UN</x:v>
      </x:c>
      <x:c r="C1780" s="2"/>
      <x:c r="D1780" s="2"/>
      <x:c r="E1780" s="10"/>
      <x:c r="F1780" s="11"/>
      <x:c r="G1780" s="11" t="n">
        <x:v>0</x:v>
      </x:c>
      <x:c r="H1780" s="11" t="n">
        <x:v>0</x:v>
      </x:c>
      <x:c r="I1780" s="11"/>
      <x:c r="J1780" s="11"/>
      <x:c r="K1780" s="11" t="n">
        <x:v>0</x:v>
      </x:c>
      <x:c r="L1780" s="11" t="n">
        <x:f>IF(B1780="NED",1,IF(OR(B1780="ED",B1780="UN"),0,""))</x:f>
        <x:v>0</x:v>
      </x:c>
      <x:c r="M1780" s="11" t="n">
        <x:f>IF(AND(K1780=1,OR(B1780="ED",B1780="NED")),1,0)</x:f>
        <x:v>0</x:v>
      </x:c>
      <x:c r="N1780" s="11" t="n">
        <x:f>IF(K1780=1,1,0)</x:f>
        <x:v>0</x:v>
      </x:c>
      <x:c r="O1780" s="12" t="str">
        <x:v>Require exact native accession match</x:v>
      </x:c>
      <x:c r="P1780" s="11" t="n">
        <x:v>0</x:v>
      </x:c>
      <x:c r="Q1780" s="12"/>
      <x:c r="R1780" s="12"/>
      <x:c r="S1780" s="11" t="n">
        <x:v>1315</x:v>
      </x:c>
      <x:c r="T1780" s="11"/>
    </x:row>
    <x:row r="1781" ht="23" customHeight="1">
      <x:c r="A1781" s="2" t="str">
        <x:v>Q7TPR4</x:v>
      </x:c>
      <x:c r="B1781" s="2" t="str">
        <x:v>ED</x:v>
      </x:c>
      <x:c r="C1781" s="2" t="n">
        <x:v>1</x:v>
      </x:c>
      <x:c r="D1781" s="2" t="n">
        <x:v>1</x:v>
      </x:c>
      <x:c r="E1781" s="10"/>
      <x:c r="F1781" s="11" t="n">
        <x:v>892</x:v>
      </x:c>
      <x:c r="G1781" s="11" t="n">
        <x:v>0</x:v>
      </x:c>
      <x:c r="H1781" s="11" t="n">
        <x:v>0</x:v>
      </x:c>
      <x:c r="I1781" s="11" t="n">
        <x:v>1</x:v>
      </x:c>
      <x:c r="J1781" s="11" t="n">
        <x:v>0</x:v>
      </x:c>
      <x:c r="K1781" s="11" t="n">
        <x:v>0</x:v>
      </x:c>
      <x:c r="L1781" s="11" t="n">
        <x:f>IF(B1781="NED",1,IF(OR(B1781="ED",B1781="UN"),0,""))</x:f>
        <x:v>0</x:v>
      </x:c>
      <x:c r="M1781" s="11" t="n">
        <x:f>IF(AND(K1781=1,OR(B1781="ED",B1781="NED")),1,0)</x:f>
        <x:v>0</x:v>
      </x:c>
      <x:c r="N1781" s="11" t="n">
        <x:f>IF(K1781=1,1,0)</x:f>
        <x:v>0</x:v>
      </x:c>
      <x:c r="O1781" s="12" t="str">
        <x:v>Exclude UniProt Membrane keyword</x:v>
      </x:c>
      <x:c r="P1781" s="11" t="n">
        <x:v>0</x:v>
      </x:c>
      <x:c r="Q1781" s="12" t="str">
        <x:v>AF-Q7TPR4-F1-model_v6</x:v>
      </x:c>
      <x:c r="R1781" s="12" t="str">
        <x:v>ok</x:v>
      </x:c>
      <x:c r="S1781" s="11" t="n">
        <x:v>1316</x:v>
      </x:c>
      <x:c r="T1781" s="11" t="n">
        <x:v>892</x:v>
      </x:c>
    </x:row>
    <x:row r="1782" ht="23" customHeight="1">
      <x:c r="A1782" s="2" t="str">
        <x:v>Q7TPV2-2</x:v>
      </x:c>
      <x:c r="B1782" s="2" t="str">
        <x:v>ED</x:v>
      </x:c>
      <x:c r="C1782" s="2"/>
      <x:c r="D1782" s="2"/>
      <x:c r="E1782" s="10"/>
      <x:c r="F1782" s="11"/>
      <x:c r="G1782" s="11" t="n">
        <x:v>0</x:v>
      </x:c>
      <x:c r="H1782" s="11" t="n">
        <x:v>0</x:v>
      </x:c>
      <x:c r="I1782" s="11"/>
      <x:c r="J1782" s="11"/>
      <x:c r="K1782" s="11" t="n">
        <x:v>0</x:v>
      </x:c>
      <x:c r="L1782" s="11" t="n">
        <x:f>IF(B1782="NED",1,IF(OR(B1782="ED",B1782="UN"),0,""))</x:f>
        <x:v>0</x:v>
      </x:c>
      <x:c r="M1782" s="11" t="n">
        <x:f>IF(AND(K1782=1,OR(B1782="ED",B1782="NED")),1,0)</x:f>
        <x:v>0</x:v>
      </x:c>
      <x:c r="N1782" s="11" t="n">
        <x:f>IF(K1782=1,1,0)</x:f>
        <x:v>0</x:v>
      </x:c>
      <x:c r="O1782" s="12" t="str">
        <x:v>Require exact native accession match</x:v>
      </x:c>
      <x:c r="P1782" s="11" t="n">
        <x:v>0</x:v>
      </x:c>
      <x:c r="Q1782" s="12"/>
      <x:c r="R1782" s="12"/>
      <x:c r="S1782" s="11" t="n">
        <x:v>1317</x:v>
      </x:c>
      <x:c r="T1782" s="11"/>
    </x:row>
    <x:row r="1783" ht="23" customHeight="1">
      <x:c r="A1783" s="2" t="str">
        <x:v>Q7TPV4</x:v>
      </x:c>
      <x:c r="B1783" s="2" t="str">
        <x:v>UN</x:v>
      </x:c>
      <x:c r="C1783" s="2" t="n">
        <x:v>1</x:v>
      </x:c>
      <x:c r="D1783" s="2" t="n">
        <x:v>1</x:v>
      </x:c>
      <x:c r="E1783" s="10" t="n">
        <x:v>73.77729910714285</x:v>
      </x:c>
      <x:c r="F1783" s="11" t="n">
        <x:v>1344</x:v>
      </x:c>
      <x:c r="G1783" s="11" t="n">
        <x:v>0</x:v>
      </x:c>
      <x:c r="H1783" s="11" t="n">
        <x:v>0</x:v>
      </x:c>
      <x:c r="I1783" s="11" t="n">
        <x:v>0</x:v>
      </x:c>
      <x:c r="J1783" s="11" t="n">
        <x:v>0</x:v>
      </x:c>
      <x:c r="K1783" s="11" t="n">
        <x:v>1</x:v>
      </x:c>
      <x:c r="L1783" s="11" t="n">
        <x:f>IF(B1783="NED",1,IF(OR(B1783="ED",B1783="UN"),0,""))</x:f>
        <x:v>0</x:v>
      </x:c>
      <x:c r="M1783" s="11" t="n">
        <x:f>IF(AND(K1783=1,OR(B1783="ED",B1783="NED")),1,0)</x:f>
        <x:v>0</x:v>
      </x:c>
      <x:c r="N1783" s="11" t="n">
        <x:f>IF(K1783=1,1,0)</x:f>
        <x:v>1</x:v>
      </x:c>
      <x:c r="O1783" s="12"/>
      <x:c r="P1783" s="11" t="n">
        <x:v>0</x:v>
      </x:c>
      <x:c r="Q1783" s="12" t="str">
        <x:v>AF-Q7TPV4-F1-model_v6</x:v>
      </x:c>
      <x:c r="R1783" s="12" t="str">
        <x:v>ok</x:v>
      </x:c>
      <x:c r="S1783" s="11" t="n">
        <x:v>1318</x:v>
      </x:c>
      <x:c r="T1783" s="11" t="n">
        <x:v>1344</x:v>
      </x:c>
    </x:row>
    <x:row r="1784" ht="23" customHeight="1">
      <x:c r="A1784" s="2" t="str">
        <x:v>Q7TQ95</x:v>
      </x:c>
      <x:c r="B1784" s="2" t="str">
        <x:v>UN</x:v>
      </x:c>
      <x:c r="C1784" s="2" t="n">
        <x:v>0</x:v>
      </x:c>
      <x:c r="D1784" s="2" t="n">
        <x:v>0</x:v>
      </x:c>
      <x:c r="E1784" s="10"/>
      <x:c r="F1784" s="11" t="n">
        <x:v>425</x:v>
      </x:c>
      <x:c r="G1784" s="11" t="n">
        <x:v>0</x:v>
      </x:c>
      <x:c r="H1784" s="11" t="n">
        <x:v>0</x:v>
      </x:c>
      <x:c r="I1784" s="11" t="n">
        <x:v>1</x:v>
      </x:c>
      <x:c r="J1784" s="11" t="n">
        <x:v>0</x:v>
      </x:c>
      <x:c r="K1784" s="11" t="n">
        <x:v>0</x:v>
      </x:c>
      <x:c r="L1784" s="11" t="n">
        <x:f>IF(B1784="NED",1,IF(OR(B1784="ED",B1784="UN"),0,""))</x:f>
        <x:v>0</x:v>
      </x:c>
      <x:c r="M1784" s="11" t="n">
        <x:f>IF(AND(K1784=1,OR(B1784="ED",B1784="NED")),1,0)</x:f>
        <x:v>0</x:v>
      </x:c>
      <x:c r="N1784" s="11" t="n">
        <x:f>IF(K1784=1,1,0)</x:f>
        <x:v>0</x:v>
      </x:c>
      <x:c r="O1784" s="12" t="str">
        <x:v>Exclude UniProt Membrane keyword</x:v>
      </x:c>
      <x:c r="P1784" s="11" t="n">
        <x:v>0</x:v>
      </x:c>
      <x:c r="Q1784" s="12" t="str">
        <x:v>AF-Q7TQ95-F1-model_v6</x:v>
      </x:c>
      <x:c r="R1784" s="12" t="str">
        <x:v>ok</x:v>
      </x:c>
      <x:c r="S1784" s="11" t="n">
        <x:v>1319</x:v>
      </x:c>
      <x:c r="T1784" s="11" t="n">
        <x:v>425</x:v>
      </x:c>
    </x:row>
    <x:row r="1785" ht="23" customHeight="1">
      <x:c r="A1785" s="2" t="str">
        <x:v>Q7TQH0-2</x:v>
      </x:c>
      <x:c r="B1785" s="2" t="str">
        <x:v>ED</x:v>
      </x:c>
      <x:c r="C1785" s="2"/>
      <x:c r="D1785" s="2"/>
      <x:c r="E1785" s="10"/>
      <x:c r="F1785" s="11"/>
      <x:c r="G1785" s="11" t="n">
        <x:v>0</x:v>
      </x:c>
      <x:c r="H1785" s="11" t="n">
        <x:v>0</x:v>
      </x:c>
      <x:c r="I1785" s="11"/>
      <x:c r="J1785" s="11"/>
      <x:c r="K1785" s="11" t="n">
        <x:v>0</x:v>
      </x:c>
      <x:c r="L1785" s="11" t="n">
        <x:f>IF(B1785="NED",1,IF(OR(B1785="ED",B1785="UN"),0,""))</x:f>
        <x:v>0</x:v>
      </x:c>
      <x:c r="M1785" s="11" t="n">
        <x:f>IF(AND(K1785=1,OR(B1785="ED",B1785="NED")),1,0)</x:f>
        <x:v>0</x:v>
      </x:c>
      <x:c r="N1785" s="11" t="n">
        <x:f>IF(K1785=1,1,0)</x:f>
        <x:v>0</x:v>
      </x:c>
      <x:c r="O1785" s="12" t="str">
        <x:v>Require exact native accession match</x:v>
      </x:c>
      <x:c r="P1785" s="11" t="n">
        <x:v>0</x:v>
      </x:c>
      <x:c r="Q1785" s="12"/>
      <x:c r="R1785" s="12"/>
      <x:c r="S1785" s="11" t="n">
        <x:v>1320</x:v>
      </x:c>
      <x:c r="T1785" s="11"/>
    </x:row>
    <x:row r="1786" ht="23" customHeight="1">
      <x:c r="A1786" s="2" t="str">
        <x:v>Q7TQI3</x:v>
      </x:c>
      <x:c r="B1786" s="2" t="str">
        <x:v>ED</x:v>
      </x:c>
      <x:c r="C1786" s="2" t="n">
        <x:v>1</x:v>
      </x:c>
      <x:c r="D1786" s="2" t="n">
        <x:v>1</x:v>
      </x:c>
      <x:c r="E1786" s="10" t="n">
        <x:v>91.83025830258302</x:v>
      </x:c>
      <x:c r="F1786" s="11" t="n">
        <x:v>271</x:v>
      </x:c>
      <x:c r="G1786" s="11" t="n">
        <x:v>0</x:v>
      </x:c>
      <x:c r="H1786" s="11" t="n">
        <x:v>0</x:v>
      </x:c>
      <x:c r="I1786" s="11" t="n">
        <x:v>0</x:v>
      </x:c>
      <x:c r="J1786" s="11" t="n">
        <x:v>0</x:v>
      </x:c>
      <x:c r="K1786" s="11" t="n">
        <x:v>1</x:v>
      </x:c>
      <x:c r="L1786" s="11" t="n">
        <x:f>IF(B1786="NED",1,IF(OR(B1786="ED",B1786="UN"),0,""))</x:f>
        <x:v>0</x:v>
      </x:c>
      <x:c r="M1786" s="11" t="n">
        <x:f>IF(AND(K1786=1,OR(B1786="ED",B1786="NED")),1,0)</x:f>
        <x:v>1</x:v>
      </x:c>
      <x:c r="N1786" s="11" t="n">
        <x:f>IF(K1786=1,1,0)</x:f>
        <x:v>1</x:v>
      </x:c>
      <x:c r="O1786" s="12"/>
      <x:c r="P1786" s="11" t="n">
        <x:v>0</x:v>
      </x:c>
      <x:c r="Q1786" s="12" t="str">
        <x:v>AF-Q7TQI3-F1-model_v6</x:v>
      </x:c>
      <x:c r="R1786" s="12" t="str">
        <x:v>ok</x:v>
      </x:c>
      <x:c r="S1786" s="11" t="n">
        <x:v>1321</x:v>
      </x:c>
      <x:c r="T1786" s="11" t="n">
        <x:v>271</x:v>
      </x:c>
    </x:row>
    <x:row r="1787" ht="23" customHeight="1">
      <x:c r="A1787" s="2" t="str">
        <x:v>Q7TQK1</x:v>
      </x:c>
      <x:c r="B1787" s="2" t="str">
        <x:v>NED</x:v>
      </x:c>
      <x:c r="C1787" s="2" t="n">
        <x:v>1</x:v>
      </x:c>
      <x:c r="D1787" s="2" t="n">
        <x:v>1</x:v>
      </x:c>
      <x:c r="E1787" s="10" t="n">
        <x:v>87.87286749482402</x:v>
      </x:c>
      <x:c r="F1787" s="11" t="n">
        <x:v>966</x:v>
      </x:c>
      <x:c r="G1787" s="11" t="n">
        <x:v>0</x:v>
      </x:c>
      <x:c r="H1787" s="11" t="n">
        <x:v>0</x:v>
      </x:c>
      <x:c r="I1787" s="11" t="n">
        <x:v>0</x:v>
      </x:c>
      <x:c r="J1787" s="11" t="n">
        <x:v>0</x:v>
      </x:c>
      <x:c r="K1787" s="11" t="n">
        <x:v>1</x:v>
      </x:c>
      <x:c r="L1787" s="11" t="n">
        <x:f>IF(B1787="NED",1,IF(OR(B1787="ED",B1787="UN"),0,""))</x:f>
        <x:v>1</x:v>
      </x:c>
      <x:c r="M1787" s="11" t="n">
        <x:f>IF(AND(K1787=1,OR(B1787="ED",B1787="NED")),1,0)</x:f>
        <x:v>1</x:v>
      </x:c>
      <x:c r="N1787" s="11" t="n">
        <x:f>IF(K1787=1,1,0)</x:f>
        <x:v>1</x:v>
      </x:c>
      <x:c r="O1787" s="12"/>
      <x:c r="P1787" s="11" t="n">
        <x:v>0</x:v>
      </x:c>
      <x:c r="Q1787" s="12" t="str">
        <x:v>AF-Q7TQK1-F1-model_v6</x:v>
      </x:c>
      <x:c r="R1787" s="12" t="str">
        <x:v>ok</x:v>
      </x:c>
      <x:c r="S1787" s="11" t="n">
        <x:v>1322</x:v>
      </x:c>
      <x:c r="T1787" s="11" t="n">
        <x:v>966</x:v>
      </x:c>
    </x:row>
    <x:row r="1788" ht="23" customHeight="1">
      <x:c r="A1788" s="2" t="str">
        <x:v>Q7TQK4</x:v>
      </x:c>
      <x:c r="B1788" s="2" t="str">
        <x:v>UN</x:v>
      </x:c>
      <x:c r="C1788" s="2" t="n">
        <x:v>1</x:v>
      </x:c>
      <x:c r="D1788" s="2" t="n">
        <x:v>1</x:v>
      </x:c>
      <x:c r="E1788" s="10" t="n">
        <x:v>79.79156934306569</x:v>
      </x:c>
      <x:c r="F1788" s="11" t="n">
        <x:v>274</x:v>
      </x:c>
      <x:c r="G1788" s="11" t="n">
        <x:v>0</x:v>
      </x:c>
      <x:c r="H1788" s="11" t="n">
        <x:v>0</x:v>
      </x:c>
      <x:c r="I1788" s="11" t="n">
        <x:v>0</x:v>
      </x:c>
      <x:c r="J1788" s="11" t="n">
        <x:v>0</x:v>
      </x:c>
      <x:c r="K1788" s="11" t="n">
        <x:v>1</x:v>
      </x:c>
      <x:c r="L1788" s="11" t="n">
        <x:f>IF(B1788="NED",1,IF(OR(B1788="ED",B1788="UN"),0,""))</x:f>
        <x:v>0</x:v>
      </x:c>
      <x:c r="M1788" s="11" t="n">
        <x:f>IF(AND(K1788=1,OR(B1788="ED",B1788="NED")),1,0)</x:f>
        <x:v>0</x:v>
      </x:c>
      <x:c r="N1788" s="11" t="n">
        <x:f>IF(K1788=1,1,0)</x:f>
        <x:v>1</x:v>
      </x:c>
      <x:c r="O1788" s="12"/>
      <x:c r="P1788" s="11" t="n">
        <x:v>0</x:v>
      </x:c>
      <x:c r="Q1788" s="12" t="str">
        <x:v>AF-Q7TQK4-F1-model_v6</x:v>
      </x:c>
      <x:c r="R1788" s="12" t="str">
        <x:v>ok</x:v>
      </x:c>
      <x:c r="S1788" s="11" t="n">
        <x:v>1323</x:v>
      </x:c>
      <x:c r="T1788" s="11" t="n">
        <x:v>274</x:v>
      </x:c>
    </x:row>
    <x:row r="1789" ht="23" customHeight="1">
      <x:c r="A1789" s="2" t="str">
        <x:v>Q7TSG2</x:v>
      </x:c>
      <x:c r="B1789" s="2" t="str">
        <x:v>ED</x:v>
      </x:c>
      <x:c r="C1789" s="2" t="n">
        <x:v>1</x:v>
      </x:c>
      <x:c r="D1789" s="2" t="n">
        <x:v>1</x:v>
      </x:c>
      <x:c r="E1789" s="10" t="n">
        <x:v>63.48846875</x:v>
      </x:c>
      <x:c r="F1789" s="11" t="n">
        <x:v>960</x:v>
      </x:c>
      <x:c r="G1789" s="11" t="n">
        <x:v>0</x:v>
      </x:c>
      <x:c r="H1789" s="11" t="n">
        <x:v>0</x:v>
      </x:c>
      <x:c r="I1789" s="11" t="n">
        <x:v>0</x:v>
      </x:c>
      <x:c r="J1789" s="11" t="n">
        <x:v>0</x:v>
      </x:c>
      <x:c r="K1789" s="11" t="n">
        <x:v>0</x:v>
      </x:c>
      <x:c r="L1789" s="11" t="n">
        <x:f>IF(B1789="NED",1,IF(OR(B1789="ED",B1789="UN"),0,""))</x:f>
        <x:v>0</x:v>
      </x:c>
      <x:c r="M1789" s="11" t="n">
        <x:f>IF(AND(K1789=1,OR(B1789="ED",B1789="NED")),1,0)</x:f>
        <x:v>0</x:v>
      </x:c>
      <x:c r="N1789" s="11" t="n">
        <x:f>IF(K1789=1,1,0)</x:f>
        <x:v>0</x:v>
      </x:c>
      <x:c r="O1789" s="12" t="str">
        <x:v>Retain protein mean pLDDT &gt;=70</x:v>
      </x:c>
      <x:c r="P1789" s="11" t="n">
        <x:v>0</x:v>
      </x:c>
      <x:c r="Q1789" s="12" t="str">
        <x:v>AF-Q7TSG2-F1-model_v6</x:v>
      </x:c>
      <x:c r="R1789" s="12" t="str">
        <x:v>ok</x:v>
      </x:c>
      <x:c r="S1789" s="11" t="n">
        <x:v>1324</x:v>
      </x:c>
      <x:c r="T1789" s="11" t="n">
        <x:v>960</x:v>
      </x:c>
    </x:row>
    <x:row r="1790" ht="23" customHeight="1">
      <x:c r="A1790" s="2" t="str">
        <x:v>Q7TSJ2</x:v>
      </x:c>
      <x:c r="B1790" s="2" t="str">
        <x:v>ED</x:v>
      </x:c>
      <x:c r="C1790" s="2" t="n">
        <x:v>0</x:v>
      </x:c>
      <x:c r="D1790" s="2" t="n">
        <x:v>0</x:v>
      </x:c>
      <x:c r="E1790" s="10"/>
      <x:c r="F1790" s="11" t="n">
        <x:v>906</x:v>
      </x:c>
      <x:c r="G1790" s="11" t="n">
        <x:v>0</x:v>
      </x:c>
      <x:c r="H1790" s="11" t="n">
        <x:v>0</x:v>
      </x:c>
      <x:c r="I1790" s="11" t="n">
        <x:v>1</x:v>
      </x:c>
      <x:c r="J1790" s="11" t="n">
        <x:v>0</x:v>
      </x:c>
      <x:c r="K1790" s="11" t="n">
        <x:v>0</x:v>
      </x:c>
      <x:c r="L1790" s="11" t="n">
        <x:f>IF(B1790="NED",1,IF(OR(B1790="ED",B1790="UN"),0,""))</x:f>
        <x:v>0</x:v>
      </x:c>
      <x:c r="M1790" s="11" t="n">
        <x:f>IF(AND(K1790=1,OR(B1790="ED",B1790="NED")),1,0)</x:f>
        <x:v>0</x:v>
      </x:c>
      <x:c r="N1790" s="11" t="n">
        <x:f>IF(K1790=1,1,0)</x:f>
        <x:v>0</x:v>
      </x:c>
      <x:c r="O1790" s="12" t="str">
        <x:v>Exclude UniProt Membrane keyword</x:v>
      </x:c>
      <x:c r="P1790" s="11" t="n">
        <x:v>0</x:v>
      </x:c>
      <x:c r="Q1790" s="12" t="str">
        <x:v>AF-Q7TSJ2-F1-model_v6</x:v>
      </x:c>
      <x:c r="R1790" s="12" t="str">
        <x:v>ok</x:v>
      </x:c>
      <x:c r="S1790" s="11" t="n">
        <x:v>1325</x:v>
      </x:c>
      <x:c r="T1790" s="11" t="n">
        <x:v>906</x:v>
      </x:c>
    </x:row>
    <x:row r="1791" ht="23" customHeight="1">
      <x:c r="A1791" s="2" t="str">
        <x:v>Q7TSV4</x:v>
      </x:c>
      <x:c r="B1791" s="2" t="str">
        <x:v>ED</x:v>
      </x:c>
      <x:c r="C1791" s="2" t="n">
        <x:v>1</x:v>
      </x:c>
      <x:c r="D1791" s="2" t="n">
        <x:v>1</x:v>
      </x:c>
      <x:c r="E1791" s="10" t="n">
        <x:v>94.19048387096774</x:v>
      </x:c>
      <x:c r="F1791" s="11" t="n">
        <x:v>620</x:v>
      </x:c>
      <x:c r="G1791" s="11" t="n">
        <x:v>0</x:v>
      </x:c>
      <x:c r="H1791" s="11" t="n">
        <x:v>0</x:v>
      </x:c>
      <x:c r="I1791" s="11" t="n">
        <x:v>0</x:v>
      </x:c>
      <x:c r="J1791" s="11" t="n">
        <x:v>0</x:v>
      </x:c>
      <x:c r="K1791" s="11" t="n">
        <x:v>1</x:v>
      </x:c>
      <x:c r="L1791" s="11" t="n">
        <x:f>IF(B1791="NED",1,IF(OR(B1791="ED",B1791="UN"),0,""))</x:f>
        <x:v>0</x:v>
      </x:c>
      <x:c r="M1791" s="11" t="n">
        <x:f>IF(AND(K1791=1,OR(B1791="ED",B1791="NED")),1,0)</x:f>
        <x:v>1</x:v>
      </x:c>
      <x:c r="N1791" s="11" t="n">
        <x:f>IF(K1791=1,1,0)</x:f>
        <x:v>1</x:v>
      </x:c>
      <x:c r="O1791" s="12"/>
      <x:c r="P1791" s="11" t="n">
        <x:v>0</x:v>
      </x:c>
      <x:c r="Q1791" s="12" t="str">
        <x:v>AF-Q7TSV4-F1-model_v6</x:v>
      </x:c>
      <x:c r="R1791" s="12" t="str">
        <x:v>ok</x:v>
      </x:c>
      <x:c r="S1791" s="11" t="n">
        <x:v>1326</x:v>
      </x:c>
      <x:c r="T1791" s="11" t="n">
        <x:v>620</x:v>
      </x:c>
    </x:row>
    <x:row r="1792" ht="23" customHeight="1">
      <x:c r="A1792" s="2" t="str">
        <x:v>Q7TSY8</x:v>
      </x:c>
      <x:c r="B1792" s="2" t="str">
        <x:v>UN</x:v>
      </x:c>
      <x:c r="C1792" s="2" t="n">
        <x:v>1</x:v>
      </x:c>
      <x:c r="D1792" s="2"/>
      <x:c r="E1792" s="10"/>
      <x:c r="F1792" s="11" t="n">
        <x:v>1164</x:v>
      </x:c>
      <x:c r="G1792" s="11" t="n">
        <x:v>1</x:v>
      </x:c>
      <x:c r="H1792" s="11" t="n">
        <x:v>0</x:v>
      </x:c>
      <x:c r="I1792" s="11" t="n">
        <x:v>0</x:v>
      </x:c>
      <x:c r="J1792" s="11" t="n">
        <x:v>0</x:v>
      </x:c>
      <x:c r="K1792" s="11" t="n">
        <x:v>0</x:v>
      </x:c>
      <x:c r="L1792" s="11" t="n">
        <x:f>IF(B1792="NED",1,IF(OR(B1792="ED",B1792="UN"),0,""))</x:f>
        <x:v>0</x:v>
      </x:c>
      <x:c r="M1792" s="11" t="n">
        <x:f>IF(AND(K1792=1,OR(B1792="ED",B1792="NED")),1,0)</x:f>
        <x:v>0</x:v>
      </x:c>
      <x:c r="N1792" s="11" t="n">
        <x:f>IF(K1792=1,1,0)</x:f>
        <x:v>0</x:v>
      </x:c>
      <x:c r="O1792" s="12" t="str">
        <x:v>Exclude supplied knotted proteins</x:v>
      </x:c>
      <x:c r="P1792" s="11" t="n">
        <x:v>0</x:v>
      </x:c>
      <x:c r="Q1792" s="12" t="str">
        <x:v>AF-Q7TSY8-F1-model_v6</x:v>
      </x:c>
      <x:c r="R1792" s="12" t="str">
        <x:v>ok</x:v>
      </x:c>
      <x:c r="S1792" s="11" t="n">
        <x:v>1327</x:v>
      </x:c>
      <x:c r="T1792" s="11" t="n">
        <x:v>1164</x:v>
      </x:c>
    </x:row>
    <x:row r="1793" ht="23" customHeight="1">
      <x:c r="A1793" s="2" t="str">
        <x:v>Q7TSZ8</x:v>
      </x:c>
      <x:c r="B1793" s="2" t="str">
        <x:v>UN</x:v>
      </x:c>
      <x:c r="C1793" s="2" t="n">
        <x:v>1</x:v>
      </x:c>
      <x:c r="D1793" s="2"/>
      <x:c r="E1793" s="10" t="n">
        <x:v>62.063054474708174</x:v>
      </x:c>
      <x:c r="F1793" s="11" t="n">
        <x:v>514</x:v>
      </x:c>
      <x:c r="G1793" s="11" t="n">
        <x:v>0</x:v>
      </x:c>
      <x:c r="H1793" s="11" t="n">
        <x:v>0</x:v>
      </x:c>
      <x:c r="I1793" s="11" t="n">
        <x:v>0</x:v>
      </x:c>
      <x:c r="J1793" s="11" t="n">
        <x:v>0</x:v>
      </x:c>
      <x:c r="K1793" s="11" t="n">
        <x:v>0</x:v>
      </x:c>
      <x:c r="L1793" s="11" t="n">
        <x:f>IF(B1793="NED",1,IF(OR(B1793="ED",B1793="UN"),0,""))</x:f>
        <x:v>0</x:v>
      </x:c>
      <x:c r="M1793" s="11" t="n">
        <x:f>IF(AND(K1793=1,OR(B1793="ED",B1793="NED")),1,0)</x:f>
        <x:v>0</x:v>
      </x:c>
      <x:c r="N1793" s="11" t="n">
        <x:f>IF(K1793=1,1,0)</x:f>
        <x:v>0</x:v>
      </x:c>
      <x:c r="O1793" s="12" t="str">
        <x:v>Retain protein mean pLDDT &gt;=70</x:v>
      </x:c>
      <x:c r="P1793" s="11" t="n">
        <x:v>0</x:v>
      </x:c>
      <x:c r="Q1793" s="12" t="str">
        <x:v>AF-Q7TSZ8-F1-model_v6</x:v>
      </x:c>
      <x:c r="R1793" s="12" t="str">
        <x:v>ok</x:v>
      </x:c>
      <x:c r="S1793" s="11" t="n">
        <x:v>1328</x:v>
      </x:c>
      <x:c r="T1793" s="11" t="n">
        <x:v>514</x:v>
      </x:c>
    </x:row>
    <x:row r="1794" ht="23" customHeight="1">
      <x:c r="A1794" s="2" t="str">
        <x:v>Q7TT00</x:v>
      </x:c>
      <x:c r="B1794" s="2" t="str">
        <x:v>UN</x:v>
      </x:c>
      <x:c r="C1794" s="2" t="n">
        <x:v>1</x:v>
      </x:c>
      <x:c r="D1794" s="2" t="n">
        <x:v>1</x:v>
      </x:c>
      <x:c r="E1794" s="10" t="n">
        <x:v>69.29201886792453</x:v>
      </x:c>
      <x:c r="F1794" s="11" t="n">
        <x:v>530</x:v>
      </x:c>
      <x:c r="G1794" s="11" t="n">
        <x:v>0</x:v>
      </x:c>
      <x:c r="H1794" s="11" t="n">
        <x:v>0</x:v>
      </x:c>
      <x:c r="I1794" s="11" t="n">
        <x:v>0</x:v>
      </x:c>
      <x:c r="J1794" s="11" t="n">
        <x:v>0</x:v>
      </x:c>
      <x:c r="K1794" s="11" t="n">
        <x:v>0</x:v>
      </x:c>
      <x:c r="L1794" s="11" t="n">
        <x:f>IF(B1794="NED",1,IF(OR(B1794="ED",B1794="UN"),0,""))</x:f>
        <x:v>0</x:v>
      </x:c>
      <x:c r="M1794" s="11" t="n">
        <x:f>IF(AND(K1794=1,OR(B1794="ED",B1794="NED")),1,0)</x:f>
        <x:v>0</x:v>
      </x:c>
      <x:c r="N1794" s="11" t="n">
        <x:f>IF(K1794=1,1,0)</x:f>
        <x:v>0</x:v>
      </x:c>
      <x:c r="O1794" s="12" t="str">
        <x:v>Retain protein mean pLDDT &gt;=70</x:v>
      </x:c>
      <x:c r="P1794" s="11" t="n">
        <x:v>0</x:v>
      </x:c>
      <x:c r="Q1794" s="12" t="str">
        <x:v>AF-Q7TT00-F1-model_v6</x:v>
      </x:c>
      <x:c r="R1794" s="12" t="str">
        <x:v>ok</x:v>
      </x:c>
      <x:c r="S1794" s="11" t="n">
        <x:v>1329</x:v>
      </x:c>
      <x:c r="T1794" s="11" t="n">
        <x:v>530</x:v>
      </x:c>
    </x:row>
    <x:row r="1795" ht="23" customHeight="1">
      <x:c r="A1795" s="2" t="str">
        <x:v>Q7TT37</x:v>
      </x:c>
      <x:c r="B1795" s="2" t="str">
        <x:v>UN</x:v>
      </x:c>
      <x:c r="C1795" s="2" t="n">
        <x:v>1</x:v>
      </x:c>
      <x:c r="D1795" s="2" t="n">
        <x:v>1</x:v>
      </x:c>
      <x:c r="E1795" s="10" t="n">
        <x:v>83.58661665416355</x:v>
      </x:c>
      <x:c r="F1795" s="11" t="n">
        <x:v>1333</x:v>
      </x:c>
      <x:c r="G1795" s="11" t="n">
        <x:v>0</x:v>
      </x:c>
      <x:c r="H1795" s="11" t="n">
        <x:v>0</x:v>
      </x:c>
      <x:c r="I1795" s="11" t="n">
        <x:v>0</x:v>
      </x:c>
      <x:c r="J1795" s="11" t="n">
        <x:v>0</x:v>
      </x:c>
      <x:c r="K1795" s="11" t="n">
        <x:v>1</x:v>
      </x:c>
      <x:c r="L1795" s="11" t="n">
        <x:f>IF(B1795="NED",1,IF(OR(B1795="ED",B1795="UN"),0,""))</x:f>
        <x:v>0</x:v>
      </x:c>
      <x:c r="M1795" s="11" t="n">
        <x:f>IF(AND(K1795=1,OR(B1795="ED",B1795="NED")),1,0)</x:f>
        <x:v>0</x:v>
      </x:c>
      <x:c r="N1795" s="11" t="n">
        <x:f>IF(K1795=1,1,0)</x:f>
        <x:v>1</x:v>
      </x:c>
      <x:c r="O1795" s="12"/>
      <x:c r="P1795" s="11" t="n">
        <x:v>0</x:v>
      </x:c>
      <x:c r="Q1795" s="12" t="str">
        <x:v>AF-Q7TT37-F1-model_v6</x:v>
      </x:c>
      <x:c r="R1795" s="12" t="str">
        <x:v>ok</x:v>
      </x:c>
      <x:c r="S1795" s="11" t="n">
        <x:v>1330</x:v>
      </x:c>
      <x:c r="T1795" s="11" t="n">
        <x:v>1333</x:v>
      </x:c>
    </x:row>
    <x:row r="1796" ht="23" customHeight="1">
      <x:c r="A1796" s="2" t="str">
        <x:v>Q80SW1</x:v>
      </x:c>
      <x:c r="B1796" s="2" t="str">
        <x:v>UN</x:v>
      </x:c>
      <x:c r="C1796" s="2" t="n">
        <x:v>1</x:v>
      </x:c>
      <x:c r="D1796" s="2" t="n">
        <x:v>1</x:v>
      </x:c>
      <x:c r="E1796" s="10"/>
      <x:c r="F1796" s="11" t="n">
        <x:v>530</x:v>
      </x:c>
      <x:c r="G1796" s="11" t="n">
        <x:v>0</x:v>
      </x:c>
      <x:c r="H1796" s="11" t="n">
        <x:v>0</x:v>
      </x:c>
      <x:c r="I1796" s="11" t="n">
        <x:v>1</x:v>
      </x:c>
      <x:c r="J1796" s="11" t="n">
        <x:v>0</x:v>
      </x:c>
      <x:c r="K1796" s="11" t="n">
        <x:v>0</x:v>
      </x:c>
      <x:c r="L1796" s="11" t="n">
        <x:f>IF(B1796="NED",1,IF(OR(B1796="ED",B1796="UN"),0,""))</x:f>
        <x:v>0</x:v>
      </x:c>
      <x:c r="M1796" s="11" t="n">
        <x:f>IF(AND(K1796=1,OR(B1796="ED",B1796="NED")),1,0)</x:f>
        <x:v>0</x:v>
      </x:c>
      <x:c r="N1796" s="11" t="n">
        <x:f>IF(K1796=1,1,0)</x:f>
        <x:v>0</x:v>
      </x:c>
      <x:c r="O1796" s="12" t="str">
        <x:v>Exclude UniProt Membrane keyword</x:v>
      </x:c>
      <x:c r="P1796" s="11" t="n">
        <x:v>0</x:v>
      </x:c>
      <x:c r="Q1796" s="12" t="str">
        <x:v>AF-Q80SW1-F1-model_v6</x:v>
      </x:c>
      <x:c r="R1796" s="12" t="str">
        <x:v>ok</x:v>
      </x:c>
      <x:c r="S1796" s="11" t="n">
        <x:v>1331</x:v>
      </x:c>
      <x:c r="T1796" s="11" t="n">
        <x:v>530</x:v>
      </x:c>
    </x:row>
    <x:row r="1797" ht="23" customHeight="1">
      <x:c r="A1797" s="2" t="str">
        <x:v>Q80SY4</x:v>
      </x:c>
      <x:c r="B1797" s="2" t="str">
        <x:v>ED</x:v>
      </x:c>
      <x:c r="C1797" s="2" t="n">
        <x:v>1</x:v>
      </x:c>
      <x:c r="D1797" s="2" t="n">
        <x:v>1</x:v>
      </x:c>
      <x:c r="E1797" s="10"/>
      <x:c r="F1797" s="11" t="n">
        <x:v>1006</x:v>
      </x:c>
      <x:c r="G1797" s="11" t="n">
        <x:v>0</x:v>
      </x:c>
      <x:c r="H1797" s="11" t="n">
        <x:v>0</x:v>
      </x:c>
      <x:c r="I1797" s="11" t="n">
        <x:v>1</x:v>
      </x:c>
      <x:c r="J1797" s="11" t="n">
        <x:v>0</x:v>
      </x:c>
      <x:c r="K1797" s="11" t="n">
        <x:v>0</x:v>
      </x:c>
      <x:c r="L1797" s="11" t="n">
        <x:f>IF(B1797="NED",1,IF(OR(B1797="ED",B1797="UN"),0,""))</x:f>
        <x:v>0</x:v>
      </x:c>
      <x:c r="M1797" s="11" t="n">
        <x:f>IF(AND(K1797=1,OR(B1797="ED",B1797="NED")),1,0)</x:f>
        <x:v>0</x:v>
      </x:c>
      <x:c r="N1797" s="11" t="n">
        <x:f>IF(K1797=1,1,0)</x:f>
        <x:v>0</x:v>
      </x:c>
      <x:c r="O1797" s="12" t="str">
        <x:v>Exclude UniProt Membrane keyword</x:v>
      </x:c>
      <x:c r="P1797" s="11" t="n">
        <x:v>0</x:v>
      </x:c>
      <x:c r="Q1797" s="12" t="str">
        <x:v>AF-Q80SY4-F1-model_v6</x:v>
      </x:c>
      <x:c r="R1797" s="12" t="str">
        <x:v>ok</x:v>
      </x:c>
      <x:c r="S1797" s="11" t="n">
        <x:v>1332</x:v>
      </x:c>
      <x:c r="T1797" s="11" t="n">
        <x:v>1006</x:v>
      </x:c>
    </x:row>
    <x:row r="1798" ht="23" customHeight="1">
      <x:c r="A1798" s="2" t="str">
        <x:v>Q80SY5</x:v>
      </x:c>
      <x:c r="B1798" s="2" t="str">
        <x:v>ED</x:v>
      </x:c>
      <x:c r="C1798" s="2" t="n">
        <x:v>1</x:v>
      </x:c>
      <x:c r="D1798" s="2" t="n">
        <x:v>1</x:v>
      </x:c>
      <x:c r="E1798" s="10" t="n">
        <x:v>57.31656826568266</x:v>
      </x:c>
      <x:c r="F1798" s="11" t="n">
        <x:v>542</x:v>
      </x:c>
      <x:c r="G1798" s="11" t="n">
        <x:v>0</x:v>
      </x:c>
      <x:c r="H1798" s="11" t="n">
        <x:v>0</x:v>
      </x:c>
      <x:c r="I1798" s="11" t="n">
        <x:v>0</x:v>
      </x:c>
      <x:c r="J1798" s="11" t="n">
        <x:v>0</x:v>
      </x:c>
      <x:c r="K1798" s="11" t="n">
        <x:v>0</x:v>
      </x:c>
      <x:c r="L1798" s="11" t="n">
        <x:f>IF(B1798="NED",1,IF(OR(B1798="ED",B1798="UN"),0,""))</x:f>
        <x:v>0</x:v>
      </x:c>
      <x:c r="M1798" s="11" t="n">
        <x:f>IF(AND(K1798=1,OR(B1798="ED",B1798="NED")),1,0)</x:f>
        <x:v>0</x:v>
      </x:c>
      <x:c r="N1798" s="11" t="n">
        <x:f>IF(K1798=1,1,0)</x:f>
        <x:v>0</x:v>
      </x:c>
      <x:c r="O1798" s="12" t="str">
        <x:v>Retain protein mean pLDDT &gt;=70</x:v>
      </x:c>
      <x:c r="P1798" s="11" t="n">
        <x:v>0</x:v>
      </x:c>
      <x:c r="Q1798" s="12" t="str">
        <x:v>AF-Q80SY5-F1-model_v6</x:v>
      </x:c>
      <x:c r="R1798" s="12" t="str">
        <x:v>ok</x:v>
      </x:c>
      <x:c r="S1798" s="11" t="n">
        <x:v>1333</x:v>
      </x:c>
      <x:c r="T1798" s="11" t="n">
        <x:v>542</x:v>
      </x:c>
    </x:row>
    <x:row r="1799" ht="23" customHeight="1">
      <x:c r="A1799" s="2" t="str">
        <x:v>Q80T06</x:v>
      </x:c>
      <x:c r="B1799" s="2" t="str">
        <x:v>ED</x:v>
      </x:c>
      <x:c r="C1799" s="2"/>
      <x:c r="D1799" s="2"/>
      <x:c r="E1799" s="10"/>
      <x:c r="F1799" s="11"/>
      <x:c r="G1799" s="11" t="n">
        <x:v>0</x:v>
      </x:c>
      <x:c r="H1799" s="11" t="n">
        <x:v>0</x:v>
      </x:c>
      <x:c r="I1799" s="11" t="n">
        <x:v>0</x:v>
      </x:c>
      <x:c r="J1799" s="11" t="n">
        <x:v>0</x:v>
      </x:c>
      <x:c r="K1799" s="11" t="n">
        <x:v>0</x:v>
      </x:c>
      <x:c r="L1799" s="11" t="n">
        <x:f>IF(B1799="NED",1,IF(OR(B1799="ED",B1799="UN"),0,""))</x:f>
        <x:v>0</x:v>
      </x:c>
      <x:c r="M1799" s="11" t="n">
        <x:f>IF(AND(K1799=1,OR(B1799="ED",B1799="NED")),1,0)</x:f>
        <x:v>0</x:v>
      </x:c>
      <x:c r="N1799" s="11" t="n">
        <x:f>IF(K1799=1,1,0)</x:f>
        <x:v>0</x:v>
      </x:c>
      <x:c r="O1799" s="12" t="str">
        <x:v>Require exact native accession match</x:v>
      </x:c>
      <x:c r="P1799" s="11" t="n">
        <x:v>0</x:v>
      </x:c>
      <x:c r="Q1799" s="12"/>
      <x:c r="R1799" s="12"/>
      <x:c r="S1799" s="11" t="n">
        <x:v>3208</x:v>
      </x:c>
      <x:c r="T1799" s="11" t="n">
        <x:v>281</x:v>
      </x:c>
    </x:row>
    <x:row r="1800" ht="23" customHeight="1">
      <x:c r="A1800" s="2" t="str">
        <x:v>Q80TE0</x:v>
      </x:c>
      <x:c r="B1800" s="2" t="str">
        <x:v>ED</x:v>
      </x:c>
      <x:c r="C1800" s="2" t="n">
        <x:v>1</x:v>
      </x:c>
      <x:c r="D1800" s="2" t="n">
        <x:v>1</x:v>
      </x:c>
      <x:c r="E1800" s="10" t="n">
        <x:v>74.76354151880767</x:v>
      </x:c>
      <x:c r="F1800" s="11" t="n">
        <x:v>1409</x:v>
      </x:c>
      <x:c r="G1800" s="11" t="n">
        <x:v>0</x:v>
      </x:c>
      <x:c r="H1800" s="11" t="n">
        <x:v>0</x:v>
      </x:c>
      <x:c r="I1800" s="11" t="n">
        <x:v>0</x:v>
      </x:c>
      <x:c r="J1800" s="11" t="n">
        <x:v>0</x:v>
      </x:c>
      <x:c r="K1800" s="11" t="n">
        <x:v>1</x:v>
      </x:c>
      <x:c r="L1800" s="11" t="n">
        <x:f>IF(B1800="NED",1,IF(OR(B1800="ED",B1800="UN"),0,""))</x:f>
        <x:v>0</x:v>
      </x:c>
      <x:c r="M1800" s="11" t="n">
        <x:f>IF(AND(K1800=1,OR(B1800="ED",B1800="NED")),1,0)</x:f>
        <x:v>1</x:v>
      </x:c>
      <x:c r="N1800" s="11" t="n">
        <x:f>IF(K1800=1,1,0)</x:f>
        <x:v>1</x:v>
      </x:c>
      <x:c r="O1800" s="12"/>
      <x:c r="P1800" s="11" t="n">
        <x:v>0</x:v>
      </x:c>
      <x:c r="Q1800" s="12" t="str">
        <x:v>AF-Q80TE0-F1-model_v6</x:v>
      </x:c>
      <x:c r="R1800" s="12" t="str">
        <x:v>ok</x:v>
      </x:c>
      <x:c r="S1800" s="11" t="n">
        <x:v>1334</x:v>
      </x:c>
      <x:c r="T1800" s="11" t="n">
        <x:v>1409</x:v>
      </x:c>
    </x:row>
    <x:row r="1801" ht="23" customHeight="1">
      <x:c r="A1801" s="2" t="str">
        <x:v>Q80TL7-2</x:v>
      </x:c>
      <x:c r="B1801" s="2" t="str">
        <x:v>ED</x:v>
      </x:c>
      <x:c r="C1801" s="2"/>
      <x:c r="D1801" s="2"/>
      <x:c r="E1801" s="10"/>
      <x:c r="F1801" s="11"/>
      <x:c r="G1801" s="11" t="n">
        <x:v>0</x:v>
      </x:c>
      <x:c r="H1801" s="11" t="n">
        <x:v>0</x:v>
      </x:c>
      <x:c r="I1801" s="11"/>
      <x:c r="J1801" s="11"/>
      <x:c r="K1801" s="11" t="n">
        <x:v>0</x:v>
      </x:c>
      <x:c r="L1801" s="11" t="n">
        <x:f>IF(B1801="NED",1,IF(OR(B1801="ED",B1801="UN"),0,""))</x:f>
        <x:v>0</x:v>
      </x:c>
      <x:c r="M1801" s="11" t="n">
        <x:f>IF(AND(K1801=1,OR(B1801="ED",B1801="NED")),1,0)</x:f>
        <x:v>0</x:v>
      </x:c>
      <x:c r="N1801" s="11" t="n">
        <x:f>IF(K1801=1,1,0)</x:f>
        <x:v>0</x:v>
      </x:c>
      <x:c r="O1801" s="12" t="str">
        <x:v>Require exact native accession match</x:v>
      </x:c>
      <x:c r="P1801" s="11" t="n">
        <x:v>0</x:v>
      </x:c>
      <x:c r="Q1801" s="12"/>
      <x:c r="R1801" s="12"/>
      <x:c r="S1801" s="11" t="n">
        <x:v>1335</x:v>
      </x:c>
      <x:c r="T1801" s="11"/>
    </x:row>
    <x:row r="1802" ht="23" customHeight="1">
      <x:c r="A1802" s="2" t="str">
        <x:v>Q80TM9</x:v>
      </x:c>
      <x:c r="B1802" s="2" t="str">
        <x:v>UN</x:v>
      </x:c>
      <x:c r="C1802" s="2" t="n">
        <x:v>1</x:v>
      </x:c>
      <x:c r="D1802" s="2" t="n">
        <x:v>1</x:v>
      </x:c>
      <x:c r="E1802" s="10"/>
      <x:c r="F1802" s="11" t="n">
        <x:v>1593</x:v>
      </x:c>
      <x:c r="G1802" s="11" t="n">
        <x:v>0</x:v>
      </x:c>
      <x:c r="H1802" s="11" t="n">
        <x:v>0</x:v>
      </x:c>
      <x:c r="I1802" s="11" t="n">
        <x:v>1</x:v>
      </x:c>
      <x:c r="J1802" s="11" t="n">
        <x:v>0</x:v>
      </x:c>
      <x:c r="K1802" s="11" t="n">
        <x:v>0</x:v>
      </x:c>
      <x:c r="L1802" s="11" t="n">
        <x:f>IF(B1802="NED",1,IF(OR(B1802="ED",B1802="UN"),0,""))</x:f>
        <x:v>0</x:v>
      </x:c>
      <x:c r="M1802" s="11" t="n">
        <x:f>IF(AND(K1802=1,OR(B1802="ED",B1802="NED")),1,0)</x:f>
        <x:v>0</x:v>
      </x:c>
      <x:c r="N1802" s="11" t="n">
        <x:f>IF(K1802=1,1,0)</x:f>
        <x:v>0</x:v>
      </x:c>
      <x:c r="O1802" s="12" t="str">
        <x:v>Exclude UniProt Membrane keyword</x:v>
      </x:c>
      <x:c r="P1802" s="11" t="n">
        <x:v>0</x:v>
      </x:c>
      <x:c r="Q1802" s="12" t="str">
        <x:v>AF-Q80TM9-F1-model_v6</x:v>
      </x:c>
      <x:c r="R1802" s="12" t="str">
        <x:v>ok</x:v>
      </x:c>
      <x:c r="S1802" s="11" t="n">
        <x:v>1336</x:v>
      </x:c>
      <x:c r="T1802" s="11" t="n">
        <x:v>1593</x:v>
      </x:c>
    </x:row>
    <x:row r="1803" ht="23" customHeight="1">
      <x:c r="A1803" s="2" t="str">
        <x:v>Q80TR8-4</x:v>
      </x:c>
      <x:c r="B1803" s="2" t="str">
        <x:v>ED</x:v>
      </x:c>
      <x:c r="C1803" s="2"/>
      <x:c r="D1803" s="2"/>
      <x:c r="E1803" s="10"/>
      <x:c r="F1803" s="11"/>
      <x:c r="G1803" s="11" t="n">
        <x:v>0</x:v>
      </x:c>
      <x:c r="H1803" s="11" t="n">
        <x:v>0</x:v>
      </x:c>
      <x:c r="I1803" s="11"/>
      <x:c r="J1803" s="11"/>
      <x:c r="K1803" s="11" t="n">
        <x:v>0</x:v>
      </x:c>
      <x:c r="L1803" s="11" t="n">
        <x:f>IF(B1803="NED",1,IF(OR(B1803="ED",B1803="UN"),0,""))</x:f>
        <x:v>0</x:v>
      </x:c>
      <x:c r="M1803" s="11" t="n">
        <x:f>IF(AND(K1803=1,OR(B1803="ED",B1803="NED")),1,0)</x:f>
        <x:v>0</x:v>
      </x:c>
      <x:c r="N1803" s="11" t="n">
        <x:f>IF(K1803=1,1,0)</x:f>
        <x:v>0</x:v>
      </x:c>
      <x:c r="O1803" s="12" t="str">
        <x:v>Require exact native accession match</x:v>
      </x:c>
      <x:c r="P1803" s="11" t="n">
        <x:v>0</x:v>
      </x:c>
      <x:c r="Q1803" s="12"/>
      <x:c r="R1803" s="12"/>
      <x:c r="S1803" s="11" t="n">
        <x:v>1337</x:v>
      </x:c>
      <x:c r="T1803" s="11"/>
    </x:row>
    <x:row r="1804" ht="23" customHeight="1">
      <x:c r="A1804" s="2" t="str">
        <x:v>Q80U44</x:v>
      </x:c>
      <x:c r="B1804" s="2" t="str">
        <x:v>ED</x:v>
      </x:c>
      <x:c r="C1804" s="2" t="n">
        <x:v>1</x:v>
      </x:c>
      <x:c r="D1804" s="2" t="n">
        <x:v>1</x:v>
      </x:c>
      <x:c r="E1804" s="10"/>
      <x:c r="F1804" s="11" t="n">
        <x:v>1528</x:v>
      </x:c>
      <x:c r="G1804" s="11" t="n">
        <x:v>0</x:v>
      </x:c>
      <x:c r="H1804" s="11" t="n">
        <x:v>0</x:v>
      </x:c>
      <x:c r="I1804" s="11" t="n">
        <x:v>1</x:v>
      </x:c>
      <x:c r="J1804" s="11" t="n">
        <x:v>0</x:v>
      </x:c>
      <x:c r="K1804" s="11" t="n">
        <x:v>0</x:v>
      </x:c>
      <x:c r="L1804" s="11" t="n">
        <x:f>IF(B1804="NED",1,IF(OR(B1804="ED",B1804="UN"),0,""))</x:f>
        <x:v>0</x:v>
      </x:c>
      <x:c r="M1804" s="11" t="n">
        <x:f>IF(AND(K1804=1,OR(B1804="ED",B1804="NED")),1,0)</x:f>
        <x:v>0</x:v>
      </x:c>
      <x:c r="N1804" s="11" t="n">
        <x:f>IF(K1804=1,1,0)</x:f>
        <x:v>0</x:v>
      </x:c>
      <x:c r="O1804" s="12" t="str">
        <x:v>Exclude UniProt Membrane keyword</x:v>
      </x:c>
      <x:c r="P1804" s="11" t="n">
        <x:v>0</x:v>
      </x:c>
      <x:c r="Q1804" s="12" t="str">
        <x:v>AF-Q80U44-F1-model_v6</x:v>
      </x:c>
      <x:c r="R1804" s="12" t="str">
        <x:v>ok</x:v>
      </x:c>
      <x:c r="S1804" s="11" t="n">
        <x:v>1338</x:v>
      </x:c>
      <x:c r="T1804" s="11" t="n">
        <x:v>1528</x:v>
      </x:c>
    </x:row>
    <x:row r="1805" ht="23" customHeight="1">
      <x:c r="A1805" s="2" t="str">
        <x:v>Q80U56</x:v>
      </x:c>
      <x:c r="B1805" s="2" t="str">
        <x:v>ED</x:v>
      </x:c>
      <x:c r="C1805" s="2" t="n">
        <x:v>1</x:v>
      </x:c>
      <x:c r="D1805" s="2" t="n">
        <x:v>1</x:v>
      </x:c>
      <x:c r="E1805" s="10"/>
      <x:c r="F1805" s="11" t="n">
        <x:v>649</x:v>
      </x:c>
      <x:c r="G1805" s="11" t="n">
        <x:v>0</x:v>
      </x:c>
      <x:c r="H1805" s="11" t="n">
        <x:v>0</x:v>
      </x:c>
      <x:c r="I1805" s="11" t="n">
        <x:v>1</x:v>
      </x:c>
      <x:c r="J1805" s="11" t="n">
        <x:v>0</x:v>
      </x:c>
      <x:c r="K1805" s="11" t="n">
        <x:v>0</x:v>
      </x:c>
      <x:c r="L1805" s="11" t="n">
        <x:f>IF(B1805="NED",1,IF(OR(B1805="ED",B1805="UN"),0,""))</x:f>
        <x:v>0</x:v>
      </x:c>
      <x:c r="M1805" s="11" t="n">
        <x:f>IF(AND(K1805=1,OR(B1805="ED",B1805="NED")),1,0)</x:f>
        <x:v>0</x:v>
      </x:c>
      <x:c r="N1805" s="11" t="n">
        <x:f>IF(K1805=1,1,0)</x:f>
        <x:v>0</x:v>
      </x:c>
      <x:c r="O1805" s="12" t="str">
        <x:v>Exclude UniProt Membrane keyword</x:v>
      </x:c>
      <x:c r="P1805" s="11" t="n">
        <x:v>0</x:v>
      </x:c>
      <x:c r="Q1805" s="12" t="str">
        <x:v>AF-Q80U56-F1-model_v6</x:v>
      </x:c>
      <x:c r="R1805" s="12" t="str">
        <x:v>ok</x:v>
      </x:c>
      <x:c r="S1805" s="11" t="n">
        <x:v>1339</x:v>
      </x:c>
      <x:c r="T1805" s="11" t="n">
        <x:v>649</x:v>
      </x:c>
    </x:row>
    <x:row r="1806" ht="23" customHeight="1">
      <x:c r="A1806" s="2" t="str">
        <x:v>Q80U72</x:v>
      </x:c>
      <x:c r="B1806" s="2" t="str">
        <x:v>ED</x:v>
      </x:c>
      <x:c r="C1806" s="2" t="n">
        <x:v>1</x:v>
      </x:c>
      <x:c r="D1806" s="2" t="n">
        <x:v>1</x:v>
      </x:c>
      <x:c r="E1806" s="10"/>
      <x:c r="F1806" s="11" t="n">
        <x:v>1665</x:v>
      </x:c>
      <x:c r="G1806" s="11" t="n">
        <x:v>0</x:v>
      </x:c>
      <x:c r="H1806" s="11" t="n">
        <x:v>0</x:v>
      </x:c>
      <x:c r="I1806" s="11" t="n">
        <x:v>1</x:v>
      </x:c>
      <x:c r="J1806" s="11" t="n">
        <x:v>0</x:v>
      </x:c>
      <x:c r="K1806" s="11" t="n">
        <x:v>0</x:v>
      </x:c>
      <x:c r="L1806" s="11" t="n">
        <x:f>IF(B1806="NED",1,IF(OR(B1806="ED",B1806="UN"),0,""))</x:f>
        <x:v>0</x:v>
      </x:c>
      <x:c r="M1806" s="11" t="n">
        <x:f>IF(AND(K1806=1,OR(B1806="ED",B1806="NED")),1,0)</x:f>
        <x:v>0</x:v>
      </x:c>
      <x:c r="N1806" s="11" t="n">
        <x:f>IF(K1806=1,1,0)</x:f>
        <x:v>0</x:v>
      </x:c>
      <x:c r="O1806" s="12" t="str">
        <x:v>Exclude UniProt Membrane keyword</x:v>
      </x:c>
      <x:c r="P1806" s="11" t="n">
        <x:v>0</x:v>
      </x:c>
      <x:c r="Q1806" s="12" t="str">
        <x:v>AF-Q80U72-F1-model_v6</x:v>
      </x:c>
      <x:c r="R1806" s="12" t="str">
        <x:v>ok</x:v>
      </x:c>
      <x:c r="S1806" s="11" t="n">
        <x:v>1340</x:v>
      </x:c>
      <x:c r="T1806" s="11" t="n">
        <x:v>1665</x:v>
      </x:c>
    </x:row>
    <x:row r="1807" ht="23" customHeight="1">
      <x:c r="A1807" s="2" t="str">
        <x:v>Q80U78-3</x:v>
      </x:c>
      <x:c r="B1807" s="2" t="str">
        <x:v>ED</x:v>
      </x:c>
      <x:c r="C1807" s="2"/>
      <x:c r="D1807" s="2"/>
      <x:c r="E1807" s="10"/>
      <x:c r="F1807" s="11"/>
      <x:c r="G1807" s="11" t="n">
        <x:v>0</x:v>
      </x:c>
      <x:c r="H1807" s="11" t="n">
        <x:v>0</x:v>
      </x:c>
      <x:c r="I1807" s="11"/>
      <x:c r="J1807" s="11"/>
      <x:c r="K1807" s="11" t="n">
        <x:v>0</x:v>
      </x:c>
      <x:c r="L1807" s="11" t="n">
        <x:f>IF(B1807="NED",1,IF(OR(B1807="ED",B1807="UN"),0,""))</x:f>
        <x:v>0</x:v>
      </x:c>
      <x:c r="M1807" s="11" t="n">
        <x:f>IF(AND(K1807=1,OR(B1807="ED",B1807="NED")),1,0)</x:f>
        <x:v>0</x:v>
      </x:c>
      <x:c r="N1807" s="11" t="n">
        <x:f>IF(K1807=1,1,0)</x:f>
        <x:v>0</x:v>
      </x:c>
      <x:c r="O1807" s="12" t="str">
        <x:v>Require exact native accession match</x:v>
      </x:c>
      <x:c r="P1807" s="11" t="n">
        <x:v>0</x:v>
      </x:c>
      <x:c r="Q1807" s="12"/>
      <x:c r="R1807" s="12"/>
      <x:c r="S1807" s="11" t="n">
        <x:v>1341</x:v>
      </x:c>
      <x:c r="T1807" s="11"/>
    </x:row>
    <x:row r="1808" ht="23" customHeight="1">
      <x:c r="A1808" s="2" t="str">
        <x:v>Q80U87</x:v>
      </x:c>
      <x:c r="B1808" s="2" t="str">
        <x:v>ED</x:v>
      </x:c>
      <x:c r="C1808" s="2" t="n">
        <x:v>1</x:v>
      </x:c>
      <x:c r="D1808" s="2" t="n">
        <x:v>1</x:v>
      </x:c>
      <x:c r="E1808" s="10"/>
      <x:c r="F1808" s="11" t="n">
        <x:v>1080</x:v>
      </x:c>
      <x:c r="G1808" s="11" t="n">
        <x:v>0</x:v>
      </x:c>
      <x:c r="H1808" s="11" t="n">
        <x:v>0</x:v>
      </x:c>
      <x:c r="I1808" s="11" t="n">
        <x:v>1</x:v>
      </x:c>
      <x:c r="J1808" s="11" t="n">
        <x:v>0</x:v>
      </x:c>
      <x:c r="K1808" s="11" t="n">
        <x:v>0</x:v>
      </x:c>
      <x:c r="L1808" s="11" t="n">
        <x:f>IF(B1808="NED",1,IF(OR(B1808="ED",B1808="UN"),0,""))</x:f>
        <x:v>0</x:v>
      </x:c>
      <x:c r="M1808" s="11" t="n">
        <x:f>IF(AND(K1808=1,OR(B1808="ED",B1808="NED")),1,0)</x:f>
        <x:v>0</x:v>
      </x:c>
      <x:c r="N1808" s="11" t="n">
        <x:f>IF(K1808=1,1,0)</x:f>
        <x:v>0</x:v>
      </x:c>
      <x:c r="O1808" s="12" t="str">
        <x:v>Exclude UniProt Membrane keyword</x:v>
      </x:c>
      <x:c r="P1808" s="11" t="n">
        <x:v>0</x:v>
      </x:c>
      <x:c r="Q1808" s="12" t="str">
        <x:v>AF-Q80U87-F1-model_v6</x:v>
      </x:c>
      <x:c r="R1808" s="12" t="str">
        <x:v>ok</x:v>
      </x:c>
      <x:c r="S1808" s="11" t="n">
        <x:v>1342</x:v>
      </x:c>
      <x:c r="T1808" s="11" t="n">
        <x:v>1080</x:v>
      </x:c>
    </x:row>
    <x:row r="1809" ht="23" customHeight="1">
      <x:c r="A1809" s="2" t="str">
        <x:v>Q80U93</x:v>
      </x:c>
      <x:c r="B1809" s="2" t="str">
        <x:v>ED</x:v>
      </x:c>
      <x:c r="C1809" s="2" t="n">
        <x:v>1</x:v>
      </x:c>
      <x:c r="D1809" s="2" t="n">
        <x:v>1</x:v>
      </x:c>
      <x:c r="E1809" s="10" t="n">
        <x:v>48.47876258992806</x:v>
      </x:c>
      <x:c r="F1809" s="11" t="n">
        <x:v>2085</x:v>
      </x:c>
      <x:c r="G1809" s="11" t="n">
        <x:v>0</x:v>
      </x:c>
      <x:c r="H1809" s="11" t="n">
        <x:v>0</x:v>
      </x:c>
      <x:c r="I1809" s="11" t="n">
        <x:v>0</x:v>
      </x:c>
      <x:c r="J1809" s="11" t="n">
        <x:v>0</x:v>
      </x:c>
      <x:c r="K1809" s="11" t="n">
        <x:v>0</x:v>
      </x:c>
      <x:c r="L1809" s="11" t="n">
        <x:f>IF(B1809="NED",1,IF(OR(B1809="ED",B1809="UN"),0,""))</x:f>
        <x:v>0</x:v>
      </x:c>
      <x:c r="M1809" s="11" t="n">
        <x:f>IF(AND(K1809=1,OR(B1809="ED",B1809="NED")),1,0)</x:f>
        <x:v>0</x:v>
      </x:c>
      <x:c r="N1809" s="11" t="n">
        <x:f>IF(K1809=1,1,0)</x:f>
        <x:v>0</x:v>
      </x:c>
      <x:c r="O1809" s="12" t="str">
        <x:v>Retain protein mean pLDDT &gt;=70</x:v>
      </x:c>
      <x:c r="P1809" s="11" t="n">
        <x:v>0</x:v>
      </x:c>
      <x:c r="Q1809" s="12" t="str">
        <x:v>AF-Q80U93-F1-model_v6</x:v>
      </x:c>
      <x:c r="R1809" s="12" t="str">
        <x:v>ok</x:v>
      </x:c>
      <x:c r="S1809" s="11" t="n">
        <x:v>1343</x:v>
      </x:c>
      <x:c r="T1809" s="11" t="n">
        <x:v>2085</x:v>
      </x:c>
    </x:row>
    <x:row r="1810" ht="23" customHeight="1">
      <x:c r="A1810" s="2" t="str">
        <x:v>Q80U95</x:v>
      </x:c>
      <x:c r="B1810" s="2" t="str">
        <x:v>UN</x:v>
      </x:c>
      <x:c r="C1810" s="2" t="n">
        <x:v>1</x:v>
      </x:c>
      <x:c r="D1810" s="2" t="n">
        <x:v>1</x:v>
      </x:c>
      <x:c r="E1810" s="10" t="n">
        <x:v>81.2358541089566</x:v>
      </x:c>
      <x:c r="F1810" s="11" t="n">
        <x:v>1083</x:v>
      </x:c>
      <x:c r="G1810" s="11" t="n">
        <x:v>0</x:v>
      </x:c>
      <x:c r="H1810" s="11" t="n">
        <x:v>0</x:v>
      </x:c>
      <x:c r="I1810" s="11" t="n">
        <x:v>0</x:v>
      </x:c>
      <x:c r="J1810" s="11" t="n">
        <x:v>0</x:v>
      </x:c>
      <x:c r="K1810" s="11" t="n">
        <x:v>1</x:v>
      </x:c>
      <x:c r="L1810" s="11" t="n">
        <x:f>IF(B1810="NED",1,IF(OR(B1810="ED",B1810="UN"),0,""))</x:f>
        <x:v>0</x:v>
      </x:c>
      <x:c r="M1810" s="11" t="n">
        <x:f>IF(AND(K1810=1,OR(B1810="ED",B1810="NED")),1,0)</x:f>
        <x:v>0</x:v>
      </x:c>
      <x:c r="N1810" s="11" t="n">
        <x:f>IF(K1810=1,1,0)</x:f>
        <x:v>1</x:v>
      </x:c>
      <x:c r="O1810" s="12"/>
      <x:c r="P1810" s="11" t="n">
        <x:v>0</x:v>
      </x:c>
      <x:c r="Q1810" s="12" t="str">
        <x:v>AF-Q80U95-F1-model_v6</x:v>
      </x:c>
      <x:c r="R1810" s="12" t="str">
        <x:v>ok</x:v>
      </x:c>
      <x:c r="S1810" s="11" t="n">
        <x:v>1344</x:v>
      </x:c>
      <x:c r="T1810" s="11" t="n">
        <x:v>1083</x:v>
      </x:c>
    </x:row>
    <x:row r="1811" ht="23" customHeight="1">
      <x:c r="A1811" s="2" t="str">
        <x:v>Q80UG5-3</x:v>
      </x:c>
      <x:c r="B1811" s="2" t="str">
        <x:v>ED</x:v>
      </x:c>
      <x:c r="C1811" s="2"/>
      <x:c r="D1811" s="2"/>
      <x:c r="E1811" s="10"/>
      <x:c r="F1811" s="11"/>
      <x:c r="G1811" s="11" t="n">
        <x:v>0</x:v>
      </x:c>
      <x:c r="H1811" s="11" t="n">
        <x:v>0</x:v>
      </x:c>
      <x:c r="I1811" s="11"/>
      <x:c r="J1811" s="11"/>
      <x:c r="K1811" s="11" t="n">
        <x:v>0</x:v>
      </x:c>
      <x:c r="L1811" s="11" t="n">
        <x:f>IF(B1811="NED",1,IF(OR(B1811="ED",B1811="UN"),0,""))</x:f>
        <x:v>0</x:v>
      </x:c>
      <x:c r="M1811" s="11" t="n">
        <x:f>IF(AND(K1811=1,OR(B1811="ED",B1811="NED")),1,0)</x:f>
        <x:v>0</x:v>
      </x:c>
      <x:c r="N1811" s="11" t="n">
        <x:f>IF(K1811=1,1,0)</x:f>
        <x:v>0</x:v>
      </x:c>
      <x:c r="O1811" s="12" t="str">
        <x:v>Require exact native accession match</x:v>
      </x:c>
      <x:c r="P1811" s="11" t="n">
        <x:v>0</x:v>
      </x:c>
      <x:c r="Q1811" s="12"/>
      <x:c r="R1811" s="12"/>
      <x:c r="S1811" s="11" t="n">
        <x:v>1345</x:v>
      </x:c>
      <x:c r="T1811" s="11"/>
    </x:row>
    <x:row r="1812" ht="23" customHeight="1">
      <x:c r="A1812" s="2" t="str">
        <x:v>Q80UJ7</x:v>
      </x:c>
      <x:c r="B1812" s="2" t="str">
        <x:v>ED</x:v>
      </x:c>
      <x:c r="C1812" s="2" t="n">
        <x:v>1</x:v>
      </x:c>
      <x:c r="D1812" s="2" t="n">
        <x:v>1</x:v>
      </x:c>
      <x:c r="E1812" s="10" t="n">
        <x:v>77.34873598369012</x:v>
      </x:c>
      <x:c r="F1812" s="11" t="n">
        <x:v>981</x:v>
      </x:c>
      <x:c r="G1812" s="11" t="n">
        <x:v>0</x:v>
      </x:c>
      <x:c r="H1812" s="11" t="n">
        <x:v>0</x:v>
      </x:c>
      <x:c r="I1812" s="11" t="n">
        <x:v>0</x:v>
      </x:c>
      <x:c r="J1812" s="11" t="n">
        <x:v>0</x:v>
      </x:c>
      <x:c r="K1812" s="11" t="n">
        <x:v>1</x:v>
      </x:c>
      <x:c r="L1812" s="11" t="n">
        <x:f>IF(B1812="NED",1,IF(OR(B1812="ED",B1812="UN"),0,""))</x:f>
        <x:v>0</x:v>
      </x:c>
      <x:c r="M1812" s="11" t="n">
        <x:f>IF(AND(K1812=1,OR(B1812="ED",B1812="NED")),1,0)</x:f>
        <x:v>1</x:v>
      </x:c>
      <x:c r="N1812" s="11" t="n">
        <x:f>IF(K1812=1,1,0)</x:f>
        <x:v>1</x:v>
      </x:c>
      <x:c r="O1812" s="12"/>
      <x:c r="P1812" s="11" t="n">
        <x:v>0</x:v>
      </x:c>
      <x:c r="Q1812" s="12" t="str">
        <x:v>AF-Q80UJ7-F1-model_v6</x:v>
      </x:c>
      <x:c r="R1812" s="12" t="str">
        <x:v>ok</x:v>
      </x:c>
      <x:c r="S1812" s="11" t="n">
        <x:v>1346</x:v>
      </x:c>
      <x:c r="T1812" s="11" t="n">
        <x:v>981</x:v>
      </x:c>
    </x:row>
    <x:row r="1813" ht="23" customHeight="1">
      <x:c r="A1813" s="2" t="str">
        <x:v>Q80UK0</x:v>
      </x:c>
      <x:c r="B1813" s="2" t="str">
        <x:v>ED</x:v>
      </x:c>
      <x:c r="C1813" s="2" t="n">
        <x:v>1</x:v>
      </x:c>
      <x:c r="D1813" s="2"/>
      <x:c r="E1813" s="10" t="n">
        <x:v>85.9151867816092</x:v>
      </x:c>
      <x:c r="F1813" s="11" t="n">
        <x:v>696</x:v>
      </x:c>
      <x:c r="G1813" s="11" t="n">
        <x:v>0</x:v>
      </x:c>
      <x:c r="H1813" s="11" t="n">
        <x:v>0</x:v>
      </x:c>
      <x:c r="I1813" s="11" t="n">
        <x:v>0</x:v>
      </x:c>
      <x:c r="J1813" s="11" t="n">
        <x:v>0</x:v>
      </x:c>
      <x:c r="K1813" s="11" t="n">
        <x:v>1</x:v>
      </x:c>
      <x:c r="L1813" s="11" t="n">
        <x:f>IF(B1813="NED",1,IF(OR(B1813="ED",B1813="UN"),0,""))</x:f>
        <x:v>0</x:v>
      </x:c>
      <x:c r="M1813" s="11" t="n">
        <x:f>IF(AND(K1813=1,OR(B1813="ED",B1813="NED")),1,0)</x:f>
        <x:v>1</x:v>
      </x:c>
      <x:c r="N1813" s="11" t="n">
        <x:f>IF(K1813=1,1,0)</x:f>
        <x:v>1</x:v>
      </x:c>
      <x:c r="O1813" s="12"/>
      <x:c r="P1813" s="11" t="n">
        <x:v>0</x:v>
      </x:c>
      <x:c r="Q1813" s="12" t="str">
        <x:v>AF-Q80UK0-F1-model_v6</x:v>
      </x:c>
      <x:c r="R1813" s="12" t="str">
        <x:v>ok</x:v>
      </x:c>
      <x:c r="S1813" s="11" t="n">
        <x:v>1347</x:v>
      </x:c>
      <x:c r="T1813" s="11" t="n">
        <x:v>696</x:v>
      </x:c>
    </x:row>
    <x:row r="1814" ht="23" customHeight="1">
      <x:c r="A1814" s="2" t="str">
        <x:v>Q80UK7-2</x:v>
      </x:c>
      <x:c r="B1814" s="2" t="str">
        <x:v>ED</x:v>
      </x:c>
      <x:c r="C1814" s="2"/>
      <x:c r="D1814" s="2"/>
      <x:c r="E1814" s="10"/>
      <x:c r="F1814" s="11"/>
      <x:c r="G1814" s="11" t="n">
        <x:v>0</x:v>
      </x:c>
      <x:c r="H1814" s="11" t="n">
        <x:v>0</x:v>
      </x:c>
      <x:c r="I1814" s="11"/>
      <x:c r="J1814" s="11"/>
      <x:c r="K1814" s="11" t="n">
        <x:v>0</x:v>
      </x:c>
      <x:c r="L1814" s="11" t="n">
        <x:f>IF(B1814="NED",1,IF(OR(B1814="ED",B1814="UN"),0,""))</x:f>
        <x:v>0</x:v>
      </x:c>
      <x:c r="M1814" s="11" t="n">
        <x:f>IF(AND(K1814=1,OR(B1814="ED",B1814="NED")),1,0)</x:f>
        <x:v>0</x:v>
      </x:c>
      <x:c r="N1814" s="11" t="n">
        <x:f>IF(K1814=1,1,0)</x:f>
        <x:v>0</x:v>
      </x:c>
      <x:c r="O1814" s="12" t="str">
        <x:v>Require exact native accession match</x:v>
      </x:c>
      <x:c r="P1814" s="11" t="n">
        <x:v>0</x:v>
      </x:c>
      <x:c r="Q1814" s="12"/>
      <x:c r="R1814" s="12"/>
      <x:c r="S1814" s="11" t="n">
        <x:v>1348</x:v>
      </x:c>
      <x:c r="T1814" s="11"/>
    </x:row>
    <x:row r="1815" ht="23" customHeight="1">
      <x:c r="A1815" s="2" t="str">
        <x:v>Q80UK8</x:v>
      </x:c>
      <x:c r="B1815" s="2" t="str">
        <x:v>UN</x:v>
      </x:c>
      <x:c r="C1815" s="2" t="n">
        <x:v>1</x:v>
      </x:c>
      <x:c r="D1815" s="2"/>
      <x:c r="E1815" s="10"/>
      <x:c r="F1815" s="11" t="n">
        <x:v>1198</x:v>
      </x:c>
      <x:c r="G1815" s="11" t="n">
        <x:v>0</x:v>
      </x:c>
      <x:c r="H1815" s="11" t="n">
        <x:v>0</x:v>
      </x:c>
      <x:c r="I1815" s="11" t="n">
        <x:v>1</x:v>
      </x:c>
      <x:c r="J1815" s="11" t="n">
        <x:v>0</x:v>
      </x:c>
      <x:c r="K1815" s="11" t="n">
        <x:v>0</x:v>
      </x:c>
      <x:c r="L1815" s="11" t="n">
        <x:f>IF(B1815="NED",1,IF(OR(B1815="ED",B1815="UN"),0,""))</x:f>
        <x:v>0</x:v>
      </x:c>
      <x:c r="M1815" s="11" t="n">
        <x:f>IF(AND(K1815=1,OR(B1815="ED",B1815="NED")),1,0)</x:f>
        <x:v>0</x:v>
      </x:c>
      <x:c r="N1815" s="11" t="n">
        <x:f>IF(K1815=1,1,0)</x:f>
        <x:v>0</x:v>
      </x:c>
      <x:c r="O1815" s="12" t="str">
        <x:v>Exclude UniProt Membrane keyword</x:v>
      </x:c>
      <x:c r="P1815" s="11" t="n">
        <x:v>0</x:v>
      </x:c>
      <x:c r="Q1815" s="12" t="str">
        <x:v>AF-Q80UK8-F1-model_v6</x:v>
      </x:c>
      <x:c r="R1815" s="12" t="str">
        <x:v>ok</x:v>
      </x:c>
      <x:c r="S1815" s="11" t="n">
        <x:v>1349</x:v>
      </x:c>
      <x:c r="T1815" s="11" t="n">
        <x:v>1198</x:v>
      </x:c>
    </x:row>
    <x:row r="1816" ht="23" customHeight="1">
      <x:c r="A1816" s="2" t="str">
        <x:v>Q80UM7</x:v>
      </x:c>
      <x:c r="B1816" s="2" t="str">
        <x:v>ED</x:v>
      </x:c>
      <x:c r="C1816" s="2" t="n">
        <x:v>1</x:v>
      </x:c>
      <x:c r="D1816" s="2" t="n">
        <x:v>1</x:v>
      </x:c>
      <x:c r="E1816" s="10"/>
      <x:c r="F1816" s="11" t="n">
        <x:v>834</x:v>
      </x:c>
      <x:c r="G1816" s="11" t="n">
        <x:v>0</x:v>
      </x:c>
      <x:c r="H1816" s="11" t="n">
        <x:v>0</x:v>
      </x:c>
      <x:c r="I1816" s="11" t="n">
        <x:v>1</x:v>
      </x:c>
      <x:c r="J1816" s="11" t="n">
        <x:v>0</x:v>
      </x:c>
      <x:c r="K1816" s="11" t="n">
        <x:v>0</x:v>
      </x:c>
      <x:c r="L1816" s="11" t="n">
        <x:f>IF(B1816="NED",1,IF(OR(B1816="ED",B1816="UN"),0,""))</x:f>
        <x:v>0</x:v>
      </x:c>
      <x:c r="M1816" s="11" t="n">
        <x:f>IF(AND(K1816=1,OR(B1816="ED",B1816="NED")),1,0)</x:f>
        <x:v>0</x:v>
      </x:c>
      <x:c r="N1816" s="11" t="n">
        <x:f>IF(K1816=1,1,0)</x:f>
        <x:v>0</x:v>
      </x:c>
      <x:c r="O1816" s="12" t="str">
        <x:v>Exclude UniProt Membrane keyword</x:v>
      </x:c>
      <x:c r="P1816" s="11" t="n">
        <x:v>0</x:v>
      </x:c>
      <x:c r="Q1816" s="12" t="str">
        <x:v>AF-Q80UM7-F1-model_v6</x:v>
      </x:c>
      <x:c r="R1816" s="12" t="str">
        <x:v>ok</x:v>
      </x:c>
      <x:c r="S1816" s="11" t="n">
        <x:v>1350</x:v>
      </x:c>
      <x:c r="T1816" s="11" t="n">
        <x:v>834</x:v>
      </x:c>
    </x:row>
    <x:row r="1817" ht="23" customHeight="1">
      <x:c r="A1817" s="2" t="str">
        <x:v>Q80UU9</x:v>
      </x:c>
      <x:c r="B1817" s="2" t="str">
        <x:v>UN</x:v>
      </x:c>
      <x:c r="C1817" s="2" t="n">
        <x:v>0</x:v>
      </x:c>
      <x:c r="D1817" s="2" t="n">
        <x:v>0</x:v>
      </x:c>
      <x:c r="E1817" s="10"/>
      <x:c r="F1817" s="11" t="n">
        <x:v>217</x:v>
      </x:c>
      <x:c r="G1817" s="11" t="n">
        <x:v>0</x:v>
      </x:c>
      <x:c r="H1817" s="11" t="n">
        <x:v>0</x:v>
      </x:c>
      <x:c r="I1817" s="11" t="n">
        <x:v>1</x:v>
      </x:c>
      <x:c r="J1817" s="11" t="n">
        <x:v>1</x:v>
      </x:c>
      <x:c r="K1817" s="11" t="n">
        <x:v>0</x:v>
      </x:c>
      <x:c r="L1817" s="11" t="n">
        <x:f>IF(B1817="NED",1,IF(OR(B1817="ED",B1817="UN"),0,""))</x:f>
        <x:v>0</x:v>
      </x:c>
      <x:c r="M1817" s="11" t="n">
        <x:f>IF(AND(K1817=1,OR(B1817="ED",B1817="NED")),1,0)</x:f>
        <x:v>0</x:v>
      </x:c>
      <x:c r="N1817" s="11" t="n">
        <x:f>IF(K1817=1,1,0)</x:f>
        <x:v>0</x:v>
      </x:c>
      <x:c r="O1817" s="12" t="str">
        <x:v>Exclude UniProt Membrane keyword</x:v>
      </x:c>
      <x:c r="P1817" s="11" t="n">
        <x:v>0</x:v>
      </x:c>
      <x:c r="Q1817" s="12" t="str">
        <x:v>AF-Q80UU9-F1-model_v6</x:v>
      </x:c>
      <x:c r="R1817" s="12" t="str">
        <x:v>ok</x:v>
      </x:c>
      <x:c r="S1817" s="11" t="n">
        <x:v>1351</x:v>
      </x:c>
      <x:c r="T1817" s="11" t="n">
        <x:v>217</x:v>
      </x:c>
    </x:row>
    <x:row r="1818" ht="23" customHeight="1">
      <x:c r="A1818" s="2" t="str">
        <x:v>Q80UW8</x:v>
      </x:c>
      <x:c r="B1818" s="2" t="str">
        <x:v>NED</x:v>
      </x:c>
      <x:c r="C1818" s="2" t="n">
        <x:v>1</x:v>
      </x:c>
      <x:c r="D1818" s="2" t="n">
        <x:v>1</x:v>
      </x:c>
      <x:c r="E1818" s="10" t="n">
        <x:v>93.86861904761903</x:v>
      </x:c>
      <x:c r="F1818" s="11" t="n">
        <x:v>210</x:v>
      </x:c>
      <x:c r="G1818" s="11" t="n">
        <x:v>0</x:v>
      </x:c>
      <x:c r="H1818" s="11" t="n">
        <x:v>0</x:v>
      </x:c>
      <x:c r="I1818" s="11" t="n">
        <x:v>0</x:v>
      </x:c>
      <x:c r="J1818" s="11" t="n">
        <x:v>0</x:v>
      </x:c>
      <x:c r="K1818" s="11" t="n">
        <x:v>1</x:v>
      </x:c>
      <x:c r="L1818" s="11" t="n">
        <x:f>IF(B1818="NED",1,IF(OR(B1818="ED",B1818="UN"),0,""))</x:f>
        <x:v>1</x:v>
      </x:c>
      <x:c r="M1818" s="11" t="n">
        <x:f>IF(AND(K1818=1,OR(B1818="ED",B1818="NED")),1,0)</x:f>
        <x:v>1</x:v>
      </x:c>
      <x:c r="N1818" s="11" t="n">
        <x:f>IF(K1818=1,1,0)</x:f>
        <x:v>1</x:v>
      </x:c>
      <x:c r="O1818" s="12"/>
      <x:c r="P1818" s="11" t="n">
        <x:v>0</x:v>
      </x:c>
      <x:c r="Q1818" s="12" t="str">
        <x:v>AF-Q80UW8-F1-model_v6</x:v>
      </x:c>
      <x:c r="R1818" s="12" t="str">
        <x:v>ok</x:v>
      </x:c>
      <x:c r="S1818" s="11" t="n">
        <x:v>1352</x:v>
      </x:c>
      <x:c r="T1818" s="11" t="n">
        <x:v>210</x:v>
      </x:c>
    </x:row>
    <x:row r="1819" ht="23" customHeight="1">
      <x:c r="A1819" s="2" t="str">
        <x:v>Q80UY1</x:v>
      </x:c>
      <x:c r="B1819" s="2" t="str">
        <x:v>UN</x:v>
      </x:c>
      <x:c r="C1819" s="2" t="n">
        <x:v>1</x:v>
      </x:c>
      <x:c r="D1819" s="2" t="n">
        <x:v>1</x:v>
      </x:c>
      <x:c r="E1819" s="10" t="n">
        <x:v>90.64395</x:v>
      </x:c>
      <x:c r="F1819" s="11" t="n">
        <x:v>400</x:v>
      </x:c>
      <x:c r="G1819" s="11" t="n">
        <x:v>0</x:v>
      </x:c>
      <x:c r="H1819" s="11" t="n">
        <x:v>0</x:v>
      </x:c>
      <x:c r="I1819" s="11" t="n">
        <x:v>0</x:v>
      </x:c>
      <x:c r="J1819" s="11" t="n">
        <x:v>0</x:v>
      </x:c>
      <x:c r="K1819" s="11" t="n">
        <x:v>1</x:v>
      </x:c>
      <x:c r="L1819" s="11" t="n">
        <x:f>IF(B1819="NED",1,IF(OR(B1819="ED",B1819="UN"),0,""))</x:f>
        <x:v>0</x:v>
      </x:c>
      <x:c r="M1819" s="11" t="n">
        <x:f>IF(AND(K1819=1,OR(B1819="ED",B1819="NED")),1,0)</x:f>
        <x:v>0</x:v>
      </x:c>
      <x:c r="N1819" s="11" t="n">
        <x:f>IF(K1819=1,1,0)</x:f>
        <x:v>1</x:v>
      </x:c>
      <x:c r="O1819" s="12"/>
      <x:c r="P1819" s="11" t="n">
        <x:v>0</x:v>
      </x:c>
      <x:c r="Q1819" s="12" t="str">
        <x:v>AF-Q80UY1-F1-model_v6</x:v>
      </x:c>
      <x:c r="R1819" s="12" t="str">
        <x:v>ok</x:v>
      </x:c>
      <x:c r="S1819" s="11" t="n">
        <x:v>1353</x:v>
      </x:c>
      <x:c r="T1819" s="11" t="n">
        <x:v>400</x:v>
      </x:c>
    </x:row>
    <x:row r="1820" ht="23" customHeight="1">
      <x:c r="A1820" s="2" t="str">
        <x:v>Q80UY2</x:v>
      </x:c>
      <x:c r="B1820" s="2" t="str">
        <x:v>ED</x:v>
      </x:c>
      <x:c r="C1820" s="2" t="n">
        <x:v>0</x:v>
      </x:c>
      <x:c r="D1820" s="2" t="n">
        <x:v>0</x:v>
      </x:c>
      <x:c r="E1820" s="10" t="n">
        <x:v>70.00167979002624</x:v>
      </x:c>
      <x:c r="F1820" s="11" t="n">
        <x:v>381</x:v>
      </x:c>
      <x:c r="G1820" s="11" t="n">
        <x:v>0</x:v>
      </x:c>
      <x:c r="H1820" s="11" t="n">
        <x:v>0</x:v>
      </x:c>
      <x:c r="I1820" s="11" t="n">
        <x:v>0</x:v>
      </x:c>
      <x:c r="J1820" s="11" t="n">
        <x:v>0</x:v>
      </x:c>
      <x:c r="K1820" s="11" t="n">
        <x:v>1</x:v>
      </x:c>
      <x:c r="L1820" s="11" t="n">
        <x:f>IF(B1820="NED",1,IF(OR(B1820="ED",B1820="UN"),0,""))</x:f>
        <x:v>0</x:v>
      </x:c>
      <x:c r="M1820" s="11" t="n">
        <x:f>IF(AND(K1820=1,OR(B1820="ED",B1820="NED")),1,0)</x:f>
        <x:v>1</x:v>
      </x:c>
      <x:c r="N1820" s="11" t="n">
        <x:f>IF(K1820=1,1,0)</x:f>
        <x:v>1</x:v>
      </x:c>
      <x:c r="O1820" s="12"/>
      <x:c r="P1820" s="11" t="n">
        <x:v>0</x:v>
      </x:c>
      <x:c r="Q1820" s="12" t="str">
        <x:v>AF-Q80UY2-F1-model_v6</x:v>
      </x:c>
      <x:c r="R1820" s="12" t="str">
        <x:v>ok</x:v>
      </x:c>
      <x:c r="S1820" s="11" t="n">
        <x:v>1354</x:v>
      </x:c>
      <x:c r="T1820" s="11" t="n">
        <x:v>381</x:v>
      </x:c>
    </x:row>
    <x:row r="1821" ht="23" customHeight="1">
      <x:c r="A1821" s="2" t="str">
        <x:v>Q80UZ2-2</x:v>
      </x:c>
      <x:c r="B1821" s="2" t="str">
        <x:v>NED</x:v>
      </x:c>
      <x:c r="C1821" s="2"/>
      <x:c r="D1821" s="2"/>
      <x:c r="E1821" s="10"/>
      <x:c r="F1821" s="11"/>
      <x:c r="G1821" s="11" t="n">
        <x:v>0</x:v>
      </x:c>
      <x:c r="H1821" s="11" t="n">
        <x:v>0</x:v>
      </x:c>
      <x:c r="I1821" s="11"/>
      <x:c r="J1821" s="11"/>
      <x:c r="K1821" s="11" t="n">
        <x:v>0</x:v>
      </x:c>
      <x:c r="L1821" s="11" t="n">
        <x:f>IF(B1821="NED",1,IF(OR(B1821="ED",B1821="UN"),0,""))</x:f>
        <x:v>1</x:v>
      </x:c>
      <x:c r="M1821" s="11" t="n">
        <x:f>IF(AND(K1821=1,OR(B1821="ED",B1821="NED")),1,0)</x:f>
        <x:v>0</x:v>
      </x:c>
      <x:c r="N1821" s="11" t="n">
        <x:f>IF(K1821=1,1,0)</x:f>
        <x:v>0</x:v>
      </x:c>
      <x:c r="O1821" s="12" t="str">
        <x:v>Require exact native accession match</x:v>
      </x:c>
      <x:c r="P1821" s="11" t="n">
        <x:v>0</x:v>
      </x:c>
      <x:c r="Q1821" s="12"/>
      <x:c r="R1821" s="12"/>
      <x:c r="S1821" s="11" t="n">
        <x:v>1355</x:v>
      </x:c>
      <x:c r="T1821" s="11"/>
    </x:row>
    <x:row r="1822" ht="23" customHeight="1">
      <x:c r="A1822" s="2" t="str">
        <x:v>Q80V26</x:v>
      </x:c>
      <x:c r="B1822" s="2" t="str">
        <x:v>UN</x:v>
      </x:c>
      <x:c r="C1822" s="2" t="n">
        <x:v>1</x:v>
      </x:c>
      <x:c r="D1822" s="2" t="n">
        <x:v>1</x:v>
      </x:c>
      <x:c r="E1822" s="10"/>
      <x:c r="F1822" s="11" t="n">
        <x:v>356</x:v>
      </x:c>
      <x:c r="G1822" s="11" t="n">
        <x:v>0</x:v>
      </x:c>
      <x:c r="H1822" s="11" t="n">
        <x:v>0</x:v>
      </x:c>
      <x:c r="I1822" s="11" t="n">
        <x:v>1</x:v>
      </x:c>
      <x:c r="J1822" s="11" t="n">
        <x:v>0</x:v>
      </x:c>
      <x:c r="K1822" s="11" t="n">
        <x:v>0</x:v>
      </x:c>
      <x:c r="L1822" s="11" t="n">
        <x:f>IF(B1822="NED",1,IF(OR(B1822="ED",B1822="UN"),0,""))</x:f>
        <x:v>0</x:v>
      </x:c>
      <x:c r="M1822" s="11" t="n">
        <x:f>IF(AND(K1822=1,OR(B1822="ED",B1822="NED")),1,0)</x:f>
        <x:v>0</x:v>
      </x:c>
      <x:c r="N1822" s="11" t="n">
        <x:f>IF(K1822=1,1,0)</x:f>
        <x:v>0</x:v>
      </x:c>
      <x:c r="O1822" s="12" t="str">
        <x:v>Exclude UniProt Membrane keyword</x:v>
      </x:c>
      <x:c r="P1822" s="11" t="n">
        <x:v>0</x:v>
      </x:c>
      <x:c r="Q1822" s="12" t="str">
        <x:v>AF-Q80V26-F1-model_v6</x:v>
      </x:c>
      <x:c r="R1822" s="12" t="str">
        <x:v>ok</x:v>
      </x:c>
      <x:c r="S1822" s="11" t="n">
        <x:v>1356</x:v>
      </x:c>
      <x:c r="T1822" s="11" t="n">
        <x:v>356</x:v>
      </x:c>
    </x:row>
    <x:row r="1823" ht="23" customHeight="1">
      <x:c r="A1823" s="2" t="str">
        <x:v>Q80VD1</x:v>
      </x:c>
      <x:c r="B1823" s="2" t="str">
        <x:v>NED</x:v>
      </x:c>
      <x:c r="C1823" s="2" t="n">
        <x:v>0</x:v>
      </x:c>
      <x:c r="D1823" s="2" t="n">
        <x:v>0</x:v>
      </x:c>
      <x:c r="E1823" s="10" t="n">
        <x:v>72.51585081585081</x:v>
      </x:c>
      <x:c r="F1823" s="11" t="n">
        <x:v>429</x:v>
      </x:c>
      <x:c r="G1823" s="11" t="n">
        <x:v>0</x:v>
      </x:c>
      <x:c r="H1823" s="11" t="n">
        <x:v>0</x:v>
      </x:c>
      <x:c r="I1823" s="11" t="n">
        <x:v>0</x:v>
      </x:c>
      <x:c r="J1823" s="11" t="n">
        <x:v>0</x:v>
      </x:c>
      <x:c r="K1823" s="11" t="n">
        <x:v>1</x:v>
      </x:c>
      <x:c r="L1823" s="11" t="n">
        <x:f>IF(B1823="NED",1,IF(OR(B1823="ED",B1823="UN"),0,""))</x:f>
        <x:v>1</x:v>
      </x:c>
      <x:c r="M1823" s="11" t="n">
        <x:f>IF(AND(K1823=1,OR(B1823="ED",B1823="NED")),1,0)</x:f>
        <x:v>1</x:v>
      </x:c>
      <x:c r="N1823" s="11" t="n">
        <x:f>IF(K1823=1,1,0)</x:f>
        <x:v>1</x:v>
      </x:c>
      <x:c r="O1823" s="12"/>
      <x:c r="P1823" s="11" t="n">
        <x:v>0</x:v>
      </x:c>
      <x:c r="Q1823" s="12" t="str">
        <x:v>AF-Q80VD1-F1-model_v6</x:v>
      </x:c>
      <x:c r="R1823" s="12" t="str">
        <x:v>ok</x:v>
      </x:c>
      <x:c r="S1823" s="11" t="n">
        <x:v>1357</x:v>
      </x:c>
      <x:c r="T1823" s="11" t="n">
        <x:v>429</x:v>
      </x:c>
    </x:row>
    <x:row r="1824" ht="23" customHeight="1">
      <x:c r="A1824" s="2" t="str">
        <x:v>Q80VI1</x:v>
      </x:c>
      <x:c r="B1824" s="2" t="str">
        <x:v>ED</x:v>
      </x:c>
      <x:c r="C1824" s="2" t="n">
        <x:v>1</x:v>
      </x:c>
      <x:c r="D1824" s="2" t="n">
        <x:v>1</x:v>
      </x:c>
      <x:c r="E1824" s="10" t="n">
        <x:v>78.47835149863761</x:v>
      </x:c>
      <x:c r="F1824" s="11" t="n">
        <x:v>734</x:v>
      </x:c>
      <x:c r="G1824" s="11" t="n">
        <x:v>0</x:v>
      </x:c>
      <x:c r="H1824" s="11" t="n">
        <x:v>0</x:v>
      </x:c>
      <x:c r="I1824" s="11" t="n">
        <x:v>0</x:v>
      </x:c>
      <x:c r="J1824" s="11" t="n">
        <x:v>0</x:v>
      </x:c>
      <x:c r="K1824" s="11" t="n">
        <x:v>1</x:v>
      </x:c>
      <x:c r="L1824" s="11" t="n">
        <x:f>IF(B1824="NED",1,IF(OR(B1824="ED",B1824="UN"),0,""))</x:f>
        <x:v>0</x:v>
      </x:c>
      <x:c r="M1824" s="11" t="n">
        <x:f>IF(AND(K1824=1,OR(B1824="ED",B1824="NED")),1,0)</x:f>
        <x:v>1</x:v>
      </x:c>
      <x:c r="N1824" s="11" t="n">
        <x:f>IF(K1824=1,1,0)</x:f>
        <x:v>1</x:v>
      </x:c>
      <x:c r="O1824" s="12"/>
      <x:c r="P1824" s="11" t="n">
        <x:v>0</x:v>
      </x:c>
      <x:c r="Q1824" s="12" t="str">
        <x:v>AF-Q80VI1-F1-model_v6</x:v>
      </x:c>
      <x:c r="R1824" s="12" t="str">
        <x:v>ok</x:v>
      </x:c>
      <x:c r="S1824" s="11" t="n">
        <x:v>1358</x:v>
      </x:c>
      <x:c r="T1824" s="11" t="n">
        <x:v>734</x:v>
      </x:c>
    </x:row>
    <x:row r="1825" ht="23" customHeight="1">
      <x:c r="A1825" s="2" t="str">
        <x:v>Q80VJ3</x:v>
      </x:c>
      <x:c r="B1825" s="2" t="str">
        <x:v>ED</x:v>
      </x:c>
      <x:c r="C1825" s="2" t="n">
        <x:v>1</x:v>
      </x:c>
      <x:c r="D1825" s="2" t="n">
        <x:v>1</x:v>
      </x:c>
      <x:c r="E1825" s="10" t="n">
        <x:v>86.0164739884393</x:v>
      </x:c>
      <x:c r="F1825" s="11" t="n">
        <x:v>173</x:v>
      </x:c>
      <x:c r="G1825" s="11" t="n">
        <x:v>0</x:v>
      </x:c>
      <x:c r="H1825" s="11" t="n">
        <x:v>0</x:v>
      </x:c>
      <x:c r="I1825" s="11" t="n">
        <x:v>0</x:v>
      </x:c>
      <x:c r="J1825" s="11" t="n">
        <x:v>0</x:v>
      </x:c>
      <x:c r="K1825" s="11" t="n">
        <x:v>1</x:v>
      </x:c>
      <x:c r="L1825" s="11" t="n">
        <x:f>IF(B1825="NED",1,IF(OR(B1825="ED",B1825="UN"),0,""))</x:f>
        <x:v>0</x:v>
      </x:c>
      <x:c r="M1825" s="11" t="n">
        <x:f>IF(AND(K1825=1,OR(B1825="ED",B1825="NED")),1,0)</x:f>
        <x:v>1</x:v>
      </x:c>
      <x:c r="N1825" s="11" t="n">
        <x:f>IF(K1825=1,1,0)</x:f>
        <x:v>1</x:v>
      </x:c>
      <x:c r="O1825" s="12"/>
      <x:c r="P1825" s="11" t="n">
        <x:v>0</x:v>
      </x:c>
      <x:c r="Q1825" s="12" t="str">
        <x:v>AF-Q80VJ3-F1-model_v6</x:v>
      </x:c>
      <x:c r="R1825" s="12" t="str">
        <x:v>ok</x:v>
      </x:c>
      <x:c r="S1825" s="11" t="n">
        <x:v>1359</x:v>
      </x:c>
      <x:c r="T1825" s="11" t="n">
        <x:v>173</x:v>
      </x:c>
    </x:row>
    <x:row r="1826" ht="23" customHeight="1">
      <x:c r="A1826" s="2" t="str">
        <x:v>Q80W54</x:v>
      </x:c>
      <x:c r="B1826" s="2" t="str">
        <x:v>UN</x:v>
      </x:c>
      <x:c r="C1826" s="2" t="n">
        <x:v>1</x:v>
      </x:c>
      <x:c r="D1826" s="2" t="n">
        <x:v>1</x:v>
      </x:c>
      <x:c r="E1826" s="10"/>
      <x:c r="F1826" s="11" t="n">
        <x:v>475</x:v>
      </x:c>
      <x:c r="G1826" s="11" t="n">
        <x:v>0</x:v>
      </x:c>
      <x:c r="H1826" s="11" t="n">
        <x:v>0</x:v>
      </x:c>
      <x:c r="I1826" s="11" t="n">
        <x:v>1</x:v>
      </x:c>
      <x:c r="J1826" s="11" t="n">
        <x:v>0</x:v>
      </x:c>
      <x:c r="K1826" s="11" t="n">
        <x:v>0</x:v>
      </x:c>
      <x:c r="L1826" s="11" t="n">
        <x:f>IF(B1826="NED",1,IF(OR(B1826="ED",B1826="UN"),0,""))</x:f>
        <x:v>0</x:v>
      </x:c>
      <x:c r="M1826" s="11" t="n">
        <x:f>IF(AND(K1826=1,OR(B1826="ED",B1826="NED")),1,0)</x:f>
        <x:v>0</x:v>
      </x:c>
      <x:c r="N1826" s="11" t="n">
        <x:f>IF(K1826=1,1,0)</x:f>
        <x:v>0</x:v>
      </x:c>
      <x:c r="O1826" s="12" t="str">
        <x:v>Exclude UniProt Membrane keyword</x:v>
      </x:c>
      <x:c r="P1826" s="11" t="n">
        <x:v>0</x:v>
      </x:c>
      <x:c r="Q1826" s="12" t="str">
        <x:v>AF-Q80W54-F1-model_v6</x:v>
      </x:c>
      <x:c r="R1826" s="12" t="str">
        <x:v>ok</x:v>
      </x:c>
      <x:c r="S1826" s="11" t="n">
        <x:v>1360</x:v>
      </x:c>
      <x:c r="T1826" s="11" t="n">
        <x:v>475</x:v>
      </x:c>
    </x:row>
    <x:row r="1827" ht="23" customHeight="1">
      <x:c r="A1827" s="2" t="str">
        <x:v>Q80W68</x:v>
      </x:c>
      <x:c r="B1827" s="2" t="str">
        <x:v>ED</x:v>
      </x:c>
      <x:c r="C1827" s="2" t="n">
        <x:v>1</x:v>
      </x:c>
      <x:c r="D1827" s="2" t="n">
        <x:v>1</x:v>
      </x:c>
      <x:c r="E1827" s="10"/>
      <x:c r="F1827" s="11" t="n">
        <x:v>789</x:v>
      </x:c>
      <x:c r="G1827" s="11" t="n">
        <x:v>0</x:v>
      </x:c>
      <x:c r="H1827" s="11" t="n">
        <x:v>0</x:v>
      </x:c>
      <x:c r="I1827" s="11" t="n">
        <x:v>1</x:v>
      </x:c>
      <x:c r="J1827" s="11" t="n">
        <x:v>0</x:v>
      </x:c>
      <x:c r="K1827" s="11" t="n">
        <x:v>0</x:v>
      </x:c>
      <x:c r="L1827" s="11" t="n">
        <x:f>IF(B1827="NED",1,IF(OR(B1827="ED",B1827="UN"),0,""))</x:f>
        <x:v>0</x:v>
      </x:c>
      <x:c r="M1827" s="11" t="n">
        <x:f>IF(AND(K1827=1,OR(B1827="ED",B1827="NED")),1,0)</x:f>
        <x:v>0</x:v>
      </x:c>
      <x:c r="N1827" s="11" t="n">
        <x:f>IF(K1827=1,1,0)</x:f>
        <x:v>0</x:v>
      </x:c>
      <x:c r="O1827" s="12" t="str">
        <x:v>Exclude UniProt Membrane keyword</x:v>
      </x:c>
      <x:c r="P1827" s="11" t="n">
        <x:v>0</x:v>
      </x:c>
      <x:c r="Q1827" s="12" t="str">
        <x:v>AF-Q80W68-F1-model_v6</x:v>
      </x:c>
      <x:c r="R1827" s="12" t="str">
        <x:v>ok</x:v>
      </x:c>
      <x:c r="S1827" s="11" t="n">
        <x:v>1361</x:v>
      </x:c>
      <x:c r="T1827" s="11" t="n">
        <x:v>789</x:v>
      </x:c>
    </x:row>
    <x:row r="1828" ht="23" customHeight="1">
      <x:c r="A1828" s="2" t="str">
        <x:v>Q80WE4-3</x:v>
      </x:c>
      <x:c r="B1828" s="2" t="str">
        <x:v>ED</x:v>
      </x:c>
      <x:c r="C1828" s="2"/>
      <x:c r="D1828" s="2"/>
      <x:c r="E1828" s="10"/>
      <x:c r="F1828" s="11"/>
      <x:c r="G1828" s="11" t="n">
        <x:v>0</x:v>
      </x:c>
      <x:c r="H1828" s="11" t="n">
        <x:v>0</x:v>
      </x:c>
      <x:c r="I1828" s="11"/>
      <x:c r="J1828" s="11"/>
      <x:c r="K1828" s="11" t="n">
        <x:v>0</x:v>
      </x:c>
      <x:c r="L1828" s="11" t="n">
        <x:f>IF(B1828="NED",1,IF(OR(B1828="ED",B1828="UN"),0,""))</x:f>
        <x:v>0</x:v>
      </x:c>
      <x:c r="M1828" s="11" t="n">
        <x:f>IF(AND(K1828=1,OR(B1828="ED",B1828="NED")),1,0)</x:f>
        <x:v>0</x:v>
      </x:c>
      <x:c r="N1828" s="11" t="n">
        <x:f>IF(K1828=1,1,0)</x:f>
        <x:v>0</x:v>
      </x:c>
      <x:c r="O1828" s="12" t="str">
        <x:v>Require exact native accession match</x:v>
      </x:c>
      <x:c r="P1828" s="11" t="n">
        <x:v>0</x:v>
      </x:c>
      <x:c r="Q1828" s="12"/>
      <x:c r="R1828" s="12"/>
      <x:c r="S1828" s="11" t="n">
        <x:v>1362</x:v>
      </x:c>
      <x:c r="T1828" s="11"/>
    </x:row>
    <x:row r="1829" ht="23" customHeight="1">
      <x:c r="A1829" s="2" t="str">
        <x:v>Q80WJ7</x:v>
      </x:c>
      <x:c r="B1829" s="2" t="str">
        <x:v>ED</x:v>
      </x:c>
      <x:c r="C1829" s="2" t="n">
        <x:v>0</x:v>
      </x:c>
      <x:c r="D1829" s="2" t="n">
        <x:v>0</x:v>
      </x:c>
      <x:c r="E1829" s="10"/>
      <x:c r="F1829" s="11" t="n">
        <x:v>579</x:v>
      </x:c>
      <x:c r="G1829" s="11" t="n">
        <x:v>0</x:v>
      </x:c>
      <x:c r="H1829" s="11" t="n">
        <x:v>0</x:v>
      </x:c>
      <x:c r="I1829" s="11" t="n">
        <x:v>1</x:v>
      </x:c>
      <x:c r="J1829" s="11" t="n">
        <x:v>0</x:v>
      </x:c>
      <x:c r="K1829" s="11" t="n">
        <x:v>0</x:v>
      </x:c>
      <x:c r="L1829" s="11" t="n">
        <x:f>IF(B1829="NED",1,IF(OR(B1829="ED",B1829="UN"),0,""))</x:f>
        <x:v>0</x:v>
      </x:c>
      <x:c r="M1829" s="11" t="n">
        <x:f>IF(AND(K1829=1,OR(B1829="ED",B1829="NED")),1,0)</x:f>
        <x:v>0</x:v>
      </x:c>
      <x:c r="N1829" s="11" t="n">
        <x:f>IF(K1829=1,1,0)</x:f>
        <x:v>0</x:v>
      </x:c>
      <x:c r="O1829" s="12" t="str">
        <x:v>Exclude UniProt Membrane keyword</x:v>
      </x:c>
      <x:c r="P1829" s="11" t="n">
        <x:v>0</x:v>
      </x:c>
      <x:c r="Q1829" s="12" t="str">
        <x:v>AF-Q80WJ7-F1-model_v6</x:v>
      </x:c>
      <x:c r="R1829" s="12" t="str">
        <x:v>ok</x:v>
      </x:c>
      <x:c r="S1829" s="11" t="n">
        <x:v>1363</x:v>
      </x:c>
      <x:c r="T1829" s="11" t="n">
        <x:v>579</x:v>
      </x:c>
    </x:row>
    <x:row r="1830" ht="23" customHeight="1">
      <x:c r="A1830" s="2" t="str">
        <x:v>Q80WQ2</x:v>
      </x:c>
      <x:c r="B1830" s="2" t="str">
        <x:v>ED</x:v>
      </x:c>
      <x:c r="C1830" s="2" t="n">
        <x:v>1</x:v>
      </x:c>
      <x:c r="D1830" s="2" t="n">
        <x:v>1</x:v>
      </x:c>
      <x:c r="E1830" s="10"/>
      <x:c r="F1830" s="11" t="n">
        <x:v>782</x:v>
      </x:c>
      <x:c r="G1830" s="11" t="n">
        <x:v>0</x:v>
      </x:c>
      <x:c r="H1830" s="11" t="n">
        <x:v>0</x:v>
      </x:c>
      <x:c r="I1830" s="11" t="n">
        <x:v>1</x:v>
      </x:c>
      <x:c r="J1830" s="11" t="n">
        <x:v>0</x:v>
      </x:c>
      <x:c r="K1830" s="11" t="n">
        <x:v>0</x:v>
      </x:c>
      <x:c r="L1830" s="11" t="n">
        <x:f>IF(B1830="NED",1,IF(OR(B1830="ED",B1830="UN"),0,""))</x:f>
        <x:v>0</x:v>
      </x:c>
      <x:c r="M1830" s="11" t="n">
        <x:f>IF(AND(K1830=1,OR(B1830="ED",B1830="NED")),1,0)</x:f>
        <x:v>0</x:v>
      </x:c>
      <x:c r="N1830" s="11" t="n">
        <x:f>IF(K1830=1,1,0)</x:f>
        <x:v>0</x:v>
      </x:c>
      <x:c r="O1830" s="12" t="str">
        <x:v>Exclude UniProt Membrane keyword</x:v>
      </x:c>
      <x:c r="P1830" s="11" t="n">
        <x:v>0</x:v>
      </x:c>
      <x:c r="Q1830" s="12" t="str">
        <x:v>AF-Q80WQ2-F1-model_v6</x:v>
      </x:c>
      <x:c r="R1830" s="12" t="str">
        <x:v>ok</x:v>
      </x:c>
      <x:c r="S1830" s="11" t="n">
        <x:v>1364</x:v>
      </x:c>
      <x:c r="T1830" s="11" t="n">
        <x:v>782</x:v>
      </x:c>
    </x:row>
    <x:row r="1831" ht="23" customHeight="1">
      <x:c r="A1831" s="2" t="str">
        <x:v>Q80WS3</x:v>
      </x:c>
      <x:c r="B1831" s="2" t="str">
        <x:v>ED</x:v>
      </x:c>
      <x:c r="C1831" s="2" t="n">
        <x:v>1</x:v>
      </x:c>
      <x:c r="D1831" s="2" t="n">
        <x:v>1</x:v>
      </x:c>
      <x:c r="E1831" s="10" t="n">
        <x:v>78.69353503184713</x:v>
      </x:c>
      <x:c r="F1831" s="11" t="n">
        <x:v>314</x:v>
      </x:c>
      <x:c r="G1831" s="11" t="n">
        <x:v>0</x:v>
      </x:c>
      <x:c r="H1831" s="11" t="n">
        <x:v>0</x:v>
      </x:c>
      <x:c r="I1831" s="11" t="n">
        <x:v>0</x:v>
      </x:c>
      <x:c r="J1831" s="11" t="n">
        <x:v>0</x:v>
      </x:c>
      <x:c r="K1831" s="11" t="n">
        <x:v>1</x:v>
      </x:c>
      <x:c r="L1831" s="11" t="n">
        <x:f>IF(B1831="NED",1,IF(OR(B1831="ED",B1831="UN"),0,""))</x:f>
        <x:v>0</x:v>
      </x:c>
      <x:c r="M1831" s="11" t="n">
        <x:f>IF(AND(K1831=1,OR(B1831="ED",B1831="NED")),1,0)</x:f>
        <x:v>1</x:v>
      </x:c>
      <x:c r="N1831" s="11" t="n">
        <x:f>IF(K1831=1,1,0)</x:f>
        <x:v>1</x:v>
      </x:c>
      <x:c r="O1831" s="12"/>
      <x:c r="P1831" s="11" t="n">
        <x:v>0</x:v>
      </x:c>
      <x:c r="Q1831" s="12" t="str">
        <x:v>AF-Q80WS3-F1-model_v6</x:v>
      </x:c>
      <x:c r="R1831" s="12" t="str">
        <x:v>ok</x:v>
      </x:c>
      <x:c r="S1831" s="11" t="n">
        <x:v>1365</x:v>
      </x:c>
      <x:c r="T1831" s="11" t="n">
        <x:v>314</x:v>
      </x:c>
    </x:row>
    <x:row r="1832" ht="23" customHeight="1">
      <x:c r="A1832" s="2" t="str">
        <x:v>Q80WT5-2</x:v>
      </x:c>
      <x:c r="B1832" s="2" t="str">
        <x:v>ED</x:v>
      </x:c>
      <x:c r="C1832" s="2"/>
      <x:c r="D1832" s="2"/>
      <x:c r="E1832" s="10"/>
      <x:c r="F1832" s="11"/>
      <x:c r="G1832" s="11" t="n">
        <x:v>0</x:v>
      </x:c>
      <x:c r="H1832" s="11" t="n">
        <x:v>0</x:v>
      </x:c>
      <x:c r="I1832" s="11"/>
      <x:c r="J1832" s="11"/>
      <x:c r="K1832" s="11" t="n">
        <x:v>0</x:v>
      </x:c>
      <x:c r="L1832" s="11" t="n">
        <x:f>IF(B1832="NED",1,IF(OR(B1832="ED",B1832="UN"),0,""))</x:f>
        <x:v>0</x:v>
      </x:c>
      <x:c r="M1832" s="11" t="n">
        <x:f>IF(AND(K1832=1,OR(B1832="ED",B1832="NED")),1,0)</x:f>
        <x:v>0</x:v>
      </x:c>
      <x:c r="N1832" s="11" t="n">
        <x:f>IF(K1832=1,1,0)</x:f>
        <x:v>0</x:v>
      </x:c>
      <x:c r="O1832" s="12" t="str">
        <x:v>Require exact native accession match</x:v>
      </x:c>
      <x:c r="P1832" s="11" t="n">
        <x:v>0</x:v>
      </x:c>
      <x:c r="Q1832" s="12"/>
      <x:c r="R1832" s="12"/>
      <x:c r="S1832" s="11" t="n">
        <x:v>1366</x:v>
      </x:c>
      <x:c r="T1832" s="11"/>
    </x:row>
    <x:row r="1833" ht="23" customHeight="1">
      <x:c r="A1833" s="2" t="str">
        <x:v>Q80X41-2</x:v>
      </x:c>
      <x:c r="B1833" s="2" t="str">
        <x:v>UN</x:v>
      </x:c>
      <x:c r="C1833" s="2"/>
      <x:c r="D1833" s="2"/>
      <x:c r="E1833" s="10"/>
      <x:c r="F1833" s="11"/>
      <x:c r="G1833" s="11" t="n">
        <x:v>0</x:v>
      </x:c>
      <x:c r="H1833" s="11" t="n">
        <x:v>0</x:v>
      </x:c>
      <x:c r="I1833" s="11"/>
      <x:c r="J1833" s="11"/>
      <x:c r="K1833" s="11" t="n">
        <x:v>0</x:v>
      </x:c>
      <x:c r="L1833" s="11" t="n">
        <x:f>IF(B1833="NED",1,IF(OR(B1833="ED",B1833="UN"),0,""))</x:f>
        <x:v>0</x:v>
      </x:c>
      <x:c r="M1833" s="11" t="n">
        <x:f>IF(AND(K1833=1,OR(B1833="ED",B1833="NED")),1,0)</x:f>
        <x:v>0</x:v>
      </x:c>
      <x:c r="N1833" s="11" t="n">
        <x:f>IF(K1833=1,1,0)</x:f>
        <x:v>0</x:v>
      </x:c>
      <x:c r="O1833" s="12" t="str">
        <x:v>Require exact native accession match</x:v>
      </x:c>
      <x:c r="P1833" s="11" t="n">
        <x:v>0</x:v>
      </x:c>
      <x:c r="Q1833" s="12"/>
      <x:c r="R1833" s="12"/>
      <x:c r="S1833" s="11" t="n">
        <x:v>1367</x:v>
      </x:c>
      <x:c r="T1833" s="11"/>
    </x:row>
    <x:row r="1834" ht="23" customHeight="1">
      <x:c r="A1834" s="2" t="str">
        <x:v>Q80X50-2</x:v>
      </x:c>
      <x:c r="B1834" s="2" t="str">
        <x:v>ED</x:v>
      </x:c>
      <x:c r="C1834" s="2"/>
      <x:c r="D1834" s="2"/>
      <x:c r="E1834" s="10"/>
      <x:c r="F1834" s="11"/>
      <x:c r="G1834" s="11" t="n">
        <x:v>0</x:v>
      </x:c>
      <x:c r="H1834" s="11" t="n">
        <x:v>0</x:v>
      </x:c>
      <x:c r="I1834" s="11"/>
      <x:c r="J1834" s="11"/>
      <x:c r="K1834" s="11" t="n">
        <x:v>0</x:v>
      </x:c>
      <x:c r="L1834" s="11" t="n">
        <x:f>IF(B1834="NED",1,IF(OR(B1834="ED",B1834="UN"),0,""))</x:f>
        <x:v>0</x:v>
      </x:c>
      <x:c r="M1834" s="11" t="n">
        <x:f>IF(AND(K1834=1,OR(B1834="ED",B1834="NED")),1,0)</x:f>
        <x:v>0</x:v>
      </x:c>
      <x:c r="N1834" s="11" t="n">
        <x:f>IF(K1834=1,1,0)</x:f>
        <x:v>0</x:v>
      </x:c>
      <x:c r="O1834" s="12" t="str">
        <x:v>Require exact native accession match</x:v>
      </x:c>
      <x:c r="P1834" s="11" t="n">
        <x:v>0</x:v>
      </x:c>
      <x:c r="Q1834" s="12"/>
      <x:c r="R1834" s="12"/>
      <x:c r="S1834" s="11" t="n">
        <x:v>1368</x:v>
      </x:c>
      <x:c r="T1834" s="11"/>
    </x:row>
    <x:row r="1835" ht="23" customHeight="1">
      <x:c r="A1835" s="2" t="str">
        <x:v>Q80X82</x:v>
      </x:c>
      <x:c r="B1835" s="2" t="str">
        <x:v>UN</x:v>
      </x:c>
      <x:c r="C1835" s="2" t="n">
        <x:v>1</x:v>
      </x:c>
      <x:c r="D1835" s="2" t="n">
        <x:v>1</x:v>
      </x:c>
      <x:c r="E1835" s="10"/>
      <x:c r="F1835" s="11" t="n">
        <x:v>1288</x:v>
      </x:c>
      <x:c r="G1835" s="11" t="n">
        <x:v>1</x:v>
      </x:c>
      <x:c r="H1835" s="11" t="n">
        <x:v>0</x:v>
      </x:c>
      <x:c r="I1835" s="11" t="n">
        <x:v>1</x:v>
      </x:c>
      <x:c r="J1835" s="11" t="n">
        <x:v>0</x:v>
      </x:c>
      <x:c r="K1835" s="11" t="n">
        <x:v>0</x:v>
      </x:c>
      <x:c r="L1835" s="11" t="n">
        <x:f>IF(B1835="NED",1,IF(OR(B1835="ED",B1835="UN"),0,""))</x:f>
        <x:v>0</x:v>
      </x:c>
      <x:c r="M1835" s="11" t="n">
        <x:f>IF(AND(K1835=1,OR(B1835="ED",B1835="NED")),1,0)</x:f>
        <x:v>0</x:v>
      </x:c>
      <x:c r="N1835" s="11" t="n">
        <x:f>IF(K1835=1,1,0)</x:f>
        <x:v>0</x:v>
      </x:c>
      <x:c r="O1835" s="12" t="str">
        <x:v>Exclude supplied knotted proteins</x:v>
      </x:c>
      <x:c r="P1835" s="11" t="n">
        <x:v>0</x:v>
      </x:c>
      <x:c r="Q1835" s="12" t="str">
        <x:v>AF-Q80X82-F1-model_v6</x:v>
      </x:c>
      <x:c r="R1835" s="12" t="str">
        <x:v>ok</x:v>
      </x:c>
      <x:c r="S1835" s="11" t="n">
        <x:v>1369</x:v>
      </x:c>
      <x:c r="T1835" s="11" t="n">
        <x:v>1288</x:v>
      </x:c>
    </x:row>
    <x:row r="1836" ht="23" customHeight="1">
      <x:c r="A1836" s="2" t="str">
        <x:v>Q80X85</x:v>
      </x:c>
      <x:c r="B1836" s="2" t="str">
        <x:v>NED</x:v>
      </x:c>
      <x:c r="C1836" s="2" t="n">
        <x:v>1</x:v>
      </x:c>
      <x:c r="D1836" s="2" t="n">
        <x:v>1</x:v>
      </x:c>
      <x:c r="E1836" s="10" t="n">
        <x:v>87.97384297520661</x:v>
      </x:c>
      <x:c r="F1836" s="11" t="n">
        <x:v>242</x:v>
      </x:c>
      <x:c r="G1836" s="11" t="n">
        <x:v>0</x:v>
      </x:c>
      <x:c r="H1836" s="11" t="n">
        <x:v>0</x:v>
      </x:c>
      <x:c r="I1836" s="11" t="n">
        <x:v>0</x:v>
      </x:c>
      <x:c r="J1836" s="11" t="n">
        <x:v>0</x:v>
      </x:c>
      <x:c r="K1836" s="11" t="n">
        <x:v>1</x:v>
      </x:c>
      <x:c r="L1836" s="11" t="n">
        <x:f>IF(B1836="NED",1,IF(OR(B1836="ED",B1836="UN"),0,""))</x:f>
        <x:v>1</x:v>
      </x:c>
      <x:c r="M1836" s="11" t="n">
        <x:f>IF(AND(K1836=1,OR(B1836="ED",B1836="NED")),1,0)</x:f>
        <x:v>1</x:v>
      </x:c>
      <x:c r="N1836" s="11" t="n">
        <x:f>IF(K1836=1,1,0)</x:f>
        <x:v>1</x:v>
      </x:c>
      <x:c r="O1836" s="12"/>
      <x:c r="P1836" s="11" t="n">
        <x:v>0</x:v>
      </x:c>
      <x:c r="Q1836" s="12" t="str">
        <x:v>AF-Q80X85-F1-model_v6</x:v>
      </x:c>
      <x:c r="R1836" s="12" t="str">
        <x:v>ok</x:v>
      </x:c>
      <x:c r="S1836" s="11" t="n">
        <x:v>1370</x:v>
      </x:c>
      <x:c r="T1836" s="11" t="n">
        <x:v>242</x:v>
      </x:c>
    </x:row>
    <x:row r="1837" ht="23" customHeight="1">
      <x:c r="A1837" s="2" t="str">
        <x:v>Q80X90</x:v>
      </x:c>
      <x:c r="B1837" s="2" t="str">
        <x:v>ED</x:v>
      </x:c>
      <x:c r="C1837" s="2" t="n">
        <x:v>1</x:v>
      </x:c>
      <x:c r="D1837" s="2" t="n">
        <x:v>1</x:v>
      </x:c>
      <x:c r="E1837" s="10"/>
      <x:c r="F1837" s="11" t="n">
        <x:v>2602</x:v>
      </x:c>
      <x:c r="G1837" s="11" t="n">
        <x:v>1</x:v>
      </x:c>
      <x:c r="H1837" s="11" t="n">
        <x:v>0</x:v>
      </x:c>
      <x:c r="I1837" s="11" t="n">
        <x:v>0</x:v>
      </x:c>
      <x:c r="J1837" s="11" t="n">
        <x:v>0</x:v>
      </x:c>
      <x:c r="K1837" s="11" t="n">
        <x:v>0</x:v>
      </x:c>
      <x:c r="L1837" s="11" t="n">
        <x:f>IF(B1837="NED",1,IF(OR(B1837="ED",B1837="UN"),0,""))</x:f>
        <x:v>0</x:v>
      </x:c>
      <x:c r="M1837" s="11" t="n">
        <x:f>IF(AND(K1837=1,OR(B1837="ED",B1837="NED")),1,0)</x:f>
        <x:v>0</x:v>
      </x:c>
      <x:c r="N1837" s="11" t="n">
        <x:f>IF(K1837=1,1,0)</x:f>
        <x:v>0</x:v>
      </x:c>
      <x:c r="O1837" s="12" t="str">
        <x:v>Exclude supplied knotted proteins</x:v>
      </x:c>
      <x:c r="P1837" s="11" t="n">
        <x:v>0</x:v>
      </x:c>
      <x:c r="Q1837" s="12" t="str">
        <x:v>AF-Q80X90-F1-model_v6</x:v>
      </x:c>
      <x:c r="R1837" s="12" t="str">
        <x:v>ok</x:v>
      </x:c>
      <x:c r="S1837" s="11" t="n">
        <x:v>1371</x:v>
      </x:c>
      <x:c r="T1837" s="11" t="n">
        <x:v>2602</x:v>
      </x:c>
    </x:row>
    <x:row r="1838" ht="23" customHeight="1">
      <x:c r="A1838" s="2" t="str">
        <x:v>Q80X95</x:v>
      </x:c>
      <x:c r="B1838" s="2" t="str">
        <x:v>NED</x:v>
      </x:c>
      <x:c r="C1838" s="2" t="n">
        <x:v>1</x:v>
      </x:c>
      <x:c r="D1838" s="2" t="n">
        <x:v>1</x:v>
      </x:c>
      <x:c r="E1838" s="10"/>
      <x:c r="F1838" s="11" t="n">
        <x:v>313</x:v>
      </x:c>
      <x:c r="G1838" s="11" t="n">
        <x:v>0</x:v>
      </x:c>
      <x:c r="H1838" s="11" t="n">
        <x:v>0</x:v>
      </x:c>
      <x:c r="I1838" s="11" t="n">
        <x:v>1</x:v>
      </x:c>
      <x:c r="J1838" s="11" t="n">
        <x:v>0</x:v>
      </x:c>
      <x:c r="K1838" s="11" t="n">
        <x:v>0</x:v>
      </x:c>
      <x:c r="L1838" s="11" t="n">
        <x:f>IF(B1838="NED",1,IF(OR(B1838="ED",B1838="UN"),0,""))</x:f>
        <x:v>1</x:v>
      </x:c>
      <x:c r="M1838" s="11" t="n">
        <x:f>IF(AND(K1838=1,OR(B1838="ED",B1838="NED")),1,0)</x:f>
        <x:v>0</x:v>
      </x:c>
      <x:c r="N1838" s="11" t="n">
        <x:f>IF(K1838=1,1,0)</x:f>
        <x:v>0</x:v>
      </x:c>
      <x:c r="O1838" s="12" t="str">
        <x:v>Exclude UniProt Membrane keyword</x:v>
      </x:c>
      <x:c r="P1838" s="11" t="n">
        <x:v>0</x:v>
      </x:c>
      <x:c r="Q1838" s="12" t="str">
        <x:v>AF-Q80X95-F1-model_v6</x:v>
      </x:c>
      <x:c r="R1838" s="12" t="str">
        <x:v>ok</x:v>
      </x:c>
      <x:c r="S1838" s="11" t="n">
        <x:v>1372</x:v>
      </x:c>
      <x:c r="T1838" s="11" t="n">
        <x:v>313</x:v>
      </x:c>
    </x:row>
    <x:row r="1839" ht="23" customHeight="1">
      <x:c r="A1839" s="2" t="str">
        <x:v>Q80X98</x:v>
      </x:c>
      <x:c r="B1839" s="2" t="str">
        <x:v>ED</x:v>
      </x:c>
      <x:c r="C1839" s="2" t="n">
        <x:v>1</x:v>
      </x:c>
      <x:c r="D1839" s="2" t="n">
        <x:v>1</x:v>
      </x:c>
      <x:c r="E1839" s="10" t="n">
        <x:v>68.25196254071662</x:v>
      </x:c>
      <x:c r="F1839" s="11" t="n">
        <x:v>1228</x:v>
      </x:c>
      <x:c r="G1839" s="11" t="n">
        <x:v>0</x:v>
      </x:c>
      <x:c r="H1839" s="11" t="n">
        <x:v>0</x:v>
      </x:c>
      <x:c r="I1839" s="11" t="n">
        <x:v>0</x:v>
      </x:c>
      <x:c r="J1839" s="11" t="n">
        <x:v>0</x:v>
      </x:c>
      <x:c r="K1839" s="11" t="n">
        <x:v>0</x:v>
      </x:c>
      <x:c r="L1839" s="11" t="n">
        <x:f>IF(B1839="NED",1,IF(OR(B1839="ED",B1839="UN"),0,""))</x:f>
        <x:v>0</x:v>
      </x:c>
      <x:c r="M1839" s="11" t="n">
        <x:f>IF(AND(K1839=1,OR(B1839="ED",B1839="NED")),1,0)</x:f>
        <x:v>0</x:v>
      </x:c>
      <x:c r="N1839" s="11" t="n">
        <x:f>IF(K1839=1,1,0)</x:f>
        <x:v>0</x:v>
      </x:c>
      <x:c r="O1839" s="12" t="str">
        <x:v>Retain protein mean pLDDT &gt;=70</x:v>
      </x:c>
      <x:c r="P1839" s="11" t="n">
        <x:v>0</x:v>
      </x:c>
      <x:c r="Q1839" s="12" t="str">
        <x:v>AF-Q80X98-F1-model_v6</x:v>
      </x:c>
      <x:c r="R1839" s="12" t="str">
        <x:v>ok</x:v>
      </x:c>
      <x:c r="S1839" s="11" t="n">
        <x:v>3209</x:v>
      </x:c>
      <x:c r="T1839" s="11" t="n">
        <x:v>1228</x:v>
      </x:c>
    </x:row>
    <x:row r="1840" ht="23" customHeight="1">
      <x:c r="A1840" s="2" t="str">
        <x:v>Q80XC2</x:v>
      </x:c>
      <x:c r="B1840" s="2" t="str">
        <x:v>ED</x:v>
      </x:c>
      <x:c r="C1840" s="2" t="n">
        <x:v>1</x:v>
      </x:c>
      <x:c r="D1840" s="2" t="n">
        <x:v>1</x:v>
      </x:c>
      <x:c r="E1840" s="10" t="n">
        <x:v>95.76655172413793</x:v>
      </x:c>
      <x:c r="F1840" s="11" t="n">
        <x:v>290</x:v>
      </x:c>
      <x:c r="G1840" s="11" t="n">
        <x:v>0</x:v>
      </x:c>
      <x:c r="H1840" s="11" t="n">
        <x:v>0</x:v>
      </x:c>
      <x:c r="I1840" s="11" t="n">
        <x:v>0</x:v>
      </x:c>
      <x:c r="J1840" s="11" t="n">
        <x:v>0</x:v>
      </x:c>
      <x:c r="K1840" s="11" t="n">
        <x:v>1</x:v>
      </x:c>
      <x:c r="L1840" s="11" t="n">
        <x:f>IF(B1840="NED",1,IF(OR(B1840="ED",B1840="UN"),0,""))</x:f>
        <x:v>0</x:v>
      </x:c>
      <x:c r="M1840" s="11" t="n">
        <x:f>IF(AND(K1840=1,OR(B1840="ED",B1840="NED")),1,0)</x:f>
        <x:v>1</x:v>
      </x:c>
      <x:c r="N1840" s="11" t="n">
        <x:f>IF(K1840=1,1,0)</x:f>
        <x:v>1</x:v>
      </x:c>
      <x:c r="O1840" s="12"/>
      <x:c r="P1840" s="11" t="n">
        <x:v>0</x:v>
      </x:c>
      <x:c r="Q1840" s="12" t="str">
        <x:v>AF-Q80XC2-F1-model_v6</x:v>
      </x:c>
      <x:c r="R1840" s="12" t="str">
        <x:v>ok</x:v>
      </x:c>
      <x:c r="S1840" s="11" t="n">
        <x:v>1373</x:v>
      </x:c>
      <x:c r="T1840" s="11" t="n">
        <x:v>290</x:v>
      </x:c>
    </x:row>
    <x:row r="1841" ht="23" customHeight="1">
      <x:c r="A1841" s="2" t="str">
        <x:v>Q80XJ3</x:v>
      </x:c>
      <x:c r="B1841" s="2" t="str">
        <x:v>ED</x:v>
      </x:c>
      <x:c r="C1841" s="2" t="n">
        <x:v>1</x:v>
      </x:c>
      <x:c r="D1841" s="2" t="n">
        <x:v>1</x:v>
      </x:c>
      <x:c r="E1841" s="10" t="n">
        <x:v>68.76924489795918</x:v>
      </x:c>
      <x:c r="F1841" s="11" t="n">
        <x:v>2450</x:v>
      </x:c>
      <x:c r="G1841" s="11" t="n">
        <x:v>0</x:v>
      </x:c>
      <x:c r="H1841" s="11" t="n">
        <x:v>0</x:v>
      </x:c>
      <x:c r="I1841" s="11" t="n">
        <x:v>0</x:v>
      </x:c>
      <x:c r="J1841" s="11" t="n">
        <x:v>0</x:v>
      </x:c>
      <x:c r="K1841" s="11" t="n">
        <x:v>0</x:v>
      </x:c>
      <x:c r="L1841" s="11" t="n">
        <x:f>IF(B1841="NED",1,IF(OR(B1841="ED",B1841="UN"),0,""))</x:f>
        <x:v>0</x:v>
      </x:c>
      <x:c r="M1841" s="11" t="n">
        <x:f>IF(AND(K1841=1,OR(B1841="ED",B1841="NED")),1,0)</x:f>
        <x:v>0</x:v>
      </x:c>
      <x:c r="N1841" s="11" t="n">
        <x:f>IF(K1841=1,1,0)</x:f>
        <x:v>0</x:v>
      </x:c>
      <x:c r="O1841" s="12" t="str">
        <x:v>Retain protein mean pLDDT &gt;=70</x:v>
      </x:c>
      <x:c r="P1841" s="11" t="n">
        <x:v>0</x:v>
      </x:c>
      <x:c r="Q1841" s="12" t="str">
        <x:v>AF-Q80XJ3-F1-model_v6</x:v>
      </x:c>
      <x:c r="R1841" s="12" t="str">
        <x:v>ok</x:v>
      </x:c>
      <x:c r="S1841" s="11" t="n">
        <x:v>1374</x:v>
      </x:c>
      <x:c r="T1841" s="11" t="n">
        <x:v>2450</x:v>
      </x:c>
    </x:row>
    <x:row r="1842" ht="23" customHeight="1">
      <x:c r="A1842" s="2" t="str">
        <x:v>Q80XU2</x:v>
      </x:c>
      <x:c r="B1842" s="2" t="str">
        <x:v>ED</x:v>
      </x:c>
      <x:c r="C1842" s="2"/>
      <x:c r="D1842" s="2"/>
      <x:c r="E1842" s="10"/>
      <x:c r="F1842" s="11"/>
      <x:c r="G1842" s="11" t="n">
        <x:v>0</x:v>
      </x:c>
      <x:c r="H1842" s="11" t="n">
        <x:v>0</x:v>
      </x:c>
      <x:c r="I1842" s="11"/>
      <x:c r="J1842" s="11"/>
      <x:c r="K1842" s="11" t="n">
        <x:v>0</x:v>
      </x:c>
      <x:c r="L1842" s="11" t="n">
        <x:f>IF(B1842="NED",1,IF(OR(B1842="ED",B1842="UN"),0,""))</x:f>
        <x:v>0</x:v>
      </x:c>
      <x:c r="M1842" s="11" t="n">
        <x:f>IF(AND(K1842=1,OR(B1842="ED",B1842="NED")),1,0)</x:f>
        <x:v>0</x:v>
      </x:c>
      <x:c r="N1842" s="11" t="n">
        <x:f>IF(K1842=1,1,0)</x:f>
        <x:v>0</x:v>
      </x:c>
      <x:c r="O1842" s="12" t="str">
        <x:v>Require exact native accession match</x:v>
      </x:c>
      <x:c r="P1842" s="11" t="n">
        <x:v>0</x:v>
      </x:c>
      <x:c r="Q1842" s="12"/>
      <x:c r="R1842" s="12"/>
      <x:c r="S1842" s="11" t="n">
        <x:v>3210</x:v>
      </x:c>
      <x:c r="T1842" s="11"/>
    </x:row>
    <x:row r="1843" ht="23" customHeight="1">
      <x:c r="A1843" s="2" t="str">
        <x:v>Q80Y14</x:v>
      </x:c>
      <x:c r="B1843" s="2" t="str">
        <x:v>ED</x:v>
      </x:c>
      <x:c r="C1843" s="2" t="n">
        <x:v>1</x:v>
      </x:c>
      <x:c r="D1843" s="2" t="n">
        <x:v>1</x:v>
      </x:c>
      <x:c r="E1843" s="10" t="n">
        <x:v>82.63355263157894</x:v>
      </x:c>
      <x:c r="F1843" s="11" t="n">
        <x:v>152</x:v>
      </x:c>
      <x:c r="G1843" s="11" t="n">
        <x:v>0</x:v>
      </x:c>
      <x:c r="H1843" s="11" t="n">
        <x:v>0</x:v>
      </x:c>
      <x:c r="I1843" s="11" t="n">
        <x:v>0</x:v>
      </x:c>
      <x:c r="J1843" s="11" t="n">
        <x:v>0</x:v>
      </x:c>
      <x:c r="K1843" s="11" t="n">
        <x:v>1</x:v>
      </x:c>
      <x:c r="L1843" s="11" t="n">
        <x:f>IF(B1843="NED",1,IF(OR(B1843="ED",B1843="UN"),0,""))</x:f>
        <x:v>0</x:v>
      </x:c>
      <x:c r="M1843" s="11" t="n">
        <x:f>IF(AND(K1843=1,OR(B1843="ED",B1843="NED")),1,0)</x:f>
        <x:v>1</x:v>
      </x:c>
      <x:c r="N1843" s="11" t="n">
        <x:f>IF(K1843=1,1,0)</x:f>
        <x:v>1</x:v>
      </x:c>
      <x:c r="O1843" s="12"/>
      <x:c r="P1843" s="11" t="n">
        <x:v>0</x:v>
      </x:c>
      <x:c r="Q1843" s="12" t="str">
        <x:v>AF-Q80Y14-F1-model_v6</x:v>
      </x:c>
      <x:c r="R1843" s="12" t="str">
        <x:v>ok</x:v>
      </x:c>
      <x:c r="S1843" s="11" t="n">
        <x:v>1375</x:v>
      </x:c>
      <x:c r="T1843" s="11" t="n">
        <x:v>152</x:v>
      </x:c>
    </x:row>
    <x:row r="1844" ht="23" customHeight="1">
      <x:c r="A1844" s="2" t="str">
        <x:v>Q80Y17</x:v>
      </x:c>
      <x:c r="B1844" s="2" t="str">
        <x:v>ED</x:v>
      </x:c>
      <x:c r="C1844" s="2" t="n">
        <x:v>1</x:v>
      </x:c>
      <x:c r="D1844" s="2" t="n">
        <x:v>1</x:v>
      </x:c>
      <x:c r="E1844" s="10"/>
      <x:c r="F1844" s="11" t="n">
        <x:v>1036</x:v>
      </x:c>
      <x:c r="G1844" s="11" t="n">
        <x:v>0</x:v>
      </x:c>
      <x:c r="H1844" s="11" t="n">
        <x:v>0</x:v>
      </x:c>
      <x:c r="I1844" s="11" t="n">
        <x:v>1</x:v>
      </x:c>
      <x:c r="J1844" s="11" t="n">
        <x:v>0</x:v>
      </x:c>
      <x:c r="K1844" s="11" t="n">
        <x:v>0</x:v>
      </x:c>
      <x:c r="L1844" s="11" t="n">
        <x:f>IF(B1844="NED",1,IF(OR(B1844="ED",B1844="UN"),0,""))</x:f>
        <x:v>0</x:v>
      </x:c>
      <x:c r="M1844" s="11" t="n">
        <x:f>IF(AND(K1844=1,OR(B1844="ED",B1844="NED")),1,0)</x:f>
        <x:v>0</x:v>
      </x:c>
      <x:c r="N1844" s="11" t="n">
        <x:f>IF(K1844=1,1,0)</x:f>
        <x:v>0</x:v>
      </x:c>
      <x:c r="O1844" s="12" t="str">
        <x:v>Exclude UniProt Membrane keyword</x:v>
      </x:c>
      <x:c r="P1844" s="11" t="n">
        <x:v>0</x:v>
      </x:c>
      <x:c r="Q1844" s="12" t="str">
        <x:v>AF-Q80Y17-F1-model_v6</x:v>
      </x:c>
      <x:c r="R1844" s="12" t="str">
        <x:v>ok</x:v>
      </x:c>
      <x:c r="S1844" s="11" t="n">
        <x:v>1376</x:v>
      </x:c>
      <x:c r="T1844" s="11" t="n">
        <x:v>1036</x:v>
      </x:c>
    </x:row>
    <x:row r="1845" ht="23" customHeight="1">
      <x:c r="A1845" s="2" t="str">
        <x:v>Q80Y19</x:v>
      </x:c>
      <x:c r="B1845" s="2" t="str">
        <x:v>UN</x:v>
      </x:c>
      <x:c r="C1845" s="2" t="n">
        <x:v>1</x:v>
      </x:c>
      <x:c r="D1845" s="2" t="n">
        <x:v>1</x:v>
      </x:c>
      <x:c r="E1845" s="10" t="n">
        <x:v>52.17450861195542</x:v>
      </x:c>
      <x:c r="F1845" s="11" t="n">
        <x:v>987</x:v>
      </x:c>
      <x:c r="G1845" s="11" t="n">
        <x:v>0</x:v>
      </x:c>
      <x:c r="H1845" s="11" t="n">
        <x:v>0</x:v>
      </x:c>
      <x:c r="I1845" s="11" t="n">
        <x:v>0</x:v>
      </x:c>
      <x:c r="J1845" s="11" t="n">
        <x:v>0</x:v>
      </x:c>
      <x:c r="K1845" s="11" t="n">
        <x:v>0</x:v>
      </x:c>
      <x:c r="L1845" s="11" t="n">
        <x:f>IF(B1845="NED",1,IF(OR(B1845="ED",B1845="UN"),0,""))</x:f>
        <x:v>0</x:v>
      </x:c>
      <x:c r="M1845" s="11" t="n">
        <x:f>IF(AND(K1845=1,OR(B1845="ED",B1845="NED")),1,0)</x:f>
        <x:v>0</x:v>
      </x:c>
      <x:c r="N1845" s="11" t="n">
        <x:f>IF(K1845=1,1,0)</x:f>
        <x:v>0</x:v>
      </x:c>
      <x:c r="O1845" s="12" t="str">
        <x:v>Retain protein mean pLDDT &gt;=70</x:v>
      </x:c>
      <x:c r="P1845" s="11" t="n">
        <x:v>0</x:v>
      </x:c>
      <x:c r="Q1845" s="12" t="str">
        <x:v>AF-Q80Y19-F1-model_v6</x:v>
      </x:c>
      <x:c r="R1845" s="12" t="str">
        <x:v>ok</x:v>
      </x:c>
      <x:c r="S1845" s="11" t="n">
        <x:v>1377</x:v>
      </x:c>
      <x:c r="T1845" s="11" t="n">
        <x:v>987</x:v>
      </x:c>
    </x:row>
    <x:row r="1846" ht="23" customHeight="1">
      <x:c r="A1846" s="2" t="str">
        <x:v>Q80Y44</x:v>
      </x:c>
      <x:c r="B1846" s="2" t="str">
        <x:v>ED</x:v>
      </x:c>
      <x:c r="C1846" s="2" t="n">
        <x:v>1</x:v>
      </x:c>
      <x:c r="D1846" s="2" t="n">
        <x:v>1</x:v>
      </x:c>
      <x:c r="E1846" s="10" t="n">
        <x:v>70.22370285714285</x:v>
      </x:c>
      <x:c r="F1846" s="11" t="n">
        <x:v>875</x:v>
      </x:c>
      <x:c r="G1846" s="11" t="n">
        <x:v>0</x:v>
      </x:c>
      <x:c r="H1846" s="11" t="n">
        <x:v>0</x:v>
      </x:c>
      <x:c r="I1846" s="11" t="n">
        <x:v>0</x:v>
      </x:c>
      <x:c r="J1846" s="11" t="n">
        <x:v>0</x:v>
      </x:c>
      <x:c r="K1846" s="11" t="n">
        <x:v>1</x:v>
      </x:c>
      <x:c r="L1846" s="11" t="n">
        <x:f>IF(B1846="NED",1,IF(OR(B1846="ED",B1846="UN"),0,""))</x:f>
        <x:v>0</x:v>
      </x:c>
      <x:c r="M1846" s="11" t="n">
        <x:f>IF(AND(K1846=1,OR(B1846="ED",B1846="NED")),1,0)</x:f>
        <x:v>1</x:v>
      </x:c>
      <x:c r="N1846" s="11" t="n">
        <x:f>IF(K1846=1,1,0)</x:f>
        <x:v>1</x:v>
      </x:c>
      <x:c r="O1846" s="12"/>
      <x:c r="P1846" s="11" t="n">
        <x:v>0</x:v>
      </x:c>
      <x:c r="Q1846" s="12" t="str">
        <x:v>AF-Q80Y44-F1-model_v6</x:v>
      </x:c>
      <x:c r="R1846" s="12" t="str">
        <x:v>ok</x:v>
      </x:c>
      <x:c r="S1846" s="11" t="n">
        <x:v>1378</x:v>
      </x:c>
      <x:c r="T1846" s="11" t="n">
        <x:v>875</x:v>
      </x:c>
    </x:row>
    <x:row r="1847" ht="23" customHeight="1">
      <x:c r="A1847" s="2" t="str">
        <x:v>Q80Y81-2</x:v>
      </x:c>
      <x:c r="B1847" s="2" t="str">
        <x:v>UN</x:v>
      </x:c>
      <x:c r="C1847" s="2"/>
      <x:c r="D1847" s="2"/>
      <x:c r="E1847" s="10"/>
      <x:c r="F1847" s="11"/>
      <x:c r="G1847" s="11" t="n">
        <x:v>0</x:v>
      </x:c>
      <x:c r="H1847" s="11" t="n">
        <x:v>0</x:v>
      </x:c>
      <x:c r="I1847" s="11"/>
      <x:c r="J1847" s="11"/>
      <x:c r="K1847" s="11" t="n">
        <x:v>0</x:v>
      </x:c>
      <x:c r="L1847" s="11" t="n">
        <x:f>IF(B1847="NED",1,IF(OR(B1847="ED",B1847="UN"),0,""))</x:f>
        <x:v>0</x:v>
      </x:c>
      <x:c r="M1847" s="11" t="n">
        <x:f>IF(AND(K1847=1,OR(B1847="ED",B1847="NED")),1,0)</x:f>
        <x:v>0</x:v>
      </x:c>
      <x:c r="N1847" s="11" t="n">
        <x:f>IF(K1847=1,1,0)</x:f>
        <x:v>0</x:v>
      </x:c>
      <x:c r="O1847" s="12" t="str">
        <x:v>Require exact native accession match</x:v>
      </x:c>
      <x:c r="P1847" s="11" t="n">
        <x:v>0</x:v>
      </x:c>
      <x:c r="Q1847" s="12"/>
      <x:c r="R1847" s="12"/>
      <x:c r="S1847" s="11" t="n">
        <x:v>1379</x:v>
      </x:c>
      <x:c r="T1847" s="11"/>
    </x:row>
    <x:row r="1848" ht="23" customHeight="1">
      <x:c r="A1848" s="2" t="str">
        <x:v>Q80Y98</x:v>
      </x:c>
      <x:c r="B1848" s="2" t="str">
        <x:v>ED</x:v>
      </x:c>
      <x:c r="C1848" s="2" t="n">
        <x:v>1</x:v>
      </x:c>
      <x:c r="D1848" s="2" t="n">
        <x:v>1</x:v>
      </x:c>
      <x:c r="E1848" s="10" t="n">
        <x:v>74.68131616595136</x:v>
      </x:c>
      <x:c r="F1848" s="11" t="n">
        <x:v>699</x:v>
      </x:c>
      <x:c r="G1848" s="11" t="n">
        <x:v>0</x:v>
      </x:c>
      <x:c r="H1848" s="11" t="n">
        <x:v>0</x:v>
      </x:c>
      <x:c r="I1848" s="11" t="n">
        <x:v>0</x:v>
      </x:c>
      <x:c r="J1848" s="11" t="n">
        <x:v>0</x:v>
      </x:c>
      <x:c r="K1848" s="11" t="n">
        <x:v>1</x:v>
      </x:c>
      <x:c r="L1848" s="11" t="n">
        <x:f>IF(B1848="NED",1,IF(OR(B1848="ED",B1848="UN"),0,""))</x:f>
        <x:v>0</x:v>
      </x:c>
      <x:c r="M1848" s="11" t="n">
        <x:f>IF(AND(K1848=1,OR(B1848="ED",B1848="NED")),1,0)</x:f>
        <x:v>1</x:v>
      </x:c>
      <x:c r="N1848" s="11" t="n">
        <x:f>IF(K1848=1,1,0)</x:f>
        <x:v>1</x:v>
      </x:c>
      <x:c r="O1848" s="12"/>
      <x:c r="P1848" s="11" t="n">
        <x:v>0</x:v>
      </x:c>
      <x:c r="Q1848" s="12" t="str">
        <x:v>AF-Q80Y98-F1-model_v6</x:v>
      </x:c>
      <x:c r="R1848" s="12" t="str">
        <x:v>ok</x:v>
      </x:c>
      <x:c r="S1848" s="11" t="n">
        <x:v>1380</x:v>
      </x:c>
      <x:c r="T1848" s="11" t="n">
        <x:v>699</x:v>
      </x:c>
    </x:row>
    <x:row r="1849" ht="23" customHeight="1">
      <x:c r="A1849" s="2" t="str">
        <x:v>Q80YD1</x:v>
      </x:c>
      <x:c r="B1849" s="2" t="str">
        <x:v>UN</x:v>
      </x:c>
      <x:c r="C1849" s="2" t="n">
        <x:v>1</x:v>
      </x:c>
      <x:c r="D1849" s="2" t="n">
        <x:v>1</x:v>
      </x:c>
      <x:c r="E1849" s="10" t="n">
        <x:v>82.675648267009</x:v>
      </x:c>
      <x:c r="F1849" s="11" t="n">
        <x:v>779</x:v>
      </x:c>
      <x:c r="G1849" s="11" t="n">
        <x:v>0</x:v>
      </x:c>
      <x:c r="H1849" s="11" t="n">
        <x:v>0</x:v>
      </x:c>
      <x:c r="I1849" s="11" t="n">
        <x:v>0</x:v>
      </x:c>
      <x:c r="J1849" s="11" t="n">
        <x:v>0</x:v>
      </x:c>
      <x:c r="K1849" s="11" t="n">
        <x:v>1</x:v>
      </x:c>
      <x:c r="L1849" s="11" t="n">
        <x:f>IF(B1849="NED",1,IF(OR(B1849="ED",B1849="UN"),0,""))</x:f>
        <x:v>0</x:v>
      </x:c>
      <x:c r="M1849" s="11" t="n">
        <x:f>IF(AND(K1849=1,OR(B1849="ED",B1849="NED")),1,0)</x:f>
        <x:v>0</x:v>
      </x:c>
      <x:c r="N1849" s="11" t="n">
        <x:f>IF(K1849=1,1,0)</x:f>
        <x:v>1</x:v>
      </x:c>
      <x:c r="O1849" s="12"/>
      <x:c r="P1849" s="11" t="n">
        <x:v>0</x:v>
      </x:c>
      <x:c r="Q1849" s="12" t="str">
        <x:v>AF-Q80YD1-F1-model_v6</x:v>
      </x:c>
      <x:c r="R1849" s="12" t="str">
        <x:v>ok</x:v>
      </x:c>
      <x:c r="S1849" s="11" t="n">
        <x:v>1381</x:v>
      </x:c>
      <x:c r="T1849" s="11" t="n">
        <x:v>779</x:v>
      </x:c>
    </x:row>
    <x:row r="1850" ht="23" customHeight="1">
      <x:c r="A1850" s="2" t="str">
        <x:v>Q80YQ2</x:v>
      </x:c>
      <x:c r="B1850" s="2" t="str">
        <x:v>UN</x:v>
      </x:c>
      <x:c r="C1850" s="2" t="n">
        <x:v>1</x:v>
      </x:c>
      <x:c r="D1850" s="2" t="n">
        <x:v>1</x:v>
      </x:c>
      <x:c r="E1850" s="10" t="n">
        <x:v>89.98159473299195</x:v>
      </x:c>
      <x:c r="F1850" s="11" t="n">
        <x:v>1367</x:v>
      </x:c>
      <x:c r="G1850" s="11" t="n">
        <x:v>0</x:v>
      </x:c>
      <x:c r="H1850" s="11" t="n">
        <x:v>0</x:v>
      </x:c>
      <x:c r="I1850" s="11" t="n">
        <x:v>0</x:v>
      </x:c>
      <x:c r="J1850" s="11" t="n">
        <x:v>0</x:v>
      </x:c>
      <x:c r="K1850" s="11" t="n">
        <x:v>1</x:v>
      </x:c>
      <x:c r="L1850" s="11" t="n">
        <x:f>IF(B1850="NED",1,IF(OR(B1850="ED",B1850="UN"),0,""))</x:f>
        <x:v>0</x:v>
      </x:c>
      <x:c r="M1850" s="11" t="n">
        <x:f>IF(AND(K1850=1,OR(B1850="ED",B1850="NED")),1,0)</x:f>
        <x:v>0</x:v>
      </x:c>
      <x:c r="N1850" s="11" t="n">
        <x:f>IF(K1850=1,1,0)</x:f>
        <x:v>1</x:v>
      </x:c>
      <x:c r="O1850" s="12"/>
      <x:c r="P1850" s="11" t="n">
        <x:v>0</x:v>
      </x:c>
      <x:c r="Q1850" s="12" t="str">
        <x:v>AF-Q80YQ2-F1-model_v6</x:v>
      </x:c>
      <x:c r="R1850" s="12" t="str">
        <x:v>ok</x:v>
      </x:c>
      <x:c r="S1850" s="11" t="n">
        <x:v>1382</x:v>
      </x:c>
      <x:c r="T1850" s="11" t="n">
        <x:v>1367</x:v>
      </x:c>
    </x:row>
    <x:row r="1851" ht="23" customHeight="1">
      <x:c r="A1851" s="2" t="str">
        <x:v>Q80YR4-3</x:v>
      </x:c>
      <x:c r="B1851" s="2" t="str">
        <x:v>ED</x:v>
      </x:c>
      <x:c r="C1851" s="2"/>
      <x:c r="D1851" s="2"/>
      <x:c r="E1851" s="10"/>
      <x:c r="F1851" s="11"/>
      <x:c r="G1851" s="11" t="n">
        <x:v>0</x:v>
      </x:c>
      <x:c r="H1851" s="11" t="n">
        <x:v>0</x:v>
      </x:c>
      <x:c r="I1851" s="11"/>
      <x:c r="J1851" s="11"/>
      <x:c r="K1851" s="11" t="n">
        <x:v>0</x:v>
      </x:c>
      <x:c r="L1851" s="11" t="n">
        <x:f>IF(B1851="NED",1,IF(OR(B1851="ED",B1851="UN"),0,""))</x:f>
        <x:v>0</x:v>
      </x:c>
      <x:c r="M1851" s="11" t="n">
        <x:f>IF(AND(K1851=1,OR(B1851="ED",B1851="NED")),1,0)</x:f>
        <x:v>0</x:v>
      </x:c>
      <x:c r="N1851" s="11" t="n">
        <x:f>IF(K1851=1,1,0)</x:f>
        <x:v>0</x:v>
      </x:c>
      <x:c r="O1851" s="12" t="str">
        <x:v>Require exact native accession match</x:v>
      </x:c>
      <x:c r="P1851" s="11" t="n">
        <x:v>0</x:v>
      </x:c>
      <x:c r="Q1851" s="12"/>
      <x:c r="R1851" s="12"/>
      <x:c r="S1851" s="11" t="n">
        <x:v>1383</x:v>
      </x:c>
      <x:c r="T1851" s="11"/>
    </x:row>
    <x:row r="1852" ht="23" customHeight="1">
      <x:c r="A1852" s="2" t="str">
        <x:v>Q80YR5</x:v>
      </x:c>
      <x:c r="B1852" s="2" t="str">
        <x:v>UN</x:v>
      </x:c>
      <x:c r="C1852" s="2" t="n">
        <x:v>1</x:v>
      </x:c>
      <x:c r="D1852" s="2" t="n">
        <x:v>1</x:v>
      </x:c>
      <x:c r="E1852" s="10" t="n">
        <x:v>52.51605449041373</x:v>
      </x:c>
      <x:c r="F1852" s="11" t="n">
        <x:v>991</x:v>
      </x:c>
      <x:c r="G1852" s="11" t="n">
        <x:v>0</x:v>
      </x:c>
      <x:c r="H1852" s="11" t="n">
        <x:v>0</x:v>
      </x:c>
      <x:c r="I1852" s="11" t="n">
        <x:v>0</x:v>
      </x:c>
      <x:c r="J1852" s="11" t="n">
        <x:v>0</x:v>
      </x:c>
      <x:c r="K1852" s="11" t="n">
        <x:v>0</x:v>
      </x:c>
      <x:c r="L1852" s="11" t="n">
        <x:f>IF(B1852="NED",1,IF(OR(B1852="ED",B1852="UN"),0,""))</x:f>
        <x:v>0</x:v>
      </x:c>
      <x:c r="M1852" s="11" t="n">
        <x:f>IF(AND(K1852=1,OR(B1852="ED",B1852="NED")),1,0)</x:f>
        <x:v>0</x:v>
      </x:c>
      <x:c r="N1852" s="11" t="n">
        <x:f>IF(K1852=1,1,0)</x:f>
        <x:v>0</x:v>
      </x:c>
      <x:c r="O1852" s="12" t="str">
        <x:v>Retain protein mean pLDDT &gt;=70</x:v>
      </x:c>
      <x:c r="P1852" s="11" t="n">
        <x:v>0</x:v>
      </x:c>
      <x:c r="Q1852" s="12" t="str">
        <x:v>AF-Q80YR5-F1-model_v6</x:v>
      </x:c>
      <x:c r="R1852" s="12" t="str">
        <x:v>ok</x:v>
      </x:c>
      <x:c r="S1852" s="11" t="n">
        <x:v>1384</x:v>
      </x:c>
      <x:c r="T1852" s="11" t="n">
        <x:v>991</x:v>
      </x:c>
    </x:row>
    <x:row r="1853" ht="23" customHeight="1">
      <x:c r="A1853" s="2" t="str">
        <x:v>Q80ZK9</x:v>
      </x:c>
      <x:c r="B1853" s="2" t="str">
        <x:v>UN</x:v>
      </x:c>
      <x:c r="C1853" s="2" t="n">
        <x:v>1</x:v>
      </x:c>
      <x:c r="D1853" s="2" t="n">
        <x:v>1</x:v>
      </x:c>
      <x:c r="E1853" s="10" t="n">
        <x:v>82.86759231905465</x:v>
      </x:c>
      <x:c r="F1853" s="11" t="n">
        <x:v>677</x:v>
      </x:c>
      <x:c r="G1853" s="11" t="n">
        <x:v>0</x:v>
      </x:c>
      <x:c r="H1853" s="11" t="n">
        <x:v>0</x:v>
      </x:c>
      <x:c r="I1853" s="11" t="n">
        <x:v>0</x:v>
      </x:c>
      <x:c r="J1853" s="11" t="n">
        <x:v>0</x:v>
      </x:c>
      <x:c r="K1853" s="11" t="n">
        <x:v>1</x:v>
      </x:c>
      <x:c r="L1853" s="11" t="n">
        <x:f>IF(B1853="NED",1,IF(OR(B1853="ED",B1853="UN"),0,""))</x:f>
        <x:v>0</x:v>
      </x:c>
      <x:c r="M1853" s="11" t="n">
        <x:f>IF(AND(K1853=1,OR(B1853="ED",B1853="NED")),1,0)</x:f>
        <x:v>0</x:v>
      </x:c>
      <x:c r="N1853" s="11" t="n">
        <x:f>IF(K1853=1,1,0)</x:f>
        <x:v>1</x:v>
      </x:c>
      <x:c r="O1853" s="12"/>
      <x:c r="P1853" s="11" t="n">
        <x:v>0</x:v>
      </x:c>
      <x:c r="Q1853" s="12" t="str">
        <x:v>AF-Q80ZK9-F1-model_v6</x:v>
      </x:c>
      <x:c r="R1853" s="12" t="str">
        <x:v>ok</x:v>
      </x:c>
      <x:c r="S1853" s="11" t="n">
        <x:v>1385</x:v>
      </x:c>
      <x:c r="T1853" s="11" t="n">
        <x:v>677</x:v>
      </x:c>
    </x:row>
    <x:row r="1854" ht="23" customHeight="1">
      <x:c r="A1854" s="2" t="str">
        <x:v>Q80ZP8</x:v>
      </x:c>
      <x:c r="B1854" s="2" t="str">
        <x:v>ED</x:v>
      </x:c>
      <x:c r="C1854" s="2"/>
      <x:c r="D1854" s="2"/>
      <x:c r="E1854" s="10"/>
      <x:c r="F1854" s="11"/>
      <x:c r="G1854" s="11" t="n">
        <x:v>0</x:v>
      </x:c>
      <x:c r="H1854" s="11" t="n">
        <x:v>0</x:v>
      </x:c>
      <x:c r="I1854" s="11" t="n">
        <x:v>0</x:v>
      </x:c>
      <x:c r="J1854" s="11" t="n">
        <x:v>1</x:v>
      </x:c>
      <x:c r="K1854" s="11" t="n">
        <x:v>0</x:v>
      </x:c>
      <x:c r="L1854" s="11" t="n">
        <x:f>IF(B1854="NED",1,IF(OR(B1854="ED",B1854="UN"),0,""))</x:f>
        <x:v>0</x:v>
      </x:c>
      <x:c r="M1854" s="11" t="n">
        <x:f>IF(AND(K1854=1,OR(B1854="ED",B1854="NED")),1,0)</x:f>
        <x:v>0</x:v>
      </x:c>
      <x:c r="N1854" s="11" t="n">
        <x:f>IF(K1854=1,1,0)</x:f>
        <x:v>0</x:v>
      </x:c>
      <x:c r="O1854" s="12" t="str">
        <x:v>Require exact native accession match</x:v>
      </x:c>
      <x:c r="P1854" s="11" t="n">
        <x:v>0</x:v>
      </x:c>
      <x:c r="Q1854" s="12"/>
      <x:c r="R1854" s="12"/>
      <x:c r="S1854" s="11" t="n">
        <x:v>3211</x:v>
      </x:c>
      <x:c r="T1854" s="11" t="n">
        <x:v>165</x:v>
      </x:c>
    </x:row>
    <x:row r="1855" ht="23" customHeight="1">
      <x:c r="A1855" s="2" t="str">
        <x:v>Q80ZX0</x:v>
      </x:c>
      <x:c r="B1855" s="2" t="str">
        <x:v>ED</x:v>
      </x:c>
      <x:c r="C1855" s="2" t="n">
        <x:v>1</x:v>
      </x:c>
      <x:c r="D1855" s="2" t="n">
        <x:v>1</x:v>
      </x:c>
      <x:c r="E1855" s="10"/>
      <x:c r="F1855" s="11" t="n">
        <x:v>1251</x:v>
      </x:c>
      <x:c r="G1855" s="11" t="n">
        <x:v>0</x:v>
      </x:c>
      <x:c r="H1855" s="11" t="n">
        <x:v>0</x:v>
      </x:c>
      <x:c r="I1855" s="11" t="n">
        <x:v>1</x:v>
      </x:c>
      <x:c r="J1855" s="11" t="n">
        <x:v>0</x:v>
      </x:c>
      <x:c r="K1855" s="11" t="n">
        <x:v>0</x:v>
      </x:c>
      <x:c r="L1855" s="11" t="n">
        <x:f>IF(B1855="NED",1,IF(OR(B1855="ED",B1855="UN"),0,""))</x:f>
        <x:v>0</x:v>
      </x:c>
      <x:c r="M1855" s="11" t="n">
        <x:f>IF(AND(K1855=1,OR(B1855="ED",B1855="NED")),1,0)</x:f>
        <x:v>0</x:v>
      </x:c>
      <x:c r="N1855" s="11" t="n">
        <x:f>IF(K1855=1,1,0)</x:f>
        <x:v>0</x:v>
      </x:c>
      <x:c r="O1855" s="12" t="str">
        <x:v>Exclude UniProt Membrane keyword</x:v>
      </x:c>
      <x:c r="P1855" s="11" t="n">
        <x:v>0</x:v>
      </x:c>
      <x:c r="Q1855" s="12" t="str">
        <x:v>AF-Q80ZX0-F1-model_v6</x:v>
      </x:c>
      <x:c r="R1855" s="12" t="str">
        <x:v>ok</x:v>
      </x:c>
      <x:c r="S1855" s="11" t="n">
        <x:v>3212</x:v>
      </x:c>
      <x:c r="T1855" s="11" t="n">
        <x:v>1251</x:v>
      </x:c>
    </x:row>
    <x:row r="1856" ht="23" customHeight="1">
      <x:c r="A1856" s="2" t="str">
        <x:v>Q810A3</x:v>
      </x:c>
      <x:c r="B1856" s="2" t="str">
        <x:v>ED</x:v>
      </x:c>
      <x:c r="C1856" s="2" t="n">
        <x:v>0</x:v>
      </x:c>
      <x:c r="D1856" s="2" t="n">
        <x:v>0</x:v>
      </x:c>
      <x:c r="E1856" s="10" t="n">
        <x:v>92.4272514619883</x:v>
      </x:c>
      <x:c r="F1856" s="11" t="n">
        <x:v>171</x:v>
      </x:c>
      <x:c r="G1856" s="11" t="n">
        <x:v>0</x:v>
      </x:c>
      <x:c r="H1856" s="11" t="n">
        <x:v>0</x:v>
      </x:c>
      <x:c r="I1856" s="11" t="n">
        <x:v>0</x:v>
      </x:c>
      <x:c r="J1856" s="11" t="n">
        <x:v>0</x:v>
      </x:c>
      <x:c r="K1856" s="11" t="n">
        <x:v>1</x:v>
      </x:c>
      <x:c r="L1856" s="11" t="n">
        <x:f>IF(B1856="NED",1,IF(OR(B1856="ED",B1856="UN"),0,""))</x:f>
        <x:v>0</x:v>
      </x:c>
      <x:c r="M1856" s="11" t="n">
        <x:f>IF(AND(K1856=1,OR(B1856="ED",B1856="NED")),1,0)</x:f>
        <x:v>1</x:v>
      </x:c>
      <x:c r="N1856" s="11" t="n">
        <x:f>IF(K1856=1,1,0)</x:f>
        <x:v>1</x:v>
      </x:c>
      <x:c r="O1856" s="12"/>
      <x:c r="P1856" s="11" t="n">
        <x:v>0</x:v>
      </x:c>
      <x:c r="Q1856" s="12" t="str">
        <x:v>AF-Q810A3-F1-model_v6</x:v>
      </x:c>
      <x:c r="R1856" s="12" t="str">
        <x:v>ok</x:v>
      </x:c>
      <x:c r="S1856" s="11" t="n">
        <x:v>1386</x:v>
      </x:c>
      <x:c r="T1856" s="11" t="n">
        <x:v>171</x:v>
      </x:c>
    </x:row>
    <x:row r="1857" ht="23" customHeight="1">
      <x:c r="A1857" s="2" t="str">
        <x:v>Q810A7</x:v>
      </x:c>
      <x:c r="B1857" s="2" t="str">
        <x:v>UN</x:v>
      </x:c>
      <x:c r="C1857" s="2" t="n">
        <x:v>1</x:v>
      </x:c>
      <x:c r="D1857" s="2" t="n">
        <x:v>1</x:v>
      </x:c>
      <x:c r="E1857" s="10" t="n">
        <x:v>66.50797631862218</x:v>
      </x:c>
      <x:c r="F1857" s="11" t="n">
        <x:v>929</x:v>
      </x:c>
      <x:c r="G1857" s="11" t="n">
        <x:v>0</x:v>
      </x:c>
      <x:c r="H1857" s="11" t="n">
        <x:v>0</x:v>
      </x:c>
      <x:c r="I1857" s="11" t="n">
        <x:v>0</x:v>
      </x:c>
      <x:c r="J1857" s="11" t="n">
        <x:v>0</x:v>
      </x:c>
      <x:c r="K1857" s="11" t="n">
        <x:v>0</x:v>
      </x:c>
      <x:c r="L1857" s="11" t="n">
        <x:f>IF(B1857="NED",1,IF(OR(B1857="ED",B1857="UN"),0,""))</x:f>
        <x:v>0</x:v>
      </x:c>
      <x:c r="M1857" s="11" t="n">
        <x:f>IF(AND(K1857=1,OR(B1857="ED",B1857="NED")),1,0)</x:f>
        <x:v>0</x:v>
      </x:c>
      <x:c r="N1857" s="11" t="n">
        <x:f>IF(K1857=1,1,0)</x:f>
        <x:v>0</x:v>
      </x:c>
      <x:c r="O1857" s="12" t="str">
        <x:v>Retain protein mean pLDDT &gt;=70</x:v>
      </x:c>
      <x:c r="P1857" s="11" t="n">
        <x:v>0</x:v>
      </x:c>
      <x:c r="Q1857" s="12" t="str">
        <x:v>AF-Q810A7-F1-model_v6</x:v>
      </x:c>
      <x:c r="R1857" s="12" t="str">
        <x:v>ok</x:v>
      </x:c>
      <x:c r="S1857" s="11" t="n">
        <x:v>1387</x:v>
      </x:c>
      <x:c r="T1857" s="11" t="n">
        <x:v>929</x:v>
      </x:c>
    </x:row>
    <x:row r="1858" ht="23" customHeight="1">
      <x:c r="A1858" s="2" t="str">
        <x:v>Q810B6</x:v>
      </x:c>
      <x:c r="B1858" s="2" t="str">
        <x:v>ED</x:v>
      </x:c>
      <x:c r="C1858" s="2" t="n">
        <x:v>1</x:v>
      </x:c>
      <x:c r="D1858" s="2" t="n">
        <x:v>1</x:v>
      </x:c>
      <x:c r="E1858" s="10"/>
      <x:c r="F1858" s="11" t="n">
        <x:v>1169</x:v>
      </x:c>
      <x:c r="G1858" s="11" t="n">
        <x:v>0</x:v>
      </x:c>
      <x:c r="H1858" s="11" t="n">
        <x:v>0</x:v>
      </x:c>
      <x:c r="I1858" s="11" t="n">
        <x:v>1</x:v>
      </x:c>
      <x:c r="J1858" s="11" t="n">
        <x:v>0</x:v>
      </x:c>
      <x:c r="K1858" s="11" t="n">
        <x:v>0</x:v>
      </x:c>
      <x:c r="L1858" s="11" t="n">
        <x:f>IF(B1858="NED",1,IF(OR(B1858="ED",B1858="UN"),0,""))</x:f>
        <x:v>0</x:v>
      </x:c>
      <x:c r="M1858" s="11" t="n">
        <x:f>IF(AND(K1858=1,OR(B1858="ED",B1858="NED")),1,0)</x:f>
        <x:v>0</x:v>
      </x:c>
      <x:c r="N1858" s="11" t="n">
        <x:f>IF(K1858=1,1,0)</x:f>
        <x:v>0</x:v>
      </x:c>
      <x:c r="O1858" s="12" t="str">
        <x:v>Exclude UniProt Membrane keyword</x:v>
      </x:c>
      <x:c r="P1858" s="11" t="n">
        <x:v>0</x:v>
      </x:c>
      <x:c r="Q1858" s="12" t="str">
        <x:v>AF-Q810B6-F1-model_v6</x:v>
      </x:c>
      <x:c r="R1858" s="12" t="str">
        <x:v>ok</x:v>
      </x:c>
      <x:c r="S1858" s="11" t="n">
        <x:v>1388</x:v>
      </x:c>
      <x:c r="T1858" s="11" t="n">
        <x:v>1169</x:v>
      </x:c>
    </x:row>
    <x:row r="1859" ht="23" customHeight="1">
      <x:c r="A1859" s="2" t="str">
        <x:v>Q810D6</x:v>
      </x:c>
      <x:c r="B1859" s="2" t="str">
        <x:v>ED</x:v>
      </x:c>
      <x:c r="C1859" s="2" t="n">
        <x:v>1</x:v>
      </x:c>
      <x:c r="D1859" s="2" t="n">
        <x:v>1</x:v>
      </x:c>
      <x:c r="E1859" s="10" t="n">
        <x:v>88.64060538116591</x:v>
      </x:c>
      <x:c r="F1859" s="11" t="n">
        <x:v>446</x:v>
      </x:c>
      <x:c r="G1859" s="11" t="n">
        <x:v>0</x:v>
      </x:c>
      <x:c r="H1859" s="11" t="n">
        <x:v>0</x:v>
      </x:c>
      <x:c r="I1859" s="11" t="n">
        <x:v>0</x:v>
      </x:c>
      <x:c r="J1859" s="11" t="n">
        <x:v>0</x:v>
      </x:c>
      <x:c r="K1859" s="11" t="n">
        <x:v>1</x:v>
      </x:c>
      <x:c r="L1859" s="11" t="n">
        <x:f>IF(B1859="NED",1,IF(OR(B1859="ED",B1859="UN"),0,""))</x:f>
        <x:v>0</x:v>
      </x:c>
      <x:c r="M1859" s="11" t="n">
        <x:f>IF(AND(K1859=1,OR(B1859="ED",B1859="NED")),1,0)</x:f>
        <x:v>1</x:v>
      </x:c>
      <x:c r="N1859" s="11" t="n">
        <x:f>IF(K1859=1,1,0)</x:f>
        <x:v>1</x:v>
      </x:c>
      <x:c r="O1859" s="12"/>
      <x:c r="P1859" s="11" t="n">
        <x:v>0</x:v>
      </x:c>
      <x:c r="Q1859" s="12" t="str">
        <x:v>AF-Q810D6-F1-model_v6</x:v>
      </x:c>
      <x:c r="R1859" s="12" t="str">
        <x:v>ok</x:v>
      </x:c>
      <x:c r="S1859" s="11" t="n">
        <x:v>1389</x:v>
      </x:c>
      <x:c r="T1859" s="11" t="n">
        <x:v>446</x:v>
      </x:c>
    </x:row>
    <x:row r="1860" ht="23" customHeight="1">
      <x:c r="A1860" s="2" t="str">
        <x:v>Q810V0</x:v>
      </x:c>
      <x:c r="B1860" s="2" t="str">
        <x:v>ED</x:v>
      </x:c>
      <x:c r="C1860" s="2" t="n">
        <x:v>0</x:v>
      </x:c>
      <x:c r="D1860" s="2" t="n">
        <x:v>0</x:v>
      </x:c>
      <x:c r="E1860" s="10" t="n">
        <x:v>68.39461086637299</x:v>
      </x:c>
      <x:c r="F1860" s="11" t="n">
        <x:v>681</x:v>
      </x:c>
      <x:c r="G1860" s="11" t="n">
        <x:v>0</x:v>
      </x:c>
      <x:c r="H1860" s="11" t="n">
        <x:v>0</x:v>
      </x:c>
      <x:c r="I1860" s="11" t="n">
        <x:v>0</x:v>
      </x:c>
      <x:c r="J1860" s="11" t="n">
        <x:v>0</x:v>
      </x:c>
      <x:c r="K1860" s="11" t="n">
        <x:v>0</x:v>
      </x:c>
      <x:c r="L1860" s="11" t="n">
        <x:f>IF(B1860="NED",1,IF(OR(B1860="ED",B1860="UN"),0,""))</x:f>
        <x:v>0</x:v>
      </x:c>
      <x:c r="M1860" s="11" t="n">
        <x:f>IF(AND(K1860=1,OR(B1860="ED",B1860="NED")),1,0)</x:f>
        <x:v>0</x:v>
      </x:c>
      <x:c r="N1860" s="11" t="n">
        <x:f>IF(K1860=1,1,0)</x:f>
        <x:v>0</x:v>
      </x:c>
      <x:c r="O1860" s="12" t="str">
        <x:v>Retain protein mean pLDDT &gt;=70</x:v>
      </x:c>
      <x:c r="P1860" s="11" t="n">
        <x:v>0</x:v>
      </x:c>
      <x:c r="Q1860" s="12" t="str">
        <x:v>AF-Q810V0-F1-model_v6</x:v>
      </x:c>
      <x:c r="R1860" s="12" t="str">
        <x:v>ok</x:v>
      </x:c>
      <x:c r="S1860" s="11" t="n">
        <x:v>1390</x:v>
      </x:c>
      <x:c r="T1860" s="11" t="n">
        <x:v>681</x:v>
      </x:c>
    </x:row>
    <x:row r="1861" ht="23" customHeight="1">
      <x:c r="A1861" s="2" t="str">
        <x:v>Q811U4</x:v>
      </x:c>
      <x:c r="B1861" s="2" t="str">
        <x:v>ED</x:v>
      </x:c>
      <x:c r="C1861" s="2" t="n">
        <x:v>1</x:v>
      </x:c>
      <x:c r="D1861" s="2" t="n">
        <x:v>1</x:v>
      </x:c>
      <x:c r="E1861" s="10"/>
      <x:c r="F1861" s="11" t="n">
        <x:v>741</x:v>
      </x:c>
      <x:c r="G1861" s="11" t="n">
        <x:v>0</x:v>
      </x:c>
      <x:c r="H1861" s="11" t="n">
        <x:v>0</x:v>
      </x:c>
      <x:c r="I1861" s="11" t="n">
        <x:v>1</x:v>
      </x:c>
      <x:c r="J1861" s="11" t="n">
        <x:v>0</x:v>
      </x:c>
      <x:c r="K1861" s="11" t="n">
        <x:v>0</x:v>
      </x:c>
      <x:c r="L1861" s="11" t="n">
        <x:f>IF(B1861="NED",1,IF(OR(B1861="ED",B1861="UN"),0,""))</x:f>
        <x:v>0</x:v>
      </x:c>
      <x:c r="M1861" s="11" t="n">
        <x:f>IF(AND(K1861=1,OR(B1861="ED",B1861="NED")),1,0)</x:f>
        <x:v>0</x:v>
      </x:c>
      <x:c r="N1861" s="11" t="n">
        <x:f>IF(K1861=1,1,0)</x:f>
        <x:v>0</x:v>
      </x:c>
      <x:c r="O1861" s="12" t="str">
        <x:v>Exclude UniProt Membrane keyword</x:v>
      </x:c>
      <x:c r="P1861" s="11" t="n">
        <x:v>0</x:v>
      </x:c>
      <x:c r="Q1861" s="12" t="str">
        <x:v>AF-Q811U4-F1-model_v6</x:v>
      </x:c>
      <x:c r="R1861" s="12" t="str">
        <x:v>ok</x:v>
      </x:c>
      <x:c r="S1861" s="11" t="n">
        <x:v>1391</x:v>
      </x:c>
      <x:c r="T1861" s="11" t="n">
        <x:v>741</x:v>
      </x:c>
    </x:row>
    <x:row r="1862" ht="23" customHeight="1">
      <x:c r="A1862" s="2" t="str">
        <x:v>Q8BFQ4</x:v>
      </x:c>
      <x:c r="B1862" s="2" t="str">
        <x:v>ED</x:v>
      </x:c>
      <x:c r="C1862" s="2" t="n">
        <x:v>1</x:v>
      </x:c>
      <x:c r="D1862" s="2" t="n">
        <x:v>1</x:v>
      </x:c>
      <x:c r="E1862" s="10" t="n">
        <x:v>95.86539936102236</x:v>
      </x:c>
      <x:c r="F1862" s="11" t="n">
        <x:v>313</x:v>
      </x:c>
      <x:c r="G1862" s="11" t="n">
        <x:v>0</x:v>
      </x:c>
      <x:c r="H1862" s="11" t="n">
        <x:v>0</x:v>
      </x:c>
      <x:c r="I1862" s="11" t="n">
        <x:v>0</x:v>
      </x:c>
      <x:c r="J1862" s="11" t="n">
        <x:v>0</x:v>
      </x:c>
      <x:c r="K1862" s="11" t="n">
        <x:v>1</x:v>
      </x:c>
      <x:c r="L1862" s="11" t="n">
        <x:f>IF(B1862="NED",1,IF(OR(B1862="ED",B1862="UN"),0,""))</x:f>
        <x:v>0</x:v>
      </x:c>
      <x:c r="M1862" s="11" t="n">
        <x:f>IF(AND(K1862=1,OR(B1862="ED",B1862="NED")),1,0)</x:f>
        <x:v>1</x:v>
      </x:c>
      <x:c r="N1862" s="11" t="n">
        <x:f>IF(K1862=1,1,0)</x:f>
        <x:v>1</x:v>
      </x:c>
      <x:c r="O1862" s="12"/>
      <x:c r="P1862" s="11" t="n">
        <x:v>0</x:v>
      </x:c>
      <x:c r="Q1862" s="12" t="str">
        <x:v>AF-Q8BFQ4-F1-model_v6</x:v>
      </x:c>
      <x:c r="R1862" s="12" t="str">
        <x:v>ok</x:v>
      </x:c>
      <x:c r="S1862" s="11" t="n">
        <x:v>1392</x:v>
      </x:c>
      <x:c r="T1862" s="11" t="n">
        <x:v>313</x:v>
      </x:c>
    </x:row>
    <x:row r="1863" ht="23" customHeight="1">
      <x:c r="A1863" s="2" t="str">
        <x:v>Q8BFR4</x:v>
      </x:c>
      <x:c r="B1863" s="2" t="str">
        <x:v>UN</x:v>
      </x:c>
      <x:c r="C1863" s="2" t="n">
        <x:v>1</x:v>
      </x:c>
      <x:c r="D1863" s="2" t="n">
        <x:v>1</x:v>
      </x:c>
      <x:c r="E1863" s="10" t="n">
        <x:v>90.50909926470588</x:v>
      </x:c>
      <x:c r="F1863" s="11" t="n">
        <x:v>544</x:v>
      </x:c>
      <x:c r="G1863" s="11" t="n">
        <x:v>0</x:v>
      </x:c>
      <x:c r="H1863" s="11" t="n">
        <x:v>0</x:v>
      </x:c>
      <x:c r="I1863" s="11" t="n">
        <x:v>0</x:v>
      </x:c>
      <x:c r="J1863" s="11" t="n">
        <x:v>0</x:v>
      </x:c>
      <x:c r="K1863" s="11" t="n">
        <x:v>1</x:v>
      </x:c>
      <x:c r="L1863" s="11" t="n">
        <x:f>IF(B1863="NED",1,IF(OR(B1863="ED",B1863="UN"),0,""))</x:f>
        <x:v>0</x:v>
      </x:c>
      <x:c r="M1863" s="11" t="n">
        <x:f>IF(AND(K1863=1,OR(B1863="ED",B1863="NED")),1,0)</x:f>
        <x:v>0</x:v>
      </x:c>
      <x:c r="N1863" s="11" t="n">
        <x:f>IF(K1863=1,1,0)</x:f>
        <x:v>1</x:v>
      </x:c>
      <x:c r="O1863" s="12"/>
      <x:c r="P1863" s="11" t="n">
        <x:v>0</x:v>
      </x:c>
      <x:c r="Q1863" s="12" t="str">
        <x:v>AF-Q8BFR4-F1-model_v6</x:v>
      </x:c>
      <x:c r="R1863" s="12" t="str">
        <x:v>ok</x:v>
      </x:c>
      <x:c r="S1863" s="11" t="n">
        <x:v>1393</x:v>
      </x:c>
      <x:c r="T1863" s="11" t="n">
        <x:v>544</x:v>
      </x:c>
    </x:row>
    <x:row r="1864" ht="23" customHeight="1">
      <x:c r="A1864" s="2" t="str">
        <x:v>Q8BFR5</x:v>
      </x:c>
      <x:c r="B1864" s="2" t="str">
        <x:v>ED</x:v>
      </x:c>
      <x:c r="C1864" s="2" t="n">
        <x:v>1</x:v>
      </x:c>
      <x:c r="D1864" s="2" t="n">
        <x:v>1</x:v>
      </x:c>
      <x:c r="E1864" s="10" t="n">
        <x:v>84.07037610619469</x:v>
      </x:c>
      <x:c r="F1864" s="11" t="n">
        <x:v>452</x:v>
      </x:c>
      <x:c r="G1864" s="11" t="n">
        <x:v>0</x:v>
      </x:c>
      <x:c r="H1864" s="11" t="n">
        <x:v>0</x:v>
      </x:c>
      <x:c r="I1864" s="11" t="n">
        <x:v>0</x:v>
      </x:c>
      <x:c r="J1864" s="11" t="n">
        <x:v>0</x:v>
      </x:c>
      <x:c r="K1864" s="11" t="n">
        <x:v>1</x:v>
      </x:c>
      <x:c r="L1864" s="11" t="n">
        <x:f>IF(B1864="NED",1,IF(OR(B1864="ED",B1864="UN"),0,""))</x:f>
        <x:v>0</x:v>
      </x:c>
      <x:c r="M1864" s="11" t="n">
        <x:f>IF(AND(K1864=1,OR(B1864="ED",B1864="NED")),1,0)</x:f>
        <x:v>1</x:v>
      </x:c>
      <x:c r="N1864" s="11" t="n">
        <x:f>IF(K1864=1,1,0)</x:f>
        <x:v>1</x:v>
      </x:c>
      <x:c r="O1864" s="12"/>
      <x:c r="P1864" s="11" t="n">
        <x:v>0</x:v>
      </x:c>
      <x:c r="Q1864" s="12" t="str">
        <x:v>AF-Q8BFR5-F1-model_v6</x:v>
      </x:c>
      <x:c r="R1864" s="12" t="str">
        <x:v>ok</x:v>
      </x:c>
      <x:c r="S1864" s="11" t="n">
        <x:v>1394</x:v>
      </x:c>
      <x:c r="T1864" s="11" t="n">
        <x:v>452</x:v>
      </x:c>
    </x:row>
    <x:row r="1865" ht="23" customHeight="1">
      <x:c r="A1865" s="2" t="str">
        <x:v>Q8BFU3-3</x:v>
      </x:c>
      <x:c r="B1865" s="2" t="str">
        <x:v>UN</x:v>
      </x:c>
      <x:c r="C1865" s="2"/>
      <x:c r="D1865" s="2"/>
      <x:c r="E1865" s="10"/>
      <x:c r="F1865" s="11"/>
      <x:c r="G1865" s="11" t="n">
        <x:v>0</x:v>
      </x:c>
      <x:c r="H1865" s="11" t="n">
        <x:v>0</x:v>
      </x:c>
      <x:c r="I1865" s="11"/>
      <x:c r="J1865" s="11"/>
      <x:c r="K1865" s="11" t="n">
        <x:v>0</x:v>
      </x:c>
      <x:c r="L1865" s="11" t="n">
        <x:f>IF(B1865="NED",1,IF(OR(B1865="ED",B1865="UN"),0,""))</x:f>
        <x:v>0</x:v>
      </x:c>
      <x:c r="M1865" s="11" t="n">
        <x:f>IF(AND(K1865=1,OR(B1865="ED",B1865="NED")),1,0)</x:f>
        <x:v>0</x:v>
      </x:c>
      <x:c r="N1865" s="11" t="n">
        <x:f>IF(K1865=1,1,0)</x:f>
        <x:v>0</x:v>
      </x:c>
      <x:c r="O1865" s="12" t="str">
        <x:v>Require exact native accession match</x:v>
      </x:c>
      <x:c r="P1865" s="11" t="n">
        <x:v>0</x:v>
      </x:c>
      <x:c r="Q1865" s="12"/>
      <x:c r="R1865" s="12"/>
      <x:c r="S1865" s="11" t="n">
        <x:v>1395</x:v>
      </x:c>
      <x:c r="T1865" s="11"/>
    </x:row>
    <x:row r="1866" ht="23" customHeight="1">
      <x:c r="A1866" s="2" t="str">
        <x:v>Q8BFV2</x:v>
      </x:c>
      <x:c r="B1866" s="2" t="str">
        <x:v>UN</x:v>
      </x:c>
      <x:c r="C1866" s="2" t="n">
        <x:v>0</x:v>
      </x:c>
      <x:c r="D1866" s="2" t="n">
        <x:v>0</x:v>
      </x:c>
      <x:c r="E1866" s="10" t="n">
        <x:v>95.79543859649122</x:v>
      </x:c>
      <x:c r="F1866" s="11" t="n">
        <x:v>399</x:v>
      </x:c>
      <x:c r="G1866" s="11" t="n">
        <x:v>0</x:v>
      </x:c>
      <x:c r="H1866" s="11" t="n">
        <x:v>0</x:v>
      </x:c>
      <x:c r="I1866" s="11" t="n">
        <x:v>0</x:v>
      </x:c>
      <x:c r="J1866" s="11" t="n">
        <x:v>0</x:v>
      </x:c>
      <x:c r="K1866" s="11" t="n">
        <x:v>1</x:v>
      </x:c>
      <x:c r="L1866" s="11" t="n">
        <x:f>IF(B1866="NED",1,IF(OR(B1866="ED",B1866="UN"),0,""))</x:f>
        <x:v>0</x:v>
      </x:c>
      <x:c r="M1866" s="11" t="n">
        <x:f>IF(AND(K1866=1,OR(B1866="ED",B1866="NED")),1,0)</x:f>
        <x:v>0</x:v>
      </x:c>
      <x:c r="N1866" s="11" t="n">
        <x:f>IF(K1866=1,1,0)</x:f>
        <x:v>1</x:v>
      </x:c>
      <x:c r="O1866" s="12"/>
      <x:c r="P1866" s="11" t="n">
        <x:v>0</x:v>
      </x:c>
      <x:c r="Q1866" s="12" t="str">
        <x:v>AF-Q8BFV2-F1-model_v6</x:v>
      </x:c>
      <x:c r="R1866" s="12" t="str">
        <x:v>ok</x:v>
      </x:c>
      <x:c r="S1866" s="11" t="n">
        <x:v>1396</x:v>
      </x:c>
      <x:c r="T1866" s="11" t="n">
        <x:v>399</x:v>
      </x:c>
    </x:row>
    <x:row r="1867" ht="23" customHeight="1">
      <x:c r="A1867" s="2" t="str">
        <x:v>Q8BFW7</x:v>
      </x:c>
      <x:c r="B1867" s="2" t="str">
        <x:v>ED</x:v>
      </x:c>
      <x:c r="C1867" s="2" t="n">
        <x:v>0</x:v>
      </x:c>
      <x:c r="D1867" s="2" t="n">
        <x:v>0</x:v>
      </x:c>
      <x:c r="E1867" s="10" t="n">
        <x:v>61.76618270799347</x:v>
      </x:c>
      <x:c r="F1867" s="11" t="n">
        <x:v>613</x:v>
      </x:c>
      <x:c r="G1867" s="11" t="n">
        <x:v>0</x:v>
      </x:c>
      <x:c r="H1867" s="11" t="n">
        <x:v>0</x:v>
      </x:c>
      <x:c r="I1867" s="11" t="n">
        <x:v>0</x:v>
      </x:c>
      <x:c r="J1867" s="11" t="n">
        <x:v>0</x:v>
      </x:c>
      <x:c r="K1867" s="11" t="n">
        <x:v>0</x:v>
      </x:c>
      <x:c r="L1867" s="11" t="n">
        <x:f>IF(B1867="NED",1,IF(OR(B1867="ED",B1867="UN"),0,""))</x:f>
        <x:v>0</x:v>
      </x:c>
      <x:c r="M1867" s="11" t="n">
        <x:f>IF(AND(K1867=1,OR(B1867="ED",B1867="NED")),1,0)</x:f>
        <x:v>0</x:v>
      </x:c>
      <x:c r="N1867" s="11" t="n">
        <x:f>IF(K1867=1,1,0)</x:f>
        <x:v>0</x:v>
      </x:c>
      <x:c r="O1867" s="12" t="str">
        <x:v>Retain protein mean pLDDT &gt;=70</x:v>
      </x:c>
      <x:c r="P1867" s="11" t="n">
        <x:v>0</x:v>
      </x:c>
      <x:c r="Q1867" s="12" t="str">
        <x:v>AF-Q8BFW7-F1-model_v6</x:v>
      </x:c>
      <x:c r="R1867" s="12" t="str">
        <x:v>ok</x:v>
      </x:c>
      <x:c r="S1867" s="11" t="n">
        <x:v>1397</x:v>
      </x:c>
      <x:c r="T1867" s="11" t="n">
        <x:v>613</x:v>
      </x:c>
    </x:row>
    <x:row r="1868" ht="23" customHeight="1">
      <x:c r="A1868" s="2" t="str">
        <x:v>Q8BFY6</x:v>
      </x:c>
      <x:c r="B1868" s="2" t="str">
        <x:v>ED</x:v>
      </x:c>
      <x:c r="C1868" s="2" t="n">
        <x:v>0</x:v>
      </x:c>
      <x:c r="D1868" s="2" t="n">
        <x:v>0</x:v>
      </x:c>
      <x:c r="E1868" s="10"/>
      <x:c r="F1868" s="11" t="n">
        <x:v>275</x:v>
      </x:c>
      <x:c r="G1868" s="11" t="n">
        <x:v>0</x:v>
      </x:c>
      <x:c r="H1868" s="11" t="n">
        <x:v>0</x:v>
      </x:c>
      <x:c r="I1868" s="11" t="n">
        <x:v>1</x:v>
      </x:c>
      <x:c r="J1868" s="11" t="n">
        <x:v>0</x:v>
      </x:c>
      <x:c r="K1868" s="11" t="n">
        <x:v>0</x:v>
      </x:c>
      <x:c r="L1868" s="11" t="n">
        <x:f>IF(B1868="NED",1,IF(OR(B1868="ED",B1868="UN"),0,""))</x:f>
        <x:v>0</x:v>
      </x:c>
      <x:c r="M1868" s="11" t="n">
        <x:f>IF(AND(K1868=1,OR(B1868="ED",B1868="NED")),1,0)</x:f>
        <x:v>0</x:v>
      </x:c>
      <x:c r="N1868" s="11" t="n">
        <x:f>IF(K1868=1,1,0)</x:f>
        <x:v>0</x:v>
      </x:c>
      <x:c r="O1868" s="12" t="str">
        <x:v>Exclude UniProt Membrane keyword</x:v>
      </x:c>
      <x:c r="P1868" s="11" t="n">
        <x:v>0</x:v>
      </x:c>
      <x:c r="Q1868" s="12" t="str">
        <x:v>AF-Q8BFY6-F1-model_v6</x:v>
      </x:c>
      <x:c r="R1868" s="12" t="str">
        <x:v>ok</x:v>
      </x:c>
      <x:c r="S1868" s="11" t="n">
        <x:v>1398</x:v>
      </x:c>
      <x:c r="T1868" s="11" t="n">
        <x:v>275</x:v>
      </x:c>
    </x:row>
    <x:row r="1869" ht="23" customHeight="1">
      <x:c r="A1869" s="2" t="str">
        <x:v>Q8BFY9-2</x:v>
      </x:c>
      <x:c r="B1869" s="2" t="str">
        <x:v>UN</x:v>
      </x:c>
      <x:c r="C1869" s="2"/>
      <x:c r="D1869" s="2"/>
      <x:c r="E1869" s="10"/>
      <x:c r="F1869" s="11"/>
      <x:c r="G1869" s="11" t="n">
        <x:v>0</x:v>
      </x:c>
      <x:c r="H1869" s="11" t="n">
        <x:v>0</x:v>
      </x:c>
      <x:c r="I1869" s="11"/>
      <x:c r="J1869" s="11"/>
      <x:c r="K1869" s="11" t="n">
        <x:v>0</x:v>
      </x:c>
      <x:c r="L1869" s="11" t="n">
        <x:f>IF(B1869="NED",1,IF(OR(B1869="ED",B1869="UN"),0,""))</x:f>
        <x:v>0</x:v>
      </x:c>
      <x:c r="M1869" s="11" t="n">
        <x:f>IF(AND(K1869=1,OR(B1869="ED",B1869="NED")),1,0)</x:f>
        <x:v>0</x:v>
      </x:c>
      <x:c r="N1869" s="11" t="n">
        <x:f>IF(K1869=1,1,0)</x:f>
        <x:v>0</x:v>
      </x:c>
      <x:c r="O1869" s="12" t="str">
        <x:v>Require exact native accession match</x:v>
      </x:c>
      <x:c r="P1869" s="11" t="n">
        <x:v>0</x:v>
      </x:c>
      <x:c r="Q1869" s="12"/>
      <x:c r="R1869" s="12"/>
      <x:c r="S1869" s="11" t="n">
        <x:v>1399</x:v>
      </x:c>
      <x:c r="T1869" s="11"/>
    </x:row>
    <x:row r="1870" ht="23" customHeight="1">
      <x:c r="A1870" s="2" t="str">
        <x:v>Q8BFZ3</x:v>
      </x:c>
      <x:c r="B1870" s="2" t="str">
        <x:v>UN</x:v>
      </x:c>
      <x:c r="C1870" s="2" t="n">
        <x:v>1</x:v>
      </x:c>
      <x:c r="D1870" s="2" t="n">
        <x:v>1</x:v>
      </x:c>
      <x:c r="E1870" s="10" t="n">
        <x:v>95.20018617021276</x:v>
      </x:c>
      <x:c r="F1870" s="11" t="n">
        <x:v>376</x:v>
      </x:c>
      <x:c r="G1870" s="11" t="n">
        <x:v>0</x:v>
      </x:c>
      <x:c r="H1870" s="11" t="n">
        <x:v>0</x:v>
      </x:c>
      <x:c r="I1870" s="11" t="n">
        <x:v>0</x:v>
      </x:c>
      <x:c r="J1870" s="11" t="n">
        <x:v>0</x:v>
      </x:c>
      <x:c r="K1870" s="11" t="n">
        <x:v>1</x:v>
      </x:c>
      <x:c r="L1870" s="11" t="n">
        <x:f>IF(B1870="NED",1,IF(OR(B1870="ED",B1870="UN"),0,""))</x:f>
        <x:v>0</x:v>
      </x:c>
      <x:c r="M1870" s="11" t="n">
        <x:f>IF(AND(K1870=1,OR(B1870="ED",B1870="NED")),1,0)</x:f>
        <x:v>0</x:v>
      </x:c>
      <x:c r="N1870" s="11" t="n">
        <x:f>IF(K1870=1,1,0)</x:f>
        <x:v>1</x:v>
      </x:c>
      <x:c r="O1870" s="12"/>
      <x:c r="P1870" s="11" t="n">
        <x:v>0</x:v>
      </x:c>
      <x:c r="Q1870" s="12" t="str">
        <x:v>AF-Q8BFZ3-F1-model_v6</x:v>
      </x:c>
      <x:c r="R1870" s="12" t="str">
        <x:v>ok</x:v>
      </x:c>
      <x:c r="S1870" s="11" t="n">
        <x:v>1400</x:v>
      </x:c>
      <x:c r="T1870" s="11" t="n">
        <x:v>376</x:v>
      </x:c>
    </x:row>
    <x:row r="1871" ht="23" customHeight="1">
      <x:c r="A1871" s="2" t="str">
        <x:v>Q8BG05</x:v>
      </x:c>
      <x:c r="B1871" s="2" t="str">
        <x:v>UN</x:v>
      </x:c>
      <x:c r="C1871" s="2" t="n">
        <x:v>1</x:v>
      </x:c>
      <x:c r="D1871" s="2" t="n">
        <x:v>1</x:v>
      </x:c>
      <x:c r="E1871" s="10" t="n">
        <x:v>66.34791556728233</x:v>
      </x:c>
      <x:c r="F1871" s="11" t="n">
        <x:v>379</x:v>
      </x:c>
      <x:c r="G1871" s="11" t="n">
        <x:v>0</x:v>
      </x:c>
      <x:c r="H1871" s="11" t="n">
        <x:v>0</x:v>
      </x:c>
      <x:c r="I1871" s="11" t="n">
        <x:v>0</x:v>
      </x:c>
      <x:c r="J1871" s="11" t="n">
        <x:v>0</x:v>
      </x:c>
      <x:c r="K1871" s="11" t="n">
        <x:v>0</x:v>
      </x:c>
      <x:c r="L1871" s="11" t="n">
        <x:f>IF(B1871="NED",1,IF(OR(B1871="ED",B1871="UN"),0,""))</x:f>
        <x:v>0</x:v>
      </x:c>
      <x:c r="M1871" s="11" t="n">
        <x:f>IF(AND(K1871=1,OR(B1871="ED",B1871="NED")),1,0)</x:f>
        <x:v>0</x:v>
      </x:c>
      <x:c r="N1871" s="11" t="n">
        <x:f>IF(K1871=1,1,0)</x:f>
        <x:v>0</x:v>
      </x:c>
      <x:c r="O1871" s="12" t="str">
        <x:v>Retain protein mean pLDDT &gt;=70</x:v>
      </x:c>
      <x:c r="P1871" s="11" t="n">
        <x:v>0</x:v>
      </x:c>
      <x:c r="Q1871" s="12" t="str">
        <x:v>AF-Q8BG05-F1-model_v6</x:v>
      </x:c>
      <x:c r="R1871" s="12" t="str">
        <x:v>ok</x:v>
      </x:c>
      <x:c r="S1871" s="11" t="n">
        <x:v>1401</x:v>
      </x:c>
      <x:c r="T1871" s="11" t="n">
        <x:v>379</x:v>
      </x:c>
    </x:row>
    <x:row r="1872" ht="23" customHeight="1">
      <x:c r="A1872" s="2" t="str">
        <x:v>Q8BG30</x:v>
      </x:c>
      <x:c r="B1872" s="2" t="str">
        <x:v>UN</x:v>
      </x:c>
      <x:c r="C1872" s="2" t="n">
        <x:v>0</x:v>
      </x:c>
      <x:c r="D1872" s="2" t="n">
        <x:v>0</x:v>
      </x:c>
      <x:c r="E1872" s="10" t="n">
        <x:v>69.04335849056605</x:v>
      </x:c>
      <x:c r="F1872" s="11" t="n">
        <x:v>530</x:v>
      </x:c>
      <x:c r="G1872" s="11" t="n">
        <x:v>0</x:v>
      </x:c>
      <x:c r="H1872" s="11" t="n">
        <x:v>0</x:v>
      </x:c>
      <x:c r="I1872" s="11" t="n">
        <x:v>0</x:v>
      </x:c>
      <x:c r="J1872" s="11" t="n">
        <x:v>0</x:v>
      </x:c>
      <x:c r="K1872" s="11" t="n">
        <x:v>0</x:v>
      </x:c>
      <x:c r="L1872" s="11" t="n">
        <x:f>IF(B1872="NED",1,IF(OR(B1872="ED",B1872="UN"),0,""))</x:f>
        <x:v>0</x:v>
      </x:c>
      <x:c r="M1872" s="11" t="n">
        <x:f>IF(AND(K1872=1,OR(B1872="ED",B1872="NED")),1,0)</x:f>
        <x:v>0</x:v>
      </x:c>
      <x:c r="N1872" s="11" t="n">
        <x:f>IF(K1872=1,1,0)</x:f>
        <x:v>0</x:v>
      </x:c>
      <x:c r="O1872" s="12" t="str">
        <x:v>Retain protein mean pLDDT &gt;=70</x:v>
      </x:c>
      <x:c r="P1872" s="11" t="n">
        <x:v>0</x:v>
      </x:c>
      <x:c r="Q1872" s="12" t="str">
        <x:v>AF-Q8BG30-F1-model_v6</x:v>
      </x:c>
      <x:c r="R1872" s="12" t="str">
        <x:v>ok</x:v>
      </x:c>
      <x:c r="S1872" s="11" t="n">
        <x:v>1402</x:v>
      </x:c>
      <x:c r="T1872" s="11" t="n">
        <x:v>530</x:v>
      </x:c>
    </x:row>
    <x:row r="1873" ht="23" customHeight="1">
      <x:c r="A1873" s="2" t="str">
        <x:v>Q8BG32</x:v>
      </x:c>
      <x:c r="B1873" s="2" t="str">
        <x:v>UN</x:v>
      </x:c>
      <x:c r="C1873" s="2" t="n">
        <x:v>0</x:v>
      </x:c>
      <x:c r="D1873" s="2" t="n">
        <x:v>0</x:v>
      </x:c>
      <x:c r="E1873" s="10" t="n">
        <x:v>83.36957345971564</x:v>
      </x:c>
      <x:c r="F1873" s="11" t="n">
        <x:v>422</x:v>
      </x:c>
      <x:c r="G1873" s="11" t="n">
        <x:v>0</x:v>
      </x:c>
      <x:c r="H1873" s="11" t="n">
        <x:v>0</x:v>
      </x:c>
      <x:c r="I1873" s="11" t="n">
        <x:v>0</x:v>
      </x:c>
      <x:c r="J1873" s="11" t="n">
        <x:v>0</x:v>
      </x:c>
      <x:c r="K1873" s="11" t="n">
        <x:v>1</x:v>
      </x:c>
      <x:c r="L1873" s="11" t="n">
        <x:f>IF(B1873="NED",1,IF(OR(B1873="ED",B1873="UN"),0,""))</x:f>
        <x:v>0</x:v>
      </x:c>
      <x:c r="M1873" s="11" t="n">
        <x:f>IF(AND(K1873=1,OR(B1873="ED",B1873="NED")),1,0)</x:f>
        <x:v>0</x:v>
      </x:c>
      <x:c r="N1873" s="11" t="n">
        <x:f>IF(K1873=1,1,0)</x:f>
        <x:v>1</x:v>
      </x:c>
      <x:c r="O1873" s="12"/>
      <x:c r="P1873" s="11" t="n">
        <x:v>0</x:v>
      </x:c>
      <x:c r="Q1873" s="12" t="str">
        <x:v>AF-Q8BG32-F1-model_v6</x:v>
      </x:c>
      <x:c r="R1873" s="12" t="str">
        <x:v>ok</x:v>
      </x:c>
      <x:c r="S1873" s="11" t="n">
        <x:v>1403</x:v>
      </x:c>
      <x:c r="T1873" s="11" t="n">
        <x:v>422</x:v>
      </x:c>
    </x:row>
    <x:row r="1874" ht="23" customHeight="1">
      <x:c r="A1874" s="2" t="str">
        <x:v>Q8BG48</x:v>
      </x:c>
      <x:c r="B1874" s="2" t="str">
        <x:v>ED</x:v>
      </x:c>
      <x:c r="C1874" s="2" t="n">
        <x:v>1</x:v>
      </x:c>
      <x:c r="D1874" s="2" t="n">
        <x:v>1</x:v>
      </x:c>
      <x:c r="E1874" s="10"/>
      <x:c r="F1874" s="11" t="n">
        <x:v>372</x:v>
      </x:c>
      <x:c r="G1874" s="11" t="n">
        <x:v>0</x:v>
      </x:c>
      <x:c r="H1874" s="11" t="n">
        <x:v>0</x:v>
      </x:c>
      <x:c r="I1874" s="11" t="n">
        <x:v>1</x:v>
      </x:c>
      <x:c r="J1874" s="11" t="n">
        <x:v>0</x:v>
      </x:c>
      <x:c r="K1874" s="11" t="n">
        <x:v>0</x:v>
      </x:c>
      <x:c r="L1874" s="11" t="n">
        <x:f>IF(B1874="NED",1,IF(OR(B1874="ED",B1874="UN"),0,""))</x:f>
        <x:v>0</x:v>
      </x:c>
      <x:c r="M1874" s="11" t="n">
        <x:f>IF(AND(K1874=1,OR(B1874="ED",B1874="NED")),1,0)</x:f>
        <x:v>0</x:v>
      </x:c>
      <x:c r="N1874" s="11" t="n">
        <x:f>IF(K1874=1,1,0)</x:f>
        <x:v>0</x:v>
      </x:c>
      <x:c r="O1874" s="12" t="str">
        <x:v>Exclude UniProt Membrane keyword</x:v>
      </x:c>
      <x:c r="P1874" s="11" t="n">
        <x:v>0</x:v>
      </x:c>
      <x:c r="Q1874" s="12" t="str">
        <x:v>AF-Q8BG48-F1-model_v6</x:v>
      </x:c>
      <x:c r="R1874" s="12" t="str">
        <x:v>ok</x:v>
      </x:c>
      <x:c r="S1874" s="11" t="n">
        <x:v>1404</x:v>
      </x:c>
      <x:c r="T1874" s="11" t="n">
        <x:v>372</x:v>
      </x:c>
    </x:row>
    <x:row r="1875" ht="23" customHeight="1">
      <x:c r="A1875" s="2" t="str">
        <x:v>Q8BG51-2</x:v>
      </x:c>
      <x:c r="B1875" s="2" t="str">
        <x:v>UN</x:v>
      </x:c>
      <x:c r="C1875" s="2"/>
      <x:c r="D1875" s="2"/>
      <x:c r="E1875" s="10"/>
      <x:c r="F1875" s="11"/>
      <x:c r="G1875" s="11" t="n">
        <x:v>0</x:v>
      </x:c>
      <x:c r="H1875" s="11" t="n">
        <x:v>0</x:v>
      </x:c>
      <x:c r="I1875" s="11"/>
      <x:c r="J1875" s="11"/>
      <x:c r="K1875" s="11" t="n">
        <x:v>0</x:v>
      </x:c>
      <x:c r="L1875" s="11" t="n">
        <x:f>IF(B1875="NED",1,IF(OR(B1875="ED",B1875="UN"),0,""))</x:f>
        <x:v>0</x:v>
      </x:c>
      <x:c r="M1875" s="11" t="n">
        <x:f>IF(AND(K1875=1,OR(B1875="ED",B1875="NED")),1,0)</x:f>
        <x:v>0</x:v>
      </x:c>
      <x:c r="N1875" s="11" t="n">
        <x:f>IF(K1875=1,1,0)</x:f>
        <x:v>0</x:v>
      </x:c>
      <x:c r="O1875" s="12" t="str">
        <x:v>Require exact native accession match</x:v>
      </x:c>
      <x:c r="P1875" s="11" t="n">
        <x:v>0</x:v>
      </x:c>
      <x:c r="Q1875" s="12"/>
      <x:c r="R1875" s="12"/>
      <x:c r="S1875" s="11" t="n">
        <x:v>1405</x:v>
      </x:c>
      <x:c r="T1875" s="11"/>
    </x:row>
    <x:row r="1876" ht="23" customHeight="1">
      <x:c r="A1876" s="2" t="str">
        <x:v>Q8BG67</x:v>
      </x:c>
      <x:c r="B1876" s="2" t="str">
        <x:v>UN</x:v>
      </x:c>
      <x:c r="C1876" s="2" t="n">
        <x:v>1</x:v>
      </x:c>
      <x:c r="D1876" s="2" t="n">
        <x:v>1</x:v>
      </x:c>
      <x:c r="E1876" s="10"/>
      <x:c r="F1876" s="11" t="n">
        <x:v>819</x:v>
      </x:c>
      <x:c r="G1876" s="11" t="n">
        <x:v>0</x:v>
      </x:c>
      <x:c r="H1876" s="11" t="n">
        <x:v>0</x:v>
      </x:c>
      <x:c r="I1876" s="11" t="n">
        <x:v>1</x:v>
      </x:c>
      <x:c r="J1876" s="11" t="n">
        <x:v>0</x:v>
      </x:c>
      <x:c r="K1876" s="11" t="n">
        <x:v>0</x:v>
      </x:c>
      <x:c r="L1876" s="11" t="n">
        <x:f>IF(B1876="NED",1,IF(OR(B1876="ED",B1876="UN"),0,""))</x:f>
        <x:v>0</x:v>
      </x:c>
      <x:c r="M1876" s="11" t="n">
        <x:f>IF(AND(K1876=1,OR(B1876="ED",B1876="NED")),1,0)</x:f>
        <x:v>0</x:v>
      </x:c>
      <x:c r="N1876" s="11" t="n">
        <x:f>IF(K1876=1,1,0)</x:f>
        <x:v>0</x:v>
      </x:c>
      <x:c r="O1876" s="12" t="str">
        <x:v>Exclude UniProt Membrane keyword</x:v>
      </x:c>
      <x:c r="P1876" s="11" t="n">
        <x:v>0</x:v>
      </x:c>
      <x:c r="Q1876" s="12" t="str">
        <x:v>AF-Q8BG67-F1-model_v6</x:v>
      </x:c>
      <x:c r="R1876" s="12" t="str">
        <x:v>ok</x:v>
      </x:c>
      <x:c r="S1876" s="11" t="n">
        <x:v>1406</x:v>
      </x:c>
      <x:c r="T1876" s="11" t="n">
        <x:v>819</x:v>
      </x:c>
    </x:row>
    <x:row r="1877" ht="23" customHeight="1">
      <x:c r="A1877" s="2" t="str">
        <x:v>Q8BG81</x:v>
      </x:c>
      <x:c r="B1877" s="2" t="str">
        <x:v>ED</x:v>
      </x:c>
      <x:c r="C1877" s="2" t="n">
        <x:v>1</x:v>
      </x:c>
      <x:c r="D1877" s="2" t="n">
        <x:v>1</x:v>
      </x:c>
      <x:c r="E1877" s="10" t="n">
        <x:v>62.6537380952381</x:v>
      </x:c>
      <x:c r="F1877" s="11" t="n">
        <x:v>420</x:v>
      </x:c>
      <x:c r="G1877" s="11" t="n">
        <x:v>0</x:v>
      </x:c>
      <x:c r="H1877" s="11" t="n">
        <x:v>0</x:v>
      </x:c>
      <x:c r="I1877" s="11" t="n">
        <x:v>0</x:v>
      </x:c>
      <x:c r="J1877" s="11" t="n">
        <x:v>0</x:v>
      </x:c>
      <x:c r="K1877" s="11" t="n">
        <x:v>0</x:v>
      </x:c>
      <x:c r="L1877" s="11" t="n">
        <x:f>IF(B1877="NED",1,IF(OR(B1877="ED",B1877="UN"),0,""))</x:f>
        <x:v>0</x:v>
      </x:c>
      <x:c r="M1877" s="11" t="n">
        <x:f>IF(AND(K1877=1,OR(B1877="ED",B1877="NED")),1,0)</x:f>
        <x:v>0</x:v>
      </x:c>
      <x:c r="N1877" s="11" t="n">
        <x:f>IF(K1877=1,1,0)</x:f>
        <x:v>0</x:v>
      </x:c>
      <x:c r="O1877" s="12" t="str">
        <x:v>Retain protein mean pLDDT &gt;=70</x:v>
      </x:c>
      <x:c r="P1877" s="11" t="n">
        <x:v>0</x:v>
      </x:c>
      <x:c r="Q1877" s="12" t="str">
        <x:v>AF-Q8BG81-F1-model_v6</x:v>
      </x:c>
      <x:c r="R1877" s="12" t="str">
        <x:v>ok</x:v>
      </x:c>
      <x:c r="S1877" s="11" t="n">
        <x:v>1407</x:v>
      </x:c>
      <x:c r="T1877" s="11" t="n">
        <x:v>420</x:v>
      </x:c>
    </x:row>
    <x:row r="1878" ht="23" customHeight="1">
      <x:c r="A1878" s="2" t="str">
        <x:v>Q8BGA5</x:v>
      </x:c>
      <x:c r="B1878" s="2" t="str">
        <x:v>UN</x:v>
      </x:c>
      <x:c r="C1878" s="2" t="n">
        <x:v>1</x:v>
      </x:c>
      <x:c r="D1878" s="2" t="n">
        <x:v>1</x:v>
      </x:c>
      <x:c r="E1878" s="10" t="n">
        <x:v>81.30244736842106</x:v>
      </x:c>
      <x:c r="F1878" s="11" t="n">
        <x:v>380</x:v>
      </x:c>
      <x:c r="G1878" s="11" t="n">
        <x:v>0</x:v>
      </x:c>
      <x:c r="H1878" s="11" t="n">
        <x:v>0</x:v>
      </x:c>
      <x:c r="I1878" s="11" t="n">
        <x:v>0</x:v>
      </x:c>
      <x:c r="J1878" s="11" t="n">
        <x:v>0</x:v>
      </x:c>
      <x:c r="K1878" s="11" t="n">
        <x:v>1</x:v>
      </x:c>
      <x:c r="L1878" s="11" t="n">
        <x:f>IF(B1878="NED",1,IF(OR(B1878="ED",B1878="UN"),0,""))</x:f>
        <x:v>0</x:v>
      </x:c>
      <x:c r="M1878" s="11" t="n">
        <x:f>IF(AND(K1878=1,OR(B1878="ED",B1878="NED")),1,0)</x:f>
        <x:v>0</x:v>
      </x:c>
      <x:c r="N1878" s="11" t="n">
        <x:f>IF(K1878=1,1,0)</x:f>
        <x:v>1</x:v>
      </x:c>
      <x:c r="O1878" s="12"/>
      <x:c r="P1878" s="11" t="n">
        <x:v>0</x:v>
      </x:c>
      <x:c r="Q1878" s="12" t="str">
        <x:v>AF-Q8BGA5-F1-model_v6</x:v>
      </x:c>
      <x:c r="R1878" s="12" t="str">
        <x:v>ok</x:v>
      </x:c>
      <x:c r="S1878" s="11" t="n">
        <x:v>1408</x:v>
      </x:c>
      <x:c r="T1878" s="11" t="n">
        <x:v>380</x:v>
      </x:c>
    </x:row>
    <x:row r="1879" ht="23" customHeight="1">
      <x:c r="A1879" s="2" t="str">
        <x:v>Q8BGD9</x:v>
      </x:c>
      <x:c r="B1879" s="2" t="str">
        <x:v>ED</x:v>
      </x:c>
      <x:c r="C1879" s="2" t="n">
        <x:v>1</x:v>
      </x:c>
      <x:c r="D1879" s="2" t="n">
        <x:v>1</x:v>
      </x:c>
      <x:c r="E1879" s="10" t="n">
        <x:v>51.6457937806874</x:v>
      </x:c>
      <x:c r="F1879" s="11" t="n">
        <x:v>611</x:v>
      </x:c>
      <x:c r="G1879" s="11" t="n">
        <x:v>0</x:v>
      </x:c>
      <x:c r="H1879" s="11" t="n">
        <x:v>0</x:v>
      </x:c>
      <x:c r="I1879" s="11" t="n">
        <x:v>0</x:v>
      </x:c>
      <x:c r="J1879" s="11" t="n">
        <x:v>0</x:v>
      </x:c>
      <x:c r="K1879" s="11" t="n">
        <x:v>0</x:v>
      </x:c>
      <x:c r="L1879" s="11" t="n">
        <x:f>IF(B1879="NED",1,IF(OR(B1879="ED",B1879="UN"),0,""))</x:f>
        <x:v>0</x:v>
      </x:c>
      <x:c r="M1879" s="11" t="n">
        <x:f>IF(AND(K1879=1,OR(B1879="ED",B1879="NED")),1,0)</x:f>
        <x:v>0</x:v>
      </x:c>
      <x:c r="N1879" s="11" t="n">
        <x:f>IF(K1879=1,1,0)</x:f>
        <x:v>0</x:v>
      </x:c>
      <x:c r="O1879" s="12" t="str">
        <x:v>Retain protein mean pLDDT &gt;=70</x:v>
      </x:c>
      <x:c r="P1879" s="11" t="n">
        <x:v>0</x:v>
      </x:c>
      <x:c r="Q1879" s="12" t="str">
        <x:v>AF-Q8BGD9-F1-model_v6</x:v>
      </x:c>
      <x:c r="R1879" s="12" t="str">
        <x:v>ok</x:v>
      </x:c>
      <x:c r="S1879" s="11" t="n">
        <x:v>1409</x:v>
      </x:c>
      <x:c r="T1879" s="11" t="n">
        <x:v>611</x:v>
      </x:c>
    </x:row>
    <x:row r="1880" ht="23" customHeight="1">
      <x:c r="A1880" s="2" t="str">
        <x:v>Q8BGJ5</x:v>
      </x:c>
      <x:c r="B1880" s="2" t="str">
        <x:v>NED</x:v>
      </x:c>
      <x:c r="C1880" s="2"/>
      <x:c r="D1880" s="2"/>
      <x:c r="E1880" s="10"/>
      <x:c r="F1880" s="11"/>
      <x:c r="G1880" s="11" t="n">
        <x:v>0</x:v>
      </x:c>
      <x:c r="H1880" s="11" t="n">
        <x:v>0</x:v>
      </x:c>
      <x:c r="I1880" s="11"/>
      <x:c r="J1880" s="11"/>
      <x:c r="K1880" s="11" t="n">
        <x:v>0</x:v>
      </x:c>
      <x:c r="L1880" s="11" t="n">
        <x:f>IF(B1880="NED",1,IF(OR(B1880="ED",B1880="UN"),0,""))</x:f>
        <x:v>1</x:v>
      </x:c>
      <x:c r="M1880" s="11" t="n">
        <x:f>IF(AND(K1880=1,OR(B1880="ED",B1880="NED")),1,0)</x:f>
        <x:v>0</x:v>
      </x:c>
      <x:c r="N1880" s="11" t="n">
        <x:f>IF(K1880=1,1,0)</x:f>
        <x:v>0</x:v>
      </x:c>
      <x:c r="O1880" s="12" t="str">
        <x:v>Require exact native accession match</x:v>
      </x:c>
      <x:c r="P1880" s="11" t="n">
        <x:v>0</x:v>
      </x:c>
      <x:c r="Q1880" s="12"/>
      <x:c r="R1880" s="12"/>
      <x:c r="S1880" s="11" t="n">
        <x:v>3213</x:v>
      </x:c>
      <x:c r="T1880" s="11"/>
    </x:row>
    <x:row r="1881" ht="23" customHeight="1">
      <x:c r="A1881" s="2" t="str">
        <x:v>Q8BGQ6</x:v>
      </x:c>
      <x:c r="B1881" s="2" t="str">
        <x:v>UN</x:v>
      </x:c>
      <x:c r="C1881" s="2" t="n">
        <x:v>0</x:v>
      </x:c>
      <x:c r="D1881" s="2" t="n">
        <x:v>0</x:v>
      </x:c>
      <x:c r="E1881" s="10" t="n">
        <x:v>67.05367768595042</x:v>
      </x:c>
      <x:c r="F1881" s="11" t="n">
        <x:v>484</x:v>
      </x:c>
      <x:c r="G1881" s="11" t="n">
        <x:v>0</x:v>
      </x:c>
      <x:c r="H1881" s="11" t="n">
        <x:v>0</x:v>
      </x:c>
      <x:c r="I1881" s="11" t="n">
        <x:v>0</x:v>
      </x:c>
      <x:c r="J1881" s="11" t="n">
        <x:v>0</x:v>
      </x:c>
      <x:c r="K1881" s="11" t="n">
        <x:v>0</x:v>
      </x:c>
      <x:c r="L1881" s="11" t="n">
        <x:f>IF(B1881="NED",1,IF(OR(B1881="ED",B1881="UN"),0,""))</x:f>
        <x:v>0</x:v>
      </x:c>
      <x:c r="M1881" s="11" t="n">
        <x:f>IF(AND(K1881=1,OR(B1881="ED",B1881="NED")),1,0)</x:f>
        <x:v>0</x:v>
      </x:c>
      <x:c r="N1881" s="11" t="n">
        <x:f>IF(K1881=1,1,0)</x:f>
        <x:v>0</x:v>
      </x:c>
      <x:c r="O1881" s="12" t="str">
        <x:v>Retain protein mean pLDDT &gt;=70</x:v>
      </x:c>
      <x:c r="P1881" s="11" t="n">
        <x:v>0</x:v>
      </x:c>
      <x:c r="Q1881" s="12" t="str">
        <x:v>AF-Q8BGQ6-F1-model_v6</x:v>
      </x:c>
      <x:c r="R1881" s="12" t="str">
        <x:v>ok</x:v>
      </x:c>
      <x:c r="S1881" s="11" t="n">
        <x:v>1410</x:v>
      </x:c>
      <x:c r="T1881" s="11" t="n">
        <x:v>484</x:v>
      </x:c>
    </x:row>
    <x:row r="1882" ht="23" customHeight="1">
      <x:c r="A1882" s="2" t="str">
        <x:v>Q8BGQ7</x:v>
      </x:c>
      <x:c r="B1882" s="2" t="str">
        <x:v>UN</x:v>
      </x:c>
      <x:c r="C1882" s="2" t="n">
        <x:v>1</x:v>
      </x:c>
      <x:c r="D1882" s="2" t="n">
        <x:v>1</x:v>
      </x:c>
      <x:c r="E1882" s="10" t="n">
        <x:v>90.23102272727272</x:v>
      </x:c>
      <x:c r="F1882" s="11" t="n">
        <x:v>968</x:v>
      </x:c>
      <x:c r="G1882" s="11" t="n">
        <x:v>0</x:v>
      </x:c>
      <x:c r="H1882" s="11" t="n">
        <x:v>0</x:v>
      </x:c>
      <x:c r="I1882" s="11" t="n">
        <x:v>0</x:v>
      </x:c>
      <x:c r="J1882" s="11" t="n">
        <x:v>0</x:v>
      </x:c>
      <x:c r="K1882" s="11" t="n">
        <x:v>1</x:v>
      </x:c>
      <x:c r="L1882" s="11" t="n">
        <x:f>IF(B1882="NED",1,IF(OR(B1882="ED",B1882="UN"),0,""))</x:f>
        <x:v>0</x:v>
      </x:c>
      <x:c r="M1882" s="11" t="n">
        <x:f>IF(AND(K1882=1,OR(B1882="ED",B1882="NED")),1,0)</x:f>
        <x:v>0</x:v>
      </x:c>
      <x:c r="N1882" s="11" t="n">
        <x:f>IF(K1882=1,1,0)</x:f>
        <x:v>1</x:v>
      </x:c>
      <x:c r="O1882" s="12"/>
      <x:c r="P1882" s="11" t="n">
        <x:v>0</x:v>
      </x:c>
      <x:c r="Q1882" s="12" t="str">
        <x:v>AF-Q8BGQ7-F1-model_v6</x:v>
      </x:c>
      <x:c r="R1882" s="12" t="str">
        <x:v>ok</x:v>
      </x:c>
      <x:c r="S1882" s="11" t="n">
        <x:v>1411</x:v>
      </x:c>
      <x:c r="T1882" s="11" t="n">
        <x:v>968</x:v>
      </x:c>
    </x:row>
    <x:row r="1883" ht="23" customHeight="1">
      <x:c r="A1883" s="2" t="str">
        <x:v>Q8BGR2</x:v>
      </x:c>
      <x:c r="B1883" s="2" t="str">
        <x:v>UN</x:v>
      </x:c>
      <x:c r="C1883" s="2" t="n">
        <x:v>0</x:v>
      </x:c>
      <x:c r="D1883" s="2" t="n">
        <x:v>0</x:v>
      </x:c>
      <x:c r="E1883" s="10"/>
      <x:c r="F1883" s="11" t="n">
        <x:v>859</x:v>
      </x:c>
      <x:c r="G1883" s="11" t="n">
        <x:v>0</x:v>
      </x:c>
      <x:c r="H1883" s="11" t="n">
        <x:v>0</x:v>
      </x:c>
      <x:c r="I1883" s="11" t="n">
        <x:v>1</x:v>
      </x:c>
      <x:c r="J1883" s="11" t="n">
        <x:v>0</x:v>
      </x:c>
      <x:c r="K1883" s="11" t="n">
        <x:v>0</x:v>
      </x:c>
      <x:c r="L1883" s="11" t="n">
        <x:f>IF(B1883="NED",1,IF(OR(B1883="ED",B1883="UN"),0,""))</x:f>
        <x:v>0</x:v>
      </x:c>
      <x:c r="M1883" s="11" t="n">
        <x:f>IF(AND(K1883=1,OR(B1883="ED",B1883="NED")),1,0)</x:f>
        <x:v>0</x:v>
      </x:c>
      <x:c r="N1883" s="11" t="n">
        <x:f>IF(K1883=1,1,0)</x:f>
        <x:v>0</x:v>
      </x:c>
      <x:c r="O1883" s="12" t="str">
        <x:v>Exclude UniProt Membrane keyword</x:v>
      </x:c>
      <x:c r="P1883" s="11" t="n">
        <x:v>0</x:v>
      </x:c>
      <x:c r="Q1883" s="12" t="str">
        <x:v>AF-Q8BGR2-F1-model_v6</x:v>
      </x:c>
      <x:c r="R1883" s="12" t="str">
        <x:v>ok</x:v>
      </x:c>
      <x:c r="S1883" s="11" t="n">
        <x:v>1412</x:v>
      </x:c>
      <x:c r="T1883" s="11" t="n">
        <x:v>859</x:v>
      </x:c>
    </x:row>
    <x:row r="1884" ht="23" customHeight="1">
      <x:c r="A1884" s="2" t="str">
        <x:v>Q8BGS0-2</x:v>
      </x:c>
      <x:c r="B1884" s="2" t="str">
        <x:v>UN</x:v>
      </x:c>
      <x:c r="C1884" s="2"/>
      <x:c r="D1884" s="2"/>
      <x:c r="E1884" s="10"/>
      <x:c r="F1884" s="11"/>
      <x:c r="G1884" s="11" t="n">
        <x:v>0</x:v>
      </x:c>
      <x:c r="H1884" s="11" t="n">
        <x:v>0</x:v>
      </x:c>
      <x:c r="I1884" s="11"/>
      <x:c r="J1884" s="11"/>
      <x:c r="K1884" s="11" t="n">
        <x:v>0</x:v>
      </x:c>
      <x:c r="L1884" s="11" t="n">
        <x:f>IF(B1884="NED",1,IF(OR(B1884="ED",B1884="UN"),0,""))</x:f>
        <x:v>0</x:v>
      </x:c>
      <x:c r="M1884" s="11" t="n">
        <x:f>IF(AND(K1884=1,OR(B1884="ED",B1884="NED")),1,0)</x:f>
        <x:v>0</x:v>
      </x:c>
      <x:c r="N1884" s="11" t="n">
        <x:f>IF(K1884=1,1,0)</x:f>
        <x:v>0</x:v>
      </x:c>
      <x:c r="O1884" s="12" t="str">
        <x:v>Require exact native accession match</x:v>
      </x:c>
      <x:c r="P1884" s="11" t="n">
        <x:v>0</x:v>
      </x:c>
      <x:c r="Q1884" s="12"/>
      <x:c r="R1884" s="12"/>
      <x:c r="S1884" s="11" t="n">
        <x:v>1413</x:v>
      </x:c>
      <x:c r="T1884" s="11"/>
    </x:row>
    <x:row r="1885" ht="23" customHeight="1">
      <x:c r="A1885" s="2" t="str">
        <x:v>Q8BGS2</x:v>
      </x:c>
      <x:c r="B1885" s="2" t="str">
        <x:v>UN</x:v>
      </x:c>
      <x:c r="C1885" s="2" t="n">
        <x:v>0</x:v>
      </x:c>
      <x:c r="D1885" s="2" t="n">
        <x:v>0</x:v>
      </x:c>
      <x:c r="E1885" s="10" t="n">
        <x:v>89.96883720930232</x:v>
      </x:c>
      <x:c r="F1885" s="11" t="n">
        <x:v>86</x:v>
      </x:c>
      <x:c r="G1885" s="11" t="n">
        <x:v>0</x:v>
      </x:c>
      <x:c r="H1885" s="11" t="n">
        <x:v>0</x:v>
      </x:c>
      <x:c r="I1885" s="11" t="n">
        <x:v>0</x:v>
      </x:c>
      <x:c r="J1885" s="11" t="n">
        <x:v>0</x:v>
      </x:c>
      <x:c r="K1885" s="11" t="n">
        <x:v>1</x:v>
      </x:c>
      <x:c r="L1885" s="11" t="n">
        <x:f>IF(B1885="NED",1,IF(OR(B1885="ED",B1885="UN"),0,""))</x:f>
        <x:v>0</x:v>
      </x:c>
      <x:c r="M1885" s="11" t="n">
        <x:f>IF(AND(K1885=1,OR(B1885="ED",B1885="NED")),1,0)</x:f>
        <x:v>0</x:v>
      </x:c>
      <x:c r="N1885" s="11" t="n">
        <x:f>IF(K1885=1,1,0)</x:f>
        <x:v>1</x:v>
      </x:c>
      <x:c r="O1885" s="12"/>
      <x:c r="P1885" s="11" t="n">
        <x:v>0</x:v>
      </x:c>
      <x:c r="Q1885" s="12" t="str">
        <x:v>AF-Q8BGS2-F1-model_v6</x:v>
      </x:c>
      <x:c r="R1885" s="12" t="str">
        <x:v>ok</x:v>
      </x:c>
      <x:c r="S1885" s="11" t="n">
        <x:v>1414</x:v>
      </x:c>
      <x:c r="T1885" s="11" t="n">
        <x:v>86</x:v>
      </x:c>
    </x:row>
    <x:row r="1886" ht="23" customHeight="1">
      <x:c r="A1886" s="2" t="str">
        <x:v>Q8BGT5</x:v>
      </x:c>
      <x:c r="B1886" s="2" t="str">
        <x:v>ED</x:v>
      </x:c>
      <x:c r="C1886" s="2" t="n">
        <x:v>1</x:v>
      </x:c>
      <x:c r="D1886" s="2" t="n">
        <x:v>1</x:v>
      </x:c>
      <x:c r="E1886" s="10" t="n">
        <x:v>91.67787356321838</x:v>
      </x:c>
      <x:c r="F1886" s="11" t="n">
        <x:v>522</x:v>
      </x:c>
      <x:c r="G1886" s="11" t="n">
        <x:v>0</x:v>
      </x:c>
      <x:c r="H1886" s="11" t="n">
        <x:v>0</x:v>
      </x:c>
      <x:c r="I1886" s="11" t="n">
        <x:v>0</x:v>
      </x:c>
      <x:c r="J1886" s="11" t="n">
        <x:v>0</x:v>
      </x:c>
      <x:c r="K1886" s="11" t="n">
        <x:v>1</x:v>
      </x:c>
      <x:c r="L1886" s="11" t="n">
        <x:f>IF(B1886="NED",1,IF(OR(B1886="ED",B1886="UN"),0,""))</x:f>
        <x:v>0</x:v>
      </x:c>
      <x:c r="M1886" s="11" t="n">
        <x:f>IF(AND(K1886=1,OR(B1886="ED",B1886="NED")),1,0)</x:f>
        <x:v>1</x:v>
      </x:c>
      <x:c r="N1886" s="11" t="n">
        <x:f>IF(K1886=1,1,0)</x:f>
        <x:v>1</x:v>
      </x:c>
      <x:c r="O1886" s="12"/>
      <x:c r="P1886" s="11" t="n">
        <x:v>0</x:v>
      </x:c>
      <x:c r="Q1886" s="12" t="str">
        <x:v>AF-Q8BGT5-F1-model_v6</x:v>
      </x:c>
      <x:c r="R1886" s="12" t="str">
        <x:v>ok</x:v>
      </x:c>
      <x:c r="S1886" s="11" t="n">
        <x:v>1415</x:v>
      </x:c>
      <x:c r="T1886" s="11" t="n">
        <x:v>522</x:v>
      </x:c>
    </x:row>
    <x:row r="1887" ht="23" customHeight="1">
      <x:c r="A1887" s="2" t="str">
        <x:v>Q8BH04</x:v>
      </x:c>
      <x:c r="B1887" s="2" t="str">
        <x:v>NED</x:v>
      </x:c>
      <x:c r="C1887" s="2" t="n">
        <x:v>1</x:v>
      </x:c>
      <x:c r="D1887" s="2" t="n">
        <x:v>1</x:v>
      </x:c>
      <x:c r="E1887" s="10" t="n">
        <x:v>93.66215625</x:v>
      </x:c>
      <x:c r="F1887" s="11" t="n">
        <x:v>640</x:v>
      </x:c>
      <x:c r="G1887" s="11" t="n">
        <x:v>0</x:v>
      </x:c>
      <x:c r="H1887" s="11" t="n">
        <x:v>0</x:v>
      </x:c>
      <x:c r="I1887" s="11" t="n">
        <x:v>0</x:v>
      </x:c>
      <x:c r="J1887" s="11" t="n">
        <x:v>0</x:v>
      </x:c>
      <x:c r="K1887" s="11" t="n">
        <x:v>1</x:v>
      </x:c>
      <x:c r="L1887" s="11" t="n">
        <x:f>IF(B1887="NED",1,IF(OR(B1887="ED",B1887="UN"),0,""))</x:f>
        <x:v>1</x:v>
      </x:c>
      <x:c r="M1887" s="11" t="n">
        <x:f>IF(AND(K1887=1,OR(B1887="ED",B1887="NED")),1,0)</x:f>
        <x:v>1</x:v>
      </x:c>
      <x:c r="N1887" s="11" t="n">
        <x:f>IF(K1887=1,1,0)</x:f>
        <x:v>1</x:v>
      </x:c>
      <x:c r="O1887" s="12"/>
      <x:c r="P1887" s="11" t="n">
        <x:v>0</x:v>
      </x:c>
      <x:c r="Q1887" s="12" t="str">
        <x:v>AF-Q8BH04-F1-model_v6</x:v>
      </x:c>
      <x:c r="R1887" s="12" t="str">
        <x:v>ok</x:v>
      </x:c>
      <x:c r="S1887" s="11" t="n">
        <x:v>1416</x:v>
      </x:c>
      <x:c r="T1887" s="11" t="n">
        <x:v>640</x:v>
      </x:c>
    </x:row>
    <x:row r="1888" ht="23" customHeight="1">
      <x:c r="A1888" s="2" t="str">
        <x:v>Q8BH15-2</x:v>
      </x:c>
      <x:c r="B1888" s="2" t="str">
        <x:v>NED</x:v>
      </x:c>
      <x:c r="C1888" s="2"/>
      <x:c r="D1888" s="2"/>
      <x:c r="E1888" s="10"/>
      <x:c r="F1888" s="11"/>
      <x:c r="G1888" s="11" t="n">
        <x:v>0</x:v>
      </x:c>
      <x:c r="H1888" s="11" t="n">
        <x:v>0</x:v>
      </x:c>
      <x:c r="I1888" s="11"/>
      <x:c r="J1888" s="11"/>
      <x:c r="K1888" s="11" t="n">
        <x:v>0</x:v>
      </x:c>
      <x:c r="L1888" s="11" t="n">
        <x:f>IF(B1888="NED",1,IF(OR(B1888="ED",B1888="UN"),0,""))</x:f>
        <x:v>1</x:v>
      </x:c>
      <x:c r="M1888" s="11" t="n">
        <x:f>IF(AND(K1888=1,OR(B1888="ED",B1888="NED")),1,0)</x:f>
        <x:v>0</x:v>
      </x:c>
      <x:c r="N1888" s="11" t="n">
        <x:f>IF(K1888=1,1,0)</x:f>
        <x:v>0</x:v>
      </x:c>
      <x:c r="O1888" s="12" t="str">
        <x:v>Require exact native accession match</x:v>
      </x:c>
      <x:c r="P1888" s="11" t="n">
        <x:v>0</x:v>
      </x:c>
      <x:c r="Q1888" s="12"/>
      <x:c r="R1888" s="12"/>
      <x:c r="S1888" s="11" t="n">
        <x:v>1417</x:v>
      </x:c>
      <x:c r="T1888" s="11"/>
    </x:row>
    <x:row r="1889" ht="23" customHeight="1">
      <x:c r="A1889" s="2" t="str">
        <x:v>Q8BH40</x:v>
      </x:c>
      <x:c r="B1889" s="2" t="str">
        <x:v>UN</x:v>
      </x:c>
      <x:c r="C1889" s="2"/>
      <x:c r="D1889" s="2"/>
      <x:c r="E1889" s="10"/>
      <x:c r="F1889" s="11"/>
      <x:c r="G1889" s="11" t="n">
        <x:v>0</x:v>
      </x:c>
      <x:c r="H1889" s="11" t="n">
        <x:v>0</x:v>
      </x:c>
      <x:c r="I1889" s="11" t="n">
        <x:v>1</x:v>
      </x:c>
      <x:c r="J1889" s="11" t="n">
        <x:v>0</x:v>
      </x:c>
      <x:c r="K1889" s="11" t="n">
        <x:v>0</x:v>
      </x:c>
      <x:c r="L1889" s="11" t="n">
        <x:f>IF(B1889="NED",1,IF(OR(B1889="ED",B1889="UN"),0,""))</x:f>
        <x:v>0</x:v>
      </x:c>
      <x:c r="M1889" s="11" t="n">
        <x:f>IF(AND(K1889=1,OR(B1889="ED",B1889="NED")),1,0)</x:f>
        <x:v>0</x:v>
      </x:c>
      <x:c r="N1889" s="11" t="n">
        <x:f>IF(K1889=1,1,0)</x:f>
        <x:v>0</x:v>
      </x:c>
      <x:c r="O1889" s="12" t="str">
        <x:v>Require exact native accession match</x:v>
      </x:c>
      <x:c r="P1889" s="11" t="n">
        <x:v>0</x:v>
      </x:c>
      <x:c r="Q1889" s="12"/>
      <x:c r="R1889" s="12"/>
      <x:c r="S1889" s="11" t="n">
        <x:v>3214</x:v>
      </x:c>
      <x:c r="T1889" s="11" t="n">
        <x:v>261</x:v>
      </x:c>
    </x:row>
    <x:row r="1890" ht="23" customHeight="1">
      <x:c r="A1890" s="2" t="str">
        <x:v>Q8BH43</x:v>
      </x:c>
      <x:c r="B1890" s="2" t="str">
        <x:v>ED</x:v>
      </x:c>
      <x:c r="C1890" s="2" t="n">
        <x:v>1</x:v>
      </x:c>
      <x:c r="D1890" s="2"/>
      <x:c r="E1890" s="10"/>
      <x:c r="F1890" s="11" t="n">
        <x:v>497</x:v>
      </x:c>
      <x:c r="G1890" s="11" t="n">
        <x:v>0</x:v>
      </x:c>
      <x:c r="H1890" s="11" t="n">
        <x:v>0</x:v>
      </x:c>
      <x:c r="I1890" s="11" t="n">
        <x:v>1</x:v>
      </x:c>
      <x:c r="J1890" s="11" t="n">
        <x:v>0</x:v>
      </x:c>
      <x:c r="K1890" s="11" t="n">
        <x:v>0</x:v>
      </x:c>
      <x:c r="L1890" s="11" t="n">
        <x:f>IF(B1890="NED",1,IF(OR(B1890="ED",B1890="UN"),0,""))</x:f>
        <x:v>0</x:v>
      </x:c>
      <x:c r="M1890" s="11" t="n">
        <x:f>IF(AND(K1890=1,OR(B1890="ED",B1890="NED")),1,0)</x:f>
        <x:v>0</x:v>
      </x:c>
      <x:c r="N1890" s="11" t="n">
        <x:f>IF(K1890=1,1,0)</x:f>
        <x:v>0</x:v>
      </x:c>
      <x:c r="O1890" s="12" t="str">
        <x:v>Exclude UniProt Membrane keyword</x:v>
      </x:c>
      <x:c r="P1890" s="11" t="n">
        <x:v>0</x:v>
      </x:c>
      <x:c r="Q1890" s="12" t="str">
        <x:v>AF-Q8BH43-F1-model_v6</x:v>
      </x:c>
      <x:c r="R1890" s="12" t="str">
        <x:v>ok</x:v>
      </x:c>
      <x:c r="S1890" s="11" t="n">
        <x:v>1418</x:v>
      </x:c>
      <x:c r="T1890" s="11" t="n">
        <x:v>497</x:v>
      </x:c>
    </x:row>
    <x:row r="1891" ht="23" customHeight="1">
      <x:c r="A1891" s="2" t="str">
        <x:v>Q8BH57-2</x:v>
      </x:c>
      <x:c r="B1891" s="2" t="str">
        <x:v>ED</x:v>
      </x:c>
      <x:c r="C1891" s="2"/>
      <x:c r="D1891" s="2"/>
      <x:c r="E1891" s="10"/>
      <x:c r="F1891" s="11"/>
      <x:c r="G1891" s="11" t="n">
        <x:v>0</x:v>
      </x:c>
      <x:c r="H1891" s="11" t="n">
        <x:v>0</x:v>
      </x:c>
      <x:c r="I1891" s="11"/>
      <x:c r="J1891" s="11"/>
      <x:c r="K1891" s="11" t="n">
        <x:v>0</x:v>
      </x:c>
      <x:c r="L1891" s="11" t="n">
        <x:f>IF(B1891="NED",1,IF(OR(B1891="ED",B1891="UN"),0,""))</x:f>
        <x:v>0</x:v>
      </x:c>
      <x:c r="M1891" s="11" t="n">
        <x:f>IF(AND(K1891=1,OR(B1891="ED",B1891="NED")),1,0)</x:f>
        <x:v>0</x:v>
      </x:c>
      <x:c r="N1891" s="11" t="n">
        <x:f>IF(K1891=1,1,0)</x:f>
        <x:v>0</x:v>
      </x:c>
      <x:c r="O1891" s="12" t="str">
        <x:v>Require exact native accession match</x:v>
      </x:c>
      <x:c r="P1891" s="11" t="n">
        <x:v>0</x:v>
      </x:c>
      <x:c r="Q1891" s="12"/>
      <x:c r="R1891" s="12"/>
      <x:c r="S1891" s="11" t="n">
        <x:v>1419</x:v>
      </x:c>
      <x:c r="T1891" s="11"/>
    </x:row>
    <x:row r="1892" ht="23" customHeight="1">
      <x:c r="A1892" s="2" t="str">
        <x:v>Q8BH59</x:v>
      </x:c>
      <x:c r="B1892" s="2" t="str">
        <x:v>ED</x:v>
      </x:c>
      <x:c r="C1892" s="2" t="n">
        <x:v>1</x:v>
      </x:c>
      <x:c r="D1892" s="2" t="n">
        <x:v>1</x:v>
      </x:c>
      <x:c r="E1892" s="10"/>
      <x:c r="F1892" s="11" t="n">
        <x:v>677</x:v>
      </x:c>
      <x:c r="G1892" s="11" t="n">
        <x:v>0</x:v>
      </x:c>
      <x:c r="H1892" s="11" t="n">
        <x:v>0</x:v>
      </x:c>
      <x:c r="I1892" s="11" t="n">
        <x:v>1</x:v>
      </x:c>
      <x:c r="J1892" s="11" t="n">
        <x:v>0</x:v>
      </x:c>
      <x:c r="K1892" s="11" t="n">
        <x:v>0</x:v>
      </x:c>
      <x:c r="L1892" s="11" t="n">
        <x:f>IF(B1892="NED",1,IF(OR(B1892="ED",B1892="UN"),0,""))</x:f>
        <x:v>0</x:v>
      </x:c>
      <x:c r="M1892" s="11" t="n">
        <x:f>IF(AND(K1892=1,OR(B1892="ED",B1892="NED")),1,0)</x:f>
        <x:v>0</x:v>
      </x:c>
      <x:c r="N1892" s="11" t="n">
        <x:f>IF(K1892=1,1,0)</x:f>
        <x:v>0</x:v>
      </x:c>
      <x:c r="O1892" s="12" t="str">
        <x:v>Exclude UniProt Membrane keyword</x:v>
      </x:c>
      <x:c r="P1892" s="11" t="n">
        <x:v>0</x:v>
      </x:c>
      <x:c r="Q1892" s="12" t="str">
        <x:v>AF-Q8BH59-F1-model_v6</x:v>
      </x:c>
      <x:c r="R1892" s="12" t="str">
        <x:v>ok</x:v>
      </x:c>
      <x:c r="S1892" s="11" t="n">
        <x:v>1420</x:v>
      </x:c>
      <x:c r="T1892" s="11" t="n">
        <x:v>677</x:v>
      </x:c>
    </x:row>
    <x:row r="1893" ht="23" customHeight="1">
      <x:c r="A1893" s="2" t="str">
        <x:v>Q8BH64</x:v>
      </x:c>
      <x:c r="B1893" s="2" t="str">
        <x:v>NED</x:v>
      </x:c>
      <x:c r="C1893" s="2" t="n">
        <x:v>1</x:v>
      </x:c>
      <x:c r="D1893" s="2" t="n">
        <x:v>1</x:v>
      </x:c>
      <x:c r="E1893" s="10"/>
      <x:c r="F1893" s="11" t="n">
        <x:v>543</x:v>
      </x:c>
      <x:c r="G1893" s="11" t="n">
        <x:v>0</x:v>
      </x:c>
      <x:c r="H1893" s="11" t="n">
        <x:v>0</x:v>
      </x:c>
      <x:c r="I1893" s="11" t="n">
        <x:v>1</x:v>
      </x:c>
      <x:c r="J1893" s="11" t="n">
        <x:v>0</x:v>
      </x:c>
      <x:c r="K1893" s="11" t="n">
        <x:v>0</x:v>
      </x:c>
      <x:c r="L1893" s="11" t="n">
        <x:f>IF(B1893="NED",1,IF(OR(B1893="ED",B1893="UN"),0,""))</x:f>
        <x:v>1</x:v>
      </x:c>
      <x:c r="M1893" s="11" t="n">
        <x:f>IF(AND(K1893=1,OR(B1893="ED",B1893="NED")),1,0)</x:f>
        <x:v>0</x:v>
      </x:c>
      <x:c r="N1893" s="11" t="n">
        <x:f>IF(K1893=1,1,0)</x:f>
        <x:v>0</x:v>
      </x:c>
      <x:c r="O1893" s="12" t="str">
        <x:v>Exclude UniProt Membrane keyword</x:v>
      </x:c>
      <x:c r="P1893" s="11" t="n">
        <x:v>0</x:v>
      </x:c>
      <x:c r="Q1893" s="12" t="str">
        <x:v>AF-Q8BH64-F1-model_v6</x:v>
      </x:c>
      <x:c r="R1893" s="12" t="str">
        <x:v>ok</x:v>
      </x:c>
      <x:c r="S1893" s="11" t="n">
        <x:v>1421</x:v>
      </x:c>
      <x:c r="T1893" s="11" t="n">
        <x:v>543</x:v>
      </x:c>
    </x:row>
    <x:row r="1894" ht="23" customHeight="1">
      <x:c r="A1894" s="2" t="str">
        <x:v>Q8BH69</x:v>
      </x:c>
      <x:c r="B1894" s="2" t="str">
        <x:v>ED</x:v>
      </x:c>
      <x:c r="C1894" s="2" t="n">
        <x:v>1</x:v>
      </x:c>
      <x:c r="D1894" s="2" t="n">
        <x:v>1</x:v>
      </x:c>
      <x:c r="E1894" s="10" t="n">
        <x:v>91.69747448979592</x:v>
      </x:c>
      <x:c r="F1894" s="11" t="n">
        <x:v>392</x:v>
      </x:c>
      <x:c r="G1894" s="11" t="n">
        <x:v>0</x:v>
      </x:c>
      <x:c r="H1894" s="11" t="n">
        <x:v>0</x:v>
      </x:c>
      <x:c r="I1894" s="11" t="n">
        <x:v>0</x:v>
      </x:c>
      <x:c r="J1894" s="11" t="n">
        <x:v>0</x:v>
      </x:c>
      <x:c r="K1894" s="11" t="n">
        <x:v>1</x:v>
      </x:c>
      <x:c r="L1894" s="11" t="n">
        <x:f>IF(B1894="NED",1,IF(OR(B1894="ED",B1894="UN"),0,""))</x:f>
        <x:v>0</x:v>
      </x:c>
      <x:c r="M1894" s="11" t="n">
        <x:f>IF(AND(K1894=1,OR(B1894="ED",B1894="NED")),1,0)</x:f>
        <x:v>1</x:v>
      </x:c>
      <x:c r="N1894" s="11" t="n">
        <x:f>IF(K1894=1,1,0)</x:f>
        <x:v>1</x:v>
      </x:c>
      <x:c r="O1894" s="12"/>
      <x:c r="P1894" s="11" t="n">
        <x:v>0</x:v>
      </x:c>
      <x:c r="Q1894" s="12" t="str">
        <x:v>AF-Q8BH69-F1-model_v6</x:v>
      </x:c>
      <x:c r="R1894" s="12" t="str">
        <x:v>ok</x:v>
      </x:c>
      <x:c r="S1894" s="11" t="n">
        <x:v>1422</x:v>
      </x:c>
      <x:c r="T1894" s="11" t="n">
        <x:v>392</x:v>
      </x:c>
    </x:row>
    <x:row r="1895" ht="23" customHeight="1">
      <x:c r="A1895" s="2" t="str">
        <x:v>Q8BH74</x:v>
      </x:c>
      <x:c r="B1895" s="2" t="str">
        <x:v>NED</x:v>
      </x:c>
      <x:c r="C1895" s="2" t="n">
        <x:v>0</x:v>
      </x:c>
      <x:c r="D1895" s="2" t="n">
        <x:v>0</x:v>
      </x:c>
      <x:c r="E1895" s="10"/>
      <x:c r="F1895" s="11" t="n">
        <x:v>926</x:v>
      </x:c>
      <x:c r="G1895" s="11" t="n">
        <x:v>0</x:v>
      </x:c>
      <x:c r="H1895" s="11" t="n">
        <x:v>0</x:v>
      </x:c>
      <x:c r="I1895" s="11" t="n">
        <x:v>1</x:v>
      </x:c>
      <x:c r="J1895" s="11" t="n">
        <x:v>0</x:v>
      </x:c>
      <x:c r="K1895" s="11" t="n">
        <x:v>0</x:v>
      </x:c>
      <x:c r="L1895" s="11" t="n">
        <x:f>IF(B1895="NED",1,IF(OR(B1895="ED",B1895="UN"),0,""))</x:f>
        <x:v>1</x:v>
      </x:c>
      <x:c r="M1895" s="11" t="n">
        <x:f>IF(AND(K1895=1,OR(B1895="ED",B1895="NED")),1,0)</x:f>
        <x:v>0</x:v>
      </x:c>
      <x:c r="N1895" s="11" t="n">
        <x:f>IF(K1895=1,1,0)</x:f>
        <x:v>0</x:v>
      </x:c>
      <x:c r="O1895" s="12" t="str">
        <x:v>Exclude UniProt Membrane keyword</x:v>
      </x:c>
      <x:c r="P1895" s="11" t="n">
        <x:v>0</x:v>
      </x:c>
      <x:c r="Q1895" s="12" t="str">
        <x:v>AF-Q8BH74-F1-model_v6</x:v>
      </x:c>
      <x:c r="R1895" s="12" t="str">
        <x:v>ok</x:v>
      </x:c>
      <x:c r="S1895" s="11" t="n">
        <x:v>1423</x:v>
      </x:c>
      <x:c r="T1895" s="11" t="n">
        <x:v>926</x:v>
      </x:c>
    </x:row>
    <x:row r="1896" ht="23" customHeight="1">
      <x:c r="A1896" s="2" t="str">
        <x:v>Q8BH86</x:v>
      </x:c>
      <x:c r="B1896" s="2" t="str">
        <x:v>ED</x:v>
      </x:c>
      <x:c r="C1896" s="2" t="n">
        <x:v>1</x:v>
      </x:c>
      <x:c r="D1896" s="2" t="n">
        <x:v>1</x:v>
      </x:c>
      <x:c r="E1896" s="10" t="n">
        <x:v>87.82021069692058</x:v>
      </x:c>
      <x:c r="F1896" s="11" t="n">
        <x:v>617</x:v>
      </x:c>
      <x:c r="G1896" s="11" t="n">
        <x:v>0</x:v>
      </x:c>
      <x:c r="H1896" s="11" t="n">
        <x:v>0</x:v>
      </x:c>
      <x:c r="I1896" s="11" t="n">
        <x:v>0</x:v>
      </x:c>
      <x:c r="J1896" s="11" t="n">
        <x:v>0</x:v>
      </x:c>
      <x:c r="K1896" s="11" t="n">
        <x:v>1</x:v>
      </x:c>
      <x:c r="L1896" s="11" t="n">
        <x:f>IF(B1896="NED",1,IF(OR(B1896="ED",B1896="UN"),0,""))</x:f>
        <x:v>0</x:v>
      </x:c>
      <x:c r="M1896" s="11" t="n">
        <x:f>IF(AND(K1896=1,OR(B1896="ED",B1896="NED")),1,0)</x:f>
        <x:v>1</x:v>
      </x:c>
      <x:c r="N1896" s="11" t="n">
        <x:f>IF(K1896=1,1,0)</x:f>
        <x:v>1</x:v>
      </x:c>
      <x:c r="O1896" s="12"/>
      <x:c r="P1896" s="11" t="n">
        <x:v>0</x:v>
      </x:c>
      <x:c r="Q1896" s="12" t="str">
        <x:v>AF-Q8BH86-F1-model_v6</x:v>
      </x:c>
      <x:c r="R1896" s="12" t="str">
        <x:v>ok</x:v>
      </x:c>
      <x:c r="S1896" s="11" t="n">
        <x:v>1424</x:v>
      </x:c>
      <x:c r="T1896" s="11" t="n">
        <x:v>617</x:v>
      </x:c>
    </x:row>
    <x:row r="1897" ht="23" customHeight="1">
      <x:c r="A1897" s="2" t="str">
        <x:v>Q8BH93</x:v>
      </x:c>
      <x:c r="B1897" s="2" t="str">
        <x:v>ED</x:v>
      </x:c>
      <x:c r="C1897" s="2" t="n">
        <x:v>0</x:v>
      </x:c>
      <x:c r="D1897" s="2" t="n">
        <x:v>0</x:v>
      </x:c>
      <x:c r="E1897" s="10" t="n">
        <x:v>51.53756198347107</x:v>
      </x:c>
      <x:c r="F1897" s="11" t="n">
        <x:v>242</x:v>
      </x:c>
      <x:c r="G1897" s="11" t="n">
        <x:v>0</x:v>
      </x:c>
      <x:c r="H1897" s="11" t="n">
        <x:v>0</x:v>
      </x:c>
      <x:c r="I1897" s="11" t="n">
        <x:v>0</x:v>
      </x:c>
      <x:c r="J1897" s="11" t="n">
        <x:v>0</x:v>
      </x:c>
      <x:c r="K1897" s="11" t="n">
        <x:v>0</x:v>
      </x:c>
      <x:c r="L1897" s="11" t="n">
        <x:f>IF(B1897="NED",1,IF(OR(B1897="ED",B1897="UN"),0,""))</x:f>
        <x:v>0</x:v>
      </x:c>
      <x:c r="M1897" s="11" t="n">
        <x:f>IF(AND(K1897=1,OR(B1897="ED",B1897="NED")),1,0)</x:f>
        <x:v>0</x:v>
      </x:c>
      <x:c r="N1897" s="11" t="n">
        <x:f>IF(K1897=1,1,0)</x:f>
        <x:v>0</x:v>
      </x:c>
      <x:c r="O1897" s="12" t="str">
        <x:v>Retain protein mean pLDDT &gt;=70</x:v>
      </x:c>
      <x:c r="P1897" s="11" t="n">
        <x:v>0</x:v>
      </x:c>
      <x:c r="Q1897" s="12" t="str">
        <x:v>AF-Q8BH93-F1-model_v6</x:v>
      </x:c>
      <x:c r="R1897" s="12" t="str">
        <x:v>ok</x:v>
      </x:c>
      <x:c r="S1897" s="11" t="n">
        <x:v>1425</x:v>
      </x:c>
      <x:c r="T1897" s="11" t="n">
        <x:v>242</x:v>
      </x:c>
    </x:row>
    <x:row r="1898" ht="23" customHeight="1">
      <x:c r="A1898" s="2" t="str">
        <x:v>Q8BHB4</x:v>
      </x:c>
      <x:c r="B1898" s="2" t="str">
        <x:v>NED</x:v>
      </x:c>
      <x:c r="C1898" s="2" t="n">
        <x:v>1</x:v>
      </x:c>
      <x:c r="D1898" s="2" t="n">
        <x:v>1</x:v>
      </x:c>
      <x:c r="E1898" s="10" t="n">
        <x:v>83.18144373673036</x:v>
      </x:c>
      <x:c r="F1898" s="11" t="n">
        <x:v>942</x:v>
      </x:c>
      <x:c r="G1898" s="11" t="n">
        <x:v>0</x:v>
      </x:c>
      <x:c r="H1898" s="11" t="n">
        <x:v>0</x:v>
      </x:c>
      <x:c r="I1898" s="11" t="n">
        <x:v>0</x:v>
      </x:c>
      <x:c r="J1898" s="11" t="n">
        <x:v>0</x:v>
      </x:c>
      <x:c r="K1898" s="11" t="n">
        <x:v>1</x:v>
      </x:c>
      <x:c r="L1898" s="11" t="n">
        <x:f>IF(B1898="NED",1,IF(OR(B1898="ED",B1898="UN"),0,""))</x:f>
        <x:v>1</x:v>
      </x:c>
      <x:c r="M1898" s="11" t="n">
        <x:f>IF(AND(K1898=1,OR(B1898="ED",B1898="NED")),1,0)</x:f>
        <x:v>1</x:v>
      </x:c>
      <x:c r="N1898" s="11" t="n">
        <x:f>IF(K1898=1,1,0)</x:f>
        <x:v>1</x:v>
      </x:c>
      <x:c r="O1898" s="12"/>
      <x:c r="P1898" s="11" t="n">
        <x:v>0</x:v>
      </x:c>
      <x:c r="Q1898" s="12" t="str">
        <x:v>AF-Q8BHB4-F1-model_v6</x:v>
      </x:c>
      <x:c r="R1898" s="12" t="str">
        <x:v>ok</x:v>
      </x:c>
      <x:c r="S1898" s="11" t="n">
        <x:v>1426</x:v>
      </x:c>
      <x:c r="T1898" s="11" t="n">
        <x:v>942</x:v>
      </x:c>
    </x:row>
    <x:row r="1899" ht="23" customHeight="1">
      <x:c r="A1899" s="2" t="str">
        <x:v>Q8BHC4</x:v>
      </x:c>
      <x:c r="B1899" s="2" t="str">
        <x:v>ED</x:v>
      </x:c>
      <x:c r="C1899" s="2" t="n">
        <x:v>1</x:v>
      </x:c>
      <x:c r="D1899" s="2" t="n">
        <x:v>1</x:v>
      </x:c>
      <x:c r="E1899" s="10" t="n">
        <x:v>94.63021645021644</x:v>
      </x:c>
      <x:c r="F1899" s="11" t="n">
        <x:v>231</x:v>
      </x:c>
      <x:c r="G1899" s="11" t="n">
        <x:v>0</x:v>
      </x:c>
      <x:c r="H1899" s="11" t="n">
        <x:v>0</x:v>
      </x:c>
      <x:c r="I1899" s="11" t="n">
        <x:v>0</x:v>
      </x:c>
      <x:c r="J1899" s="11" t="n">
        <x:v>0</x:v>
      </x:c>
      <x:c r="K1899" s="11" t="n">
        <x:v>1</x:v>
      </x:c>
      <x:c r="L1899" s="11" t="n">
        <x:f>IF(B1899="NED",1,IF(OR(B1899="ED",B1899="UN"),0,""))</x:f>
        <x:v>0</x:v>
      </x:c>
      <x:c r="M1899" s="11" t="n">
        <x:f>IF(AND(K1899=1,OR(B1899="ED",B1899="NED")),1,0)</x:f>
        <x:v>1</x:v>
      </x:c>
      <x:c r="N1899" s="11" t="n">
        <x:f>IF(K1899=1,1,0)</x:f>
        <x:v>1</x:v>
      </x:c>
      <x:c r="O1899" s="12"/>
      <x:c r="P1899" s="11" t="n">
        <x:v>0</x:v>
      </x:c>
      <x:c r="Q1899" s="12" t="str">
        <x:v>AF-Q8BHC4-F1-model_v6</x:v>
      </x:c>
      <x:c r="R1899" s="12" t="str">
        <x:v>ok</x:v>
      </x:c>
      <x:c r="S1899" s="11" t="n">
        <x:v>1427</x:v>
      </x:c>
      <x:c r="T1899" s="11" t="n">
        <x:v>231</x:v>
      </x:c>
    </x:row>
    <x:row r="1900" ht="23" customHeight="1">
      <x:c r="A1900" s="2" t="str">
        <x:v>Q8BHC7</x:v>
      </x:c>
      <x:c r="B1900" s="2" t="str">
        <x:v>UN</x:v>
      </x:c>
      <x:c r="C1900" s="2" t="n">
        <x:v>0</x:v>
      </x:c>
      <x:c r="D1900" s="2" t="n">
        <x:v>0</x:v>
      </x:c>
      <x:c r="E1900" s="10"/>
      <x:c r="F1900" s="11" t="n">
        <x:v>315</x:v>
      </x:c>
      <x:c r="G1900" s="11" t="n">
        <x:v>0</x:v>
      </x:c>
      <x:c r="H1900" s="11" t="n">
        <x:v>0</x:v>
      </x:c>
      <x:c r="I1900" s="11" t="n">
        <x:v>1</x:v>
      </x:c>
      <x:c r="J1900" s="11" t="n">
        <x:v>0</x:v>
      </x:c>
      <x:c r="K1900" s="11" t="n">
        <x:v>0</x:v>
      </x:c>
      <x:c r="L1900" s="11" t="n">
        <x:f>IF(B1900="NED",1,IF(OR(B1900="ED",B1900="UN"),0,""))</x:f>
        <x:v>0</x:v>
      </x:c>
      <x:c r="M1900" s="11" t="n">
        <x:f>IF(AND(K1900=1,OR(B1900="ED",B1900="NED")),1,0)</x:f>
        <x:v>0</x:v>
      </x:c>
      <x:c r="N1900" s="11" t="n">
        <x:f>IF(K1900=1,1,0)</x:f>
        <x:v>0</x:v>
      </x:c>
      <x:c r="O1900" s="12" t="str">
        <x:v>Exclude UniProt Membrane keyword</x:v>
      </x:c>
      <x:c r="P1900" s="11" t="n">
        <x:v>0</x:v>
      </x:c>
      <x:c r="Q1900" s="12" t="str">
        <x:v>AF-Q8BHC7-F1-model_v6</x:v>
      </x:c>
      <x:c r="R1900" s="12" t="str">
        <x:v>ok</x:v>
      </x:c>
      <x:c r="S1900" s="11" t="n">
        <x:v>1428</x:v>
      </x:c>
      <x:c r="T1900" s="11" t="n">
        <x:v>315</x:v>
      </x:c>
    </x:row>
    <x:row r="1901" ht="23" customHeight="1">
      <x:c r="A1901" s="2" t="str">
        <x:v>Q8BHE0</x:v>
      </x:c>
      <x:c r="B1901" s="2" t="str">
        <x:v>ED</x:v>
      </x:c>
      <x:c r="C1901" s="2" t="n">
        <x:v>0</x:v>
      </x:c>
      <x:c r="D1901" s="2" t="n">
        <x:v>0</x:v>
      </x:c>
      <x:c r="E1901" s="10" t="n">
        <x:v>66.4891847826087</x:v>
      </x:c>
      <x:c r="F1901" s="11" t="n">
        <x:v>368</x:v>
      </x:c>
      <x:c r="G1901" s="11" t="n">
        <x:v>0</x:v>
      </x:c>
      <x:c r="H1901" s="11" t="n">
        <x:v>0</x:v>
      </x:c>
      <x:c r="I1901" s="11" t="n">
        <x:v>0</x:v>
      </x:c>
      <x:c r="J1901" s="11" t="n">
        <x:v>0</x:v>
      </x:c>
      <x:c r="K1901" s="11" t="n">
        <x:v>0</x:v>
      </x:c>
      <x:c r="L1901" s="11" t="n">
        <x:f>IF(B1901="NED",1,IF(OR(B1901="ED",B1901="UN"),0,""))</x:f>
        <x:v>0</x:v>
      </x:c>
      <x:c r="M1901" s="11" t="n">
        <x:f>IF(AND(K1901=1,OR(B1901="ED",B1901="NED")),1,0)</x:f>
        <x:v>0</x:v>
      </x:c>
      <x:c r="N1901" s="11" t="n">
        <x:f>IF(K1901=1,1,0)</x:f>
        <x:v>0</x:v>
      </x:c>
      <x:c r="O1901" s="12" t="str">
        <x:v>Retain protein mean pLDDT &gt;=70</x:v>
      </x:c>
      <x:c r="P1901" s="11" t="n">
        <x:v>0</x:v>
      </x:c>
      <x:c r="Q1901" s="12" t="str">
        <x:v>AF-Q8BHE0-F1-model_v6</x:v>
      </x:c>
      <x:c r="R1901" s="12" t="str">
        <x:v>ok</x:v>
      </x:c>
      <x:c r="S1901" s="11" t="n">
        <x:v>1429</x:v>
      </x:c>
      <x:c r="T1901" s="11" t="n">
        <x:v>368</x:v>
      </x:c>
    </x:row>
    <x:row r="1902" ht="23" customHeight="1">
      <x:c r="A1902" s="2" t="str">
        <x:v>Q8BHF7</x:v>
      </x:c>
      <x:c r="B1902" s="2" t="str">
        <x:v>UN</x:v>
      </x:c>
      <x:c r="C1902" s="2" t="n">
        <x:v>1</x:v>
      </x:c>
      <x:c r="D1902" s="2" t="n">
        <x:v>1</x:v>
      </x:c>
      <x:c r="E1902" s="10" t="n">
        <x:v>85.631356238698</x:v>
      </x:c>
      <x:c r="F1902" s="11" t="n">
        <x:v>553</x:v>
      </x:c>
      <x:c r="G1902" s="11" t="n">
        <x:v>0</x:v>
      </x:c>
      <x:c r="H1902" s="11" t="n">
        <x:v>0</x:v>
      </x:c>
      <x:c r="I1902" s="11" t="n">
        <x:v>0</x:v>
      </x:c>
      <x:c r="J1902" s="11" t="n">
        <x:v>0</x:v>
      </x:c>
      <x:c r="K1902" s="11" t="n">
        <x:v>1</x:v>
      </x:c>
      <x:c r="L1902" s="11" t="n">
        <x:f>IF(B1902="NED",1,IF(OR(B1902="ED",B1902="UN"),0,""))</x:f>
        <x:v>0</x:v>
      </x:c>
      <x:c r="M1902" s="11" t="n">
        <x:f>IF(AND(K1902=1,OR(B1902="ED",B1902="NED")),1,0)</x:f>
        <x:v>0</x:v>
      </x:c>
      <x:c r="N1902" s="11" t="n">
        <x:f>IF(K1902=1,1,0)</x:f>
        <x:v>1</x:v>
      </x:c>
      <x:c r="O1902" s="12"/>
      <x:c r="P1902" s="11" t="n">
        <x:v>0</x:v>
      </x:c>
      <x:c r="Q1902" s="12" t="str">
        <x:v>AF-Q8BHF7-F1-model_v6</x:v>
      </x:c>
      <x:c r="R1902" s="12" t="str">
        <x:v>ok</x:v>
      </x:c>
      <x:c r="S1902" s="11" t="n">
        <x:v>1430</x:v>
      </x:c>
      <x:c r="T1902" s="11" t="n">
        <x:v>553</x:v>
      </x:c>
    </x:row>
    <x:row r="1903" ht="23" customHeight="1">
      <x:c r="A1903" s="2" t="str">
        <x:v>Q8BHG1</x:v>
      </x:c>
      <x:c r="B1903" s="2" t="str">
        <x:v>ED</x:v>
      </x:c>
      <x:c r="C1903" s="2" t="n">
        <x:v>1</x:v>
      </x:c>
      <x:c r="D1903" s="2" t="n">
        <x:v>1</x:v>
      </x:c>
      <x:c r="E1903" s="10" t="n">
        <x:v>82.67348837209302</x:v>
      </x:c>
      <x:c r="F1903" s="11" t="n">
        <x:v>1161</x:v>
      </x:c>
      <x:c r="G1903" s="11" t="n">
        <x:v>0</x:v>
      </x:c>
      <x:c r="H1903" s="11" t="n">
        <x:v>0</x:v>
      </x:c>
      <x:c r="I1903" s="11" t="n">
        <x:v>0</x:v>
      </x:c>
      <x:c r="J1903" s="11" t="n">
        <x:v>0</x:v>
      </x:c>
      <x:c r="K1903" s="11" t="n">
        <x:v>1</x:v>
      </x:c>
      <x:c r="L1903" s="11" t="n">
        <x:f>IF(B1903="NED",1,IF(OR(B1903="ED",B1903="UN"),0,""))</x:f>
        <x:v>0</x:v>
      </x:c>
      <x:c r="M1903" s="11" t="n">
        <x:f>IF(AND(K1903=1,OR(B1903="ED",B1903="NED")),1,0)</x:f>
        <x:v>1</x:v>
      </x:c>
      <x:c r="N1903" s="11" t="n">
        <x:f>IF(K1903=1,1,0)</x:f>
        <x:v>1</x:v>
      </x:c>
      <x:c r="O1903" s="12"/>
      <x:c r="P1903" s="11" t="n">
        <x:v>0</x:v>
      </x:c>
      <x:c r="Q1903" s="12" t="str">
        <x:v>AF-Q8BHG1-F1-model_v6</x:v>
      </x:c>
      <x:c r="R1903" s="12" t="str">
        <x:v>ok</x:v>
      </x:c>
      <x:c r="S1903" s="11" t="n">
        <x:v>1431</x:v>
      </x:c>
      <x:c r="T1903" s="11" t="n">
        <x:v>1161</x:v>
      </x:c>
    </x:row>
    <x:row r="1904" ht="23" customHeight="1">
      <x:c r="A1904" s="2" t="str">
        <x:v>Q8BHJ5</x:v>
      </x:c>
      <x:c r="B1904" s="2" t="str">
        <x:v>ED</x:v>
      </x:c>
      <x:c r="C1904" s="2" t="n">
        <x:v>1</x:v>
      </x:c>
      <x:c r="D1904" s="2" t="n">
        <x:v>1</x:v>
      </x:c>
      <x:c r="E1904" s="10" t="n">
        <x:v>87.87029182879378</x:v>
      </x:c>
      <x:c r="F1904" s="11" t="n">
        <x:v>514</x:v>
      </x:c>
      <x:c r="G1904" s="11" t="n">
        <x:v>0</x:v>
      </x:c>
      <x:c r="H1904" s="11" t="n">
        <x:v>0</x:v>
      </x:c>
      <x:c r="I1904" s="11" t="n">
        <x:v>0</x:v>
      </x:c>
      <x:c r="J1904" s="11" t="n">
        <x:v>0</x:v>
      </x:c>
      <x:c r="K1904" s="11" t="n">
        <x:v>1</x:v>
      </x:c>
      <x:c r="L1904" s="11" t="n">
        <x:f>IF(B1904="NED",1,IF(OR(B1904="ED",B1904="UN"),0,""))</x:f>
        <x:v>0</x:v>
      </x:c>
      <x:c r="M1904" s="11" t="n">
        <x:f>IF(AND(K1904=1,OR(B1904="ED",B1904="NED")),1,0)</x:f>
        <x:v>1</x:v>
      </x:c>
      <x:c r="N1904" s="11" t="n">
        <x:f>IF(K1904=1,1,0)</x:f>
        <x:v>1</x:v>
      </x:c>
      <x:c r="O1904" s="12"/>
      <x:c r="P1904" s="11" t="n">
        <x:v>0</x:v>
      </x:c>
      <x:c r="Q1904" s="12" t="str">
        <x:v>AF-Q8BHJ5-F1-model_v6</x:v>
      </x:c>
      <x:c r="R1904" s="12" t="str">
        <x:v>ok</x:v>
      </x:c>
      <x:c r="S1904" s="11" t="n">
        <x:v>1432</x:v>
      </x:c>
      <x:c r="T1904" s="11" t="n">
        <x:v>514</x:v>
      </x:c>
    </x:row>
    <x:row r="1905" ht="23" customHeight="1">
      <x:c r="A1905" s="2" t="str">
        <x:v>Q8BHJ9</x:v>
      </x:c>
      <x:c r="B1905" s="2" t="str">
        <x:v>UN</x:v>
      </x:c>
      <x:c r="C1905" s="2" t="n">
        <x:v>0</x:v>
      </x:c>
      <x:c r="D1905" s="2" t="n">
        <x:v>0</x:v>
      </x:c>
      <x:c r="E1905" s="10" t="n">
        <x:v>76.86550427350427</x:v>
      </x:c>
      <x:c r="F1905" s="11" t="n">
        <x:v>585</x:v>
      </x:c>
      <x:c r="G1905" s="11" t="n">
        <x:v>0</x:v>
      </x:c>
      <x:c r="H1905" s="11" t="n">
        <x:v>0</x:v>
      </x:c>
      <x:c r="I1905" s="11" t="n">
        <x:v>0</x:v>
      </x:c>
      <x:c r="J1905" s="11" t="n">
        <x:v>0</x:v>
      </x:c>
      <x:c r="K1905" s="11" t="n">
        <x:v>1</x:v>
      </x:c>
      <x:c r="L1905" s="11" t="n">
        <x:f>IF(B1905="NED",1,IF(OR(B1905="ED",B1905="UN"),0,""))</x:f>
        <x:v>0</x:v>
      </x:c>
      <x:c r="M1905" s="11" t="n">
        <x:f>IF(AND(K1905=1,OR(B1905="ED",B1905="NED")),1,0)</x:f>
        <x:v>0</x:v>
      </x:c>
      <x:c r="N1905" s="11" t="n">
        <x:f>IF(K1905=1,1,0)</x:f>
        <x:v>1</x:v>
      </x:c>
      <x:c r="O1905" s="12"/>
      <x:c r="P1905" s="11" t="n">
        <x:v>0</x:v>
      </x:c>
      <x:c r="Q1905" s="12" t="str">
        <x:v>AF-Q8BHJ9-F1-model_v6</x:v>
      </x:c>
      <x:c r="R1905" s="12" t="str">
        <x:v>ok</x:v>
      </x:c>
      <x:c r="S1905" s="11" t="n">
        <x:v>1433</x:v>
      </x:c>
      <x:c r="T1905" s="11" t="n">
        <x:v>585</x:v>
      </x:c>
    </x:row>
    <x:row r="1906" ht="23" customHeight="1">
      <x:c r="A1906" s="2" t="str">
        <x:v>Q8BHK9</x:v>
      </x:c>
      <x:c r="B1906" s="2" t="str">
        <x:v>ED</x:v>
      </x:c>
      <x:c r="C1906" s="2" t="n">
        <x:v>1</x:v>
      </x:c>
      <x:c r="D1906" s="2" t="n">
        <x:v>1</x:v>
      </x:c>
      <x:c r="E1906" s="10" t="n">
        <x:v>63.4550564516129</x:v>
      </x:c>
      <x:c r="F1906" s="11" t="n">
        <x:v>1240</x:v>
      </x:c>
      <x:c r="G1906" s="11" t="n">
        <x:v>0</x:v>
      </x:c>
      <x:c r="H1906" s="11" t="n">
        <x:v>0</x:v>
      </x:c>
      <x:c r="I1906" s="11" t="n">
        <x:v>0</x:v>
      </x:c>
      <x:c r="J1906" s="11" t="n">
        <x:v>0</x:v>
      </x:c>
      <x:c r="K1906" s="11" t="n">
        <x:v>0</x:v>
      </x:c>
      <x:c r="L1906" s="11" t="n">
        <x:f>IF(B1906="NED",1,IF(OR(B1906="ED",B1906="UN"),0,""))</x:f>
        <x:v>0</x:v>
      </x:c>
      <x:c r="M1906" s="11" t="n">
        <x:f>IF(AND(K1906=1,OR(B1906="ED",B1906="NED")),1,0)</x:f>
        <x:v>0</x:v>
      </x:c>
      <x:c r="N1906" s="11" t="n">
        <x:f>IF(K1906=1,1,0)</x:f>
        <x:v>0</x:v>
      </x:c>
      <x:c r="O1906" s="12" t="str">
        <x:v>Retain protein mean pLDDT &gt;=70</x:v>
      </x:c>
      <x:c r="P1906" s="11" t="n">
        <x:v>0</x:v>
      </x:c>
      <x:c r="Q1906" s="12" t="str">
        <x:v>AF-Q8BHK9-F1-model_v6</x:v>
      </x:c>
      <x:c r="R1906" s="12" t="str">
        <x:v>ok</x:v>
      </x:c>
      <x:c r="S1906" s="11" t="n">
        <x:v>1434</x:v>
      </x:c>
      <x:c r="T1906" s="11" t="n">
        <x:v>1240</x:v>
      </x:c>
    </x:row>
    <x:row r="1907" ht="23" customHeight="1">
      <x:c r="A1907" s="2" t="str">
        <x:v>Q8BHN3</x:v>
      </x:c>
      <x:c r="B1907" s="2" t="str">
        <x:v>UN</x:v>
      </x:c>
      <x:c r="C1907" s="2" t="n">
        <x:v>1</x:v>
      </x:c>
      <x:c r="D1907" s="2" t="n">
        <x:v>1</x:v>
      </x:c>
      <x:c r="E1907" s="10" t="n">
        <x:v>93.30887711864408</x:v>
      </x:c>
      <x:c r="F1907" s="11" t="n">
        <x:v>944</x:v>
      </x:c>
      <x:c r="G1907" s="11" t="n">
        <x:v>0</x:v>
      </x:c>
      <x:c r="H1907" s="11" t="n">
        <x:v>0</x:v>
      </x:c>
      <x:c r="I1907" s="11" t="n">
        <x:v>0</x:v>
      </x:c>
      <x:c r="J1907" s="11" t="n">
        <x:v>0</x:v>
      </x:c>
      <x:c r="K1907" s="11" t="n">
        <x:v>1</x:v>
      </x:c>
      <x:c r="L1907" s="11" t="n">
        <x:f>IF(B1907="NED",1,IF(OR(B1907="ED",B1907="UN"),0,""))</x:f>
        <x:v>0</x:v>
      </x:c>
      <x:c r="M1907" s="11" t="n">
        <x:f>IF(AND(K1907=1,OR(B1907="ED",B1907="NED")),1,0)</x:f>
        <x:v>0</x:v>
      </x:c>
      <x:c r="N1907" s="11" t="n">
        <x:f>IF(K1907=1,1,0)</x:f>
        <x:v>1</x:v>
      </x:c>
      <x:c r="O1907" s="12"/>
      <x:c r="P1907" s="11" t="n">
        <x:v>0</x:v>
      </x:c>
      <x:c r="Q1907" s="12" t="str">
        <x:v>AF-Q8BHN3-F1-model_v6</x:v>
      </x:c>
      <x:c r="R1907" s="12" t="str">
        <x:v>ok</x:v>
      </x:c>
      <x:c r="S1907" s="11" t="n">
        <x:v>1435</x:v>
      </x:c>
      <x:c r="T1907" s="11" t="n">
        <x:v>944</x:v>
      </x:c>
    </x:row>
    <x:row r="1908" ht="23" customHeight="1">
      <x:c r="A1908" s="2" t="str">
        <x:v>Q8BHX3</x:v>
      </x:c>
      <x:c r="B1908" s="2" t="str">
        <x:v>ED</x:v>
      </x:c>
      <x:c r="C1908" s="2" t="n">
        <x:v>0</x:v>
      </x:c>
      <x:c r="D1908" s="2" t="n">
        <x:v>0</x:v>
      </x:c>
      <x:c r="E1908" s="10" t="n">
        <x:v>69.69273356401385</x:v>
      </x:c>
      <x:c r="F1908" s="11" t="n">
        <x:v>289</x:v>
      </x:c>
      <x:c r="G1908" s="11" t="n">
        <x:v>0</x:v>
      </x:c>
      <x:c r="H1908" s="11" t="n">
        <x:v>0</x:v>
      </x:c>
      <x:c r="I1908" s="11" t="n">
        <x:v>0</x:v>
      </x:c>
      <x:c r="J1908" s="11" t="n">
        <x:v>0</x:v>
      </x:c>
      <x:c r="K1908" s="11" t="n">
        <x:v>0</x:v>
      </x:c>
      <x:c r="L1908" s="11" t="n">
        <x:f>IF(B1908="NED",1,IF(OR(B1908="ED",B1908="UN"),0,""))</x:f>
        <x:v>0</x:v>
      </x:c>
      <x:c r="M1908" s="11" t="n">
        <x:f>IF(AND(K1908=1,OR(B1908="ED",B1908="NED")),1,0)</x:f>
        <x:v>0</x:v>
      </x:c>
      <x:c r="N1908" s="11" t="n">
        <x:f>IF(K1908=1,1,0)</x:f>
        <x:v>0</x:v>
      </x:c>
      <x:c r="O1908" s="12" t="str">
        <x:v>Retain protein mean pLDDT &gt;=70</x:v>
      </x:c>
      <x:c r="P1908" s="11" t="n">
        <x:v>0</x:v>
      </x:c>
      <x:c r="Q1908" s="12" t="str">
        <x:v>AF-Q8BHX3-F1-model_v6</x:v>
      </x:c>
      <x:c r="R1908" s="12" t="str">
        <x:v>ok</x:v>
      </x:c>
      <x:c r="S1908" s="11" t="n">
        <x:v>1436</x:v>
      </x:c>
      <x:c r="T1908" s="11" t="n">
        <x:v>289</x:v>
      </x:c>
    </x:row>
    <x:row r="1909" ht="23" customHeight="1">
      <x:c r="A1909" s="2" t="str">
        <x:v>Q8BHY2</x:v>
      </x:c>
      <x:c r="B1909" s="2" t="str">
        <x:v>UN</x:v>
      </x:c>
      <x:c r="C1909" s="2" t="n">
        <x:v>1</x:v>
      </x:c>
      <x:c r="D1909" s="2" t="n">
        <x:v>1</x:v>
      </x:c>
      <x:c r="E1909" s="10"/>
      <x:c r="F1909" s="11" t="n">
        <x:v>516</x:v>
      </x:c>
      <x:c r="G1909" s="11" t="n">
        <x:v>0</x:v>
      </x:c>
      <x:c r="H1909" s="11" t="n">
        <x:v>0</x:v>
      </x:c>
      <x:c r="I1909" s="11" t="n">
        <x:v>1</x:v>
      </x:c>
      <x:c r="J1909" s="11" t="n">
        <x:v>0</x:v>
      </x:c>
      <x:c r="K1909" s="11" t="n">
        <x:v>0</x:v>
      </x:c>
      <x:c r="L1909" s="11" t="n">
        <x:f>IF(B1909="NED",1,IF(OR(B1909="ED",B1909="UN"),0,""))</x:f>
        <x:v>0</x:v>
      </x:c>
      <x:c r="M1909" s="11" t="n">
        <x:f>IF(AND(K1909=1,OR(B1909="ED",B1909="NED")),1,0)</x:f>
        <x:v>0</x:v>
      </x:c>
      <x:c r="N1909" s="11" t="n">
        <x:f>IF(K1909=1,1,0)</x:f>
        <x:v>0</x:v>
      </x:c>
      <x:c r="O1909" s="12" t="str">
        <x:v>Exclude UniProt Membrane keyword</x:v>
      </x:c>
      <x:c r="P1909" s="11" t="n">
        <x:v>0</x:v>
      </x:c>
      <x:c r="Q1909" s="12" t="str">
        <x:v>AF-Q8BHY2-F1-model_v6</x:v>
      </x:c>
      <x:c r="R1909" s="12" t="str">
        <x:v>ok</x:v>
      </x:c>
      <x:c r="S1909" s="11" t="n">
        <x:v>1437</x:v>
      </x:c>
      <x:c r="T1909" s="11" t="n">
        <x:v>516</x:v>
      </x:c>
    </x:row>
    <x:row r="1910" ht="23" customHeight="1">
      <x:c r="A1910" s="2" t="str">
        <x:v>Q8BI84</x:v>
      </x:c>
      <x:c r="B1910" s="2" t="str">
        <x:v>UN</x:v>
      </x:c>
      <x:c r="C1910" s="2"/>
      <x:c r="D1910" s="2"/>
      <x:c r="E1910" s="10"/>
      <x:c r="F1910" s="11" t="n">
        <x:v>1930</x:v>
      </x:c>
      <x:c r="G1910" s="11" t="n">
        <x:v>0</x:v>
      </x:c>
      <x:c r="H1910" s="11" t="n">
        <x:v>1</x:v>
      </x:c>
      <x:c r="I1910" s="11" t="n">
        <x:v>1</x:v>
      </x:c>
      <x:c r="J1910" s="11" t="n">
        <x:v>0</x:v>
      </x:c>
      <x:c r="K1910" s="11" t="n">
        <x:v>0</x:v>
      </x:c>
      <x:c r="L1910" s="11" t="n">
        <x:f>IF(B1910="NED",1,IF(OR(B1910="ED",B1910="UN"),0,""))</x:f>
        <x:v>0</x:v>
      </x:c>
      <x:c r="M1910" s="11" t="n">
        <x:f>IF(AND(K1910=1,OR(B1910="ED",B1910="NED")),1,0)</x:f>
        <x:v>0</x:v>
      </x:c>
      <x:c r="N1910" s="11" t="n">
        <x:f>IF(K1910=1,1,0)</x:f>
        <x:v>0</x:v>
      </x:c>
      <x:c r="O1910" s="12" t="str">
        <x:v>Require binary native NCLE status</x:v>
      </x:c>
      <x:c r="P1910" s="11" t="n">
        <x:v>0</x:v>
      </x:c>
      <x:c r="Q1910" s="12" t="str">
        <x:v>AF-Q8BI84-F1-model_v6</x:v>
      </x:c>
      <x:c r="R1910" s="12" t="str">
        <x:v>ok</x:v>
      </x:c>
      <x:c r="S1910" s="11" t="n">
        <x:v>1438</x:v>
      </x:c>
      <x:c r="T1910" s="11" t="n">
        <x:v>1930</x:v>
      </x:c>
    </x:row>
    <x:row r="1911" ht="23" customHeight="1">
      <x:c r="A1911" s="2" t="str">
        <x:v>Q8BIA4</x:v>
      </x:c>
      <x:c r="B1911" s="2" t="str">
        <x:v>ED</x:v>
      </x:c>
      <x:c r="C1911" s="2" t="n">
        <x:v>1</x:v>
      </x:c>
      <x:c r="D1911" s="2" t="n">
        <x:v>1</x:v>
      </x:c>
      <x:c r="E1911" s="10" t="n">
        <x:v>77.19384615384615</x:v>
      </x:c>
      <x:c r="F1911" s="11" t="n">
        <x:v>598</x:v>
      </x:c>
      <x:c r="G1911" s="11" t="n">
        <x:v>0</x:v>
      </x:c>
      <x:c r="H1911" s="11" t="n">
        <x:v>0</x:v>
      </x:c>
      <x:c r="I1911" s="11" t="n">
        <x:v>0</x:v>
      </x:c>
      <x:c r="J1911" s="11" t="n">
        <x:v>0</x:v>
      </x:c>
      <x:c r="K1911" s="11" t="n">
        <x:v>1</x:v>
      </x:c>
      <x:c r="L1911" s="11" t="n">
        <x:f>IF(B1911="NED",1,IF(OR(B1911="ED",B1911="UN"),0,""))</x:f>
        <x:v>0</x:v>
      </x:c>
      <x:c r="M1911" s="11" t="n">
        <x:f>IF(AND(K1911=1,OR(B1911="ED",B1911="NED")),1,0)</x:f>
        <x:v>1</x:v>
      </x:c>
      <x:c r="N1911" s="11" t="n">
        <x:f>IF(K1911=1,1,0)</x:f>
        <x:v>1</x:v>
      </x:c>
      <x:c r="O1911" s="12"/>
      <x:c r="P1911" s="11" t="n">
        <x:v>0</x:v>
      </x:c>
      <x:c r="Q1911" s="12" t="str">
        <x:v>AF-Q8BIA4-F1-model_v6</x:v>
      </x:c>
      <x:c r="R1911" s="12" t="str">
        <x:v>ok</x:v>
      </x:c>
      <x:c r="S1911" s="11" t="n">
        <x:v>1439</x:v>
      </x:c>
      <x:c r="T1911" s="11" t="n">
        <x:v>598</x:v>
      </x:c>
    </x:row>
    <x:row r="1912" ht="23" customHeight="1">
      <x:c r="A1912" s="2" t="str">
        <x:v>Q8BIJ6</x:v>
      </x:c>
      <x:c r="B1912" s="2" t="str">
        <x:v>UN</x:v>
      </x:c>
      <x:c r="C1912" s="2" t="n">
        <x:v>1</x:v>
      </x:c>
      <x:c r="D1912" s="2" t="n">
        <x:v>1</x:v>
      </x:c>
      <x:c r="E1912" s="10" t="n">
        <x:v>88.15310276679843</x:v>
      </x:c>
      <x:c r="F1912" s="11" t="n">
        <x:v>1012</x:v>
      </x:c>
      <x:c r="G1912" s="11" t="n">
        <x:v>0</x:v>
      </x:c>
      <x:c r="H1912" s="11" t="n">
        <x:v>0</x:v>
      </x:c>
      <x:c r="I1912" s="11" t="n">
        <x:v>0</x:v>
      </x:c>
      <x:c r="J1912" s="11" t="n">
        <x:v>0</x:v>
      </x:c>
      <x:c r="K1912" s="11" t="n">
        <x:v>1</x:v>
      </x:c>
      <x:c r="L1912" s="11" t="n">
        <x:f>IF(B1912="NED",1,IF(OR(B1912="ED",B1912="UN"),0,""))</x:f>
        <x:v>0</x:v>
      </x:c>
      <x:c r="M1912" s="11" t="n">
        <x:f>IF(AND(K1912=1,OR(B1912="ED",B1912="NED")),1,0)</x:f>
        <x:v>0</x:v>
      </x:c>
      <x:c r="N1912" s="11" t="n">
        <x:f>IF(K1912=1,1,0)</x:f>
        <x:v>1</x:v>
      </x:c>
      <x:c r="O1912" s="12"/>
      <x:c r="P1912" s="11" t="n">
        <x:v>0</x:v>
      </x:c>
      <x:c r="Q1912" s="12" t="str">
        <x:v>AF-Q8BIJ6-F1-model_v6</x:v>
      </x:c>
      <x:c r="R1912" s="12" t="str">
        <x:v>ok</x:v>
      </x:c>
      <x:c r="S1912" s="11" t="n">
        <x:v>1440</x:v>
      </x:c>
      <x:c r="T1912" s="11" t="n">
        <x:v>1012</x:v>
      </x:c>
    </x:row>
    <x:row r="1913" ht="23" customHeight="1">
      <x:c r="A1913" s="2" t="str">
        <x:v>Q8BIQ5</x:v>
      </x:c>
      <x:c r="B1913" s="2" t="str">
        <x:v>ED</x:v>
      </x:c>
      <x:c r="C1913" s="2" t="n">
        <x:v>1</x:v>
      </x:c>
      <x:c r="D1913" s="2" t="n">
        <x:v>1</x:v>
      </x:c>
      <x:c r="E1913" s="10" t="n">
        <x:v>60.8615</x:v>
      </x:c>
      <x:c r="F1913" s="11" t="n">
        <x:v>580</x:v>
      </x:c>
      <x:c r="G1913" s="11" t="n">
        <x:v>0</x:v>
      </x:c>
      <x:c r="H1913" s="11" t="n">
        <x:v>0</x:v>
      </x:c>
      <x:c r="I1913" s="11" t="n">
        <x:v>0</x:v>
      </x:c>
      <x:c r="J1913" s="11" t="n">
        <x:v>0</x:v>
      </x:c>
      <x:c r="K1913" s="11" t="n">
        <x:v>0</x:v>
      </x:c>
      <x:c r="L1913" s="11" t="n">
        <x:f>IF(B1913="NED",1,IF(OR(B1913="ED",B1913="UN"),0,""))</x:f>
        <x:v>0</x:v>
      </x:c>
      <x:c r="M1913" s="11" t="n">
        <x:f>IF(AND(K1913=1,OR(B1913="ED",B1913="NED")),1,0)</x:f>
        <x:v>0</x:v>
      </x:c>
      <x:c r="N1913" s="11" t="n">
        <x:f>IF(K1913=1,1,0)</x:f>
        <x:v>0</x:v>
      </x:c>
      <x:c r="O1913" s="12" t="str">
        <x:v>Retain protein mean pLDDT &gt;=70</x:v>
      </x:c>
      <x:c r="P1913" s="11" t="n">
        <x:v>0</x:v>
      </x:c>
      <x:c r="Q1913" s="12" t="str">
        <x:v>AF-Q8BIQ5-F1-model_v6</x:v>
      </x:c>
      <x:c r="R1913" s="12" t="str">
        <x:v>ok</x:v>
      </x:c>
      <x:c r="S1913" s="11" t="n">
        <x:v>1441</x:v>
      </x:c>
      <x:c r="T1913" s="11" t="n">
        <x:v>580</x:v>
      </x:c>
    </x:row>
    <x:row r="1914" ht="23" customHeight="1">
      <x:c r="A1914" s="2" t="str">
        <x:v>Q8BIW9</x:v>
      </x:c>
      <x:c r="B1914" s="2" t="str">
        <x:v>UN</x:v>
      </x:c>
      <x:c r="C1914" s="2" t="n">
        <x:v>1</x:v>
      </x:c>
      <x:c r="D1914" s="2" t="n">
        <x:v>1</x:v>
      </x:c>
      <x:c r="E1914" s="10" t="n">
        <x:v>66.1069762641899</x:v>
      </x:c>
      <x:c r="F1914" s="11" t="n">
        <x:v>969</x:v>
      </x:c>
      <x:c r="G1914" s="11" t="n">
        <x:v>0</x:v>
      </x:c>
      <x:c r="H1914" s="11" t="n">
        <x:v>0</x:v>
      </x:c>
      <x:c r="I1914" s="11" t="n">
        <x:v>0</x:v>
      </x:c>
      <x:c r="J1914" s="11" t="n">
        <x:v>0</x:v>
      </x:c>
      <x:c r="K1914" s="11" t="n">
        <x:v>0</x:v>
      </x:c>
      <x:c r="L1914" s="11" t="n">
        <x:f>IF(B1914="NED",1,IF(OR(B1914="ED",B1914="UN"),0,""))</x:f>
        <x:v>0</x:v>
      </x:c>
      <x:c r="M1914" s="11" t="n">
        <x:f>IF(AND(K1914=1,OR(B1914="ED",B1914="NED")),1,0)</x:f>
        <x:v>0</x:v>
      </x:c>
      <x:c r="N1914" s="11" t="n">
        <x:f>IF(K1914=1,1,0)</x:f>
        <x:v>0</x:v>
      </x:c>
      <x:c r="O1914" s="12" t="str">
        <x:v>Retain protein mean pLDDT &gt;=70</x:v>
      </x:c>
      <x:c r="P1914" s="11" t="n">
        <x:v>0</x:v>
      </x:c>
      <x:c r="Q1914" s="12" t="str">
        <x:v>AF-Q8BIW9-F1-model_v6</x:v>
      </x:c>
      <x:c r="R1914" s="12" t="str">
        <x:v>ok</x:v>
      </x:c>
      <x:c r="S1914" s="11" t="n">
        <x:v>1442</x:v>
      </x:c>
      <x:c r="T1914" s="11" t="n">
        <x:v>969</x:v>
      </x:c>
    </x:row>
    <x:row r="1915" ht="23" customHeight="1">
      <x:c r="A1915" s="2" t="str">
        <x:v>Q8BJ05</x:v>
      </x:c>
      <x:c r="B1915" s="2" t="str">
        <x:v>ED</x:v>
      </x:c>
      <x:c r="C1915" s="2" t="n">
        <x:v>0</x:v>
      </x:c>
      <x:c r="D1915" s="2" t="n">
        <x:v>0</x:v>
      </x:c>
      <x:c r="E1915" s="10" t="n">
        <x:v>56.910217687074834</x:v>
      </x:c>
      <x:c r="F1915" s="11" t="n">
        <x:v>735</x:v>
      </x:c>
      <x:c r="G1915" s="11" t="n">
        <x:v>0</x:v>
      </x:c>
      <x:c r="H1915" s="11" t="n">
        <x:v>0</x:v>
      </x:c>
      <x:c r="I1915" s="11" t="n">
        <x:v>0</x:v>
      </x:c>
      <x:c r="J1915" s="11" t="n">
        <x:v>0</x:v>
      </x:c>
      <x:c r="K1915" s="11" t="n">
        <x:v>0</x:v>
      </x:c>
      <x:c r="L1915" s="11" t="n">
        <x:f>IF(B1915="NED",1,IF(OR(B1915="ED",B1915="UN"),0,""))</x:f>
        <x:v>0</x:v>
      </x:c>
      <x:c r="M1915" s="11" t="n">
        <x:f>IF(AND(K1915=1,OR(B1915="ED",B1915="NED")),1,0)</x:f>
        <x:v>0</x:v>
      </x:c>
      <x:c r="N1915" s="11" t="n">
        <x:f>IF(K1915=1,1,0)</x:f>
        <x:v>0</x:v>
      </x:c>
      <x:c r="O1915" s="12" t="str">
        <x:v>Retain protein mean pLDDT &gt;=70</x:v>
      </x:c>
      <x:c r="P1915" s="11" t="n">
        <x:v>0</x:v>
      </x:c>
      <x:c r="Q1915" s="12" t="str">
        <x:v>AF-Q8BJ05-F1-model_v6</x:v>
      </x:c>
      <x:c r="R1915" s="12" t="str">
        <x:v>ok</x:v>
      </x:c>
      <x:c r="S1915" s="11" t="n">
        <x:v>1443</x:v>
      </x:c>
      <x:c r="T1915" s="11" t="n">
        <x:v>735</x:v>
      </x:c>
    </x:row>
    <x:row r="1916" ht="23" customHeight="1">
      <x:c r="A1916" s="2" t="str">
        <x:v>Q8BJ34-3</x:v>
      </x:c>
      <x:c r="B1916" s="2" t="str">
        <x:v>UN</x:v>
      </x:c>
      <x:c r="C1916" s="2"/>
      <x:c r="D1916" s="2"/>
      <x:c r="E1916" s="10"/>
      <x:c r="F1916" s="11"/>
      <x:c r="G1916" s="11" t="n">
        <x:v>0</x:v>
      </x:c>
      <x:c r="H1916" s="11" t="n">
        <x:v>0</x:v>
      </x:c>
      <x:c r="I1916" s="11"/>
      <x:c r="J1916" s="11"/>
      <x:c r="K1916" s="11" t="n">
        <x:v>0</x:v>
      </x:c>
      <x:c r="L1916" s="11" t="n">
        <x:f>IF(B1916="NED",1,IF(OR(B1916="ED",B1916="UN"),0,""))</x:f>
        <x:v>0</x:v>
      </x:c>
      <x:c r="M1916" s="11" t="n">
        <x:f>IF(AND(K1916=1,OR(B1916="ED",B1916="NED")),1,0)</x:f>
        <x:v>0</x:v>
      </x:c>
      <x:c r="N1916" s="11" t="n">
        <x:f>IF(K1916=1,1,0)</x:f>
        <x:v>0</x:v>
      </x:c>
      <x:c r="O1916" s="12" t="str">
        <x:v>Require exact native accession match</x:v>
      </x:c>
      <x:c r="P1916" s="11" t="n">
        <x:v>0</x:v>
      </x:c>
      <x:c r="Q1916" s="12"/>
      <x:c r="R1916" s="12"/>
      <x:c r="S1916" s="11" t="n">
        <x:v>1444</x:v>
      </x:c>
      <x:c r="T1916" s="11"/>
    </x:row>
    <x:row r="1917" ht="23" customHeight="1">
      <x:c r="A1917" s="2" t="str">
        <x:v>Q8BJ71</x:v>
      </x:c>
      <x:c r="B1917" s="2" t="str">
        <x:v>UN</x:v>
      </x:c>
      <x:c r="C1917" s="2" t="n">
        <x:v>1</x:v>
      </x:c>
      <x:c r="D1917" s="2" t="n">
        <x:v>1</x:v>
      </x:c>
      <x:c r="E1917" s="10"/>
      <x:c r="F1917" s="11" t="n">
        <x:v>819</x:v>
      </x:c>
      <x:c r="G1917" s="11" t="n">
        <x:v>0</x:v>
      </x:c>
      <x:c r="H1917" s="11" t="n">
        <x:v>0</x:v>
      </x:c>
      <x:c r="I1917" s="11" t="n">
        <x:v>1</x:v>
      </x:c>
      <x:c r="J1917" s="11" t="n">
        <x:v>0</x:v>
      </x:c>
      <x:c r="K1917" s="11" t="n">
        <x:v>0</x:v>
      </x:c>
      <x:c r="L1917" s="11" t="n">
        <x:f>IF(B1917="NED",1,IF(OR(B1917="ED",B1917="UN"),0,""))</x:f>
        <x:v>0</x:v>
      </x:c>
      <x:c r="M1917" s="11" t="n">
        <x:f>IF(AND(K1917=1,OR(B1917="ED",B1917="NED")),1,0)</x:f>
        <x:v>0</x:v>
      </x:c>
      <x:c r="N1917" s="11" t="n">
        <x:f>IF(K1917=1,1,0)</x:f>
        <x:v>0</x:v>
      </x:c>
      <x:c r="O1917" s="12" t="str">
        <x:v>Exclude UniProt Membrane keyword</x:v>
      </x:c>
      <x:c r="P1917" s="11" t="n">
        <x:v>0</x:v>
      </x:c>
      <x:c r="Q1917" s="12" t="str">
        <x:v>AF-Q8BJ71-F1-model_v6</x:v>
      </x:c>
      <x:c r="R1917" s="12" t="str">
        <x:v>ok</x:v>
      </x:c>
      <x:c r="S1917" s="11" t="n">
        <x:v>1445</x:v>
      </x:c>
      <x:c r="T1917" s="11" t="n">
        <x:v>819</x:v>
      </x:c>
    </x:row>
    <x:row r="1918" ht="23" customHeight="1">
      <x:c r="A1918" s="2" t="str">
        <x:v>Q8BJL1</x:v>
      </x:c>
      <x:c r="B1918" s="2" t="str">
        <x:v>UN</x:v>
      </x:c>
      <x:c r="C1918" s="2" t="n">
        <x:v>1</x:v>
      </x:c>
      <x:c r="D1918" s="2" t="n">
        <x:v>1</x:v>
      </x:c>
      <x:c r="E1918" s="10" t="n">
        <x:v>61.85309651474531</x:v>
      </x:c>
      <x:c r="F1918" s="11" t="n">
        <x:v>746</x:v>
      </x:c>
      <x:c r="G1918" s="11" t="n">
        <x:v>0</x:v>
      </x:c>
      <x:c r="H1918" s="11" t="n">
        <x:v>0</x:v>
      </x:c>
      <x:c r="I1918" s="11" t="n">
        <x:v>0</x:v>
      </x:c>
      <x:c r="J1918" s="11" t="n">
        <x:v>0</x:v>
      </x:c>
      <x:c r="K1918" s="11" t="n">
        <x:v>0</x:v>
      </x:c>
      <x:c r="L1918" s="11" t="n">
        <x:f>IF(B1918="NED",1,IF(OR(B1918="ED",B1918="UN"),0,""))</x:f>
        <x:v>0</x:v>
      </x:c>
      <x:c r="M1918" s="11" t="n">
        <x:f>IF(AND(K1918=1,OR(B1918="ED",B1918="NED")),1,0)</x:f>
        <x:v>0</x:v>
      </x:c>
      <x:c r="N1918" s="11" t="n">
        <x:f>IF(K1918=1,1,0)</x:f>
        <x:v>0</x:v>
      </x:c>
      <x:c r="O1918" s="12" t="str">
        <x:v>Retain protein mean pLDDT &gt;=70</x:v>
      </x:c>
      <x:c r="P1918" s="11" t="n">
        <x:v>0</x:v>
      </x:c>
      <x:c r="Q1918" s="12" t="str">
        <x:v>AF-Q8BJL1-F1-model_v6</x:v>
      </x:c>
      <x:c r="R1918" s="12" t="str">
        <x:v>ok</x:v>
      </x:c>
      <x:c r="S1918" s="11" t="n">
        <x:v>1446</x:v>
      </x:c>
      <x:c r="T1918" s="11" t="n">
        <x:v>746</x:v>
      </x:c>
    </x:row>
    <x:row r="1919" ht="23" customHeight="1">
      <x:c r="A1919" s="2" t="str">
        <x:v>Q8BJM5</x:v>
      </x:c>
      <x:c r="B1919" s="2" t="str">
        <x:v>UN</x:v>
      </x:c>
      <x:c r="C1919" s="2" t="n">
        <x:v>0</x:v>
      </x:c>
      <x:c r="D1919" s="2" t="n">
        <x:v>0</x:v>
      </x:c>
      <x:c r="E1919" s="10"/>
      <x:c r="F1919" s="11" t="n">
        <x:v>460</x:v>
      </x:c>
      <x:c r="G1919" s="11" t="n">
        <x:v>0</x:v>
      </x:c>
      <x:c r="H1919" s="11" t="n">
        <x:v>0</x:v>
      </x:c>
      <x:c r="I1919" s="11" t="n">
        <x:v>1</x:v>
      </x:c>
      <x:c r="J1919" s="11" t="n">
        <x:v>0</x:v>
      </x:c>
      <x:c r="K1919" s="11" t="n">
        <x:v>0</x:v>
      </x:c>
      <x:c r="L1919" s="11" t="n">
        <x:f>IF(B1919="NED",1,IF(OR(B1919="ED",B1919="UN"),0,""))</x:f>
        <x:v>0</x:v>
      </x:c>
      <x:c r="M1919" s="11" t="n">
        <x:f>IF(AND(K1919=1,OR(B1919="ED",B1919="NED")),1,0)</x:f>
        <x:v>0</x:v>
      </x:c>
      <x:c r="N1919" s="11" t="n">
        <x:f>IF(K1919=1,1,0)</x:f>
        <x:v>0</x:v>
      </x:c>
      <x:c r="O1919" s="12" t="str">
        <x:v>Exclude UniProt Membrane keyword</x:v>
      </x:c>
      <x:c r="P1919" s="11" t="n">
        <x:v>0</x:v>
      </x:c>
      <x:c r="Q1919" s="12" t="str">
        <x:v>AF-Q8BJM5-F1-model_v6</x:v>
      </x:c>
      <x:c r="R1919" s="12" t="str">
        <x:v>ok</x:v>
      </x:c>
      <x:c r="S1919" s="11" t="n">
        <x:v>1447</x:v>
      </x:c>
      <x:c r="T1919" s="11" t="n">
        <x:v>460</x:v>
      </x:c>
    </x:row>
    <x:row r="1920" ht="23" customHeight="1">
      <x:c r="A1920" s="2" t="str">
        <x:v>Q8BJM7</x:v>
      </x:c>
      <x:c r="B1920" s="2" t="str">
        <x:v>UN</x:v>
      </x:c>
      <x:c r="C1920" s="2" t="n">
        <x:v>1</x:v>
      </x:c>
      <x:c r="D1920" s="2" t="n">
        <x:v>1</x:v>
      </x:c>
      <x:c r="E1920" s="10" t="n">
        <x:v>80.87181692094313</x:v>
      </x:c>
      <x:c r="F1920" s="11" t="n">
        <x:v>721</x:v>
      </x:c>
      <x:c r="G1920" s="11" t="n">
        <x:v>0</x:v>
      </x:c>
      <x:c r="H1920" s="11" t="n">
        <x:v>0</x:v>
      </x:c>
      <x:c r="I1920" s="11" t="n">
        <x:v>0</x:v>
      </x:c>
      <x:c r="J1920" s="11" t="n">
        <x:v>0</x:v>
      </x:c>
      <x:c r="K1920" s="11" t="n">
        <x:v>1</x:v>
      </x:c>
      <x:c r="L1920" s="11" t="n">
        <x:f>IF(B1920="NED",1,IF(OR(B1920="ED",B1920="UN"),0,""))</x:f>
        <x:v>0</x:v>
      </x:c>
      <x:c r="M1920" s="11" t="n">
        <x:f>IF(AND(K1920=1,OR(B1920="ED",B1920="NED")),1,0)</x:f>
        <x:v>0</x:v>
      </x:c>
      <x:c r="N1920" s="11" t="n">
        <x:f>IF(K1920=1,1,0)</x:f>
        <x:v>1</x:v>
      </x:c>
      <x:c r="O1920" s="12"/>
      <x:c r="P1920" s="11" t="n">
        <x:v>0</x:v>
      </x:c>
      <x:c r="Q1920" s="12" t="str">
        <x:v>AF-Q8BJM7-F1-model_v6</x:v>
      </x:c>
      <x:c r="R1920" s="12" t="str">
        <x:v>ok</x:v>
      </x:c>
      <x:c r="S1920" s="11" t="n">
        <x:v>1448</x:v>
      </x:c>
      <x:c r="T1920" s="11" t="n">
        <x:v>721</x:v>
      </x:c>
    </x:row>
    <x:row r="1921" ht="23" customHeight="1">
      <x:c r="A1921" s="2" t="str">
        <x:v>Q8BJS4-2</x:v>
      </x:c>
      <x:c r="B1921" s="2" t="str">
        <x:v>UN</x:v>
      </x:c>
      <x:c r="C1921" s="2"/>
      <x:c r="D1921" s="2"/>
      <x:c r="E1921" s="10"/>
      <x:c r="F1921" s="11"/>
      <x:c r="G1921" s="11" t="n">
        <x:v>0</x:v>
      </x:c>
      <x:c r="H1921" s="11" t="n">
        <x:v>0</x:v>
      </x:c>
      <x:c r="I1921" s="11"/>
      <x:c r="J1921" s="11"/>
      <x:c r="K1921" s="11" t="n">
        <x:v>0</x:v>
      </x:c>
      <x:c r="L1921" s="11" t="n">
        <x:f>IF(B1921="NED",1,IF(OR(B1921="ED",B1921="UN"),0,""))</x:f>
        <x:v>0</x:v>
      </x:c>
      <x:c r="M1921" s="11" t="n">
        <x:f>IF(AND(K1921=1,OR(B1921="ED",B1921="NED")),1,0)</x:f>
        <x:v>0</x:v>
      </x:c>
      <x:c r="N1921" s="11" t="n">
        <x:f>IF(K1921=1,1,0)</x:f>
        <x:v>0</x:v>
      </x:c>
      <x:c r="O1921" s="12" t="str">
        <x:v>Require exact native accession match</x:v>
      </x:c>
      <x:c r="P1921" s="11" t="n">
        <x:v>0</x:v>
      </x:c>
      <x:c r="Q1921" s="12"/>
      <x:c r="R1921" s="12"/>
      <x:c r="S1921" s="11" t="n">
        <x:v>1449</x:v>
      </x:c>
      <x:c r="T1921" s="11"/>
    </x:row>
    <x:row r="1922" ht="23" customHeight="1">
      <x:c r="A1922" s="2" t="str">
        <x:v>Q8BJS8</x:v>
      </x:c>
      <x:c r="B1922" s="2" t="str">
        <x:v>UN</x:v>
      </x:c>
      <x:c r="C1922" s="2" t="n">
        <x:v>1</x:v>
      </x:c>
      <x:c r="D1922" s="2" t="n">
        <x:v>1</x:v>
      </x:c>
      <x:c r="E1922" s="10" t="n">
        <x:v>64.68900447427293</x:v>
      </x:c>
      <x:c r="F1922" s="11" t="n">
        <x:v>894</x:v>
      </x:c>
      <x:c r="G1922" s="11" t="n">
        <x:v>0</x:v>
      </x:c>
      <x:c r="H1922" s="11" t="n">
        <x:v>0</x:v>
      </x:c>
      <x:c r="I1922" s="11" t="n">
        <x:v>0</x:v>
      </x:c>
      <x:c r="J1922" s="11" t="n">
        <x:v>0</x:v>
      </x:c>
      <x:c r="K1922" s="11" t="n">
        <x:v>0</x:v>
      </x:c>
      <x:c r="L1922" s="11" t="n">
        <x:f>IF(B1922="NED",1,IF(OR(B1922="ED",B1922="UN"),0,""))</x:f>
        <x:v>0</x:v>
      </x:c>
      <x:c r="M1922" s="11" t="n">
        <x:f>IF(AND(K1922=1,OR(B1922="ED",B1922="NED")),1,0)</x:f>
        <x:v>0</x:v>
      </x:c>
      <x:c r="N1922" s="11" t="n">
        <x:f>IF(K1922=1,1,0)</x:f>
        <x:v>0</x:v>
      </x:c>
      <x:c r="O1922" s="12" t="str">
        <x:v>Retain protein mean pLDDT &gt;=70</x:v>
      </x:c>
      <x:c r="P1922" s="11" t="n">
        <x:v>0</x:v>
      </x:c>
      <x:c r="Q1922" s="12" t="str">
        <x:v>AF-Q8BJS8-F1-model_v6</x:v>
      </x:c>
      <x:c r="R1922" s="12" t="str">
        <x:v>ok</x:v>
      </x:c>
      <x:c r="S1922" s="11" t="n">
        <x:v>1450</x:v>
      </x:c>
      <x:c r="T1922" s="11" t="n">
        <x:v>894</x:v>
      </x:c>
    </x:row>
    <x:row r="1923" ht="23" customHeight="1">
      <x:c r="A1923" s="2" t="str">
        <x:v>Q8BJU0-2</x:v>
      </x:c>
      <x:c r="B1923" s="2" t="str">
        <x:v>ED</x:v>
      </x:c>
      <x:c r="C1923" s="2"/>
      <x:c r="D1923" s="2"/>
      <x:c r="E1923" s="10"/>
      <x:c r="F1923" s="11"/>
      <x:c r="G1923" s="11" t="n">
        <x:v>0</x:v>
      </x:c>
      <x:c r="H1923" s="11" t="n">
        <x:v>0</x:v>
      </x:c>
      <x:c r="I1923" s="11"/>
      <x:c r="J1923" s="11"/>
      <x:c r="K1923" s="11" t="n">
        <x:v>0</x:v>
      </x:c>
      <x:c r="L1923" s="11" t="n">
        <x:f>IF(B1923="NED",1,IF(OR(B1923="ED",B1923="UN"),0,""))</x:f>
        <x:v>0</x:v>
      </x:c>
      <x:c r="M1923" s="11" t="n">
        <x:f>IF(AND(K1923=1,OR(B1923="ED",B1923="NED")),1,0)</x:f>
        <x:v>0</x:v>
      </x:c>
      <x:c r="N1923" s="11" t="n">
        <x:f>IF(K1923=1,1,0)</x:f>
        <x:v>0</x:v>
      </x:c>
      <x:c r="O1923" s="12" t="str">
        <x:v>Require exact native accession match</x:v>
      </x:c>
      <x:c r="P1923" s="11" t="n">
        <x:v>0</x:v>
      </x:c>
      <x:c r="Q1923" s="12"/>
      <x:c r="R1923" s="12"/>
      <x:c r="S1923" s="11" t="n">
        <x:v>1451</x:v>
      </x:c>
      <x:c r="T1923" s="11"/>
    </x:row>
    <x:row r="1924" ht="23" customHeight="1">
      <x:c r="A1924" s="2" t="str">
        <x:v>Q8BJW5</x:v>
      </x:c>
      <x:c r="B1924" s="2" t="str">
        <x:v>UN</x:v>
      </x:c>
      <x:c r="C1924" s="2" t="n">
        <x:v>1</x:v>
      </x:c>
      <x:c r="D1924" s="2" t="n">
        <x:v>1</x:v>
      </x:c>
      <x:c r="E1924" s="10" t="n">
        <x:v>78.0433195020747</x:v>
      </x:c>
      <x:c r="F1924" s="11" t="n">
        <x:v>723</x:v>
      </x:c>
      <x:c r="G1924" s="11" t="n">
        <x:v>0</x:v>
      </x:c>
      <x:c r="H1924" s="11" t="n">
        <x:v>0</x:v>
      </x:c>
      <x:c r="I1924" s="11" t="n">
        <x:v>0</x:v>
      </x:c>
      <x:c r="J1924" s="11" t="n">
        <x:v>0</x:v>
      </x:c>
      <x:c r="K1924" s="11" t="n">
        <x:v>1</x:v>
      </x:c>
      <x:c r="L1924" s="11" t="n">
        <x:f>IF(B1924="NED",1,IF(OR(B1924="ED",B1924="UN"),0,""))</x:f>
        <x:v>0</x:v>
      </x:c>
      <x:c r="M1924" s="11" t="n">
        <x:f>IF(AND(K1924=1,OR(B1924="ED",B1924="NED")),1,0)</x:f>
        <x:v>0</x:v>
      </x:c>
      <x:c r="N1924" s="11" t="n">
        <x:f>IF(K1924=1,1,0)</x:f>
        <x:v>1</x:v>
      </x:c>
      <x:c r="O1924" s="12"/>
      <x:c r="P1924" s="11" t="n">
        <x:v>0</x:v>
      </x:c>
      <x:c r="Q1924" s="12" t="str">
        <x:v>AF-Q8BJW5-F1-model_v6</x:v>
      </x:c>
      <x:c r="R1924" s="12" t="str">
        <x:v>ok</x:v>
      </x:c>
      <x:c r="S1924" s="11" t="n">
        <x:v>1452</x:v>
      </x:c>
      <x:c r="T1924" s="11" t="n">
        <x:v>723</x:v>
      </x:c>
    </x:row>
    <x:row r="1925" ht="23" customHeight="1">
      <x:c r="A1925" s="2" t="str">
        <x:v>Q8BJW6</x:v>
      </x:c>
      <x:c r="B1925" s="2" t="str">
        <x:v>ED</x:v>
      </x:c>
      <x:c r="C1925" s="2" t="n">
        <x:v>1</x:v>
      </x:c>
      <x:c r="D1925" s="2" t="n">
        <x:v>1</x:v>
      </x:c>
      <x:c r="E1925" s="10" t="n">
        <x:v>86.7091222030981</x:v>
      </x:c>
      <x:c r="F1925" s="11" t="n">
        <x:v>581</x:v>
      </x:c>
      <x:c r="G1925" s="11" t="n">
        <x:v>0</x:v>
      </x:c>
      <x:c r="H1925" s="11" t="n">
        <x:v>0</x:v>
      </x:c>
      <x:c r="I1925" s="11" t="n">
        <x:v>0</x:v>
      </x:c>
      <x:c r="J1925" s="11" t="n">
        <x:v>0</x:v>
      </x:c>
      <x:c r="K1925" s="11" t="n">
        <x:v>1</x:v>
      </x:c>
      <x:c r="L1925" s="11" t="n">
        <x:f>IF(B1925="NED",1,IF(OR(B1925="ED",B1925="UN"),0,""))</x:f>
        <x:v>0</x:v>
      </x:c>
      <x:c r="M1925" s="11" t="n">
        <x:f>IF(AND(K1925=1,OR(B1925="ED",B1925="NED")),1,0)</x:f>
        <x:v>1</x:v>
      </x:c>
      <x:c r="N1925" s="11" t="n">
        <x:f>IF(K1925=1,1,0)</x:f>
        <x:v>1</x:v>
      </x:c>
      <x:c r="O1925" s="12"/>
      <x:c r="P1925" s="11" t="n">
        <x:v>0</x:v>
      </x:c>
      <x:c r="Q1925" s="12" t="str">
        <x:v>AF-Q8BJW6-F1-model_v6</x:v>
      </x:c>
      <x:c r="R1925" s="12" t="str">
        <x:v>ok</x:v>
      </x:c>
      <x:c r="S1925" s="11" t="n">
        <x:v>1453</x:v>
      </x:c>
      <x:c r="T1925" s="11" t="n">
        <x:v>581</x:v>
      </x:c>
    </x:row>
    <x:row r="1926" ht="23" customHeight="1">
      <x:c r="A1926" s="2" t="str">
        <x:v>Q8BJY1</x:v>
      </x:c>
      <x:c r="B1926" s="2" t="str">
        <x:v>ED</x:v>
      </x:c>
      <x:c r="C1926" s="2" t="n">
        <x:v>0</x:v>
      </x:c>
      <x:c r="D1926" s="2" t="n">
        <x:v>0</x:v>
      </x:c>
      <x:c r="E1926" s="10" t="n">
        <x:v>93.90674603174604</x:v>
      </x:c>
      <x:c r="F1926" s="11" t="n">
        <x:v>504</x:v>
      </x:c>
      <x:c r="G1926" s="11" t="n">
        <x:v>0</x:v>
      </x:c>
      <x:c r="H1926" s="11" t="n">
        <x:v>0</x:v>
      </x:c>
      <x:c r="I1926" s="11" t="n">
        <x:v>0</x:v>
      </x:c>
      <x:c r="J1926" s="11" t="n">
        <x:v>0</x:v>
      </x:c>
      <x:c r="K1926" s="11" t="n">
        <x:v>1</x:v>
      </x:c>
      <x:c r="L1926" s="11" t="n">
        <x:f>IF(B1926="NED",1,IF(OR(B1926="ED",B1926="UN"),0,""))</x:f>
        <x:v>0</x:v>
      </x:c>
      <x:c r="M1926" s="11" t="n">
        <x:f>IF(AND(K1926=1,OR(B1926="ED",B1926="NED")),1,0)</x:f>
        <x:v>1</x:v>
      </x:c>
      <x:c r="N1926" s="11" t="n">
        <x:f>IF(K1926=1,1,0)</x:f>
        <x:v>1</x:v>
      </x:c>
      <x:c r="O1926" s="12"/>
      <x:c r="P1926" s="11" t="n">
        <x:v>0</x:v>
      </x:c>
      <x:c r="Q1926" s="12" t="str">
        <x:v>AF-Q8BJY1-F1-model_v6</x:v>
      </x:c>
      <x:c r="R1926" s="12" t="str">
        <x:v>ok</x:v>
      </x:c>
      <x:c r="S1926" s="11" t="n">
        <x:v>1454</x:v>
      </x:c>
      <x:c r="T1926" s="11" t="n">
        <x:v>504</x:v>
      </x:c>
    </x:row>
    <x:row r="1927" ht="23" customHeight="1">
      <x:c r="A1927" s="2" t="str">
        <x:v>Q8BJZ0</x:v>
      </x:c>
      <x:c r="B1927" s="2" t="str">
        <x:v>UN</x:v>
      </x:c>
      <x:c r="C1927" s="2"/>
      <x:c r="D1927" s="2"/>
      <x:c r="E1927" s="10"/>
      <x:c r="F1927" s="11"/>
      <x:c r="G1927" s="11" t="n">
        <x:v>0</x:v>
      </x:c>
      <x:c r="H1927" s="11" t="n">
        <x:v>0</x:v>
      </x:c>
      <x:c r="I1927" s="11" t="n">
        <x:v>0</x:v>
      </x:c>
      <x:c r="J1927" s="11" t="n">
        <x:v>0</x:v>
      </x:c>
      <x:c r="K1927" s="11" t="n">
        <x:v>0</x:v>
      </x:c>
      <x:c r="L1927" s="11" t="n">
        <x:f>IF(B1927="NED",1,IF(OR(B1927="ED",B1927="UN"),0,""))</x:f>
        <x:v>0</x:v>
      </x:c>
      <x:c r="M1927" s="11" t="n">
        <x:f>IF(AND(K1927=1,OR(B1927="ED",B1927="NED")),1,0)</x:f>
        <x:v>0</x:v>
      </x:c>
      <x:c r="N1927" s="11" t="n">
        <x:f>IF(K1927=1,1,0)</x:f>
        <x:v>0</x:v>
      </x:c>
      <x:c r="O1927" s="12" t="str">
        <x:v>Require exact native accession match</x:v>
      </x:c>
      <x:c r="P1927" s="11" t="n">
        <x:v>0</x:v>
      </x:c>
      <x:c r="Q1927" s="12"/>
      <x:c r="R1927" s="12"/>
      <x:c r="S1927" s="11" t="n">
        <x:v>3215</x:v>
      </x:c>
      <x:c r="T1927" s="11" t="n">
        <x:v>548</x:v>
      </x:c>
    </x:row>
    <x:row r="1928" ht="23" customHeight="1">
      <x:c r="A1928" s="2" t="str">
        <x:v>Q8BJZ4</x:v>
      </x:c>
      <x:c r="B1928" s="2" t="str">
        <x:v>UN</x:v>
      </x:c>
      <x:c r="C1928" s="2" t="n">
        <x:v>0</x:v>
      </x:c>
      <x:c r="D1928" s="2" t="n">
        <x:v>0</x:v>
      </x:c>
      <x:c r="E1928" s="10" t="n">
        <x:v>87.75915625</x:v>
      </x:c>
      <x:c r="F1928" s="11" t="n">
        <x:v>320</x:v>
      </x:c>
      <x:c r="G1928" s="11" t="n">
        <x:v>0</x:v>
      </x:c>
      <x:c r="H1928" s="11" t="n">
        <x:v>0</x:v>
      </x:c>
      <x:c r="I1928" s="11" t="n">
        <x:v>0</x:v>
      </x:c>
      <x:c r="J1928" s="11" t="n">
        <x:v>0</x:v>
      </x:c>
      <x:c r="K1928" s="11" t="n">
        <x:v>1</x:v>
      </x:c>
      <x:c r="L1928" s="11" t="n">
        <x:f>IF(B1928="NED",1,IF(OR(B1928="ED",B1928="UN"),0,""))</x:f>
        <x:v>0</x:v>
      </x:c>
      <x:c r="M1928" s="11" t="n">
        <x:f>IF(AND(K1928=1,OR(B1928="ED",B1928="NED")),1,0)</x:f>
        <x:v>0</x:v>
      </x:c>
      <x:c r="N1928" s="11" t="n">
        <x:f>IF(K1928=1,1,0)</x:f>
        <x:v>1</x:v>
      </x:c>
      <x:c r="O1928" s="12"/>
      <x:c r="P1928" s="11" t="n">
        <x:v>0</x:v>
      </x:c>
      <x:c r="Q1928" s="12" t="str">
        <x:v>AF-Q8BJZ4-F1-model_v6</x:v>
      </x:c>
      <x:c r="R1928" s="12" t="str">
        <x:v>ok</x:v>
      </x:c>
      <x:c r="S1928" s="11" t="n">
        <x:v>1455</x:v>
      </x:c>
      <x:c r="T1928" s="11" t="n">
        <x:v>320</x:v>
      </x:c>
    </x:row>
    <x:row r="1929" ht="23" customHeight="1">
      <x:c r="A1929" s="2" t="str">
        <x:v>Q8BK35</x:v>
      </x:c>
      <x:c r="B1929" s="2" t="str">
        <x:v>ED</x:v>
      </x:c>
      <x:c r="C1929" s="2" t="n">
        <x:v>0</x:v>
      </x:c>
      <x:c r="D1929" s="2" t="n">
        <x:v>0</x:v>
      </x:c>
      <x:c r="E1929" s="10" t="n">
        <x:v>77.62568181818182</x:v>
      </x:c>
      <x:c r="F1929" s="11" t="n">
        <x:v>484</x:v>
      </x:c>
      <x:c r="G1929" s="11" t="n">
        <x:v>0</x:v>
      </x:c>
      <x:c r="H1929" s="11" t="n">
        <x:v>0</x:v>
      </x:c>
      <x:c r="I1929" s="11" t="n">
        <x:v>0</x:v>
      </x:c>
      <x:c r="J1929" s="11" t="n">
        <x:v>0</x:v>
      </x:c>
      <x:c r="K1929" s="11" t="n">
        <x:v>1</x:v>
      </x:c>
      <x:c r="L1929" s="11" t="n">
        <x:f>IF(B1929="NED",1,IF(OR(B1929="ED",B1929="UN"),0,""))</x:f>
        <x:v>0</x:v>
      </x:c>
      <x:c r="M1929" s="11" t="n">
        <x:f>IF(AND(K1929=1,OR(B1929="ED",B1929="NED")),1,0)</x:f>
        <x:v>1</x:v>
      </x:c>
      <x:c r="N1929" s="11" t="n">
        <x:f>IF(K1929=1,1,0)</x:f>
        <x:v>1</x:v>
      </x:c>
      <x:c r="O1929" s="12"/>
      <x:c r="P1929" s="11" t="n">
        <x:v>0</x:v>
      </x:c>
      <x:c r="Q1929" s="12" t="str">
        <x:v>AF-Q8BK35-F1-model_v6</x:v>
      </x:c>
      <x:c r="R1929" s="12" t="str">
        <x:v>ok</x:v>
      </x:c>
      <x:c r="S1929" s="11" t="n">
        <x:v>3216</x:v>
      </x:c>
      <x:c r="T1929" s="11" t="n">
        <x:v>484</x:v>
      </x:c>
    </x:row>
    <x:row r="1930" ht="23" customHeight="1">
      <x:c r="A1930" s="2" t="str">
        <x:v>Q8BK63-2</x:v>
      </x:c>
      <x:c r="B1930" s="2" t="str">
        <x:v>UN</x:v>
      </x:c>
      <x:c r="C1930" s="2"/>
      <x:c r="D1930" s="2"/>
      <x:c r="E1930" s="10"/>
      <x:c r="F1930" s="11"/>
      <x:c r="G1930" s="11" t="n">
        <x:v>0</x:v>
      </x:c>
      <x:c r="H1930" s="11" t="n">
        <x:v>0</x:v>
      </x:c>
      <x:c r="I1930" s="11"/>
      <x:c r="J1930" s="11"/>
      <x:c r="K1930" s="11" t="n">
        <x:v>0</x:v>
      </x:c>
      <x:c r="L1930" s="11" t="n">
        <x:f>IF(B1930="NED",1,IF(OR(B1930="ED",B1930="UN"),0,""))</x:f>
        <x:v>0</x:v>
      </x:c>
      <x:c r="M1930" s="11" t="n">
        <x:f>IF(AND(K1930=1,OR(B1930="ED",B1930="NED")),1,0)</x:f>
        <x:v>0</x:v>
      </x:c>
      <x:c r="N1930" s="11" t="n">
        <x:f>IF(K1930=1,1,0)</x:f>
        <x:v>0</x:v>
      </x:c>
      <x:c r="O1930" s="12" t="str">
        <x:v>Require exact native accession match</x:v>
      </x:c>
      <x:c r="P1930" s="11" t="n">
        <x:v>0</x:v>
      </x:c>
      <x:c r="Q1930" s="12"/>
      <x:c r="R1930" s="12"/>
      <x:c r="S1930" s="11" t="n">
        <x:v>1456</x:v>
      </x:c>
      <x:c r="T1930" s="11"/>
    </x:row>
    <x:row r="1931" ht="23" customHeight="1">
      <x:c r="A1931" s="2" t="str">
        <x:v>Q8BK64</x:v>
      </x:c>
      <x:c r="B1931" s="2" t="str">
        <x:v>ED</x:v>
      </x:c>
      <x:c r="C1931" s="2" t="n">
        <x:v>1</x:v>
      </x:c>
      <x:c r="D1931" s="2" t="n">
        <x:v>1</x:v>
      </x:c>
      <x:c r="E1931" s="10" t="n">
        <x:v>80.68707100591716</x:v>
      </x:c>
      <x:c r="F1931" s="11" t="n">
        <x:v>338</x:v>
      </x:c>
      <x:c r="G1931" s="11" t="n">
        <x:v>0</x:v>
      </x:c>
      <x:c r="H1931" s="11" t="n">
        <x:v>0</x:v>
      </x:c>
      <x:c r="I1931" s="11" t="n">
        <x:v>0</x:v>
      </x:c>
      <x:c r="J1931" s="11" t="n">
        <x:v>0</x:v>
      </x:c>
      <x:c r="K1931" s="11" t="n">
        <x:v>1</x:v>
      </x:c>
      <x:c r="L1931" s="11" t="n">
        <x:f>IF(B1931="NED",1,IF(OR(B1931="ED",B1931="UN"),0,""))</x:f>
        <x:v>0</x:v>
      </x:c>
      <x:c r="M1931" s="11" t="n">
        <x:f>IF(AND(K1931=1,OR(B1931="ED",B1931="NED")),1,0)</x:f>
        <x:v>1</x:v>
      </x:c>
      <x:c r="N1931" s="11" t="n">
        <x:f>IF(K1931=1,1,0)</x:f>
        <x:v>1</x:v>
      </x:c>
      <x:c r="O1931" s="12"/>
      <x:c r="P1931" s="11" t="n">
        <x:v>0</x:v>
      </x:c>
      <x:c r="Q1931" s="12" t="str">
        <x:v>AF-Q8BK64-F1-model_v6</x:v>
      </x:c>
      <x:c r="R1931" s="12" t="str">
        <x:v>ok</x:v>
      </x:c>
      <x:c r="S1931" s="11" t="n">
        <x:v>1457</x:v>
      </x:c>
      <x:c r="T1931" s="11" t="n">
        <x:v>338</x:v>
      </x:c>
    </x:row>
    <x:row r="1932" ht="23" customHeight="1">
      <x:c r="A1932" s="2" t="str">
        <x:v>Q8BK67</x:v>
      </x:c>
      <x:c r="B1932" s="2" t="str">
        <x:v>ED</x:v>
      </x:c>
      <x:c r="C1932" s="2" t="n">
        <x:v>1</x:v>
      </x:c>
      <x:c r="D1932" s="2" t="n">
        <x:v>1</x:v>
      </x:c>
      <x:c r="E1932" s="10"/>
      <x:c r="F1932" s="11" t="n">
        <x:v>520</x:v>
      </x:c>
      <x:c r="G1932" s="11" t="n">
        <x:v>0</x:v>
      </x:c>
      <x:c r="H1932" s="11" t="n">
        <x:v>0</x:v>
      </x:c>
      <x:c r="I1932" s="11" t="n">
        <x:v>1</x:v>
      </x:c>
      <x:c r="J1932" s="11" t="n">
        <x:v>0</x:v>
      </x:c>
      <x:c r="K1932" s="11" t="n">
        <x:v>0</x:v>
      </x:c>
      <x:c r="L1932" s="11" t="n">
        <x:f>IF(B1932="NED",1,IF(OR(B1932="ED",B1932="UN"),0,""))</x:f>
        <x:v>0</x:v>
      </x:c>
      <x:c r="M1932" s="11" t="n">
        <x:f>IF(AND(K1932=1,OR(B1932="ED",B1932="NED")),1,0)</x:f>
        <x:v>0</x:v>
      </x:c>
      <x:c r="N1932" s="11" t="n">
        <x:f>IF(K1932=1,1,0)</x:f>
        <x:v>0</x:v>
      </x:c>
      <x:c r="O1932" s="12" t="str">
        <x:v>Exclude UniProt Membrane keyword</x:v>
      </x:c>
      <x:c r="P1932" s="11" t="n">
        <x:v>0</x:v>
      </x:c>
      <x:c r="Q1932" s="12" t="str">
        <x:v>AF-Q8BK67-F1-model_v6</x:v>
      </x:c>
      <x:c r="R1932" s="12" t="str">
        <x:v>ok</x:v>
      </x:c>
      <x:c r="S1932" s="11" t="n">
        <x:v>1458</x:v>
      </x:c>
      <x:c r="T1932" s="11" t="n">
        <x:v>520</x:v>
      </x:c>
    </x:row>
    <x:row r="1933" ht="23" customHeight="1">
      <x:c r="A1933" s="2" t="str">
        <x:v>Q8BKC5</x:v>
      </x:c>
      <x:c r="B1933" s="2" t="str">
        <x:v>UN</x:v>
      </x:c>
      <x:c r="C1933" s="2" t="n">
        <x:v>0</x:v>
      </x:c>
      <x:c r="D1933" s="2" t="n">
        <x:v>0</x:v>
      </x:c>
      <x:c r="E1933" s="10" t="n">
        <x:v>92.8328258887876</x:v>
      </x:c>
      <x:c r="F1933" s="11" t="n">
        <x:v>1097</x:v>
      </x:c>
      <x:c r="G1933" s="11" t="n">
        <x:v>0</x:v>
      </x:c>
      <x:c r="H1933" s="11" t="n">
        <x:v>0</x:v>
      </x:c>
      <x:c r="I1933" s="11" t="n">
        <x:v>0</x:v>
      </x:c>
      <x:c r="J1933" s="11" t="n">
        <x:v>0</x:v>
      </x:c>
      <x:c r="K1933" s="11" t="n">
        <x:v>1</x:v>
      </x:c>
      <x:c r="L1933" s="11" t="n">
        <x:f>IF(B1933="NED",1,IF(OR(B1933="ED",B1933="UN"),0,""))</x:f>
        <x:v>0</x:v>
      </x:c>
      <x:c r="M1933" s="11" t="n">
        <x:f>IF(AND(K1933=1,OR(B1933="ED",B1933="NED")),1,0)</x:f>
        <x:v>0</x:v>
      </x:c>
      <x:c r="N1933" s="11" t="n">
        <x:f>IF(K1933=1,1,0)</x:f>
        <x:v>1</x:v>
      </x:c>
      <x:c r="O1933" s="12"/>
      <x:c r="P1933" s="11" t="n">
        <x:v>0</x:v>
      </x:c>
      <x:c r="Q1933" s="12" t="str">
        <x:v>AF-Q8BKC5-F1-model_v6</x:v>
      </x:c>
      <x:c r="R1933" s="12" t="str">
        <x:v>ok</x:v>
      </x:c>
      <x:c r="S1933" s="11" t="n">
        <x:v>1459</x:v>
      </x:c>
      <x:c r="T1933" s="11" t="n">
        <x:v>1097</x:v>
      </x:c>
    </x:row>
    <x:row r="1934" ht="23" customHeight="1">
      <x:c r="A1934" s="2" t="str">
        <x:v>Q8BKC8-2</x:v>
      </x:c>
      <x:c r="B1934" s="2" t="str">
        <x:v>ED</x:v>
      </x:c>
      <x:c r="C1934" s="2"/>
      <x:c r="D1934" s="2"/>
      <x:c r="E1934" s="10"/>
      <x:c r="F1934" s="11"/>
      <x:c r="G1934" s="11" t="n">
        <x:v>0</x:v>
      </x:c>
      <x:c r="H1934" s="11" t="n">
        <x:v>0</x:v>
      </x:c>
      <x:c r="I1934" s="11"/>
      <x:c r="J1934" s="11"/>
      <x:c r="K1934" s="11" t="n">
        <x:v>0</x:v>
      </x:c>
      <x:c r="L1934" s="11" t="n">
        <x:f>IF(B1934="NED",1,IF(OR(B1934="ED",B1934="UN"),0,""))</x:f>
        <x:v>0</x:v>
      </x:c>
      <x:c r="M1934" s="11" t="n">
        <x:f>IF(AND(K1934=1,OR(B1934="ED",B1934="NED")),1,0)</x:f>
        <x:v>0</x:v>
      </x:c>
      <x:c r="N1934" s="11" t="n">
        <x:f>IF(K1934=1,1,0)</x:f>
        <x:v>0</x:v>
      </x:c>
      <x:c r="O1934" s="12" t="str">
        <x:v>Require exact native accession match</x:v>
      </x:c>
      <x:c r="P1934" s="11" t="n">
        <x:v>0</x:v>
      </x:c>
      <x:c r="Q1934" s="12"/>
      <x:c r="R1934" s="12"/>
      <x:c r="S1934" s="11" t="n">
        <x:v>1460</x:v>
      </x:c>
      <x:c r="T1934" s="11"/>
    </x:row>
    <x:row r="1935" ht="23" customHeight="1">
      <x:c r="A1935" s="2" t="str">
        <x:v>Q8BKE6</x:v>
      </x:c>
      <x:c r="B1935" s="2" t="str">
        <x:v>ED</x:v>
      </x:c>
      <x:c r="C1935" s="2" t="n">
        <x:v>1</x:v>
      </x:c>
      <x:c r="D1935" s="2" t="n">
        <x:v>1</x:v>
      </x:c>
      <x:c r="E1935" s="10"/>
      <x:c r="F1935" s="11" t="n">
        <x:v>462</x:v>
      </x:c>
      <x:c r="G1935" s="11" t="n">
        <x:v>0</x:v>
      </x:c>
      <x:c r="H1935" s="11" t="n">
        <x:v>0</x:v>
      </x:c>
      <x:c r="I1935" s="11" t="n">
        <x:v>1</x:v>
      </x:c>
      <x:c r="J1935" s="11" t="n">
        <x:v>0</x:v>
      </x:c>
      <x:c r="K1935" s="11" t="n">
        <x:v>0</x:v>
      </x:c>
      <x:c r="L1935" s="11" t="n">
        <x:f>IF(B1935="NED",1,IF(OR(B1935="ED",B1935="UN"),0,""))</x:f>
        <x:v>0</x:v>
      </x:c>
      <x:c r="M1935" s="11" t="n">
        <x:f>IF(AND(K1935=1,OR(B1935="ED",B1935="NED")),1,0)</x:f>
        <x:v>0</x:v>
      </x:c>
      <x:c r="N1935" s="11" t="n">
        <x:f>IF(K1935=1,1,0)</x:f>
        <x:v>0</x:v>
      </x:c>
      <x:c r="O1935" s="12" t="str">
        <x:v>Exclude UniProt Membrane keyword</x:v>
      </x:c>
      <x:c r="P1935" s="11" t="n">
        <x:v>0</x:v>
      </x:c>
      <x:c r="Q1935" s="12" t="str">
        <x:v>AF-Q8BKE6-F1-model_v6</x:v>
      </x:c>
      <x:c r="R1935" s="12" t="str">
        <x:v>ok</x:v>
      </x:c>
      <x:c r="S1935" s="11" t="n">
        <x:v>1461</x:v>
      </x:c>
      <x:c r="T1935" s="11" t="n">
        <x:v>462</x:v>
      </x:c>
    </x:row>
    <x:row r="1936" ht="23" customHeight="1">
      <x:c r="A1936" s="2" t="str">
        <x:v>Q8BKF1</x:v>
      </x:c>
      <x:c r="B1936" s="2" t="str">
        <x:v>UN</x:v>
      </x:c>
      <x:c r="C1936" s="2" t="n">
        <x:v>1</x:v>
      </x:c>
      <x:c r="D1936" s="2" t="n">
        <x:v>1</x:v>
      </x:c>
      <x:c r="E1936" s="10" t="n">
        <x:v>83.69624689312344</x:v>
      </x:c>
      <x:c r="F1936" s="11" t="n">
        <x:v>1207</x:v>
      </x:c>
      <x:c r="G1936" s="11" t="n">
        <x:v>0</x:v>
      </x:c>
      <x:c r="H1936" s="11" t="n">
        <x:v>0</x:v>
      </x:c>
      <x:c r="I1936" s="11" t="n">
        <x:v>0</x:v>
      </x:c>
      <x:c r="J1936" s="11" t="n">
        <x:v>0</x:v>
      </x:c>
      <x:c r="K1936" s="11" t="n">
        <x:v>1</x:v>
      </x:c>
      <x:c r="L1936" s="11" t="n">
        <x:f>IF(B1936="NED",1,IF(OR(B1936="ED",B1936="UN"),0,""))</x:f>
        <x:v>0</x:v>
      </x:c>
      <x:c r="M1936" s="11" t="n">
        <x:f>IF(AND(K1936=1,OR(B1936="ED",B1936="NED")),1,0)</x:f>
        <x:v>0</x:v>
      </x:c>
      <x:c r="N1936" s="11" t="n">
        <x:f>IF(K1936=1,1,0)</x:f>
        <x:v>1</x:v>
      </x:c>
      <x:c r="O1936" s="12"/>
      <x:c r="P1936" s="11" t="n">
        <x:v>0</x:v>
      </x:c>
      <x:c r="Q1936" s="12" t="str">
        <x:v>AF-Q8BKF1-F1-model_v6</x:v>
      </x:c>
      <x:c r="R1936" s="12" t="str">
        <x:v>ok</x:v>
      </x:c>
      <x:c r="S1936" s="11" t="n">
        <x:v>1462</x:v>
      </x:c>
      <x:c r="T1936" s="11" t="n">
        <x:v>1207</x:v>
      </x:c>
    </x:row>
    <x:row r="1937" ht="23" customHeight="1">
      <x:c r="A1937" s="2" t="str">
        <x:v>Q8BKH7-2</x:v>
      </x:c>
      <x:c r="B1937" s="2" t="str">
        <x:v>ED</x:v>
      </x:c>
      <x:c r="C1937" s="2"/>
      <x:c r="D1937" s="2"/>
      <x:c r="E1937" s="10"/>
      <x:c r="F1937" s="11"/>
      <x:c r="G1937" s="11" t="n">
        <x:v>0</x:v>
      </x:c>
      <x:c r="H1937" s="11" t="n">
        <x:v>0</x:v>
      </x:c>
      <x:c r="I1937" s="11"/>
      <x:c r="J1937" s="11"/>
      <x:c r="K1937" s="11" t="n">
        <x:v>0</x:v>
      </x:c>
      <x:c r="L1937" s="11" t="n">
        <x:f>IF(B1937="NED",1,IF(OR(B1937="ED",B1937="UN"),0,""))</x:f>
        <x:v>0</x:v>
      </x:c>
      <x:c r="M1937" s="11" t="n">
        <x:f>IF(AND(K1937=1,OR(B1937="ED",B1937="NED")),1,0)</x:f>
        <x:v>0</x:v>
      </x:c>
      <x:c r="N1937" s="11" t="n">
        <x:f>IF(K1937=1,1,0)</x:f>
        <x:v>0</x:v>
      </x:c>
      <x:c r="O1937" s="12" t="str">
        <x:v>Require exact native accession match</x:v>
      </x:c>
      <x:c r="P1937" s="11" t="n">
        <x:v>0</x:v>
      </x:c>
      <x:c r="Q1937" s="12"/>
      <x:c r="R1937" s="12"/>
      <x:c r="S1937" s="11" t="n">
        <x:v>1463</x:v>
      </x:c>
      <x:c r="T1937" s="11"/>
    </x:row>
    <x:row r="1938" ht="23" customHeight="1">
      <x:c r="A1938" s="2" t="str">
        <x:v>Q8BKI2</x:v>
      </x:c>
      <x:c r="B1938" s="2" t="str">
        <x:v>ED</x:v>
      </x:c>
      <x:c r="C1938" s="2" t="n">
        <x:v>1</x:v>
      </x:c>
      <x:c r="D1938" s="2" t="n">
        <x:v>1</x:v>
      </x:c>
      <x:c r="E1938" s="10" t="n">
        <x:v>39.2776408839779</x:v>
      </x:c>
      <x:c r="F1938" s="11" t="n">
        <x:v>1810</x:v>
      </x:c>
      <x:c r="G1938" s="11" t="n">
        <x:v>0</x:v>
      </x:c>
      <x:c r="H1938" s="11" t="n">
        <x:v>0</x:v>
      </x:c>
      <x:c r="I1938" s="11" t="n">
        <x:v>0</x:v>
      </x:c>
      <x:c r="J1938" s="11" t="n">
        <x:v>0</x:v>
      </x:c>
      <x:c r="K1938" s="11" t="n">
        <x:v>0</x:v>
      </x:c>
      <x:c r="L1938" s="11" t="n">
        <x:f>IF(B1938="NED",1,IF(OR(B1938="ED",B1938="UN"),0,""))</x:f>
        <x:v>0</x:v>
      </x:c>
      <x:c r="M1938" s="11" t="n">
        <x:f>IF(AND(K1938=1,OR(B1938="ED",B1938="NED")),1,0)</x:f>
        <x:v>0</x:v>
      </x:c>
      <x:c r="N1938" s="11" t="n">
        <x:f>IF(K1938=1,1,0)</x:f>
        <x:v>0</x:v>
      </x:c>
      <x:c r="O1938" s="12" t="str">
        <x:v>Retain protein mean pLDDT &gt;=70</x:v>
      </x:c>
      <x:c r="P1938" s="11" t="n">
        <x:v>0</x:v>
      </x:c>
      <x:c r="Q1938" s="12" t="str">
        <x:v>AF-Q8BKI2-F1-model_v6</x:v>
      </x:c>
      <x:c r="R1938" s="12" t="str">
        <x:v>ok</x:v>
      </x:c>
      <x:c r="S1938" s="11" t="n">
        <x:v>1464</x:v>
      </x:c>
      <x:c r="T1938" s="11" t="n">
        <x:v>1810</x:v>
      </x:c>
    </x:row>
    <x:row r="1939" ht="23" customHeight="1">
      <x:c r="A1939" s="2" t="str">
        <x:v>Q8BKS9</x:v>
      </x:c>
      <x:c r="B1939" s="2" t="str">
        <x:v>NED</x:v>
      </x:c>
      <x:c r="C1939" s="2" t="n">
        <x:v>0</x:v>
      </x:c>
      <x:c r="D1939" s="2" t="n">
        <x:v>0</x:v>
      </x:c>
      <x:c r="E1939" s="10" t="n">
        <x:v>85.45210200927357</x:v>
      </x:c>
      <x:c r="F1939" s="11" t="n">
        <x:v>647</x:v>
      </x:c>
      <x:c r="G1939" s="11" t="n">
        <x:v>0</x:v>
      </x:c>
      <x:c r="H1939" s="11" t="n">
        <x:v>0</x:v>
      </x:c>
      <x:c r="I1939" s="11" t="n">
        <x:v>0</x:v>
      </x:c>
      <x:c r="J1939" s="11" t="n">
        <x:v>0</x:v>
      </x:c>
      <x:c r="K1939" s="11" t="n">
        <x:v>1</x:v>
      </x:c>
      <x:c r="L1939" s="11" t="n">
        <x:f>IF(B1939="NED",1,IF(OR(B1939="ED",B1939="UN"),0,""))</x:f>
        <x:v>1</x:v>
      </x:c>
      <x:c r="M1939" s="11" t="n">
        <x:f>IF(AND(K1939=1,OR(B1939="ED",B1939="NED")),1,0)</x:f>
        <x:v>1</x:v>
      </x:c>
      <x:c r="N1939" s="11" t="n">
        <x:f>IF(K1939=1,1,0)</x:f>
        <x:v>1</x:v>
      </x:c>
      <x:c r="O1939" s="12"/>
      <x:c r="P1939" s="11" t="n">
        <x:v>0</x:v>
      </x:c>
      <x:c r="Q1939" s="12" t="str">
        <x:v>AF-Q8BKS9-F1-model_v6</x:v>
      </x:c>
      <x:c r="R1939" s="12" t="str">
        <x:v>ok</x:v>
      </x:c>
      <x:c r="S1939" s="11" t="n">
        <x:v>1465</x:v>
      </x:c>
      <x:c r="T1939" s="11" t="n">
        <x:v>647</x:v>
      </x:c>
    </x:row>
    <x:row r="1940" ht="23" customHeight="1">
      <x:c r="A1940" s="2" t="str">
        <x:v>Q8BKT7</x:v>
      </x:c>
      <x:c r="B1940" s="2" t="str">
        <x:v>ED</x:v>
      </x:c>
      <x:c r="C1940" s="2" t="n">
        <x:v>1</x:v>
      </x:c>
      <x:c r="D1940" s="2" t="n">
        <x:v>1</x:v>
      </x:c>
      <x:c r="E1940" s="10" t="n">
        <x:v>82.96238653001464</x:v>
      </x:c>
      <x:c r="F1940" s="11" t="n">
        <x:v>683</x:v>
      </x:c>
      <x:c r="G1940" s="11" t="n">
        <x:v>0</x:v>
      </x:c>
      <x:c r="H1940" s="11" t="n">
        <x:v>0</x:v>
      </x:c>
      <x:c r="I1940" s="11" t="n">
        <x:v>0</x:v>
      </x:c>
      <x:c r="J1940" s="11" t="n">
        <x:v>0</x:v>
      </x:c>
      <x:c r="K1940" s="11" t="n">
        <x:v>1</x:v>
      </x:c>
      <x:c r="L1940" s="11" t="n">
        <x:f>IF(B1940="NED",1,IF(OR(B1940="ED",B1940="UN"),0,""))</x:f>
        <x:v>0</x:v>
      </x:c>
      <x:c r="M1940" s="11" t="n">
        <x:f>IF(AND(K1940=1,OR(B1940="ED",B1940="NED")),1,0)</x:f>
        <x:v>1</x:v>
      </x:c>
      <x:c r="N1940" s="11" t="n">
        <x:f>IF(K1940=1,1,0)</x:f>
        <x:v>1</x:v>
      </x:c>
      <x:c r="O1940" s="12"/>
      <x:c r="P1940" s="11" t="n">
        <x:v>0</x:v>
      </x:c>
      <x:c r="Q1940" s="12" t="str">
        <x:v>AF-Q8BKT7-F1-model_v6</x:v>
      </x:c>
      <x:c r="R1940" s="12" t="str">
        <x:v>ok</x:v>
      </x:c>
      <x:c r="S1940" s="11" t="n">
        <x:v>1466</x:v>
      </x:c>
      <x:c r="T1940" s="11" t="n">
        <x:v>683</x:v>
      </x:c>
    </x:row>
    <x:row r="1941" ht="23" customHeight="1">
      <x:c r="A1941" s="2" t="str">
        <x:v>Q8BKX1</x:v>
      </x:c>
      <x:c r="B1941" s="2" t="str">
        <x:v>ED</x:v>
      </x:c>
      <x:c r="C1941" s="2" t="n">
        <x:v>1</x:v>
      </x:c>
      <x:c r="D1941" s="2" t="n">
        <x:v>1</x:v>
      </x:c>
      <x:c r="E1941" s="10"/>
      <x:c r="F1941" s="11" t="n">
        <x:v>535</x:v>
      </x:c>
      <x:c r="G1941" s="11" t="n">
        <x:v>0</x:v>
      </x:c>
      <x:c r="H1941" s="11" t="n">
        <x:v>0</x:v>
      </x:c>
      <x:c r="I1941" s="11" t="n">
        <x:v>1</x:v>
      </x:c>
      <x:c r="J1941" s="11" t="n">
        <x:v>0</x:v>
      </x:c>
      <x:c r="K1941" s="11" t="n">
        <x:v>0</x:v>
      </x:c>
      <x:c r="L1941" s="11" t="n">
        <x:f>IF(B1941="NED",1,IF(OR(B1941="ED",B1941="UN"),0,""))</x:f>
        <x:v>0</x:v>
      </x:c>
      <x:c r="M1941" s="11" t="n">
        <x:f>IF(AND(K1941=1,OR(B1941="ED",B1941="NED")),1,0)</x:f>
        <x:v>0</x:v>
      </x:c>
      <x:c r="N1941" s="11" t="n">
        <x:f>IF(K1941=1,1,0)</x:f>
        <x:v>0</x:v>
      </x:c>
      <x:c r="O1941" s="12" t="str">
        <x:v>Exclude UniProt Membrane keyword</x:v>
      </x:c>
      <x:c r="P1941" s="11" t="n">
        <x:v>0</x:v>
      </x:c>
      <x:c r="Q1941" s="12" t="str">
        <x:v>AF-Q8BKX1-F1-model_v6</x:v>
      </x:c>
      <x:c r="R1941" s="12" t="str">
        <x:v>ok</x:v>
      </x:c>
      <x:c r="S1941" s="11" t="n">
        <x:v>1467</x:v>
      </x:c>
      <x:c r="T1941" s="11" t="n">
        <x:v>535</x:v>
      </x:c>
    </x:row>
    <x:row r="1942" ht="23" customHeight="1">
      <x:c r="A1942" s="2" t="str">
        <x:v>Q8BKZ9</x:v>
      </x:c>
      <x:c r="B1942" s="2" t="str">
        <x:v>UN</x:v>
      </x:c>
      <x:c r="C1942" s="2" t="n">
        <x:v>1</x:v>
      </x:c>
      <x:c r="D1942" s="2" t="n">
        <x:v>1</x:v>
      </x:c>
      <x:c r="E1942" s="10" t="n">
        <x:v>75.09391217564871</x:v>
      </x:c>
      <x:c r="F1942" s="11" t="n">
        <x:v>501</x:v>
      </x:c>
      <x:c r="G1942" s="11" t="n">
        <x:v>0</x:v>
      </x:c>
      <x:c r="H1942" s="11" t="n">
        <x:v>0</x:v>
      </x:c>
      <x:c r="I1942" s="11" t="n">
        <x:v>0</x:v>
      </x:c>
      <x:c r="J1942" s="11" t="n">
        <x:v>0</x:v>
      </x:c>
      <x:c r="K1942" s="11" t="n">
        <x:v>1</x:v>
      </x:c>
      <x:c r="L1942" s="11" t="n">
        <x:f>IF(B1942="NED",1,IF(OR(B1942="ED",B1942="UN"),0,""))</x:f>
        <x:v>0</x:v>
      </x:c>
      <x:c r="M1942" s="11" t="n">
        <x:f>IF(AND(K1942=1,OR(B1942="ED",B1942="NED")),1,0)</x:f>
        <x:v>0</x:v>
      </x:c>
      <x:c r="N1942" s="11" t="n">
        <x:f>IF(K1942=1,1,0)</x:f>
        <x:v>1</x:v>
      </x:c>
      <x:c r="O1942" s="12"/>
      <x:c r="P1942" s="11" t="n">
        <x:v>0</x:v>
      </x:c>
      <x:c r="Q1942" s="12" t="str">
        <x:v>AF-Q8BKZ9-F1-model_v6</x:v>
      </x:c>
      <x:c r="R1942" s="12" t="str">
        <x:v>ok</x:v>
      </x:c>
      <x:c r="S1942" s="11" t="n">
        <x:v>1468</x:v>
      </x:c>
      <x:c r="T1942" s="11" t="n">
        <x:v>501</x:v>
      </x:c>
    </x:row>
    <x:row r="1943" ht="23" customHeight="1">
      <x:c r="A1943" s="2" t="str">
        <x:v>Q8BL97-3</x:v>
      </x:c>
      <x:c r="B1943" s="2" t="str">
        <x:v>UN</x:v>
      </x:c>
      <x:c r="C1943" s="2"/>
      <x:c r="D1943" s="2"/>
      <x:c r="E1943" s="10"/>
      <x:c r="F1943" s="11"/>
      <x:c r="G1943" s="11" t="n">
        <x:v>0</x:v>
      </x:c>
      <x:c r="H1943" s="11" t="n">
        <x:v>0</x:v>
      </x:c>
      <x:c r="I1943" s="11"/>
      <x:c r="J1943" s="11"/>
      <x:c r="K1943" s="11" t="n">
        <x:v>0</x:v>
      </x:c>
      <x:c r="L1943" s="11" t="n">
        <x:f>IF(B1943="NED",1,IF(OR(B1943="ED",B1943="UN"),0,""))</x:f>
        <x:v>0</x:v>
      </x:c>
      <x:c r="M1943" s="11" t="n">
        <x:f>IF(AND(K1943=1,OR(B1943="ED",B1943="NED")),1,0)</x:f>
        <x:v>0</x:v>
      </x:c>
      <x:c r="N1943" s="11" t="n">
        <x:f>IF(K1943=1,1,0)</x:f>
        <x:v>0</x:v>
      </x:c>
      <x:c r="O1943" s="12" t="str">
        <x:v>Require exact native accession match</x:v>
      </x:c>
      <x:c r="P1943" s="11" t="n">
        <x:v>0</x:v>
      </x:c>
      <x:c r="Q1943" s="12"/>
      <x:c r="R1943" s="12"/>
      <x:c r="S1943" s="11" t="n">
        <x:v>1469</x:v>
      </x:c>
      <x:c r="T1943" s="11"/>
    </x:row>
    <x:row r="1944" ht="23" customHeight="1">
      <x:c r="A1944" s="2" t="str">
        <x:v>Q8BLD4</x:v>
      </x:c>
      <x:c r="B1944" s="2" t="str">
        <x:v>ED</x:v>
      </x:c>
      <x:c r="C1944" s="2"/>
      <x:c r="D1944" s="2"/>
      <x:c r="E1944" s="10"/>
      <x:c r="F1944" s="11"/>
      <x:c r="G1944" s="11" t="n">
        <x:v>0</x:v>
      </x:c>
      <x:c r="H1944" s="11" t="n">
        <x:v>0</x:v>
      </x:c>
      <x:c r="I1944" s="11" t="n">
        <x:v>0</x:v>
      </x:c>
      <x:c r="J1944" s="11" t="n">
        <x:v>0</x:v>
      </x:c>
      <x:c r="K1944" s="11" t="n">
        <x:v>0</x:v>
      </x:c>
      <x:c r="L1944" s="11" t="n">
        <x:f>IF(B1944="NED",1,IF(OR(B1944="ED",B1944="UN"),0,""))</x:f>
        <x:v>0</x:v>
      </x:c>
      <x:c r="M1944" s="11" t="n">
        <x:f>IF(AND(K1944=1,OR(B1944="ED",B1944="NED")),1,0)</x:f>
        <x:v>0</x:v>
      </x:c>
      <x:c r="N1944" s="11" t="n">
        <x:f>IF(K1944=1,1,0)</x:f>
        <x:v>0</x:v>
      </x:c>
      <x:c r="O1944" s="12" t="str">
        <x:v>Require exact native accession match</x:v>
      </x:c>
      <x:c r="P1944" s="11" t="n">
        <x:v>0</x:v>
      </x:c>
      <x:c r="Q1944" s="12"/>
      <x:c r="R1944" s="12"/>
      <x:c r="S1944" s="11" t="n">
        <x:v>3217</x:v>
      </x:c>
      <x:c r="T1944" s="11" t="n">
        <x:v>298</x:v>
      </x:c>
    </x:row>
    <x:row r="1945" ht="23" customHeight="1">
      <x:c r="A1945" s="2" t="str">
        <x:v>Q8BLF1</x:v>
      </x:c>
      <x:c r="B1945" s="2" t="str">
        <x:v>UN</x:v>
      </x:c>
      <x:c r="C1945" s="2" t="n">
        <x:v>1</x:v>
      </x:c>
      <x:c r="D1945" s="2" t="n">
        <x:v>1</x:v>
      </x:c>
      <x:c r="E1945" s="10"/>
      <x:c r="F1945" s="11" t="n">
        <x:v>408</x:v>
      </x:c>
      <x:c r="G1945" s="11" t="n">
        <x:v>0</x:v>
      </x:c>
      <x:c r="H1945" s="11" t="n">
        <x:v>0</x:v>
      </x:c>
      <x:c r="I1945" s="11" t="n">
        <x:v>1</x:v>
      </x:c>
      <x:c r="J1945" s="11" t="n">
        <x:v>0</x:v>
      </x:c>
      <x:c r="K1945" s="11" t="n">
        <x:v>0</x:v>
      </x:c>
      <x:c r="L1945" s="11" t="n">
        <x:f>IF(B1945="NED",1,IF(OR(B1945="ED",B1945="UN"),0,""))</x:f>
        <x:v>0</x:v>
      </x:c>
      <x:c r="M1945" s="11" t="n">
        <x:f>IF(AND(K1945=1,OR(B1945="ED",B1945="NED")),1,0)</x:f>
        <x:v>0</x:v>
      </x:c>
      <x:c r="N1945" s="11" t="n">
        <x:f>IF(K1945=1,1,0)</x:f>
        <x:v>0</x:v>
      </x:c>
      <x:c r="O1945" s="12" t="str">
        <x:v>Exclude UniProt Membrane keyword</x:v>
      </x:c>
      <x:c r="P1945" s="11" t="n">
        <x:v>0</x:v>
      </x:c>
      <x:c r="Q1945" s="12" t="str">
        <x:v>AF-Q8BLF1-F1-model_v6</x:v>
      </x:c>
      <x:c r="R1945" s="12" t="str">
        <x:v>ok</x:v>
      </x:c>
      <x:c r="S1945" s="11" t="n">
        <x:v>1470</x:v>
      </x:c>
      <x:c r="T1945" s="11" t="n">
        <x:v>408</x:v>
      </x:c>
    </x:row>
    <x:row r="1946" ht="23" customHeight="1">
      <x:c r="A1946" s="2" t="str">
        <x:v>Q8BLG0-2</x:v>
      </x:c>
      <x:c r="B1946" s="2" t="str">
        <x:v>UN</x:v>
      </x:c>
      <x:c r="C1946" s="2"/>
      <x:c r="D1946" s="2"/>
      <x:c r="E1946" s="10"/>
      <x:c r="F1946" s="11"/>
      <x:c r="G1946" s="11" t="n">
        <x:v>0</x:v>
      </x:c>
      <x:c r="H1946" s="11" t="n">
        <x:v>0</x:v>
      </x:c>
      <x:c r="I1946" s="11"/>
      <x:c r="J1946" s="11"/>
      <x:c r="K1946" s="11" t="n">
        <x:v>0</x:v>
      </x:c>
      <x:c r="L1946" s="11" t="n">
        <x:f>IF(B1946="NED",1,IF(OR(B1946="ED",B1946="UN"),0,""))</x:f>
        <x:v>0</x:v>
      </x:c>
      <x:c r="M1946" s="11" t="n">
        <x:f>IF(AND(K1946=1,OR(B1946="ED",B1946="NED")),1,0)</x:f>
        <x:v>0</x:v>
      </x:c>
      <x:c r="N1946" s="11" t="n">
        <x:f>IF(K1946=1,1,0)</x:f>
        <x:v>0</x:v>
      </x:c>
      <x:c r="O1946" s="12" t="str">
        <x:v>Require exact native accession match</x:v>
      </x:c>
      <x:c r="P1946" s="11" t="n">
        <x:v>0</x:v>
      </x:c>
      <x:c r="Q1946" s="12"/>
      <x:c r="R1946" s="12"/>
      <x:c r="S1946" s="11" t="n">
        <x:v>1471</x:v>
      </x:c>
      <x:c r="T1946" s="11"/>
    </x:row>
    <x:row r="1947" ht="23" customHeight="1">
      <x:c r="A1947" s="2" t="str">
        <x:v>Q8BLU0</x:v>
      </x:c>
      <x:c r="B1947" s="2" t="str">
        <x:v>UN</x:v>
      </x:c>
      <x:c r="C1947" s="2" t="n">
        <x:v>1</x:v>
      </x:c>
      <x:c r="D1947" s="2" t="n">
        <x:v>1</x:v>
      </x:c>
      <x:c r="E1947" s="10"/>
      <x:c r="F1947" s="11" t="n">
        <x:v>660</x:v>
      </x:c>
      <x:c r="G1947" s="11" t="n">
        <x:v>0</x:v>
      </x:c>
      <x:c r="H1947" s="11" t="n">
        <x:v>0</x:v>
      </x:c>
      <x:c r="I1947" s="11" t="n">
        <x:v>1</x:v>
      </x:c>
      <x:c r="J1947" s="11" t="n">
        <x:v>1</x:v>
      </x:c>
      <x:c r="K1947" s="11" t="n">
        <x:v>0</x:v>
      </x:c>
      <x:c r="L1947" s="11" t="n">
        <x:f>IF(B1947="NED",1,IF(OR(B1947="ED",B1947="UN"),0,""))</x:f>
        <x:v>0</x:v>
      </x:c>
      <x:c r="M1947" s="11" t="n">
        <x:f>IF(AND(K1947=1,OR(B1947="ED",B1947="NED")),1,0)</x:f>
        <x:v>0</x:v>
      </x:c>
      <x:c r="N1947" s="11" t="n">
        <x:f>IF(K1947=1,1,0)</x:f>
        <x:v>0</x:v>
      </x:c>
      <x:c r="O1947" s="12" t="str">
        <x:v>Exclude UniProt Membrane keyword</x:v>
      </x:c>
      <x:c r="P1947" s="11" t="n">
        <x:v>0</x:v>
      </x:c>
      <x:c r="Q1947" s="12" t="str">
        <x:v>AF-Q8BLU0-F1-model_v6</x:v>
      </x:c>
      <x:c r="R1947" s="12" t="str">
        <x:v>ok</x:v>
      </x:c>
      <x:c r="S1947" s="11" t="n">
        <x:v>3218</x:v>
      </x:c>
      <x:c r="T1947" s="11" t="n">
        <x:v>660</x:v>
      </x:c>
    </x:row>
    <x:row r="1948" ht="23" customHeight="1">
      <x:c r="A1948" s="2" t="str">
        <x:v>Q8BLY2</x:v>
      </x:c>
      <x:c r="B1948" s="2" t="str">
        <x:v>ED</x:v>
      </x:c>
      <x:c r="C1948" s="2" t="n">
        <x:v>1</x:v>
      </x:c>
      <x:c r="D1948" s="2" t="n">
        <x:v>1</x:v>
      </x:c>
      <x:c r="E1948" s="10" t="n">
        <x:v>87.78975949367089</x:v>
      </x:c>
      <x:c r="F1948" s="11" t="n">
        <x:v>790</x:v>
      </x:c>
      <x:c r="G1948" s="11" t="n">
        <x:v>0</x:v>
      </x:c>
      <x:c r="H1948" s="11" t="n">
        <x:v>0</x:v>
      </x:c>
      <x:c r="I1948" s="11" t="n">
        <x:v>0</x:v>
      </x:c>
      <x:c r="J1948" s="11" t="n">
        <x:v>0</x:v>
      </x:c>
      <x:c r="K1948" s="11" t="n">
        <x:v>1</x:v>
      </x:c>
      <x:c r="L1948" s="11" t="n">
        <x:f>IF(B1948="NED",1,IF(OR(B1948="ED",B1948="UN"),0,""))</x:f>
        <x:v>0</x:v>
      </x:c>
      <x:c r="M1948" s="11" t="n">
        <x:f>IF(AND(K1948=1,OR(B1948="ED",B1948="NED")),1,0)</x:f>
        <x:v>1</x:v>
      </x:c>
      <x:c r="N1948" s="11" t="n">
        <x:f>IF(K1948=1,1,0)</x:f>
        <x:v>1</x:v>
      </x:c>
      <x:c r="O1948" s="12"/>
      <x:c r="P1948" s="11" t="n">
        <x:v>0</x:v>
      </x:c>
      <x:c r="Q1948" s="12" t="str">
        <x:v>AF-Q8BLY2-F1-model_v6</x:v>
      </x:c>
      <x:c r="R1948" s="12" t="str">
        <x:v>ok</x:v>
      </x:c>
      <x:c r="S1948" s="11" t="n">
        <x:v>1472</x:v>
      </x:c>
      <x:c r="T1948" s="11" t="n">
        <x:v>790</x:v>
      </x:c>
    </x:row>
    <x:row r="1949" ht="23" customHeight="1">
      <x:c r="A1949" s="2" t="str">
        <x:v>Q8BM39</x:v>
      </x:c>
      <x:c r="B1949" s="2" t="str">
        <x:v>ED</x:v>
      </x:c>
      <x:c r="C1949" s="2" t="n">
        <x:v>0</x:v>
      </x:c>
      <x:c r="D1949" s="2" t="n">
        <x:v>0</x:v>
      </x:c>
      <x:c r="E1949" s="10" t="n">
        <x:v>77.49230994152046</x:v>
      </x:c>
      <x:c r="F1949" s="11" t="n">
        <x:v>342</x:v>
      </x:c>
      <x:c r="G1949" s="11" t="n">
        <x:v>0</x:v>
      </x:c>
      <x:c r="H1949" s="11" t="n">
        <x:v>0</x:v>
      </x:c>
      <x:c r="I1949" s="11" t="n">
        <x:v>0</x:v>
      </x:c>
      <x:c r="J1949" s="11" t="n">
        <x:v>0</x:v>
      </x:c>
      <x:c r="K1949" s="11" t="n">
        <x:v>1</x:v>
      </x:c>
      <x:c r="L1949" s="11" t="n">
        <x:f>IF(B1949="NED",1,IF(OR(B1949="ED",B1949="UN"),0,""))</x:f>
        <x:v>0</x:v>
      </x:c>
      <x:c r="M1949" s="11" t="n">
        <x:f>IF(AND(K1949=1,OR(B1949="ED",B1949="NED")),1,0)</x:f>
        <x:v>1</x:v>
      </x:c>
      <x:c r="N1949" s="11" t="n">
        <x:f>IF(K1949=1,1,0)</x:f>
        <x:v>1</x:v>
      </x:c>
      <x:c r="O1949" s="12"/>
      <x:c r="P1949" s="11" t="n">
        <x:v>0</x:v>
      </x:c>
      <x:c r="Q1949" s="12" t="str">
        <x:v>AF-Q8BM39-F1-model_v6</x:v>
      </x:c>
      <x:c r="R1949" s="12" t="str">
        <x:v>ok</x:v>
      </x:c>
      <x:c r="S1949" s="11" t="n">
        <x:v>1473</x:v>
      </x:c>
      <x:c r="T1949" s="11" t="n">
        <x:v>342</x:v>
      </x:c>
    </x:row>
    <x:row r="1950" ht="23" customHeight="1">
      <x:c r="A1950" s="2" t="str">
        <x:v>Q8BM55</x:v>
      </x:c>
      <x:c r="B1950" s="2" t="str">
        <x:v>UN</x:v>
      </x:c>
      <x:c r="C1950" s="2" t="n">
        <x:v>1</x:v>
      </x:c>
      <x:c r="D1950" s="2" t="n">
        <x:v>1</x:v>
      </x:c>
      <x:c r="E1950" s="10"/>
      <x:c r="F1950" s="11" t="n">
        <x:v>687</x:v>
      </x:c>
      <x:c r="G1950" s="11" t="n">
        <x:v>0</x:v>
      </x:c>
      <x:c r="H1950" s="11" t="n">
        <x:v>0</x:v>
      </x:c>
      <x:c r="I1950" s="11" t="n">
        <x:v>1</x:v>
      </x:c>
      <x:c r="J1950" s="11" t="n">
        <x:v>0</x:v>
      </x:c>
      <x:c r="K1950" s="11" t="n">
        <x:v>0</x:v>
      </x:c>
      <x:c r="L1950" s="11" t="n">
        <x:f>IF(B1950="NED",1,IF(OR(B1950="ED",B1950="UN"),0,""))</x:f>
        <x:v>0</x:v>
      </x:c>
      <x:c r="M1950" s="11" t="n">
        <x:f>IF(AND(K1950=1,OR(B1950="ED",B1950="NED")),1,0)</x:f>
        <x:v>0</x:v>
      </x:c>
      <x:c r="N1950" s="11" t="n">
        <x:f>IF(K1950=1,1,0)</x:f>
        <x:v>0</x:v>
      </x:c>
      <x:c r="O1950" s="12" t="str">
        <x:v>Exclude UniProt Membrane keyword</x:v>
      </x:c>
      <x:c r="P1950" s="11" t="n">
        <x:v>0</x:v>
      </x:c>
      <x:c r="Q1950" s="12" t="str">
        <x:v>AF-Q8BM55-F1-model_v6</x:v>
      </x:c>
      <x:c r="R1950" s="12" t="str">
        <x:v>ok</x:v>
      </x:c>
      <x:c r="S1950" s="11" t="n">
        <x:v>1474</x:v>
      </x:c>
      <x:c r="T1950" s="11" t="n">
        <x:v>687</x:v>
      </x:c>
    </x:row>
    <x:row r="1951" ht="23" customHeight="1">
      <x:c r="A1951" s="2" t="str">
        <x:v>Q8BM72</x:v>
      </x:c>
      <x:c r="B1951" s="2" t="str">
        <x:v>ED</x:v>
      </x:c>
      <x:c r="C1951" s="2" t="n">
        <x:v>1</x:v>
      </x:c>
      <x:c r="D1951" s="2" t="n">
        <x:v>1</x:v>
      </x:c>
      <x:c r="E1951" s="10" t="n">
        <x:v>85.92736730360934</x:v>
      </x:c>
      <x:c r="F1951" s="11" t="n">
        <x:v>471</x:v>
      </x:c>
      <x:c r="G1951" s="11" t="n">
        <x:v>0</x:v>
      </x:c>
      <x:c r="H1951" s="11" t="n">
        <x:v>0</x:v>
      </x:c>
      <x:c r="I1951" s="11" t="n">
        <x:v>0</x:v>
      </x:c>
      <x:c r="J1951" s="11" t="n">
        <x:v>0</x:v>
      </x:c>
      <x:c r="K1951" s="11" t="n">
        <x:v>1</x:v>
      </x:c>
      <x:c r="L1951" s="11" t="n">
        <x:f>IF(B1951="NED",1,IF(OR(B1951="ED",B1951="UN"),0,""))</x:f>
        <x:v>0</x:v>
      </x:c>
      <x:c r="M1951" s="11" t="n">
        <x:f>IF(AND(K1951=1,OR(B1951="ED",B1951="NED")),1,0)</x:f>
        <x:v>1</x:v>
      </x:c>
      <x:c r="N1951" s="11" t="n">
        <x:f>IF(K1951=1,1,0)</x:f>
        <x:v>1</x:v>
      </x:c>
      <x:c r="O1951" s="12"/>
      <x:c r="P1951" s="11" t="n">
        <x:v>0</x:v>
      </x:c>
      <x:c r="Q1951" s="12" t="str">
        <x:v>AF-Q8BM72-F1-model_v6</x:v>
      </x:c>
      <x:c r="R1951" s="12" t="str">
        <x:v>ok</x:v>
      </x:c>
      <x:c r="S1951" s="11" t="n">
        <x:v>1475</x:v>
      </x:c>
      <x:c r="T1951" s="11" t="n">
        <x:v>471</x:v>
      </x:c>
    </x:row>
    <x:row r="1952" ht="23" customHeight="1">
      <x:c r="A1952" s="2" t="str">
        <x:v>Q8BMA6</x:v>
      </x:c>
      <x:c r="B1952" s="2" t="str">
        <x:v>UN</x:v>
      </x:c>
      <x:c r="C1952" s="2" t="n">
        <x:v>0</x:v>
      </x:c>
      <x:c r="D1952" s="2" t="n">
        <x:v>0</x:v>
      </x:c>
      <x:c r="E1952" s="10" t="n">
        <x:v>78.41064</x:v>
      </x:c>
      <x:c r="F1952" s="11" t="n">
        <x:v>625</x:v>
      </x:c>
      <x:c r="G1952" s="11" t="n">
        <x:v>0</x:v>
      </x:c>
      <x:c r="H1952" s="11" t="n">
        <x:v>0</x:v>
      </x:c>
      <x:c r="I1952" s="11" t="n">
        <x:v>0</x:v>
      </x:c>
      <x:c r="J1952" s="11" t="n">
        <x:v>0</x:v>
      </x:c>
      <x:c r="K1952" s="11" t="n">
        <x:v>1</x:v>
      </x:c>
      <x:c r="L1952" s="11" t="n">
        <x:f>IF(B1952="NED",1,IF(OR(B1952="ED",B1952="UN"),0,""))</x:f>
        <x:v>0</x:v>
      </x:c>
      <x:c r="M1952" s="11" t="n">
        <x:f>IF(AND(K1952=1,OR(B1952="ED",B1952="NED")),1,0)</x:f>
        <x:v>0</x:v>
      </x:c>
      <x:c r="N1952" s="11" t="n">
        <x:f>IF(K1952=1,1,0)</x:f>
        <x:v>1</x:v>
      </x:c>
      <x:c r="O1952" s="12"/>
      <x:c r="P1952" s="11" t="n">
        <x:v>0</x:v>
      </x:c>
      <x:c r="Q1952" s="12" t="str">
        <x:v>AF-Q8BMA6-F1-model_v6</x:v>
      </x:c>
      <x:c r="R1952" s="12" t="str">
        <x:v>ok</x:v>
      </x:c>
      <x:c r="S1952" s="11" t="n">
        <x:v>1476</x:v>
      </x:c>
      <x:c r="T1952" s="11" t="n">
        <x:v>625</x:v>
      </x:c>
    </x:row>
    <x:row r="1953" ht="23" customHeight="1">
      <x:c r="A1953" s="2" t="str">
        <x:v>Q8BMB0-3</x:v>
      </x:c>
      <x:c r="B1953" s="2" t="str">
        <x:v>UN</x:v>
      </x:c>
      <x:c r="C1953" s="2"/>
      <x:c r="D1953" s="2"/>
      <x:c r="E1953" s="10"/>
      <x:c r="F1953" s="11"/>
      <x:c r="G1953" s="11" t="n">
        <x:v>0</x:v>
      </x:c>
      <x:c r="H1953" s="11" t="n">
        <x:v>0</x:v>
      </x:c>
      <x:c r="I1953" s="11"/>
      <x:c r="J1953" s="11"/>
      <x:c r="K1953" s="11" t="n">
        <x:v>0</x:v>
      </x:c>
      <x:c r="L1953" s="11" t="n">
        <x:f>IF(B1953="NED",1,IF(OR(B1953="ED",B1953="UN"),0,""))</x:f>
        <x:v>0</x:v>
      </x:c>
      <x:c r="M1953" s="11" t="n">
        <x:f>IF(AND(K1953=1,OR(B1953="ED",B1953="NED")),1,0)</x:f>
        <x:v>0</x:v>
      </x:c>
      <x:c r="N1953" s="11" t="n">
        <x:f>IF(K1953=1,1,0)</x:f>
        <x:v>0</x:v>
      </x:c>
      <x:c r="O1953" s="12" t="str">
        <x:v>Require exact native accession match</x:v>
      </x:c>
      <x:c r="P1953" s="11" t="n">
        <x:v>0</x:v>
      </x:c>
      <x:c r="Q1953" s="12"/>
      <x:c r="R1953" s="12"/>
      <x:c r="S1953" s="11" t="n">
        <x:v>1477</x:v>
      </x:c>
      <x:c r="T1953" s="11"/>
    </x:row>
    <x:row r="1954" ht="23" customHeight="1">
      <x:c r="A1954" s="2" t="str">
        <x:v>Q8BMC4</x:v>
      </x:c>
      <x:c r="B1954" s="2" t="str">
        <x:v>ED</x:v>
      </x:c>
      <x:c r="C1954" s="2" t="n">
        <x:v>0</x:v>
      </x:c>
      <x:c r="D1954" s="2" t="n">
        <x:v>0</x:v>
      </x:c>
      <x:c r="E1954" s="10" t="n">
        <x:v>86.59155660377358</x:v>
      </x:c>
      <x:c r="F1954" s="11" t="n">
        <x:v>636</x:v>
      </x:c>
      <x:c r="G1954" s="11" t="n">
        <x:v>0</x:v>
      </x:c>
      <x:c r="H1954" s="11" t="n">
        <x:v>0</x:v>
      </x:c>
      <x:c r="I1954" s="11" t="n">
        <x:v>0</x:v>
      </x:c>
      <x:c r="J1954" s="11" t="n">
        <x:v>0</x:v>
      </x:c>
      <x:c r="K1954" s="11" t="n">
        <x:v>1</x:v>
      </x:c>
      <x:c r="L1954" s="11" t="n">
        <x:f>IF(B1954="NED",1,IF(OR(B1954="ED",B1954="UN"),0,""))</x:f>
        <x:v>0</x:v>
      </x:c>
      <x:c r="M1954" s="11" t="n">
        <x:f>IF(AND(K1954=1,OR(B1954="ED",B1954="NED")),1,0)</x:f>
        <x:v>1</x:v>
      </x:c>
      <x:c r="N1954" s="11" t="n">
        <x:f>IF(K1954=1,1,0)</x:f>
        <x:v>1</x:v>
      </x:c>
      <x:c r="O1954" s="12"/>
      <x:c r="P1954" s="11" t="n">
        <x:v>0</x:v>
      </x:c>
      <x:c r="Q1954" s="12" t="str">
        <x:v>AF-Q8BMC4-F1-model_v6</x:v>
      </x:c>
      <x:c r="R1954" s="12" t="str">
        <x:v>ok</x:v>
      </x:c>
      <x:c r="S1954" s="11" t="n">
        <x:v>1478</x:v>
      </x:c>
      <x:c r="T1954" s="11" t="n">
        <x:v>636</x:v>
      </x:c>
    </x:row>
    <x:row r="1955" ht="23" customHeight="1">
      <x:c r="A1955" s="2" t="str">
        <x:v>Q8BMD8</x:v>
      </x:c>
      <x:c r="B1955" s="2" t="str">
        <x:v>ED</x:v>
      </x:c>
      <x:c r="C1955" s="2" t="n">
        <x:v>1</x:v>
      </x:c>
      <x:c r="D1955" s="2" t="n">
        <x:v>1</x:v>
      </x:c>
      <x:c r="E1955" s="10"/>
      <x:c r="F1955" s="11" t="n">
        <x:v>475</x:v>
      </x:c>
      <x:c r="G1955" s="11" t="n">
        <x:v>0</x:v>
      </x:c>
      <x:c r="H1955" s="11" t="n">
        <x:v>0</x:v>
      </x:c>
      <x:c r="I1955" s="11" t="n">
        <x:v>1</x:v>
      </x:c>
      <x:c r="J1955" s="11" t="n">
        <x:v>0</x:v>
      </x:c>
      <x:c r="K1955" s="11" t="n">
        <x:v>0</x:v>
      </x:c>
      <x:c r="L1955" s="11" t="n">
        <x:f>IF(B1955="NED",1,IF(OR(B1955="ED",B1955="UN"),0,""))</x:f>
        <x:v>0</x:v>
      </x:c>
      <x:c r="M1955" s="11" t="n">
        <x:f>IF(AND(K1955=1,OR(B1955="ED",B1955="NED")),1,0)</x:f>
        <x:v>0</x:v>
      </x:c>
      <x:c r="N1955" s="11" t="n">
        <x:f>IF(K1955=1,1,0)</x:f>
        <x:v>0</x:v>
      </x:c>
      <x:c r="O1955" s="12" t="str">
        <x:v>Exclude UniProt Membrane keyword</x:v>
      </x:c>
      <x:c r="P1955" s="11" t="n">
        <x:v>0</x:v>
      </x:c>
      <x:c r="Q1955" s="12" t="str">
        <x:v>AF-Q8BMD8-F1-model_v6</x:v>
      </x:c>
      <x:c r="R1955" s="12" t="str">
        <x:v>ok</x:v>
      </x:c>
      <x:c r="S1955" s="11" t="n">
        <x:v>1479</x:v>
      </x:c>
      <x:c r="T1955" s="11" t="n">
        <x:v>475</x:v>
      </x:c>
    </x:row>
    <x:row r="1956" ht="23" customHeight="1">
      <x:c r="A1956" s="2" t="str">
        <x:v>Q8BMF4</x:v>
      </x:c>
      <x:c r="B1956" s="2" t="str">
        <x:v>ED</x:v>
      </x:c>
      <x:c r="C1956" s="2" t="n">
        <x:v>1</x:v>
      </x:c>
      <x:c r="D1956" s="2" t="n">
        <x:v>1</x:v>
      </x:c>
      <x:c r="E1956" s="10" t="n">
        <x:v>73.77757009345794</x:v>
      </x:c>
      <x:c r="F1956" s="11" t="n">
        <x:v>642</x:v>
      </x:c>
      <x:c r="G1956" s="11" t="n">
        <x:v>0</x:v>
      </x:c>
      <x:c r="H1956" s="11" t="n">
        <x:v>0</x:v>
      </x:c>
      <x:c r="I1956" s="11" t="n">
        <x:v>0</x:v>
      </x:c>
      <x:c r="J1956" s="11" t="n">
        <x:v>0</x:v>
      </x:c>
      <x:c r="K1956" s="11" t="n">
        <x:v>1</x:v>
      </x:c>
      <x:c r="L1956" s="11" t="n">
        <x:f>IF(B1956="NED",1,IF(OR(B1956="ED",B1956="UN"),0,""))</x:f>
        <x:v>0</x:v>
      </x:c>
      <x:c r="M1956" s="11" t="n">
        <x:f>IF(AND(K1956=1,OR(B1956="ED",B1956="NED")),1,0)</x:f>
        <x:v>1</x:v>
      </x:c>
      <x:c r="N1956" s="11" t="n">
        <x:f>IF(K1956=1,1,0)</x:f>
        <x:v>1</x:v>
      </x:c>
      <x:c r="O1956" s="12"/>
      <x:c r="P1956" s="11" t="n">
        <x:v>0</x:v>
      </x:c>
      <x:c r="Q1956" s="12" t="str">
        <x:v>AF-Q8BMF4-F1-model_v6</x:v>
      </x:c>
      <x:c r="R1956" s="12" t="str">
        <x:v>ok</x:v>
      </x:c>
      <x:c r="S1956" s="11" t="n">
        <x:v>1480</x:v>
      </x:c>
      <x:c r="T1956" s="11" t="n">
        <x:v>642</x:v>
      </x:c>
    </x:row>
    <x:row r="1957" ht="23" customHeight="1">
      <x:c r="A1957" s="2" t="str">
        <x:v>Q8BMG7</x:v>
      </x:c>
      <x:c r="B1957" s="2" t="str">
        <x:v>ED</x:v>
      </x:c>
      <x:c r="C1957" s="2" t="n">
        <x:v>1</x:v>
      </x:c>
      <x:c r="D1957" s="2" t="n">
        <x:v>1</x:v>
      </x:c>
      <x:c r="E1957" s="10" t="n">
        <x:v>80.14186676427525</x:v>
      </x:c>
      <x:c r="F1957" s="11" t="n">
        <x:v>1366</x:v>
      </x:c>
      <x:c r="G1957" s="11" t="n">
        <x:v>0</x:v>
      </x:c>
      <x:c r="H1957" s="11" t="n">
        <x:v>0</x:v>
      </x:c>
      <x:c r="I1957" s="11" t="n">
        <x:v>0</x:v>
      </x:c>
      <x:c r="J1957" s="11" t="n">
        <x:v>0</x:v>
      </x:c>
      <x:c r="K1957" s="11" t="n">
        <x:v>1</x:v>
      </x:c>
      <x:c r="L1957" s="11" t="n">
        <x:f>IF(B1957="NED",1,IF(OR(B1957="ED",B1957="UN"),0,""))</x:f>
        <x:v>0</x:v>
      </x:c>
      <x:c r="M1957" s="11" t="n">
        <x:f>IF(AND(K1957=1,OR(B1957="ED",B1957="NED")),1,0)</x:f>
        <x:v>1</x:v>
      </x:c>
      <x:c r="N1957" s="11" t="n">
        <x:f>IF(K1957=1,1,0)</x:f>
        <x:v>1</x:v>
      </x:c>
      <x:c r="O1957" s="12"/>
      <x:c r="P1957" s="11" t="n">
        <x:v>0</x:v>
      </x:c>
      <x:c r="Q1957" s="12" t="str">
        <x:v>AF-Q8BMG7-F1-model_v6</x:v>
      </x:c>
      <x:c r="R1957" s="12" t="str">
        <x:v>ok</x:v>
      </x:c>
      <x:c r="S1957" s="11" t="n">
        <x:v>1481</x:v>
      </x:c>
      <x:c r="T1957" s="11" t="n">
        <x:v>1366</x:v>
      </x:c>
    </x:row>
    <x:row r="1958" ht="23" customHeight="1">
      <x:c r="A1958" s="2" t="str">
        <x:v>Q8BMJ2</x:v>
      </x:c>
      <x:c r="B1958" s="2" t="str">
        <x:v>UN</x:v>
      </x:c>
      <x:c r="C1958" s="2" t="n">
        <x:v>1</x:v>
      </x:c>
      <x:c r="D1958" s="2" t="n">
        <x:v>1</x:v>
      </x:c>
      <x:c r="E1958" s="10" t="n">
        <x:v>90.0545246179966</x:v>
      </x:c>
      <x:c r="F1958" s="11" t="n">
        <x:v>1178</x:v>
      </x:c>
      <x:c r="G1958" s="11" t="n">
        <x:v>0</x:v>
      </x:c>
      <x:c r="H1958" s="11" t="n">
        <x:v>0</x:v>
      </x:c>
      <x:c r="I1958" s="11" t="n">
        <x:v>0</x:v>
      </x:c>
      <x:c r="J1958" s="11" t="n">
        <x:v>0</x:v>
      </x:c>
      <x:c r="K1958" s="11" t="n">
        <x:v>1</x:v>
      </x:c>
      <x:c r="L1958" s="11" t="n">
        <x:f>IF(B1958="NED",1,IF(OR(B1958="ED",B1958="UN"),0,""))</x:f>
        <x:v>0</x:v>
      </x:c>
      <x:c r="M1958" s="11" t="n">
        <x:f>IF(AND(K1958=1,OR(B1958="ED",B1958="NED")),1,0)</x:f>
        <x:v>0</x:v>
      </x:c>
      <x:c r="N1958" s="11" t="n">
        <x:f>IF(K1958=1,1,0)</x:f>
        <x:v>1</x:v>
      </x:c>
      <x:c r="O1958" s="12"/>
      <x:c r="P1958" s="11" t="n">
        <x:v>0</x:v>
      </x:c>
      <x:c r="Q1958" s="12" t="str">
        <x:v>AF-Q8BMJ2-F1-model_v6</x:v>
      </x:c>
      <x:c r="R1958" s="12" t="str">
        <x:v>ok</x:v>
      </x:c>
      <x:c r="S1958" s="11" t="n">
        <x:v>1482</x:v>
      </x:c>
      <x:c r="T1958" s="11" t="n">
        <x:v>1178</x:v>
      </x:c>
    </x:row>
    <x:row r="1959" ht="23" customHeight="1">
      <x:c r="A1959" s="2" t="str">
        <x:v>Q8BMK4</x:v>
      </x:c>
      <x:c r="B1959" s="2" t="str">
        <x:v>UN</x:v>
      </x:c>
      <x:c r="C1959" s="2" t="n">
        <x:v>0</x:v>
      </x:c>
      <x:c r="D1959" s="2" t="n">
        <x:v>0</x:v>
      </x:c>
      <x:c r="E1959" s="10"/>
      <x:c r="F1959" s="11" t="n">
        <x:v>575</x:v>
      </x:c>
      <x:c r="G1959" s="11" t="n">
        <x:v>0</x:v>
      </x:c>
      <x:c r="H1959" s="11" t="n">
        <x:v>0</x:v>
      </x:c>
      <x:c r="I1959" s="11" t="n">
        <x:v>1</x:v>
      </x:c>
      <x:c r="J1959" s="11" t="n">
        <x:v>0</x:v>
      </x:c>
      <x:c r="K1959" s="11" t="n">
        <x:v>0</x:v>
      </x:c>
      <x:c r="L1959" s="11" t="n">
        <x:f>IF(B1959="NED",1,IF(OR(B1959="ED",B1959="UN"),0,""))</x:f>
        <x:v>0</x:v>
      </x:c>
      <x:c r="M1959" s="11" t="n">
        <x:f>IF(AND(K1959=1,OR(B1959="ED",B1959="NED")),1,0)</x:f>
        <x:v>0</x:v>
      </x:c>
      <x:c r="N1959" s="11" t="n">
        <x:f>IF(K1959=1,1,0)</x:f>
        <x:v>0</x:v>
      </x:c>
      <x:c r="O1959" s="12" t="str">
        <x:v>Exclude UniProt Membrane keyword</x:v>
      </x:c>
      <x:c r="P1959" s="11" t="n">
        <x:v>0</x:v>
      </x:c>
      <x:c r="Q1959" s="12" t="str">
        <x:v>AF-Q8BMK4-F1-model_v6</x:v>
      </x:c>
      <x:c r="R1959" s="12" t="str">
        <x:v>ok</x:v>
      </x:c>
      <x:c r="S1959" s="11" t="n">
        <x:v>1483</x:v>
      </x:c>
      <x:c r="T1959" s="11" t="n">
        <x:v>575</x:v>
      </x:c>
    </x:row>
    <x:row r="1960" ht="23" customHeight="1">
      <x:c r="A1960" s="2" t="str">
        <x:v>Q8BML1</x:v>
      </x:c>
      <x:c r="B1960" s="2" t="str">
        <x:v>UN</x:v>
      </x:c>
      <x:c r="C1960" s="2" t="n">
        <x:v>1</x:v>
      </x:c>
      <x:c r="D1960" s="2" t="n">
        <x:v>1</x:v>
      </x:c>
      <x:c r="E1960" s="10" t="n">
        <x:v>56.58764223475141</x:v>
      </x:c>
      <x:c r="F1960" s="11" t="n">
        <x:v>1951</x:v>
      </x:c>
      <x:c r="G1960" s="11" t="n">
        <x:v>0</x:v>
      </x:c>
      <x:c r="H1960" s="11" t="n">
        <x:v>0</x:v>
      </x:c>
      <x:c r="I1960" s="11" t="n">
        <x:v>0</x:v>
      </x:c>
      <x:c r="J1960" s="11" t="n">
        <x:v>0</x:v>
      </x:c>
      <x:c r="K1960" s="11" t="n">
        <x:v>0</x:v>
      </x:c>
      <x:c r="L1960" s="11" t="n">
        <x:f>IF(B1960="NED",1,IF(OR(B1960="ED",B1960="UN"),0,""))</x:f>
        <x:v>0</x:v>
      </x:c>
      <x:c r="M1960" s="11" t="n">
        <x:f>IF(AND(K1960=1,OR(B1960="ED",B1960="NED")),1,0)</x:f>
        <x:v>0</x:v>
      </x:c>
      <x:c r="N1960" s="11" t="n">
        <x:f>IF(K1960=1,1,0)</x:f>
        <x:v>0</x:v>
      </x:c>
      <x:c r="O1960" s="12" t="str">
        <x:v>Retain protein mean pLDDT &gt;=70</x:v>
      </x:c>
      <x:c r="P1960" s="11" t="n">
        <x:v>0</x:v>
      </x:c>
      <x:c r="Q1960" s="12" t="str">
        <x:v>AF-Q8BML1-F1-model_v6</x:v>
      </x:c>
      <x:c r="R1960" s="12" t="str">
        <x:v>ok</x:v>
      </x:c>
      <x:c r="S1960" s="11" t="n">
        <x:v>1484</x:v>
      </x:c>
      <x:c r="T1960" s="11" t="n">
        <x:v>1951</x:v>
      </x:c>
    </x:row>
    <x:row r="1961" ht="23" customHeight="1">
      <x:c r="A1961" s="2" t="str">
        <x:v>Q8BML9</x:v>
      </x:c>
      <x:c r="B1961" s="2" t="str">
        <x:v>ED</x:v>
      </x:c>
      <x:c r="C1961" s="2" t="n">
        <x:v>1</x:v>
      </x:c>
      <x:c r="D1961" s="2" t="n">
        <x:v>1</x:v>
      </x:c>
      <x:c r="E1961" s="10" t="n">
        <x:v>89.66540645161291</x:v>
      </x:c>
      <x:c r="F1961" s="11" t="n">
        <x:v>775</x:v>
      </x:c>
      <x:c r="G1961" s="11" t="n">
        <x:v>0</x:v>
      </x:c>
      <x:c r="H1961" s="11" t="n">
        <x:v>0</x:v>
      </x:c>
      <x:c r="I1961" s="11" t="n">
        <x:v>0</x:v>
      </x:c>
      <x:c r="J1961" s="11" t="n">
        <x:v>0</x:v>
      </x:c>
      <x:c r="K1961" s="11" t="n">
        <x:v>1</x:v>
      </x:c>
      <x:c r="L1961" s="11" t="n">
        <x:f>IF(B1961="NED",1,IF(OR(B1961="ED",B1961="UN"),0,""))</x:f>
        <x:v>0</x:v>
      </x:c>
      <x:c r="M1961" s="11" t="n">
        <x:f>IF(AND(K1961=1,OR(B1961="ED",B1961="NED")),1,0)</x:f>
        <x:v>1</x:v>
      </x:c>
      <x:c r="N1961" s="11" t="n">
        <x:f>IF(K1961=1,1,0)</x:f>
        <x:v>1</x:v>
      </x:c>
      <x:c r="O1961" s="12"/>
      <x:c r="P1961" s="11" t="n">
        <x:v>0</x:v>
      </x:c>
      <x:c r="Q1961" s="12" t="str">
        <x:v>AF-Q8BML9-F1-model_v6</x:v>
      </x:c>
      <x:c r="R1961" s="12" t="str">
        <x:v>ok</x:v>
      </x:c>
      <x:c r="S1961" s="11" t="n">
        <x:v>3219</x:v>
      </x:c>
      <x:c r="T1961" s="11" t="n">
        <x:v>775</x:v>
      </x:c>
    </x:row>
    <x:row r="1962" ht="23" customHeight="1">
      <x:c r="A1962" s="2" t="str">
        <x:v>Q8BMQ2</x:v>
      </x:c>
      <x:c r="B1962" s="2" t="str">
        <x:v>ED</x:v>
      </x:c>
      <x:c r="C1962" s="2" t="n">
        <x:v>1</x:v>
      </x:c>
      <x:c r="D1962" s="2" t="n">
        <x:v>1</x:v>
      </x:c>
      <x:c r="E1962" s="10" t="n">
        <x:v>81.93800489596084</x:v>
      </x:c>
      <x:c r="F1962" s="11" t="n">
        <x:v>817</x:v>
      </x:c>
      <x:c r="G1962" s="11" t="n">
        <x:v>0</x:v>
      </x:c>
      <x:c r="H1962" s="11" t="n">
        <x:v>0</x:v>
      </x:c>
      <x:c r="I1962" s="11" t="n">
        <x:v>0</x:v>
      </x:c>
      <x:c r="J1962" s="11" t="n">
        <x:v>0</x:v>
      </x:c>
      <x:c r="K1962" s="11" t="n">
        <x:v>1</x:v>
      </x:c>
      <x:c r="L1962" s="11" t="n">
        <x:f>IF(B1962="NED",1,IF(OR(B1962="ED",B1962="UN"),0,""))</x:f>
        <x:v>0</x:v>
      </x:c>
      <x:c r="M1962" s="11" t="n">
        <x:f>IF(AND(K1962=1,OR(B1962="ED",B1962="NED")),1,0)</x:f>
        <x:v>1</x:v>
      </x:c>
      <x:c r="N1962" s="11" t="n">
        <x:f>IF(K1962=1,1,0)</x:f>
        <x:v>1</x:v>
      </x:c>
      <x:c r="O1962" s="12"/>
      <x:c r="P1962" s="11" t="n">
        <x:v>0</x:v>
      </x:c>
      <x:c r="Q1962" s="12" t="str">
        <x:v>AF-Q8BMQ2-F1-model_v6</x:v>
      </x:c>
      <x:c r="R1962" s="12" t="str">
        <x:v>ok</x:v>
      </x:c>
      <x:c r="S1962" s="11" t="n">
        <x:v>1485</x:v>
      </x:c>
      <x:c r="T1962" s="11" t="n">
        <x:v>817</x:v>
      </x:c>
    </x:row>
    <x:row r="1963" ht="23" customHeight="1">
      <x:c r="A1963" s="2" t="str">
        <x:v>Q8BMS1</x:v>
      </x:c>
      <x:c r="B1963" s="2" t="str">
        <x:v>NED</x:v>
      </x:c>
      <x:c r="C1963" s="2" t="n">
        <x:v>1</x:v>
      </x:c>
      <x:c r="D1963" s="2" t="n">
        <x:v>1</x:v>
      </x:c>
      <x:c r="E1963" s="10"/>
      <x:c r="F1963" s="11" t="n">
        <x:v>763</x:v>
      </x:c>
      <x:c r="G1963" s="11" t="n">
        <x:v>0</x:v>
      </x:c>
      <x:c r="H1963" s="11" t="n">
        <x:v>0</x:v>
      </x:c>
      <x:c r="I1963" s="11" t="n">
        <x:v>1</x:v>
      </x:c>
      <x:c r="J1963" s="11" t="n">
        <x:v>0</x:v>
      </x:c>
      <x:c r="K1963" s="11" t="n">
        <x:v>0</x:v>
      </x:c>
      <x:c r="L1963" s="11" t="n">
        <x:f>IF(B1963="NED",1,IF(OR(B1963="ED",B1963="UN"),0,""))</x:f>
        <x:v>1</x:v>
      </x:c>
      <x:c r="M1963" s="11" t="n">
        <x:f>IF(AND(K1963=1,OR(B1963="ED",B1963="NED")),1,0)</x:f>
        <x:v>0</x:v>
      </x:c>
      <x:c r="N1963" s="11" t="n">
        <x:f>IF(K1963=1,1,0)</x:f>
        <x:v>0</x:v>
      </x:c>
      <x:c r="O1963" s="12" t="str">
        <x:v>Exclude UniProt Membrane keyword</x:v>
      </x:c>
      <x:c r="P1963" s="11" t="n">
        <x:v>0</x:v>
      </x:c>
      <x:c r="Q1963" s="12" t="str">
        <x:v>AF-Q8BMS1-F1-model_v6</x:v>
      </x:c>
      <x:c r="R1963" s="12" t="str">
        <x:v>ok</x:v>
      </x:c>
      <x:c r="S1963" s="11" t="n">
        <x:v>1486</x:v>
      </x:c>
      <x:c r="T1963" s="11" t="n">
        <x:v>763</x:v>
      </x:c>
    </x:row>
    <x:row r="1964" ht="23" customHeight="1">
      <x:c r="A1964" s="2" t="str">
        <x:v>Q8BNJ2</x:v>
      </x:c>
      <x:c r="B1964" s="2" t="str">
        <x:v>UN</x:v>
      </x:c>
      <x:c r="C1964" s="2" t="n">
        <x:v>1</x:v>
      </x:c>
      <x:c r="D1964" s="2" t="n">
        <x:v>1</x:v>
      </x:c>
      <x:c r="E1964" s="10"/>
      <x:c r="F1964" s="11" t="n">
        <x:v>833</x:v>
      </x:c>
      <x:c r="G1964" s="11" t="n">
        <x:v>0</x:v>
      </x:c>
      <x:c r="H1964" s="11" t="n">
        <x:v>0</x:v>
      </x:c>
      <x:c r="I1964" s="11" t="n">
        <x:v>0</x:v>
      </x:c>
      <x:c r="J1964" s="11" t="n">
        <x:v>1</x:v>
      </x:c>
      <x:c r="K1964" s="11" t="n">
        <x:v>0</x:v>
      </x:c>
      <x:c r="L1964" s="11" t="n">
        <x:f>IF(B1964="NED",1,IF(OR(B1964="ED",B1964="UN"),0,""))</x:f>
        <x:v>0</x:v>
      </x:c>
      <x:c r="M1964" s="11" t="n">
        <x:f>IF(AND(K1964=1,OR(B1964="ED",B1964="NED")),1,0)</x:f>
        <x:v>0</x:v>
      </x:c>
      <x:c r="N1964" s="11" t="n">
        <x:f>IF(K1964=1,1,0)</x:f>
        <x:v>0</x:v>
      </x:c>
      <x:c r="O1964" s="12" t="str">
        <x:v>Exclude UniProt Secreted keyword</x:v>
      </x:c>
      <x:c r="P1964" s="11" t="n">
        <x:v>0</x:v>
      </x:c>
      <x:c r="Q1964" s="12" t="str">
        <x:v>AF-Q8BNJ2-F1-model_v6</x:v>
      </x:c>
      <x:c r="R1964" s="12" t="str">
        <x:v>ok</x:v>
      </x:c>
      <x:c r="S1964" s="11" t="n">
        <x:v>1487</x:v>
      </x:c>
      <x:c r="T1964" s="11" t="n">
        <x:v>833</x:v>
      </x:c>
    </x:row>
    <x:row r="1965" ht="23" customHeight="1">
      <x:c r="A1965" s="2" t="str">
        <x:v>Q8BNU0</x:v>
      </x:c>
      <x:c r="B1965" s="2" t="str">
        <x:v>UN</x:v>
      </x:c>
      <x:c r="C1965" s="2" t="n">
        <x:v>0</x:v>
      </x:c>
      <x:c r="D1965" s="2" t="n">
        <x:v>0</x:v>
      </x:c>
      <x:c r="E1965" s="10" t="n">
        <x:v>94.46613247863247</x:v>
      </x:c>
      <x:c r="F1965" s="11" t="n">
        <x:v>468</x:v>
      </x:c>
      <x:c r="G1965" s="11" t="n">
        <x:v>0</x:v>
      </x:c>
      <x:c r="H1965" s="11" t="n">
        <x:v>0</x:v>
      </x:c>
      <x:c r="I1965" s="11" t="n">
        <x:v>0</x:v>
      </x:c>
      <x:c r="J1965" s="11" t="n">
        <x:v>0</x:v>
      </x:c>
      <x:c r="K1965" s="11" t="n">
        <x:v>1</x:v>
      </x:c>
      <x:c r="L1965" s="11" t="n">
        <x:f>IF(B1965="NED",1,IF(OR(B1965="ED",B1965="UN"),0,""))</x:f>
        <x:v>0</x:v>
      </x:c>
      <x:c r="M1965" s="11" t="n">
        <x:f>IF(AND(K1965=1,OR(B1965="ED",B1965="NED")),1,0)</x:f>
        <x:v>0</x:v>
      </x:c>
      <x:c r="N1965" s="11" t="n">
        <x:f>IF(K1965=1,1,0)</x:f>
        <x:v>1</x:v>
      </x:c>
      <x:c r="O1965" s="12"/>
      <x:c r="P1965" s="11" t="n">
        <x:v>0</x:v>
      </x:c>
      <x:c r="Q1965" s="12" t="str">
        <x:v>AF-Q8BNU0-F1-model_v6</x:v>
      </x:c>
      <x:c r="R1965" s="12" t="str">
        <x:v>ok</x:v>
      </x:c>
      <x:c r="S1965" s="11" t="n">
        <x:v>1488</x:v>
      </x:c>
      <x:c r="T1965" s="11" t="n">
        <x:v>468</x:v>
      </x:c>
    </x:row>
    <x:row r="1966" ht="23" customHeight="1">
      <x:c r="A1966" s="2" t="str">
        <x:v>Q8BP00-2</x:v>
      </x:c>
      <x:c r="B1966" s="2" t="str">
        <x:v>ED</x:v>
      </x:c>
      <x:c r="C1966" s="2"/>
      <x:c r="D1966" s="2"/>
      <x:c r="E1966" s="10"/>
      <x:c r="F1966" s="11"/>
      <x:c r="G1966" s="11" t="n">
        <x:v>0</x:v>
      </x:c>
      <x:c r="H1966" s="11" t="n">
        <x:v>0</x:v>
      </x:c>
      <x:c r="I1966" s="11"/>
      <x:c r="J1966" s="11"/>
      <x:c r="K1966" s="11" t="n">
        <x:v>0</x:v>
      </x:c>
      <x:c r="L1966" s="11" t="n">
        <x:f>IF(B1966="NED",1,IF(OR(B1966="ED",B1966="UN"),0,""))</x:f>
        <x:v>0</x:v>
      </x:c>
      <x:c r="M1966" s="11" t="n">
        <x:f>IF(AND(K1966=1,OR(B1966="ED",B1966="NED")),1,0)</x:f>
        <x:v>0</x:v>
      </x:c>
      <x:c r="N1966" s="11" t="n">
        <x:f>IF(K1966=1,1,0)</x:f>
        <x:v>0</x:v>
      </x:c>
      <x:c r="O1966" s="12" t="str">
        <x:v>Require exact native accession match</x:v>
      </x:c>
      <x:c r="P1966" s="11" t="n">
        <x:v>0</x:v>
      </x:c>
      <x:c r="Q1966" s="12"/>
      <x:c r="R1966" s="12"/>
      <x:c r="S1966" s="11" t="n">
        <x:v>1489</x:v>
      </x:c>
      <x:c r="T1966" s="11"/>
    </x:row>
    <x:row r="1967" ht="23" customHeight="1">
      <x:c r="A1967" s="2" t="str">
        <x:v>Q8BP43</x:v>
      </x:c>
      <x:c r="B1967" s="2" t="str">
        <x:v>ED</x:v>
      </x:c>
      <x:c r="C1967" s="2"/>
      <x:c r="D1967" s="2"/>
      <x:c r="E1967" s="10"/>
      <x:c r="F1967" s="11"/>
      <x:c r="G1967" s="11" t="n">
        <x:v>0</x:v>
      </x:c>
      <x:c r="H1967" s="11" t="n">
        <x:v>0</x:v>
      </x:c>
      <x:c r="I1967" s="11" t="n">
        <x:v>0</x:v>
      </x:c>
      <x:c r="J1967" s="11" t="n">
        <x:v>0</x:v>
      </x:c>
      <x:c r="K1967" s="11" t="n">
        <x:v>0</x:v>
      </x:c>
      <x:c r="L1967" s="11" t="n">
        <x:f>IF(B1967="NED",1,IF(OR(B1967="ED",B1967="UN"),0,""))</x:f>
        <x:v>0</x:v>
      </x:c>
      <x:c r="M1967" s="11" t="n">
        <x:f>IF(AND(K1967=1,OR(B1967="ED",B1967="NED")),1,0)</x:f>
        <x:v>0</x:v>
      </x:c>
      <x:c r="N1967" s="11" t="n">
        <x:f>IF(K1967=1,1,0)</x:f>
        <x:v>0</x:v>
      </x:c>
      <x:c r="O1967" s="12" t="str">
        <x:v>Require exact native accession match</x:v>
      </x:c>
      <x:c r="P1967" s="11" t="n">
        <x:v>0</x:v>
      </x:c>
      <x:c r="Q1967" s="12"/>
      <x:c r="R1967" s="12"/>
      <x:c r="S1967" s="11" t="n">
        <x:v>3220</x:v>
      </x:c>
      <x:c r="T1967" s="11" t="n">
        <x:v>284</x:v>
      </x:c>
    </x:row>
    <x:row r="1968" ht="23" customHeight="1">
      <x:c r="A1968" s="2" t="str">
        <x:v>Q8BP47</x:v>
      </x:c>
      <x:c r="B1968" s="2" t="str">
        <x:v>ED</x:v>
      </x:c>
      <x:c r="C1968" s="2" t="n">
        <x:v>1</x:v>
      </x:c>
      <x:c r="D1968" s="2" t="n">
        <x:v>1</x:v>
      </x:c>
      <x:c r="E1968" s="10" t="n">
        <x:v>92.50431127012524</x:v>
      </x:c>
      <x:c r="F1968" s="11" t="n">
        <x:v>559</x:v>
      </x:c>
      <x:c r="G1968" s="11" t="n">
        <x:v>0</x:v>
      </x:c>
      <x:c r="H1968" s="11" t="n">
        <x:v>0</x:v>
      </x:c>
      <x:c r="I1968" s="11" t="n">
        <x:v>0</x:v>
      </x:c>
      <x:c r="J1968" s="11" t="n">
        <x:v>0</x:v>
      </x:c>
      <x:c r="K1968" s="11" t="n">
        <x:v>1</x:v>
      </x:c>
      <x:c r="L1968" s="11" t="n">
        <x:f>IF(B1968="NED",1,IF(OR(B1968="ED",B1968="UN"),0,""))</x:f>
        <x:v>0</x:v>
      </x:c>
      <x:c r="M1968" s="11" t="n">
        <x:f>IF(AND(K1968=1,OR(B1968="ED",B1968="NED")),1,0)</x:f>
        <x:v>1</x:v>
      </x:c>
      <x:c r="N1968" s="11" t="n">
        <x:f>IF(K1968=1,1,0)</x:f>
        <x:v>1</x:v>
      </x:c>
      <x:c r="O1968" s="12"/>
      <x:c r="P1968" s="11" t="n">
        <x:v>0</x:v>
      </x:c>
      <x:c r="Q1968" s="12" t="str">
        <x:v>AF-Q8BP47-F1-model_v6</x:v>
      </x:c>
      <x:c r="R1968" s="12" t="str">
        <x:v>ok</x:v>
      </x:c>
      <x:c r="S1968" s="11" t="n">
        <x:v>1490</x:v>
      </x:c>
      <x:c r="T1968" s="11" t="n">
        <x:v>559</x:v>
      </x:c>
    </x:row>
    <x:row r="1969" ht="23" customHeight="1">
      <x:c r="A1969" s="2" t="str">
        <x:v>Q8BP48</x:v>
      </x:c>
      <x:c r="B1969" s="2" t="str">
        <x:v>ED</x:v>
      </x:c>
      <x:c r="C1969" s="2" t="n">
        <x:v>1</x:v>
      </x:c>
      <x:c r="D1969" s="2" t="n">
        <x:v>1</x:v>
      </x:c>
      <x:c r="E1969" s="10" t="n">
        <x:v>93.90867875647668</x:v>
      </x:c>
      <x:c r="F1969" s="11" t="n">
        <x:v>386</x:v>
      </x:c>
      <x:c r="G1969" s="11" t="n">
        <x:v>0</x:v>
      </x:c>
      <x:c r="H1969" s="11" t="n">
        <x:v>0</x:v>
      </x:c>
      <x:c r="I1969" s="11" t="n">
        <x:v>0</x:v>
      </x:c>
      <x:c r="J1969" s="11" t="n">
        <x:v>0</x:v>
      </x:c>
      <x:c r="K1969" s="11" t="n">
        <x:v>1</x:v>
      </x:c>
      <x:c r="L1969" s="11" t="n">
        <x:f>IF(B1969="NED",1,IF(OR(B1969="ED",B1969="UN"),0,""))</x:f>
        <x:v>0</x:v>
      </x:c>
      <x:c r="M1969" s="11" t="n">
        <x:f>IF(AND(K1969=1,OR(B1969="ED",B1969="NED")),1,0)</x:f>
        <x:v>1</x:v>
      </x:c>
      <x:c r="N1969" s="11" t="n">
        <x:f>IF(K1969=1,1,0)</x:f>
        <x:v>1</x:v>
      </x:c>
      <x:c r="O1969" s="12"/>
      <x:c r="P1969" s="11" t="n">
        <x:v>0</x:v>
      </x:c>
      <x:c r="Q1969" s="12" t="str">
        <x:v>AF-Q8BP48-F1-model_v6</x:v>
      </x:c>
      <x:c r="R1969" s="12" t="str">
        <x:v>ok</x:v>
      </x:c>
      <x:c r="S1969" s="11" t="n">
        <x:v>1491</x:v>
      </x:c>
      <x:c r="T1969" s="11" t="n">
        <x:v>386</x:v>
      </x:c>
    </x:row>
    <x:row r="1970" ht="23" customHeight="1">
      <x:c r="A1970" s="2" t="str">
        <x:v>Q8BP67</x:v>
      </x:c>
      <x:c r="B1970" s="2" t="str">
        <x:v>NED</x:v>
      </x:c>
      <x:c r="C1970" s="2" t="n">
        <x:v>0</x:v>
      </x:c>
      <x:c r="D1970" s="2" t="n">
        <x:v>0</x:v>
      </x:c>
      <x:c r="E1970" s="10" t="n">
        <x:v>80.65210191082802</x:v>
      </x:c>
      <x:c r="F1970" s="11" t="n">
        <x:v>157</x:v>
      </x:c>
      <x:c r="G1970" s="11" t="n">
        <x:v>0</x:v>
      </x:c>
      <x:c r="H1970" s="11" t="n">
        <x:v>0</x:v>
      </x:c>
      <x:c r="I1970" s="11" t="n">
        <x:v>0</x:v>
      </x:c>
      <x:c r="J1970" s="11" t="n">
        <x:v>0</x:v>
      </x:c>
      <x:c r="K1970" s="11" t="n">
        <x:v>1</x:v>
      </x:c>
      <x:c r="L1970" s="11" t="n">
        <x:f>IF(B1970="NED",1,IF(OR(B1970="ED",B1970="UN"),0,""))</x:f>
        <x:v>1</x:v>
      </x:c>
      <x:c r="M1970" s="11" t="n">
        <x:f>IF(AND(K1970=1,OR(B1970="ED",B1970="NED")),1,0)</x:f>
        <x:v>1</x:v>
      </x:c>
      <x:c r="N1970" s="11" t="n">
        <x:f>IF(K1970=1,1,0)</x:f>
        <x:v>1</x:v>
      </x:c>
      <x:c r="O1970" s="12"/>
      <x:c r="P1970" s="11" t="n">
        <x:v>0</x:v>
      </x:c>
      <x:c r="Q1970" s="12" t="str">
        <x:v>AF-Q8BP67-F1-model_v6</x:v>
      </x:c>
      <x:c r="R1970" s="12" t="str">
        <x:v>ok</x:v>
      </x:c>
      <x:c r="S1970" s="11" t="n">
        <x:v>1492</x:v>
      </x:c>
      <x:c r="T1970" s="11" t="n">
        <x:v>157</x:v>
      </x:c>
    </x:row>
    <x:row r="1971" ht="23" customHeight="1">
      <x:c r="A1971" s="2" t="str">
        <x:v>Q8BP92</x:v>
      </x:c>
      <x:c r="B1971" s="2" t="str">
        <x:v>ED</x:v>
      </x:c>
      <x:c r="C1971" s="2" t="n">
        <x:v>1</x:v>
      </x:c>
      <x:c r="D1971" s="2"/>
      <x:c r="E1971" s="10" t="n">
        <x:v>78.74646874999999</x:v>
      </x:c>
      <x:c r="F1971" s="11" t="n">
        <x:v>320</x:v>
      </x:c>
      <x:c r="G1971" s="11" t="n">
        <x:v>0</x:v>
      </x:c>
      <x:c r="H1971" s="11" t="n">
        <x:v>0</x:v>
      </x:c>
      <x:c r="I1971" s="11" t="n">
        <x:v>0</x:v>
      </x:c>
      <x:c r="J1971" s="11" t="n">
        <x:v>0</x:v>
      </x:c>
      <x:c r="K1971" s="11" t="n">
        <x:v>1</x:v>
      </x:c>
      <x:c r="L1971" s="11" t="n">
        <x:f>IF(B1971="NED",1,IF(OR(B1971="ED",B1971="UN"),0,""))</x:f>
        <x:v>0</x:v>
      </x:c>
      <x:c r="M1971" s="11" t="n">
        <x:f>IF(AND(K1971=1,OR(B1971="ED",B1971="NED")),1,0)</x:f>
        <x:v>1</x:v>
      </x:c>
      <x:c r="N1971" s="11" t="n">
        <x:f>IF(K1971=1,1,0)</x:f>
        <x:v>1</x:v>
      </x:c>
      <x:c r="O1971" s="12"/>
      <x:c r="P1971" s="11" t="n">
        <x:v>0</x:v>
      </x:c>
      <x:c r="Q1971" s="12" t="str">
        <x:v>AF-Q8BP92-F1-model_v6</x:v>
      </x:c>
      <x:c r="R1971" s="12" t="str">
        <x:v>ok</x:v>
      </x:c>
      <x:c r="S1971" s="11" t="n">
        <x:v>1493</x:v>
      </x:c>
      <x:c r="T1971" s="11" t="n">
        <x:v>320</x:v>
      </x:c>
    </x:row>
    <x:row r="1972" ht="23" customHeight="1">
      <x:c r="A1972" s="2" t="str">
        <x:v>Q8BPG6</x:v>
      </x:c>
      <x:c r="B1972" s="2" t="str">
        <x:v>ED</x:v>
      </x:c>
      <x:c r="C1972" s="2" t="n">
        <x:v>1</x:v>
      </x:c>
      <x:c r="D1972" s="2" t="n">
        <x:v>1</x:v>
      </x:c>
      <x:c r="E1972" s="10" t="n">
        <x:v>89.98136363636362</x:v>
      </x:c>
      <x:c r="F1972" s="11" t="n">
        <x:v>308</x:v>
      </x:c>
      <x:c r="G1972" s="11" t="n">
        <x:v>0</x:v>
      </x:c>
      <x:c r="H1972" s="11" t="n">
        <x:v>0</x:v>
      </x:c>
      <x:c r="I1972" s="11" t="n">
        <x:v>0</x:v>
      </x:c>
      <x:c r="J1972" s="11" t="n">
        <x:v>0</x:v>
      </x:c>
      <x:c r="K1972" s="11" t="n">
        <x:v>1</x:v>
      </x:c>
      <x:c r="L1972" s="11" t="n">
        <x:f>IF(B1972="NED",1,IF(OR(B1972="ED",B1972="UN"),0,""))</x:f>
        <x:v>0</x:v>
      </x:c>
      <x:c r="M1972" s="11" t="n">
        <x:f>IF(AND(K1972=1,OR(B1972="ED",B1972="NED")),1,0)</x:f>
        <x:v>1</x:v>
      </x:c>
      <x:c r="N1972" s="11" t="n">
        <x:f>IF(K1972=1,1,0)</x:f>
        <x:v>1</x:v>
      </x:c>
      <x:c r="O1972" s="12"/>
      <x:c r="P1972" s="11" t="n">
        <x:v>0</x:v>
      </x:c>
      <x:c r="Q1972" s="12" t="str">
        <x:v>AF-Q8BPG6-F1-model_v6</x:v>
      </x:c>
      <x:c r="R1972" s="12" t="str">
        <x:v>ok</x:v>
      </x:c>
      <x:c r="S1972" s="11" t="n">
        <x:v>1494</x:v>
      </x:c>
      <x:c r="T1972" s="11" t="n">
        <x:v>308</x:v>
      </x:c>
    </x:row>
    <x:row r="1973" ht="23" customHeight="1">
      <x:c r="A1973" s="2" t="str">
        <x:v>Q8BPM2-2</x:v>
      </x:c>
      <x:c r="B1973" s="2" t="str">
        <x:v>ED</x:v>
      </x:c>
      <x:c r="C1973" s="2"/>
      <x:c r="D1973" s="2"/>
      <x:c r="E1973" s="10"/>
      <x:c r="F1973" s="11"/>
      <x:c r="G1973" s="11" t="n">
        <x:v>0</x:v>
      </x:c>
      <x:c r="H1973" s="11" t="n">
        <x:v>0</x:v>
      </x:c>
      <x:c r="I1973" s="11"/>
      <x:c r="J1973" s="11"/>
      <x:c r="K1973" s="11" t="n">
        <x:v>0</x:v>
      </x:c>
      <x:c r="L1973" s="11" t="n">
        <x:f>IF(B1973="NED",1,IF(OR(B1973="ED",B1973="UN"),0,""))</x:f>
        <x:v>0</x:v>
      </x:c>
      <x:c r="M1973" s="11" t="n">
        <x:f>IF(AND(K1973=1,OR(B1973="ED",B1973="NED")),1,0)</x:f>
        <x:v>0</x:v>
      </x:c>
      <x:c r="N1973" s="11" t="n">
        <x:f>IF(K1973=1,1,0)</x:f>
        <x:v>0</x:v>
      </x:c>
      <x:c r="O1973" s="12" t="str">
        <x:v>Require exact native accession match</x:v>
      </x:c>
      <x:c r="P1973" s="11" t="n">
        <x:v>0</x:v>
      </x:c>
      <x:c r="Q1973" s="12"/>
      <x:c r="R1973" s="12"/>
      <x:c r="S1973" s="11" t="n">
        <x:v>1495</x:v>
      </x:c>
      <x:c r="T1973" s="11"/>
    </x:row>
    <x:row r="1974" ht="23" customHeight="1">
      <x:c r="A1974" s="2" t="str">
        <x:v>Q8BQ33</x:v>
      </x:c>
      <x:c r="B1974" s="2" t="str">
        <x:v>UN</x:v>
      </x:c>
      <x:c r="C1974" s="2" t="n">
        <x:v>1</x:v>
      </x:c>
      <x:c r="D1974" s="2" t="n">
        <x:v>1</x:v>
      </x:c>
      <x:c r="E1974" s="10" t="n">
        <x:v>47.69012175754367</x:v>
      </x:c>
      <x:c r="F1974" s="11" t="n">
        <x:v>1889</x:v>
      </x:c>
      <x:c r="G1974" s="11" t="n">
        <x:v>0</x:v>
      </x:c>
      <x:c r="H1974" s="11" t="n">
        <x:v>0</x:v>
      </x:c>
      <x:c r="I1974" s="11" t="n">
        <x:v>0</x:v>
      </x:c>
      <x:c r="J1974" s="11" t="n">
        <x:v>0</x:v>
      </x:c>
      <x:c r="K1974" s="11" t="n">
        <x:v>0</x:v>
      </x:c>
      <x:c r="L1974" s="11" t="n">
        <x:f>IF(B1974="NED",1,IF(OR(B1974="ED",B1974="UN"),0,""))</x:f>
        <x:v>0</x:v>
      </x:c>
      <x:c r="M1974" s="11" t="n">
        <x:f>IF(AND(K1974=1,OR(B1974="ED",B1974="NED")),1,0)</x:f>
        <x:v>0</x:v>
      </x:c>
      <x:c r="N1974" s="11" t="n">
        <x:f>IF(K1974=1,1,0)</x:f>
        <x:v>0</x:v>
      </x:c>
      <x:c r="O1974" s="12" t="str">
        <x:v>Retain protein mean pLDDT &gt;=70</x:v>
      </x:c>
      <x:c r="P1974" s="11" t="n">
        <x:v>0</x:v>
      </x:c>
      <x:c r="Q1974" s="12" t="str">
        <x:v>AF-Q8BQ33-F1-model_v6</x:v>
      </x:c>
      <x:c r="R1974" s="12" t="str">
        <x:v>ok</x:v>
      </x:c>
      <x:c r="S1974" s="11" t="n">
        <x:v>1496</x:v>
      </x:c>
      <x:c r="T1974" s="11" t="n">
        <x:v>1889</x:v>
      </x:c>
    </x:row>
    <x:row r="1975" ht="23" customHeight="1">
      <x:c r="A1975" s="2" t="str">
        <x:v>Q8BQM4</x:v>
      </x:c>
      <x:c r="B1975" s="2" t="str">
        <x:v>UN</x:v>
      </x:c>
      <x:c r="C1975" s="2" t="n">
        <x:v>1</x:v>
      </x:c>
      <x:c r="D1975" s="2"/>
      <x:c r="E1975" s="10" t="n">
        <x:v>83.0059793814433</x:v>
      </x:c>
      <x:c r="F1975" s="11" t="n">
        <x:v>679</x:v>
      </x:c>
      <x:c r="G1975" s="11" t="n">
        <x:v>0</x:v>
      </x:c>
      <x:c r="H1975" s="11" t="n">
        <x:v>0</x:v>
      </x:c>
      <x:c r="I1975" s="11" t="n">
        <x:v>0</x:v>
      </x:c>
      <x:c r="J1975" s="11" t="n">
        <x:v>0</x:v>
      </x:c>
      <x:c r="K1975" s="11" t="n">
        <x:v>1</x:v>
      </x:c>
      <x:c r="L1975" s="11" t="n">
        <x:f>IF(B1975="NED",1,IF(OR(B1975="ED",B1975="UN"),0,""))</x:f>
        <x:v>0</x:v>
      </x:c>
      <x:c r="M1975" s="11" t="n">
        <x:f>IF(AND(K1975=1,OR(B1975="ED",B1975="NED")),1,0)</x:f>
        <x:v>0</x:v>
      </x:c>
      <x:c r="N1975" s="11" t="n">
        <x:f>IF(K1975=1,1,0)</x:f>
        <x:v>1</x:v>
      </x:c>
      <x:c r="O1975" s="12"/>
      <x:c r="P1975" s="11" t="n">
        <x:v>0</x:v>
      </x:c>
      <x:c r="Q1975" s="12" t="str">
        <x:v>AF-Q8BQM4-F1-model_v6</x:v>
      </x:c>
      <x:c r="R1975" s="12" t="str">
        <x:v>ok</x:v>
      </x:c>
      <x:c r="S1975" s="11" t="n">
        <x:v>1497</x:v>
      </x:c>
      <x:c r="T1975" s="11" t="n">
        <x:v>679</x:v>
      </x:c>
    </x:row>
    <x:row r="1976" ht="23" customHeight="1">
      <x:c r="A1976" s="2" t="str">
        <x:v>Q8BR63</x:v>
      </x:c>
      <x:c r="B1976" s="2" t="str">
        <x:v>ED</x:v>
      </x:c>
      <x:c r="C1976" s="2" t="n">
        <x:v>0</x:v>
      </x:c>
      <x:c r="D1976" s="2" t="n">
        <x:v>0</x:v>
      </x:c>
      <x:c r="E1976" s="10" t="n">
        <x:v>64.59415458937198</x:v>
      </x:c>
      <x:c r="F1976" s="11" t="n">
        <x:v>207</x:v>
      </x:c>
      <x:c r="G1976" s="11" t="n">
        <x:v>0</x:v>
      </x:c>
      <x:c r="H1976" s="11" t="n">
        <x:v>0</x:v>
      </x:c>
      <x:c r="I1976" s="11" t="n">
        <x:v>0</x:v>
      </x:c>
      <x:c r="J1976" s="11" t="n">
        <x:v>0</x:v>
      </x:c>
      <x:c r="K1976" s="11" t="n">
        <x:v>0</x:v>
      </x:c>
      <x:c r="L1976" s="11" t="n">
        <x:f>IF(B1976="NED",1,IF(OR(B1976="ED",B1976="UN"),0,""))</x:f>
        <x:v>0</x:v>
      </x:c>
      <x:c r="M1976" s="11" t="n">
        <x:f>IF(AND(K1976=1,OR(B1976="ED",B1976="NED")),1,0)</x:f>
        <x:v>0</x:v>
      </x:c>
      <x:c r="N1976" s="11" t="n">
        <x:f>IF(K1976=1,1,0)</x:f>
        <x:v>0</x:v>
      </x:c>
      <x:c r="O1976" s="12" t="str">
        <x:v>Retain protein mean pLDDT &gt;=70</x:v>
      </x:c>
      <x:c r="P1976" s="11" t="n">
        <x:v>0</x:v>
      </x:c>
      <x:c r="Q1976" s="12" t="str">
        <x:v>AF-Q8BR63-F1-model_v6</x:v>
      </x:c>
      <x:c r="R1976" s="12" t="str">
        <x:v>ok</x:v>
      </x:c>
      <x:c r="S1976" s="11" t="n">
        <x:v>1498</x:v>
      </x:c>
      <x:c r="T1976" s="11" t="n">
        <x:v>207</x:v>
      </x:c>
    </x:row>
    <x:row r="1977" ht="23" customHeight="1">
      <x:c r="A1977" s="2" t="str">
        <x:v>Q8BRF7</x:v>
      </x:c>
      <x:c r="B1977" s="2" t="str">
        <x:v>ED</x:v>
      </x:c>
      <x:c r="C1977" s="2" t="n">
        <x:v>1</x:v>
      </x:c>
      <x:c r="D1977" s="2" t="n">
        <x:v>1</x:v>
      </x:c>
      <x:c r="E1977" s="10"/>
      <x:c r="F1977" s="11" t="n">
        <x:v>639</x:v>
      </x:c>
      <x:c r="G1977" s="11" t="n">
        <x:v>0</x:v>
      </x:c>
      <x:c r="H1977" s="11" t="n">
        <x:v>0</x:v>
      </x:c>
      <x:c r="I1977" s="11" t="n">
        <x:v>1</x:v>
      </x:c>
      <x:c r="J1977" s="11" t="n">
        <x:v>0</x:v>
      </x:c>
      <x:c r="K1977" s="11" t="n">
        <x:v>0</x:v>
      </x:c>
      <x:c r="L1977" s="11" t="n">
        <x:f>IF(B1977="NED",1,IF(OR(B1977="ED",B1977="UN"),0,""))</x:f>
        <x:v>0</x:v>
      </x:c>
      <x:c r="M1977" s="11" t="n">
        <x:f>IF(AND(K1977=1,OR(B1977="ED",B1977="NED")),1,0)</x:f>
        <x:v>0</x:v>
      </x:c>
      <x:c r="N1977" s="11" t="n">
        <x:f>IF(K1977=1,1,0)</x:f>
        <x:v>0</x:v>
      </x:c>
      <x:c r="O1977" s="12" t="str">
        <x:v>Exclude UniProt Membrane keyword</x:v>
      </x:c>
      <x:c r="P1977" s="11" t="n">
        <x:v>0</x:v>
      </x:c>
      <x:c r="Q1977" s="12" t="str">
        <x:v>AF-Q8BRF7-F1-model_v6</x:v>
      </x:c>
      <x:c r="R1977" s="12" t="str">
        <x:v>ok</x:v>
      </x:c>
      <x:c r="S1977" s="11" t="n">
        <x:v>1499</x:v>
      </x:c>
      <x:c r="T1977" s="11" t="n">
        <x:v>639</x:v>
      </x:c>
    </x:row>
    <x:row r="1978" ht="23" customHeight="1">
      <x:c r="A1978" s="2" t="str">
        <x:v>Q8BRG8-3</x:v>
      </x:c>
      <x:c r="B1978" s="2" t="str">
        <x:v>UN</x:v>
      </x:c>
      <x:c r="C1978" s="2"/>
      <x:c r="D1978" s="2"/>
      <x:c r="E1978" s="10"/>
      <x:c r="F1978" s="11"/>
      <x:c r="G1978" s="11" t="n">
        <x:v>0</x:v>
      </x:c>
      <x:c r="H1978" s="11" t="n">
        <x:v>0</x:v>
      </x:c>
      <x:c r="I1978" s="11"/>
      <x:c r="J1978" s="11"/>
      <x:c r="K1978" s="11" t="n">
        <x:v>0</x:v>
      </x:c>
      <x:c r="L1978" s="11" t="n">
        <x:f>IF(B1978="NED",1,IF(OR(B1978="ED",B1978="UN"),0,""))</x:f>
        <x:v>0</x:v>
      </x:c>
      <x:c r="M1978" s="11" t="n">
        <x:f>IF(AND(K1978=1,OR(B1978="ED",B1978="NED")),1,0)</x:f>
        <x:v>0</x:v>
      </x:c>
      <x:c r="N1978" s="11" t="n">
        <x:f>IF(K1978=1,1,0)</x:f>
        <x:v>0</x:v>
      </x:c>
      <x:c r="O1978" s="12" t="str">
        <x:v>Require exact native accession match</x:v>
      </x:c>
      <x:c r="P1978" s="11" t="n">
        <x:v>0</x:v>
      </x:c>
      <x:c r="Q1978" s="12"/>
      <x:c r="R1978" s="12"/>
      <x:c r="S1978" s="11" t="n">
        <x:v>1500</x:v>
      </x:c>
      <x:c r="T1978" s="11"/>
    </x:row>
    <x:row r="1979" ht="23" customHeight="1">
      <x:c r="A1979" s="2" t="str">
        <x:v>Q8BRH0</x:v>
      </x:c>
      <x:c r="B1979" s="2" t="str">
        <x:v>NED</x:v>
      </x:c>
      <x:c r="C1979" s="2" t="n">
        <x:v>1</x:v>
      </x:c>
      <x:c r="D1979" s="2" t="n">
        <x:v>1</x:v>
      </x:c>
      <x:c r="E1979" s="10"/>
      <x:c r="F1979" s="11" t="n">
        <x:v>920</x:v>
      </x:c>
      <x:c r="G1979" s="11" t="n">
        <x:v>0</x:v>
      </x:c>
      <x:c r="H1979" s="11" t="n">
        <x:v>0</x:v>
      </x:c>
      <x:c r="I1979" s="11" t="n">
        <x:v>1</x:v>
      </x:c>
      <x:c r="J1979" s="11" t="n">
        <x:v>0</x:v>
      </x:c>
      <x:c r="K1979" s="11" t="n">
        <x:v>0</x:v>
      </x:c>
      <x:c r="L1979" s="11" t="n">
        <x:f>IF(B1979="NED",1,IF(OR(B1979="ED",B1979="UN"),0,""))</x:f>
        <x:v>1</x:v>
      </x:c>
      <x:c r="M1979" s="11" t="n">
        <x:f>IF(AND(K1979=1,OR(B1979="ED",B1979="NED")),1,0)</x:f>
        <x:v>0</x:v>
      </x:c>
      <x:c r="N1979" s="11" t="n">
        <x:f>IF(K1979=1,1,0)</x:f>
        <x:v>0</x:v>
      </x:c>
      <x:c r="O1979" s="12" t="str">
        <x:v>Exclude UniProt Membrane keyword</x:v>
      </x:c>
      <x:c r="P1979" s="11" t="n">
        <x:v>0</x:v>
      </x:c>
      <x:c r="Q1979" s="12" t="str">
        <x:v>AF-Q8BRH0-F1-model_v6</x:v>
      </x:c>
      <x:c r="R1979" s="12" t="str">
        <x:v>ok</x:v>
      </x:c>
      <x:c r="S1979" s="11" t="n">
        <x:v>1501</x:v>
      </x:c>
      <x:c r="T1979" s="11" t="n">
        <x:v>920</x:v>
      </x:c>
    </x:row>
    <x:row r="1980" ht="23" customHeight="1">
      <x:c r="A1980" s="2" t="str">
        <x:v>Q8BRT1</x:v>
      </x:c>
      <x:c r="B1980" s="2" t="str">
        <x:v>ED</x:v>
      </x:c>
      <x:c r="C1980" s="2" t="n">
        <x:v>0</x:v>
      </x:c>
      <x:c r="D1980" s="2" t="n">
        <x:v>0</x:v>
      </x:c>
      <x:c r="E1980" s="10"/>
      <x:c r="F1980" s="11" t="n">
        <x:v>1286</x:v>
      </x:c>
      <x:c r="G1980" s="11" t="n">
        <x:v>0</x:v>
      </x:c>
      <x:c r="H1980" s="11" t="n">
        <x:v>0</x:v>
      </x:c>
      <x:c r="I1980" s="11" t="n">
        <x:v>1</x:v>
      </x:c>
      <x:c r="J1980" s="11" t="n">
        <x:v>0</x:v>
      </x:c>
      <x:c r="K1980" s="11" t="n">
        <x:v>0</x:v>
      </x:c>
      <x:c r="L1980" s="11" t="n">
        <x:f>IF(B1980="NED",1,IF(OR(B1980="ED",B1980="UN"),0,""))</x:f>
        <x:v>0</x:v>
      </x:c>
      <x:c r="M1980" s="11" t="n">
        <x:f>IF(AND(K1980=1,OR(B1980="ED",B1980="NED")),1,0)</x:f>
        <x:v>0</x:v>
      </x:c>
      <x:c r="N1980" s="11" t="n">
        <x:f>IF(K1980=1,1,0)</x:f>
        <x:v>0</x:v>
      </x:c>
      <x:c r="O1980" s="12" t="str">
        <x:v>Exclude UniProt Membrane keyword</x:v>
      </x:c>
      <x:c r="P1980" s="11" t="n">
        <x:v>0</x:v>
      </x:c>
      <x:c r="Q1980" s="12" t="str">
        <x:v>AF-Q8BRT1-F1-model_v6</x:v>
      </x:c>
      <x:c r="R1980" s="12" t="str">
        <x:v>ok</x:v>
      </x:c>
      <x:c r="S1980" s="11" t="n">
        <x:v>1502</x:v>
      </x:c>
      <x:c r="T1980" s="11" t="n">
        <x:v>1286</x:v>
      </x:c>
    </x:row>
    <x:row r="1981" ht="23" customHeight="1">
      <x:c r="A1981" s="2" t="str">
        <x:v>Q8BSE0</x:v>
      </x:c>
      <x:c r="B1981" s="2" t="str">
        <x:v>UN</x:v>
      </x:c>
      <x:c r="C1981" s="2" t="n">
        <x:v>0</x:v>
      </x:c>
      <x:c r="D1981" s="2" t="n">
        <x:v>0</x:v>
      </x:c>
      <x:c r="E1981" s="10"/>
      <x:c r="F1981" s="11" t="n">
        <x:v>410</x:v>
      </x:c>
      <x:c r="G1981" s="11" t="n">
        <x:v>0</x:v>
      </x:c>
      <x:c r="H1981" s="11" t="n">
        <x:v>0</x:v>
      </x:c>
      <x:c r="I1981" s="11" t="n">
        <x:v>1</x:v>
      </x:c>
      <x:c r="J1981" s="11" t="n">
        <x:v>0</x:v>
      </x:c>
      <x:c r="K1981" s="11" t="n">
        <x:v>0</x:v>
      </x:c>
      <x:c r="L1981" s="11" t="n">
        <x:f>IF(B1981="NED",1,IF(OR(B1981="ED",B1981="UN"),0,""))</x:f>
        <x:v>0</x:v>
      </x:c>
      <x:c r="M1981" s="11" t="n">
        <x:f>IF(AND(K1981=1,OR(B1981="ED",B1981="NED")),1,0)</x:f>
        <x:v>0</x:v>
      </x:c>
      <x:c r="N1981" s="11" t="n">
        <x:f>IF(K1981=1,1,0)</x:f>
        <x:v>0</x:v>
      </x:c>
      <x:c r="O1981" s="12" t="str">
        <x:v>Exclude UniProt Membrane keyword</x:v>
      </x:c>
      <x:c r="P1981" s="11" t="n">
        <x:v>0</x:v>
      </x:c>
      <x:c r="Q1981" s="12" t="str">
        <x:v>AF-Q8BSE0-F1-model_v6</x:v>
      </x:c>
      <x:c r="R1981" s="12" t="str">
        <x:v>ok</x:v>
      </x:c>
      <x:c r="S1981" s="11" t="n">
        <x:v>1503</x:v>
      </x:c>
      <x:c r="T1981" s="11" t="n">
        <x:v>410</x:v>
      </x:c>
    </x:row>
    <x:row r="1982" ht="23" customHeight="1">
      <x:c r="A1982" s="2" t="str">
        <x:v>Q8BSF4</x:v>
      </x:c>
      <x:c r="B1982" s="2" t="str">
        <x:v>NED</x:v>
      </x:c>
      <x:c r="C1982" s="2" t="n">
        <x:v>1</x:v>
      </x:c>
      <x:c r="D1982" s="2" t="n">
        <x:v>1</x:v>
      </x:c>
      <x:c r="E1982" s="10"/>
      <x:c r="F1982" s="11" t="n">
        <x:v>406</x:v>
      </x:c>
      <x:c r="G1982" s="11" t="n">
        <x:v>0</x:v>
      </x:c>
      <x:c r="H1982" s="11" t="n">
        <x:v>0</x:v>
      </x:c>
      <x:c r="I1982" s="11" t="n">
        <x:v>1</x:v>
      </x:c>
      <x:c r="J1982" s="11" t="n">
        <x:v>0</x:v>
      </x:c>
      <x:c r="K1982" s="11" t="n">
        <x:v>0</x:v>
      </x:c>
      <x:c r="L1982" s="11" t="n">
        <x:f>IF(B1982="NED",1,IF(OR(B1982="ED",B1982="UN"),0,""))</x:f>
        <x:v>1</x:v>
      </x:c>
      <x:c r="M1982" s="11" t="n">
        <x:f>IF(AND(K1982=1,OR(B1982="ED",B1982="NED")),1,0)</x:f>
        <x:v>0</x:v>
      </x:c>
      <x:c r="N1982" s="11" t="n">
        <x:f>IF(K1982=1,1,0)</x:f>
        <x:v>0</x:v>
      </x:c>
      <x:c r="O1982" s="12" t="str">
        <x:v>Exclude UniProt Membrane keyword</x:v>
      </x:c>
      <x:c r="P1982" s="11" t="n">
        <x:v>0</x:v>
      </x:c>
      <x:c r="Q1982" s="12" t="str">
        <x:v>AF-Q8BSF4-F1-model_v6</x:v>
      </x:c>
      <x:c r="R1982" s="12" t="str">
        <x:v>ok</x:v>
      </x:c>
      <x:c r="S1982" s="11" t="n">
        <x:v>1504</x:v>
      </x:c>
      <x:c r="T1982" s="11" t="n">
        <x:v>406</x:v>
      </x:c>
    </x:row>
    <x:row r="1983" ht="23" customHeight="1">
      <x:c r="A1983" s="2" t="str">
        <x:v>Q8BSK8-2</x:v>
      </x:c>
      <x:c r="B1983" s="2" t="str">
        <x:v>ED</x:v>
      </x:c>
      <x:c r="C1983" s="2"/>
      <x:c r="D1983" s="2"/>
      <x:c r="E1983" s="10"/>
      <x:c r="F1983" s="11"/>
      <x:c r="G1983" s="11" t="n">
        <x:v>0</x:v>
      </x:c>
      <x:c r="H1983" s="11" t="n">
        <x:v>0</x:v>
      </x:c>
      <x:c r="I1983" s="11"/>
      <x:c r="J1983" s="11"/>
      <x:c r="K1983" s="11" t="n">
        <x:v>0</x:v>
      </x:c>
      <x:c r="L1983" s="11" t="n">
        <x:f>IF(B1983="NED",1,IF(OR(B1983="ED",B1983="UN"),0,""))</x:f>
        <x:v>0</x:v>
      </x:c>
      <x:c r="M1983" s="11" t="n">
        <x:f>IF(AND(K1983=1,OR(B1983="ED",B1983="NED")),1,0)</x:f>
        <x:v>0</x:v>
      </x:c>
      <x:c r="N1983" s="11" t="n">
        <x:f>IF(K1983=1,1,0)</x:f>
        <x:v>0</x:v>
      </x:c>
      <x:c r="O1983" s="12" t="str">
        <x:v>Require exact native accession match</x:v>
      </x:c>
      <x:c r="P1983" s="11" t="n">
        <x:v>0</x:v>
      </x:c>
      <x:c r="Q1983" s="12"/>
      <x:c r="R1983" s="12"/>
      <x:c r="S1983" s="11" t="n">
        <x:v>1505</x:v>
      </x:c>
      <x:c r="T1983" s="11"/>
    </x:row>
    <x:row r="1984" ht="23" customHeight="1">
      <x:c r="A1984" s="2" t="str">
        <x:v>Q8BT07</x:v>
      </x:c>
      <x:c r="B1984" s="2" t="str">
        <x:v>ED</x:v>
      </x:c>
      <x:c r="C1984" s="2" t="n">
        <x:v>0</x:v>
      </x:c>
      <x:c r="D1984" s="2" t="n">
        <x:v>0</x:v>
      </x:c>
      <x:c r="E1984" s="10" t="n">
        <x:v>81.42614718614718</x:v>
      </x:c>
      <x:c r="F1984" s="11" t="n">
        <x:v>462</x:v>
      </x:c>
      <x:c r="G1984" s="11" t="n">
        <x:v>0</x:v>
      </x:c>
      <x:c r="H1984" s="11" t="n">
        <x:v>0</x:v>
      </x:c>
      <x:c r="I1984" s="11" t="n">
        <x:v>0</x:v>
      </x:c>
      <x:c r="J1984" s="11" t="n">
        <x:v>0</x:v>
      </x:c>
      <x:c r="K1984" s="11" t="n">
        <x:v>1</x:v>
      </x:c>
      <x:c r="L1984" s="11" t="n">
        <x:f>IF(B1984="NED",1,IF(OR(B1984="ED",B1984="UN"),0,""))</x:f>
        <x:v>0</x:v>
      </x:c>
      <x:c r="M1984" s="11" t="n">
        <x:f>IF(AND(K1984=1,OR(B1984="ED",B1984="NED")),1,0)</x:f>
        <x:v>1</x:v>
      </x:c>
      <x:c r="N1984" s="11" t="n">
        <x:f>IF(K1984=1,1,0)</x:f>
        <x:v>1</x:v>
      </x:c>
      <x:c r="O1984" s="12"/>
      <x:c r="P1984" s="11" t="n">
        <x:v>0</x:v>
      </x:c>
      <x:c r="Q1984" s="12" t="str">
        <x:v>AF-Q8BT07-F1-model_v6</x:v>
      </x:c>
      <x:c r="R1984" s="12" t="str">
        <x:v>ok</x:v>
      </x:c>
      <x:c r="S1984" s="11" t="n">
        <x:v>1506</x:v>
      </x:c>
      <x:c r="T1984" s="11" t="n">
        <x:v>462</x:v>
      </x:c>
    </x:row>
    <x:row r="1985" ht="23" customHeight="1">
      <x:c r="A1985" s="2" t="str">
        <x:v>Q8BT60</x:v>
      </x:c>
      <x:c r="B1985" s="2" t="str">
        <x:v>ED</x:v>
      </x:c>
      <x:c r="C1985" s="2" t="n">
        <x:v>1</x:v>
      </x:c>
      <x:c r="D1985" s="2" t="n">
        <x:v>1</x:v>
      </x:c>
      <x:c r="E1985" s="10"/>
      <x:c r="F1985" s="11" t="n">
        <x:v>533</x:v>
      </x:c>
      <x:c r="G1985" s="11" t="n">
        <x:v>0</x:v>
      </x:c>
      <x:c r="H1985" s="11" t="n">
        <x:v>0</x:v>
      </x:c>
      <x:c r="I1985" s="11" t="n">
        <x:v>1</x:v>
      </x:c>
      <x:c r="J1985" s="11" t="n">
        <x:v>0</x:v>
      </x:c>
      <x:c r="K1985" s="11" t="n">
        <x:v>0</x:v>
      </x:c>
      <x:c r="L1985" s="11" t="n">
        <x:f>IF(B1985="NED",1,IF(OR(B1985="ED",B1985="UN"),0,""))</x:f>
        <x:v>0</x:v>
      </x:c>
      <x:c r="M1985" s="11" t="n">
        <x:f>IF(AND(K1985=1,OR(B1985="ED",B1985="NED")),1,0)</x:f>
        <x:v>0</x:v>
      </x:c>
      <x:c r="N1985" s="11" t="n">
        <x:f>IF(K1985=1,1,0)</x:f>
        <x:v>0</x:v>
      </x:c>
      <x:c r="O1985" s="12" t="str">
        <x:v>Exclude UniProt Membrane keyword</x:v>
      </x:c>
      <x:c r="P1985" s="11" t="n">
        <x:v>0</x:v>
      </x:c>
      <x:c r="Q1985" s="12" t="str">
        <x:v>AF-Q8BT60-F1-model_v6</x:v>
      </x:c>
      <x:c r="R1985" s="12" t="str">
        <x:v>ok</x:v>
      </x:c>
      <x:c r="S1985" s="11" t="n">
        <x:v>1507</x:v>
      </x:c>
      <x:c r="T1985" s="11" t="n">
        <x:v>533</x:v>
      </x:c>
    </x:row>
    <x:row r="1986" ht="23" customHeight="1">
      <x:c r="A1986" s="2" t="str">
        <x:v>Q8BTI7</x:v>
      </x:c>
      <x:c r="B1986" s="2" t="str">
        <x:v>UN</x:v>
      </x:c>
      <x:c r="C1986" s="2" t="n">
        <x:v>0</x:v>
      </x:c>
      <x:c r="D1986" s="2" t="n">
        <x:v>0</x:v>
      </x:c>
      <x:c r="E1986" s="10" t="n">
        <x:v>86.27120817843867</x:v>
      </x:c>
      <x:c r="F1986" s="11" t="n">
        <x:v>1076</x:v>
      </x:c>
      <x:c r="G1986" s="11" t="n">
        <x:v>0</x:v>
      </x:c>
      <x:c r="H1986" s="11" t="n">
        <x:v>0</x:v>
      </x:c>
      <x:c r="I1986" s="11" t="n">
        <x:v>0</x:v>
      </x:c>
      <x:c r="J1986" s="11" t="n">
        <x:v>0</x:v>
      </x:c>
      <x:c r="K1986" s="11" t="n">
        <x:v>1</x:v>
      </x:c>
      <x:c r="L1986" s="11" t="n">
        <x:f>IF(B1986="NED",1,IF(OR(B1986="ED",B1986="UN"),0,""))</x:f>
        <x:v>0</x:v>
      </x:c>
      <x:c r="M1986" s="11" t="n">
        <x:f>IF(AND(K1986=1,OR(B1986="ED",B1986="NED")),1,0)</x:f>
        <x:v>0</x:v>
      </x:c>
      <x:c r="N1986" s="11" t="n">
        <x:f>IF(K1986=1,1,0)</x:f>
        <x:v>1</x:v>
      </x:c>
      <x:c r="O1986" s="12"/>
      <x:c r="P1986" s="11" t="n">
        <x:v>0</x:v>
      </x:c>
      <x:c r="Q1986" s="12" t="str">
        <x:v>AF-Q8BTI7-F1-model_v6</x:v>
      </x:c>
      <x:c r="R1986" s="12" t="str">
        <x:v>ok</x:v>
      </x:c>
      <x:c r="S1986" s="11" t="n">
        <x:v>1508</x:v>
      </x:c>
      <x:c r="T1986" s="11" t="n">
        <x:v>1076</x:v>
      </x:c>
    </x:row>
    <x:row r="1987" ht="23" customHeight="1">
      <x:c r="A1987" s="2" t="str">
        <x:v>Q8BTI8-3</x:v>
      </x:c>
      <x:c r="B1987" s="2" t="str">
        <x:v>ED</x:v>
      </x:c>
      <x:c r="C1987" s="2"/>
      <x:c r="D1987" s="2"/>
      <x:c r="E1987" s="10"/>
      <x:c r="F1987" s="11"/>
      <x:c r="G1987" s="11" t="n">
        <x:v>0</x:v>
      </x:c>
      <x:c r="H1987" s="11" t="n">
        <x:v>0</x:v>
      </x:c>
      <x:c r="I1987" s="11"/>
      <x:c r="J1987" s="11"/>
      <x:c r="K1987" s="11" t="n">
        <x:v>0</x:v>
      </x:c>
      <x:c r="L1987" s="11" t="n">
        <x:f>IF(B1987="NED",1,IF(OR(B1987="ED",B1987="UN"),0,""))</x:f>
        <x:v>0</x:v>
      </x:c>
      <x:c r="M1987" s="11" t="n">
        <x:f>IF(AND(K1987=1,OR(B1987="ED",B1987="NED")),1,0)</x:f>
        <x:v>0</x:v>
      </x:c>
      <x:c r="N1987" s="11" t="n">
        <x:f>IF(K1987=1,1,0)</x:f>
        <x:v>0</x:v>
      </x:c>
      <x:c r="O1987" s="12" t="str">
        <x:v>Require exact native accession match</x:v>
      </x:c>
      <x:c r="P1987" s="11" t="n">
        <x:v>0</x:v>
      </x:c>
      <x:c r="Q1987" s="12"/>
      <x:c r="R1987" s="12"/>
      <x:c r="S1987" s="11" t="n">
        <x:v>1509</x:v>
      </x:c>
      <x:c r="T1987" s="11"/>
    </x:row>
    <x:row r="1988" ht="23" customHeight="1">
      <x:c r="A1988" s="2" t="str">
        <x:v>Q8BTI9</x:v>
      </x:c>
      <x:c r="B1988" s="2" t="str">
        <x:v>UN</x:v>
      </x:c>
      <x:c r="C1988" s="2" t="n">
        <x:v>1</x:v>
      </x:c>
      <x:c r="D1988" s="2" t="n">
        <x:v>1</x:v>
      </x:c>
      <x:c r="E1988" s="10" t="n">
        <x:v>86.84577067669173</x:v>
      </x:c>
      <x:c r="F1988" s="11" t="n">
        <x:v>1064</x:v>
      </x:c>
      <x:c r="G1988" s="11" t="n">
        <x:v>0</x:v>
      </x:c>
      <x:c r="H1988" s="11" t="n">
        <x:v>0</x:v>
      </x:c>
      <x:c r="I1988" s="11" t="n">
        <x:v>0</x:v>
      </x:c>
      <x:c r="J1988" s="11" t="n">
        <x:v>0</x:v>
      </x:c>
      <x:c r="K1988" s="11" t="n">
        <x:v>1</x:v>
      </x:c>
      <x:c r="L1988" s="11" t="n">
        <x:f>IF(B1988="NED",1,IF(OR(B1988="ED",B1988="UN"),0,""))</x:f>
        <x:v>0</x:v>
      </x:c>
      <x:c r="M1988" s="11" t="n">
        <x:f>IF(AND(K1988=1,OR(B1988="ED",B1988="NED")),1,0)</x:f>
        <x:v>0</x:v>
      </x:c>
      <x:c r="N1988" s="11" t="n">
        <x:f>IF(K1988=1,1,0)</x:f>
        <x:v>1</x:v>
      </x:c>
      <x:c r="O1988" s="12"/>
      <x:c r="P1988" s="11" t="n">
        <x:v>0</x:v>
      </x:c>
      <x:c r="Q1988" s="12" t="str">
        <x:v>AF-Q8BTI9-F1-model_v6</x:v>
      </x:c>
      <x:c r="R1988" s="12" t="str">
        <x:v>ok</x:v>
      </x:c>
      <x:c r="S1988" s="11" t="n">
        <x:v>1510</x:v>
      </x:c>
      <x:c r="T1988" s="11" t="n">
        <x:v>1064</x:v>
      </x:c>
    </x:row>
    <x:row r="1989" ht="23" customHeight="1">
      <x:c r="A1989" s="2" t="str">
        <x:v>Q8BTS4</x:v>
      </x:c>
      <x:c r="B1989" s="2" t="str">
        <x:v>ED</x:v>
      </x:c>
      <x:c r="C1989" s="2" t="n">
        <x:v>1</x:v>
      </x:c>
      <x:c r="D1989" s="2" t="n">
        <x:v>1</x:v>
      </x:c>
      <x:c r="E1989" s="10"/>
      <x:c r="F1989" s="11" t="n">
        <x:v>510</x:v>
      </x:c>
      <x:c r="G1989" s="11" t="n">
        <x:v>0</x:v>
      </x:c>
      <x:c r="H1989" s="11" t="n">
        <x:v>0</x:v>
      </x:c>
      <x:c r="I1989" s="11" t="n">
        <x:v>1</x:v>
      </x:c>
      <x:c r="J1989" s="11" t="n">
        <x:v>0</x:v>
      </x:c>
      <x:c r="K1989" s="11" t="n">
        <x:v>0</x:v>
      </x:c>
      <x:c r="L1989" s="11" t="n">
        <x:f>IF(B1989="NED",1,IF(OR(B1989="ED",B1989="UN"),0,""))</x:f>
        <x:v>0</x:v>
      </x:c>
      <x:c r="M1989" s="11" t="n">
        <x:f>IF(AND(K1989=1,OR(B1989="ED",B1989="NED")),1,0)</x:f>
        <x:v>0</x:v>
      </x:c>
      <x:c r="N1989" s="11" t="n">
        <x:f>IF(K1989=1,1,0)</x:f>
        <x:v>0</x:v>
      </x:c>
      <x:c r="O1989" s="12" t="str">
        <x:v>Exclude UniProt Membrane keyword</x:v>
      </x:c>
      <x:c r="P1989" s="11" t="n">
        <x:v>0</x:v>
      </x:c>
      <x:c r="Q1989" s="12" t="str">
        <x:v>AF-Q8BTS4-F1-model_v6</x:v>
      </x:c>
      <x:c r="R1989" s="12" t="str">
        <x:v>ok</x:v>
      </x:c>
      <x:c r="S1989" s="11" t="n">
        <x:v>1511</x:v>
      </x:c>
      <x:c r="T1989" s="11" t="n">
        <x:v>510</x:v>
      </x:c>
    </x:row>
    <x:row r="1990" ht="23" customHeight="1">
      <x:c r="A1990" s="2" t="str">
        <x:v>Q8BTT6</x:v>
      </x:c>
      <x:c r="B1990" s="2" t="str">
        <x:v>ED</x:v>
      </x:c>
      <x:c r="C1990" s="2" t="n">
        <x:v>1</x:v>
      </x:c>
      <x:c r="D1990" s="2" t="n">
        <x:v>1</x:v>
      </x:c>
      <x:c r="E1990" s="10" t="n">
        <x:v>76.69034974093263</x:v>
      </x:c>
      <x:c r="F1990" s="11" t="n">
        <x:v>772</x:v>
      </x:c>
      <x:c r="G1990" s="11" t="n">
        <x:v>0</x:v>
      </x:c>
      <x:c r="H1990" s="11" t="n">
        <x:v>0</x:v>
      </x:c>
      <x:c r="I1990" s="11" t="n">
        <x:v>0</x:v>
      </x:c>
      <x:c r="J1990" s="11" t="n">
        <x:v>0</x:v>
      </x:c>
      <x:c r="K1990" s="11" t="n">
        <x:v>1</x:v>
      </x:c>
      <x:c r="L1990" s="11" t="n">
        <x:f>IF(B1990="NED",1,IF(OR(B1990="ED",B1990="UN"),0,""))</x:f>
        <x:v>0</x:v>
      </x:c>
      <x:c r="M1990" s="11" t="n">
        <x:f>IF(AND(K1990=1,OR(B1990="ED",B1990="NED")),1,0)</x:f>
        <x:v>1</x:v>
      </x:c>
      <x:c r="N1990" s="11" t="n">
        <x:f>IF(K1990=1,1,0)</x:f>
        <x:v>1</x:v>
      </x:c>
      <x:c r="O1990" s="12"/>
      <x:c r="P1990" s="11" t="n">
        <x:v>0</x:v>
      </x:c>
      <x:c r="Q1990" s="12" t="str">
        <x:v>AF-Q8BTT6-F1-model_v6</x:v>
      </x:c>
      <x:c r="R1990" s="12" t="str">
        <x:v>ok</x:v>
      </x:c>
      <x:c r="S1990" s="11" t="n">
        <x:v>1512</x:v>
      </x:c>
      <x:c r="T1990" s="11" t="n">
        <x:v>772</x:v>
      </x:c>
    </x:row>
    <x:row r="1991" ht="23" customHeight="1">
      <x:c r="A1991" s="2" t="str">
        <x:v>Q8BTV2-2</x:v>
      </x:c>
      <x:c r="B1991" s="2" t="str">
        <x:v>ED</x:v>
      </x:c>
      <x:c r="C1991" s="2"/>
      <x:c r="D1991" s="2"/>
      <x:c r="E1991" s="10"/>
      <x:c r="F1991" s="11"/>
      <x:c r="G1991" s="11" t="n">
        <x:v>0</x:v>
      </x:c>
      <x:c r="H1991" s="11" t="n">
        <x:v>0</x:v>
      </x:c>
      <x:c r="I1991" s="11"/>
      <x:c r="J1991" s="11"/>
      <x:c r="K1991" s="11" t="n">
        <x:v>0</x:v>
      </x:c>
      <x:c r="L1991" s="11" t="n">
        <x:f>IF(B1991="NED",1,IF(OR(B1991="ED",B1991="UN"),0,""))</x:f>
        <x:v>0</x:v>
      </x:c>
      <x:c r="M1991" s="11" t="n">
        <x:f>IF(AND(K1991=1,OR(B1991="ED",B1991="NED")),1,0)</x:f>
        <x:v>0</x:v>
      </x:c>
      <x:c r="N1991" s="11" t="n">
        <x:f>IF(K1991=1,1,0)</x:f>
        <x:v>0</x:v>
      </x:c>
      <x:c r="O1991" s="12" t="str">
        <x:v>Require exact native accession match</x:v>
      </x:c>
      <x:c r="P1991" s="11" t="n">
        <x:v>0</x:v>
      </x:c>
      <x:c r="Q1991" s="12"/>
      <x:c r="R1991" s="12"/>
      <x:c r="S1991" s="11" t="n">
        <x:v>1513</x:v>
      </x:c>
      <x:c r="T1991" s="11"/>
    </x:row>
    <x:row r="1992" ht="23" customHeight="1">
      <x:c r="A1992" s="2" t="str">
        <x:v>Q8BTW9</x:v>
      </x:c>
      <x:c r="B1992" s="2" t="str">
        <x:v>ED</x:v>
      </x:c>
      <x:c r="C1992" s="2" t="n">
        <x:v>1</x:v>
      </x:c>
      <x:c r="D1992" s="2" t="n">
        <x:v>1</x:v>
      </x:c>
      <x:c r="E1992" s="10" t="n">
        <x:v>70.92112984822934</x:v>
      </x:c>
      <x:c r="F1992" s="11" t="n">
        <x:v>593</x:v>
      </x:c>
      <x:c r="G1992" s="11" t="n">
        <x:v>0</x:v>
      </x:c>
      <x:c r="H1992" s="11" t="n">
        <x:v>0</x:v>
      </x:c>
      <x:c r="I1992" s="11" t="n">
        <x:v>0</x:v>
      </x:c>
      <x:c r="J1992" s="11" t="n">
        <x:v>0</x:v>
      </x:c>
      <x:c r="K1992" s="11" t="n">
        <x:v>1</x:v>
      </x:c>
      <x:c r="L1992" s="11" t="n">
        <x:f>IF(B1992="NED",1,IF(OR(B1992="ED",B1992="UN"),0,""))</x:f>
        <x:v>0</x:v>
      </x:c>
      <x:c r="M1992" s="11" t="n">
        <x:f>IF(AND(K1992=1,OR(B1992="ED",B1992="NED")),1,0)</x:f>
        <x:v>1</x:v>
      </x:c>
      <x:c r="N1992" s="11" t="n">
        <x:f>IF(K1992=1,1,0)</x:f>
        <x:v>1</x:v>
      </x:c>
      <x:c r="O1992" s="12"/>
      <x:c r="P1992" s="11" t="n">
        <x:v>0</x:v>
      </x:c>
      <x:c r="Q1992" s="12" t="str">
        <x:v>AF-Q8BTW9-F1-model_v6</x:v>
      </x:c>
      <x:c r="R1992" s="12" t="str">
        <x:v>ok</x:v>
      </x:c>
      <x:c r="S1992" s="11" t="n">
        <x:v>1514</x:v>
      </x:c>
      <x:c r="T1992" s="11" t="n">
        <x:v>593</x:v>
      </x:c>
    </x:row>
    <x:row r="1993" ht="23" customHeight="1">
      <x:c r="A1993" s="2" t="str">
        <x:v>Q8BTY2</x:v>
      </x:c>
      <x:c r="B1993" s="2" t="str">
        <x:v>UN</x:v>
      </x:c>
      <x:c r="C1993" s="2" t="n">
        <x:v>1</x:v>
      </x:c>
      <x:c r="D1993" s="2" t="n">
        <x:v>1</x:v>
      </x:c>
      <x:c r="E1993" s="10"/>
      <x:c r="F1993" s="11" t="n">
        <x:v>1034</x:v>
      </x:c>
      <x:c r="G1993" s="11" t="n">
        <x:v>0</x:v>
      </x:c>
      <x:c r="H1993" s="11" t="n">
        <x:v>0</x:v>
      </x:c>
      <x:c r="I1993" s="11" t="n">
        <x:v>1</x:v>
      </x:c>
      <x:c r="J1993" s="11" t="n">
        <x:v>0</x:v>
      </x:c>
      <x:c r="K1993" s="11" t="n">
        <x:v>0</x:v>
      </x:c>
      <x:c r="L1993" s="11" t="n">
        <x:f>IF(B1993="NED",1,IF(OR(B1993="ED",B1993="UN"),0,""))</x:f>
        <x:v>0</x:v>
      </x:c>
      <x:c r="M1993" s="11" t="n">
        <x:f>IF(AND(K1993=1,OR(B1993="ED",B1993="NED")),1,0)</x:f>
        <x:v>0</x:v>
      </x:c>
      <x:c r="N1993" s="11" t="n">
        <x:f>IF(K1993=1,1,0)</x:f>
        <x:v>0</x:v>
      </x:c>
      <x:c r="O1993" s="12" t="str">
        <x:v>Exclude UniProt Membrane keyword</x:v>
      </x:c>
      <x:c r="P1993" s="11" t="n">
        <x:v>0</x:v>
      </x:c>
      <x:c r="Q1993" s="12" t="str">
        <x:v>AF-Q8BTY2-F1-model_v6</x:v>
      </x:c>
      <x:c r="R1993" s="12" t="str">
        <x:v>ok</x:v>
      </x:c>
      <x:c r="S1993" s="11" t="n">
        <x:v>1515</x:v>
      </x:c>
      <x:c r="T1993" s="11" t="n">
        <x:v>1034</x:v>
      </x:c>
    </x:row>
    <x:row r="1994" ht="23" customHeight="1">
      <x:c r="A1994" s="2" t="str">
        <x:v>Q8BTZ4-2</x:v>
      </x:c>
      <x:c r="B1994" s="2" t="str">
        <x:v>UN</x:v>
      </x:c>
      <x:c r="C1994" s="2"/>
      <x:c r="D1994" s="2"/>
      <x:c r="E1994" s="10"/>
      <x:c r="F1994" s="11"/>
      <x:c r="G1994" s="11" t="n">
        <x:v>0</x:v>
      </x:c>
      <x:c r="H1994" s="11" t="n">
        <x:v>0</x:v>
      </x:c>
      <x:c r="I1994" s="11"/>
      <x:c r="J1994" s="11"/>
      <x:c r="K1994" s="11" t="n">
        <x:v>0</x:v>
      </x:c>
      <x:c r="L1994" s="11" t="n">
        <x:f>IF(B1994="NED",1,IF(OR(B1994="ED",B1994="UN"),0,""))</x:f>
        <x:v>0</x:v>
      </x:c>
      <x:c r="M1994" s="11" t="n">
        <x:f>IF(AND(K1994=1,OR(B1994="ED",B1994="NED")),1,0)</x:f>
        <x:v>0</x:v>
      </x:c>
      <x:c r="N1994" s="11" t="n">
        <x:f>IF(K1994=1,1,0)</x:f>
        <x:v>0</x:v>
      </x:c>
      <x:c r="O1994" s="12" t="str">
        <x:v>Require exact native accession match</x:v>
      </x:c>
      <x:c r="P1994" s="11" t="n">
        <x:v>0</x:v>
      </x:c>
      <x:c r="Q1994" s="12"/>
      <x:c r="R1994" s="12"/>
      <x:c r="S1994" s="11" t="n">
        <x:v>1516</x:v>
      </x:c>
      <x:c r="T1994" s="11"/>
    </x:row>
    <x:row r="1995" ht="23" customHeight="1">
      <x:c r="A1995" s="2" t="str">
        <x:v>Q8BU03</x:v>
      </x:c>
      <x:c r="B1995" s="2" t="str">
        <x:v>UN</x:v>
      </x:c>
      <x:c r="C1995" s="2" t="n">
        <x:v>1</x:v>
      </x:c>
      <x:c r="D1995" s="2" t="n">
        <x:v>1</x:v>
      </x:c>
      <x:c r="E1995" s="10" t="n">
        <x:v>86.67463547334059</x:v>
      </x:c>
      <x:c r="F1995" s="11" t="n">
        <x:v>919</x:v>
      </x:c>
      <x:c r="G1995" s="11" t="n">
        <x:v>0</x:v>
      </x:c>
      <x:c r="H1995" s="11" t="n">
        <x:v>0</x:v>
      </x:c>
      <x:c r="I1995" s="11" t="n">
        <x:v>0</x:v>
      </x:c>
      <x:c r="J1995" s="11" t="n">
        <x:v>0</x:v>
      </x:c>
      <x:c r="K1995" s="11" t="n">
        <x:v>1</x:v>
      </x:c>
      <x:c r="L1995" s="11" t="n">
        <x:f>IF(B1995="NED",1,IF(OR(B1995="ED",B1995="UN"),0,""))</x:f>
        <x:v>0</x:v>
      </x:c>
      <x:c r="M1995" s="11" t="n">
        <x:f>IF(AND(K1995=1,OR(B1995="ED",B1995="NED")),1,0)</x:f>
        <x:v>0</x:v>
      </x:c>
      <x:c r="N1995" s="11" t="n">
        <x:f>IF(K1995=1,1,0)</x:f>
        <x:v>1</x:v>
      </x:c>
      <x:c r="O1995" s="12"/>
      <x:c r="P1995" s="11" t="n">
        <x:v>0</x:v>
      </x:c>
      <x:c r="Q1995" s="12" t="str">
        <x:v>AF-Q8BU03-F1-model_v6</x:v>
      </x:c>
      <x:c r="R1995" s="12" t="str">
        <x:v>ok</x:v>
      </x:c>
      <x:c r="S1995" s="11" t="n">
        <x:v>1517</x:v>
      </x:c>
      <x:c r="T1995" s="11" t="n">
        <x:v>919</x:v>
      </x:c>
    </x:row>
    <x:row r="1996" ht="23" customHeight="1">
      <x:c r="A1996" s="2" t="str">
        <x:v>Q8BU30</x:v>
      </x:c>
      <x:c r="B1996" s="2" t="str">
        <x:v>ED</x:v>
      </x:c>
      <x:c r="C1996" s="2" t="n">
        <x:v>1</x:v>
      </x:c>
      <x:c r="D1996" s="2" t="n">
        <x:v>1</x:v>
      </x:c>
      <x:c r="E1996" s="10" t="n">
        <x:v>87.41055467511886</x:v>
      </x:c>
      <x:c r="F1996" s="11" t="n">
        <x:v>1262</x:v>
      </x:c>
      <x:c r="G1996" s="11" t="n">
        <x:v>0</x:v>
      </x:c>
      <x:c r="H1996" s="11" t="n">
        <x:v>0</x:v>
      </x:c>
      <x:c r="I1996" s="11" t="n">
        <x:v>0</x:v>
      </x:c>
      <x:c r="J1996" s="11" t="n">
        <x:v>0</x:v>
      </x:c>
      <x:c r="K1996" s="11" t="n">
        <x:v>1</x:v>
      </x:c>
      <x:c r="L1996" s="11" t="n">
        <x:f>IF(B1996="NED",1,IF(OR(B1996="ED",B1996="UN"),0,""))</x:f>
        <x:v>0</x:v>
      </x:c>
      <x:c r="M1996" s="11" t="n">
        <x:f>IF(AND(K1996=1,OR(B1996="ED",B1996="NED")),1,0)</x:f>
        <x:v>1</x:v>
      </x:c>
      <x:c r="N1996" s="11" t="n">
        <x:f>IF(K1996=1,1,0)</x:f>
        <x:v>1</x:v>
      </x:c>
      <x:c r="O1996" s="12"/>
      <x:c r="P1996" s="11" t="n">
        <x:v>0</x:v>
      </x:c>
      <x:c r="Q1996" s="12" t="str">
        <x:v>AF-Q8BU30-F1-model_v6</x:v>
      </x:c>
      <x:c r="R1996" s="12" t="str">
        <x:v>ok</x:v>
      </x:c>
      <x:c r="S1996" s="11" t="n">
        <x:v>1518</x:v>
      </x:c>
      <x:c r="T1996" s="11" t="n">
        <x:v>1262</x:v>
      </x:c>
    </x:row>
    <x:row r="1997" ht="23" customHeight="1">
      <x:c r="A1997" s="2" t="str">
        <x:v>Q8BU31</x:v>
      </x:c>
      <x:c r="B1997" s="2" t="str">
        <x:v>UN</x:v>
      </x:c>
      <x:c r="C1997" s="2" t="n">
        <x:v>1</x:v>
      </x:c>
      <x:c r="D1997" s="2" t="n">
        <x:v>1</x:v>
      </x:c>
      <x:c r="E1997" s="10"/>
      <x:c r="F1997" s="11" t="n">
        <x:v>183</x:v>
      </x:c>
      <x:c r="G1997" s="11" t="n">
        <x:v>0</x:v>
      </x:c>
      <x:c r="H1997" s="11" t="n">
        <x:v>0</x:v>
      </x:c>
      <x:c r="I1997" s="11" t="n">
        <x:v>1</x:v>
      </x:c>
      <x:c r="J1997" s="11" t="n">
        <x:v>0</x:v>
      </x:c>
      <x:c r="K1997" s="11" t="n">
        <x:v>0</x:v>
      </x:c>
      <x:c r="L1997" s="11" t="n">
        <x:f>IF(B1997="NED",1,IF(OR(B1997="ED",B1997="UN"),0,""))</x:f>
        <x:v>0</x:v>
      </x:c>
      <x:c r="M1997" s="11" t="n">
        <x:f>IF(AND(K1997=1,OR(B1997="ED",B1997="NED")),1,0)</x:f>
        <x:v>0</x:v>
      </x:c>
      <x:c r="N1997" s="11" t="n">
        <x:f>IF(K1997=1,1,0)</x:f>
        <x:v>0</x:v>
      </x:c>
      <x:c r="O1997" s="12" t="str">
        <x:v>Exclude UniProt Membrane keyword</x:v>
      </x:c>
      <x:c r="P1997" s="11" t="n">
        <x:v>0</x:v>
      </x:c>
      <x:c r="Q1997" s="12" t="str">
        <x:v>AF-Q8BU31-F1-model_v6</x:v>
      </x:c>
      <x:c r="R1997" s="12" t="str">
        <x:v>ok</x:v>
      </x:c>
      <x:c r="S1997" s="11" t="n">
        <x:v>1519</x:v>
      </x:c>
      <x:c r="T1997" s="11" t="n">
        <x:v>183</x:v>
      </x:c>
    </x:row>
    <x:row r="1998" ht="23" customHeight="1">
      <x:c r="A1998" s="2" t="str">
        <x:v>Q8BU33</x:v>
      </x:c>
      <x:c r="B1998" s="2" t="str">
        <x:v>UN</x:v>
      </x:c>
      <x:c r="C1998" s="2" t="n">
        <x:v>1</x:v>
      </x:c>
      <x:c r="D1998" s="2" t="n">
        <x:v>1</x:v>
      </x:c>
      <x:c r="E1998" s="10"/>
      <x:c r="F1998" s="11" t="n">
        <x:v>632</x:v>
      </x:c>
      <x:c r="G1998" s="11" t="n">
        <x:v>0</x:v>
      </x:c>
      <x:c r="H1998" s="11" t="n">
        <x:v>0</x:v>
      </x:c>
      <x:c r="I1998" s="11" t="n">
        <x:v>1</x:v>
      </x:c>
      <x:c r="J1998" s="11" t="n">
        <x:v>0</x:v>
      </x:c>
      <x:c r="K1998" s="11" t="n">
        <x:v>0</x:v>
      </x:c>
      <x:c r="L1998" s="11" t="n">
        <x:f>IF(B1998="NED",1,IF(OR(B1998="ED",B1998="UN"),0,""))</x:f>
        <x:v>0</x:v>
      </x:c>
      <x:c r="M1998" s="11" t="n">
        <x:f>IF(AND(K1998=1,OR(B1998="ED",B1998="NED")),1,0)</x:f>
        <x:v>0</x:v>
      </x:c>
      <x:c r="N1998" s="11" t="n">
        <x:f>IF(K1998=1,1,0)</x:f>
        <x:v>0</x:v>
      </x:c>
      <x:c r="O1998" s="12" t="str">
        <x:v>Exclude UniProt Membrane keyword</x:v>
      </x:c>
      <x:c r="P1998" s="11" t="n">
        <x:v>0</x:v>
      </x:c>
      <x:c r="Q1998" s="12" t="str">
        <x:v>AF-Q8BU33-F1-model_v6</x:v>
      </x:c>
      <x:c r="R1998" s="12" t="str">
        <x:v>ok</x:v>
      </x:c>
      <x:c r="S1998" s="11" t="n">
        <x:v>1520</x:v>
      </x:c>
      <x:c r="T1998" s="11" t="n">
        <x:v>632</x:v>
      </x:c>
    </x:row>
    <x:row r="1999" ht="23" customHeight="1">
      <x:c r="A1999" s="2" t="str">
        <x:v>Q8BU85</x:v>
      </x:c>
      <x:c r="B1999" s="2" t="str">
        <x:v>ED</x:v>
      </x:c>
      <x:c r="C1999" s="2" t="n">
        <x:v>1</x:v>
      </x:c>
      <x:c r="D1999" s="2" t="n">
        <x:v>1</x:v>
      </x:c>
      <x:c r="E1999" s="10" t="n">
        <x:v>75.74683794466404</x:v>
      </x:c>
      <x:c r="F1999" s="11" t="n">
        <x:v>253</x:v>
      </x:c>
      <x:c r="G1999" s="11" t="n">
        <x:v>0</x:v>
      </x:c>
      <x:c r="H1999" s="11" t="n">
        <x:v>0</x:v>
      </x:c>
      <x:c r="I1999" s="11" t="n">
        <x:v>0</x:v>
      </x:c>
      <x:c r="J1999" s="11" t="n">
        <x:v>0</x:v>
      </x:c>
      <x:c r="K1999" s="11" t="n">
        <x:v>1</x:v>
      </x:c>
      <x:c r="L1999" s="11" t="n">
        <x:f>IF(B1999="NED",1,IF(OR(B1999="ED",B1999="UN"),0,""))</x:f>
        <x:v>0</x:v>
      </x:c>
      <x:c r="M1999" s="11" t="n">
        <x:f>IF(AND(K1999=1,OR(B1999="ED",B1999="NED")),1,0)</x:f>
        <x:v>1</x:v>
      </x:c>
      <x:c r="N1999" s="11" t="n">
        <x:f>IF(K1999=1,1,0)</x:f>
        <x:v>1</x:v>
      </x:c>
      <x:c r="O1999" s="12"/>
      <x:c r="P1999" s="11" t="n">
        <x:v>0</x:v>
      </x:c>
      <x:c r="Q1999" s="12" t="str">
        <x:v>AF-Q8BU85-F1-model_v6</x:v>
      </x:c>
      <x:c r="R1999" s="12" t="str">
        <x:v>ok</x:v>
      </x:c>
      <x:c r="S1999" s="11" t="n">
        <x:v>1521</x:v>
      </x:c>
      <x:c r="T1999" s="11" t="n">
        <x:v>253</x:v>
      </x:c>
    </x:row>
    <x:row r="2000" ht="23" customHeight="1">
      <x:c r="A2000" s="2" t="str">
        <x:v>Q8BUI3</x:v>
      </x:c>
      <x:c r="B2000" s="2" t="str">
        <x:v>UN</x:v>
      </x:c>
      <x:c r="C2000" s="2" t="n">
        <x:v>1</x:v>
      </x:c>
      <x:c r="D2000" s="2" t="n">
        <x:v>1</x:v>
      </x:c>
      <x:c r="E2000" s="10" t="n">
        <x:v>82.63422839506174</x:v>
      </x:c>
      <x:c r="F2000" s="11" t="n">
        <x:v>648</x:v>
      </x:c>
      <x:c r="G2000" s="11" t="n">
        <x:v>0</x:v>
      </x:c>
      <x:c r="H2000" s="11" t="n">
        <x:v>0</x:v>
      </x:c>
      <x:c r="I2000" s="11" t="n">
        <x:v>0</x:v>
      </x:c>
      <x:c r="J2000" s="11" t="n">
        <x:v>0</x:v>
      </x:c>
      <x:c r="K2000" s="11" t="n">
        <x:v>1</x:v>
      </x:c>
      <x:c r="L2000" s="11" t="n">
        <x:f>IF(B2000="NED",1,IF(OR(B2000="ED",B2000="UN"),0,""))</x:f>
        <x:v>0</x:v>
      </x:c>
      <x:c r="M2000" s="11" t="n">
        <x:f>IF(AND(K2000=1,OR(B2000="ED",B2000="NED")),1,0)</x:f>
        <x:v>0</x:v>
      </x:c>
      <x:c r="N2000" s="11" t="n">
        <x:f>IF(K2000=1,1,0)</x:f>
        <x:v>1</x:v>
      </x:c>
      <x:c r="O2000" s="12"/>
      <x:c r="P2000" s="11" t="n">
        <x:v>0</x:v>
      </x:c>
      <x:c r="Q2000" s="12" t="str">
        <x:v>AF-Q8BUI3-F1-model_v6</x:v>
      </x:c>
      <x:c r="R2000" s="12" t="str">
        <x:v>ok</x:v>
      </x:c>
      <x:c r="S2000" s="11" t="n">
        <x:v>1522</x:v>
      </x:c>
      <x:c r="T2000" s="11" t="n">
        <x:v>648</x:v>
      </x:c>
    </x:row>
    <x:row r="2001" ht="23" customHeight="1">
      <x:c r="A2001" s="2" t="str">
        <x:v>Q8BUN5</x:v>
      </x:c>
      <x:c r="B2001" s="2" t="str">
        <x:v>ED</x:v>
      </x:c>
      <x:c r="C2001" s="2" t="n">
        <x:v>1</x:v>
      </x:c>
      <x:c r="D2001" s="2" t="n">
        <x:v>1</x:v>
      </x:c>
      <x:c r="E2001" s="10" t="n">
        <x:v>82.76082352941177</x:v>
      </x:c>
      <x:c r="F2001" s="11" t="n">
        <x:v>425</x:v>
      </x:c>
      <x:c r="G2001" s="11" t="n">
        <x:v>0</x:v>
      </x:c>
      <x:c r="H2001" s="11" t="n">
        <x:v>0</x:v>
      </x:c>
      <x:c r="I2001" s="11" t="n">
        <x:v>0</x:v>
      </x:c>
      <x:c r="J2001" s="11" t="n">
        <x:v>0</x:v>
      </x:c>
      <x:c r="K2001" s="11" t="n">
        <x:v>1</x:v>
      </x:c>
      <x:c r="L2001" s="11" t="n">
        <x:f>IF(B2001="NED",1,IF(OR(B2001="ED",B2001="UN"),0,""))</x:f>
        <x:v>0</x:v>
      </x:c>
      <x:c r="M2001" s="11" t="n">
        <x:f>IF(AND(K2001=1,OR(B2001="ED",B2001="NED")),1,0)</x:f>
        <x:v>1</x:v>
      </x:c>
      <x:c r="N2001" s="11" t="n">
        <x:f>IF(K2001=1,1,0)</x:f>
        <x:v>1</x:v>
      </x:c>
      <x:c r="O2001" s="12"/>
      <x:c r="P2001" s="11" t="n">
        <x:v>0</x:v>
      </x:c>
      <x:c r="Q2001" s="12" t="str">
        <x:v>AF-Q8BUN5-F1-model_v6</x:v>
      </x:c>
      <x:c r="R2001" s="12" t="str">
        <x:v>ok</x:v>
      </x:c>
      <x:c r="S2001" s="11" t="n">
        <x:v>1523</x:v>
      </x:c>
      <x:c r="T2001" s="11" t="n">
        <x:v>425</x:v>
      </x:c>
    </x:row>
    <x:row r="2002" ht="23" customHeight="1">
      <x:c r="A2002" s="2" t="str">
        <x:v>Q8BUR4</x:v>
      </x:c>
      <x:c r="B2002" s="2" t="str">
        <x:v>ED</x:v>
      </x:c>
      <x:c r="C2002" s="2" t="n">
        <x:v>1</x:v>
      </x:c>
      <x:c r="D2002" s="2" t="n">
        <x:v>1</x:v>
      </x:c>
      <x:c r="E2002" s="10"/>
      <x:c r="F2002" s="11" t="n">
        <x:v>1865</x:v>
      </x:c>
      <x:c r="G2002" s="11" t="n">
        <x:v>0</x:v>
      </x:c>
      <x:c r="H2002" s="11" t="n">
        <x:v>0</x:v>
      </x:c>
      <x:c r="I2002" s="11" t="n">
        <x:v>1</x:v>
      </x:c>
      <x:c r="J2002" s="11" t="n">
        <x:v>0</x:v>
      </x:c>
      <x:c r="K2002" s="11" t="n">
        <x:v>0</x:v>
      </x:c>
      <x:c r="L2002" s="11" t="n">
        <x:f>IF(B2002="NED",1,IF(OR(B2002="ED",B2002="UN"),0,""))</x:f>
        <x:v>0</x:v>
      </x:c>
      <x:c r="M2002" s="11" t="n">
        <x:f>IF(AND(K2002=1,OR(B2002="ED",B2002="NED")),1,0)</x:f>
        <x:v>0</x:v>
      </x:c>
      <x:c r="N2002" s="11" t="n">
        <x:f>IF(K2002=1,1,0)</x:f>
        <x:v>0</x:v>
      </x:c>
      <x:c r="O2002" s="12" t="str">
        <x:v>Exclude UniProt Membrane keyword</x:v>
      </x:c>
      <x:c r="P2002" s="11" t="n">
        <x:v>0</x:v>
      </x:c>
      <x:c r="Q2002" s="12" t="str">
        <x:v>AF-Q8BUR4-F1-model_v6</x:v>
      </x:c>
      <x:c r="R2002" s="12" t="str">
        <x:v>ok</x:v>
      </x:c>
      <x:c r="S2002" s="11" t="n">
        <x:v>1524</x:v>
      </x:c>
      <x:c r="T2002" s="11" t="n">
        <x:v>1865</x:v>
      </x:c>
    </x:row>
    <x:row r="2003" ht="23" customHeight="1">
      <x:c r="A2003" s="2" t="str">
        <x:v>Q8BUV3</x:v>
      </x:c>
      <x:c r="B2003" s="2" t="str">
        <x:v>UN</x:v>
      </x:c>
      <x:c r="C2003" s="2" t="n">
        <x:v>1</x:v>
      </x:c>
      <x:c r="D2003" s="2" t="n">
        <x:v>1</x:v>
      </x:c>
      <x:c r="E2003" s="10"/>
      <x:c r="F2003" s="11" t="n">
        <x:v>769</x:v>
      </x:c>
      <x:c r="G2003" s="11" t="n">
        <x:v>0</x:v>
      </x:c>
      <x:c r="H2003" s="11" t="n">
        <x:v>0</x:v>
      </x:c>
      <x:c r="I2003" s="11" t="n">
        <x:v>1</x:v>
      </x:c>
      <x:c r="J2003" s="11" t="n">
        <x:v>0</x:v>
      </x:c>
      <x:c r="K2003" s="11" t="n">
        <x:v>0</x:v>
      </x:c>
      <x:c r="L2003" s="11" t="n">
        <x:f>IF(B2003="NED",1,IF(OR(B2003="ED",B2003="UN"),0,""))</x:f>
        <x:v>0</x:v>
      </x:c>
      <x:c r="M2003" s="11" t="n">
        <x:f>IF(AND(K2003=1,OR(B2003="ED",B2003="NED")),1,0)</x:f>
        <x:v>0</x:v>
      </x:c>
      <x:c r="N2003" s="11" t="n">
        <x:f>IF(K2003=1,1,0)</x:f>
        <x:v>0</x:v>
      </x:c>
      <x:c r="O2003" s="12" t="str">
        <x:v>Exclude UniProt Membrane keyword</x:v>
      </x:c>
      <x:c r="P2003" s="11" t="n">
        <x:v>0</x:v>
      </x:c>
      <x:c r="Q2003" s="12" t="str">
        <x:v>AF-Q8BUV3-F1-model_v6</x:v>
      </x:c>
      <x:c r="R2003" s="12" t="str">
        <x:v>ok</x:v>
      </x:c>
      <x:c r="S2003" s="11" t="n">
        <x:v>1525</x:v>
      </x:c>
      <x:c r="T2003" s="11" t="n">
        <x:v>769</x:v>
      </x:c>
    </x:row>
    <x:row r="2004" ht="23" customHeight="1">
      <x:c r="A2004" s="2" t="str">
        <x:v>Q8BV13</x:v>
      </x:c>
      <x:c r="B2004" s="2" t="str">
        <x:v>ED</x:v>
      </x:c>
      <x:c r="C2004" s="2" t="n">
        <x:v>0</x:v>
      </x:c>
      <x:c r="D2004" s="2" t="n">
        <x:v>0</x:v>
      </x:c>
      <x:c r="E2004" s="10" t="n">
        <x:v>84.52545454545455</x:v>
      </x:c>
      <x:c r="F2004" s="11" t="n">
        <x:v>264</x:v>
      </x:c>
      <x:c r="G2004" s="11" t="n">
        <x:v>0</x:v>
      </x:c>
      <x:c r="H2004" s="11" t="n">
        <x:v>0</x:v>
      </x:c>
      <x:c r="I2004" s="11" t="n">
        <x:v>0</x:v>
      </x:c>
      <x:c r="J2004" s="11" t="n">
        <x:v>0</x:v>
      </x:c>
      <x:c r="K2004" s="11" t="n">
        <x:v>1</x:v>
      </x:c>
      <x:c r="L2004" s="11" t="n">
        <x:f>IF(B2004="NED",1,IF(OR(B2004="ED",B2004="UN"),0,""))</x:f>
        <x:v>0</x:v>
      </x:c>
      <x:c r="M2004" s="11" t="n">
        <x:f>IF(AND(K2004=1,OR(B2004="ED",B2004="NED")),1,0)</x:f>
        <x:v>1</x:v>
      </x:c>
      <x:c r="N2004" s="11" t="n">
        <x:f>IF(K2004=1,1,0)</x:f>
        <x:v>1</x:v>
      </x:c>
      <x:c r="O2004" s="12"/>
      <x:c r="P2004" s="11" t="n">
        <x:v>0</x:v>
      </x:c>
      <x:c r="Q2004" s="12" t="str">
        <x:v>AF-Q8BV13-F1-model_v6</x:v>
      </x:c>
      <x:c r="R2004" s="12" t="str">
        <x:v>ok</x:v>
      </x:c>
      <x:c r="S2004" s="11" t="n">
        <x:v>1526</x:v>
      </x:c>
      <x:c r="T2004" s="11" t="n">
        <x:v>264</x:v>
      </x:c>
    </x:row>
    <x:row r="2005" ht="23" customHeight="1">
      <x:c r="A2005" s="2" t="str">
        <x:v>Q8BVE3</x:v>
      </x:c>
      <x:c r="B2005" s="2" t="str">
        <x:v>NED</x:v>
      </x:c>
      <x:c r="C2005" s="2" t="n">
        <x:v>0</x:v>
      </x:c>
      <x:c r="D2005" s="2" t="n">
        <x:v>0</x:v>
      </x:c>
      <x:c r="E2005" s="10"/>
      <x:c r="F2005" s="11" t="n">
        <x:v>483</x:v>
      </x:c>
      <x:c r="G2005" s="11" t="n">
        <x:v>0</x:v>
      </x:c>
      <x:c r="H2005" s="11" t="n">
        <x:v>0</x:v>
      </x:c>
      <x:c r="I2005" s="11" t="n">
        <x:v>1</x:v>
      </x:c>
      <x:c r="J2005" s="11" t="n">
        <x:v>0</x:v>
      </x:c>
      <x:c r="K2005" s="11" t="n">
        <x:v>0</x:v>
      </x:c>
      <x:c r="L2005" s="11" t="n">
        <x:f>IF(B2005="NED",1,IF(OR(B2005="ED",B2005="UN"),0,""))</x:f>
        <x:v>1</x:v>
      </x:c>
      <x:c r="M2005" s="11" t="n">
        <x:f>IF(AND(K2005=1,OR(B2005="ED",B2005="NED")),1,0)</x:f>
        <x:v>0</x:v>
      </x:c>
      <x:c r="N2005" s="11" t="n">
        <x:f>IF(K2005=1,1,0)</x:f>
        <x:v>0</x:v>
      </x:c>
      <x:c r="O2005" s="12" t="str">
        <x:v>Exclude UniProt Membrane keyword</x:v>
      </x:c>
      <x:c r="P2005" s="11" t="n">
        <x:v>0</x:v>
      </x:c>
      <x:c r="Q2005" s="12" t="str">
        <x:v>AF-Q8BVE3-F1-model_v6</x:v>
      </x:c>
      <x:c r="R2005" s="12" t="str">
        <x:v>ok</x:v>
      </x:c>
      <x:c r="S2005" s="11" t="n">
        <x:v>1527</x:v>
      </x:c>
      <x:c r="T2005" s="11" t="n">
        <x:v>483</x:v>
      </x:c>
    </x:row>
    <x:row r="2006" ht="23" customHeight="1">
      <x:c r="A2006" s="2" t="str">
        <x:v>Q8BVE8</x:v>
      </x:c>
      <x:c r="B2006" s="2" t="str">
        <x:v>ED</x:v>
      </x:c>
      <x:c r="C2006" s="2" t="n">
        <x:v>1</x:v>
      </x:c>
      <x:c r="D2006" s="2" t="n">
        <x:v>1</x:v>
      </x:c>
      <x:c r="E2006" s="10" t="n">
        <x:v>65.56811721611722</x:v>
      </x:c>
      <x:c r="F2006" s="11" t="n">
        <x:v>1365</x:v>
      </x:c>
      <x:c r="G2006" s="11" t="n">
        <x:v>0</x:v>
      </x:c>
      <x:c r="H2006" s="11" t="n">
        <x:v>0</x:v>
      </x:c>
      <x:c r="I2006" s="11" t="n">
        <x:v>0</x:v>
      </x:c>
      <x:c r="J2006" s="11" t="n">
        <x:v>0</x:v>
      </x:c>
      <x:c r="K2006" s="11" t="n">
        <x:v>0</x:v>
      </x:c>
      <x:c r="L2006" s="11" t="n">
        <x:f>IF(B2006="NED",1,IF(OR(B2006="ED",B2006="UN"),0,""))</x:f>
        <x:v>0</x:v>
      </x:c>
      <x:c r="M2006" s="11" t="n">
        <x:f>IF(AND(K2006=1,OR(B2006="ED",B2006="NED")),1,0)</x:f>
        <x:v>0</x:v>
      </x:c>
      <x:c r="N2006" s="11" t="n">
        <x:f>IF(K2006=1,1,0)</x:f>
        <x:v>0</x:v>
      </x:c>
      <x:c r="O2006" s="12" t="str">
        <x:v>Retain protein mean pLDDT &gt;=70</x:v>
      </x:c>
      <x:c r="P2006" s="11" t="n">
        <x:v>0</x:v>
      </x:c>
      <x:c r="Q2006" s="12" t="str">
        <x:v>AF-Q8BVE8-F1-model_v6</x:v>
      </x:c>
      <x:c r="R2006" s="12" t="str">
        <x:v>ok</x:v>
      </x:c>
      <x:c r="S2006" s="11" t="n">
        <x:v>1528</x:v>
      </x:c>
      <x:c r="T2006" s="11" t="n">
        <x:v>1365</x:v>
      </x:c>
    </x:row>
    <x:row r="2007" ht="23" customHeight="1">
      <x:c r="A2007" s="2" t="str">
        <x:v>Q8BVF2</x:v>
      </x:c>
      <x:c r="B2007" s="2" t="str">
        <x:v>UN</x:v>
      </x:c>
      <x:c r="C2007" s="2" t="n">
        <x:v>1</x:v>
      </x:c>
      <x:c r="D2007" s="2" t="n">
        <x:v>1</x:v>
      </x:c>
      <x:c r="E2007" s="10" t="n">
        <x:v>81.42204166666667</x:v>
      </x:c>
      <x:c r="F2007" s="11" t="n">
        <x:v>240</x:v>
      </x:c>
      <x:c r="G2007" s="11" t="n">
        <x:v>0</x:v>
      </x:c>
      <x:c r="H2007" s="11" t="n">
        <x:v>0</x:v>
      </x:c>
      <x:c r="I2007" s="11" t="n">
        <x:v>0</x:v>
      </x:c>
      <x:c r="J2007" s="11" t="n">
        <x:v>0</x:v>
      </x:c>
      <x:c r="K2007" s="11" t="n">
        <x:v>1</x:v>
      </x:c>
      <x:c r="L2007" s="11" t="n">
        <x:f>IF(B2007="NED",1,IF(OR(B2007="ED",B2007="UN"),0,""))</x:f>
        <x:v>0</x:v>
      </x:c>
      <x:c r="M2007" s="11" t="n">
        <x:f>IF(AND(K2007=1,OR(B2007="ED",B2007="NED")),1,0)</x:f>
        <x:v>0</x:v>
      </x:c>
      <x:c r="N2007" s="11" t="n">
        <x:f>IF(K2007=1,1,0)</x:f>
        <x:v>1</x:v>
      </x:c>
      <x:c r="O2007" s="12"/>
      <x:c r="P2007" s="11" t="n">
        <x:v>0</x:v>
      </x:c>
      <x:c r="Q2007" s="12" t="str">
        <x:v>AF-Q8BVF2-F1-model_v6</x:v>
      </x:c>
      <x:c r="R2007" s="12" t="str">
        <x:v>ok</x:v>
      </x:c>
      <x:c r="S2007" s="11" t="n">
        <x:v>1529</x:v>
      </x:c>
      <x:c r="T2007" s="11" t="n">
        <x:v>240</x:v>
      </x:c>
    </x:row>
    <x:row r="2008" ht="23" customHeight="1">
      <x:c r="A2008" s="2" t="str">
        <x:v>Q8BVL3</x:v>
      </x:c>
      <x:c r="B2008" s="2" t="str">
        <x:v>UN</x:v>
      </x:c>
      <x:c r="C2008" s="2" t="n">
        <x:v>1</x:v>
      </x:c>
      <x:c r="D2008" s="2" t="n">
        <x:v>1</x:v>
      </x:c>
      <x:c r="E2008" s="10"/>
      <x:c r="F2008" s="11" t="n">
        <x:v>470</x:v>
      </x:c>
      <x:c r="G2008" s="11" t="n">
        <x:v>0</x:v>
      </x:c>
      <x:c r="H2008" s="11" t="n">
        <x:v>0</x:v>
      </x:c>
      <x:c r="I2008" s="11" t="n">
        <x:v>1</x:v>
      </x:c>
      <x:c r="J2008" s="11" t="n">
        <x:v>0</x:v>
      </x:c>
      <x:c r="K2008" s="11" t="n">
        <x:v>0</x:v>
      </x:c>
      <x:c r="L2008" s="11" t="n">
        <x:f>IF(B2008="NED",1,IF(OR(B2008="ED",B2008="UN"),0,""))</x:f>
        <x:v>0</x:v>
      </x:c>
      <x:c r="M2008" s="11" t="n">
        <x:f>IF(AND(K2008=1,OR(B2008="ED",B2008="NED")),1,0)</x:f>
        <x:v>0</x:v>
      </x:c>
      <x:c r="N2008" s="11" t="n">
        <x:f>IF(K2008=1,1,0)</x:f>
        <x:v>0</x:v>
      </x:c>
      <x:c r="O2008" s="12" t="str">
        <x:v>Exclude UniProt Membrane keyword</x:v>
      </x:c>
      <x:c r="P2008" s="11" t="n">
        <x:v>0</x:v>
      </x:c>
      <x:c r="Q2008" s="12" t="str">
        <x:v>AF-Q8BVL3-F1-model_v6</x:v>
      </x:c>
      <x:c r="R2008" s="12" t="str">
        <x:v>ok</x:v>
      </x:c>
      <x:c r="S2008" s="11" t="n">
        <x:v>1530</x:v>
      </x:c>
      <x:c r="T2008" s="11" t="n">
        <x:v>470</x:v>
      </x:c>
    </x:row>
    <x:row r="2009" ht="23" customHeight="1">
      <x:c r="A2009" s="2" t="str">
        <x:v>Q8BVQ5</x:v>
      </x:c>
      <x:c r="B2009" s="2" t="str">
        <x:v>UN</x:v>
      </x:c>
      <x:c r="C2009" s="2" t="n">
        <x:v>1</x:v>
      </x:c>
      <x:c r="D2009" s="2" t="n">
        <x:v>1</x:v>
      </x:c>
      <x:c r="E2009" s="10" t="n">
        <x:v>82.50554404145078</x:v>
      </x:c>
      <x:c r="F2009" s="11" t="n">
        <x:v>386</x:v>
      </x:c>
      <x:c r="G2009" s="11" t="n">
        <x:v>0</x:v>
      </x:c>
      <x:c r="H2009" s="11" t="n">
        <x:v>0</x:v>
      </x:c>
      <x:c r="I2009" s="11" t="n">
        <x:v>0</x:v>
      </x:c>
      <x:c r="J2009" s="11" t="n">
        <x:v>0</x:v>
      </x:c>
      <x:c r="K2009" s="11" t="n">
        <x:v>1</x:v>
      </x:c>
      <x:c r="L2009" s="11" t="n">
        <x:f>IF(B2009="NED",1,IF(OR(B2009="ED",B2009="UN"),0,""))</x:f>
        <x:v>0</x:v>
      </x:c>
      <x:c r="M2009" s="11" t="n">
        <x:f>IF(AND(K2009=1,OR(B2009="ED",B2009="NED")),1,0)</x:f>
        <x:v>0</x:v>
      </x:c>
      <x:c r="N2009" s="11" t="n">
        <x:f>IF(K2009=1,1,0)</x:f>
        <x:v>1</x:v>
      </x:c>
      <x:c r="O2009" s="12"/>
      <x:c r="P2009" s="11" t="n">
        <x:v>0</x:v>
      </x:c>
      <x:c r="Q2009" s="12" t="str">
        <x:v>AF-Q8BVQ5-F1-model_v6</x:v>
      </x:c>
      <x:c r="R2009" s="12" t="str">
        <x:v>ok</x:v>
      </x:c>
      <x:c r="S2009" s="11" t="n">
        <x:v>1531</x:v>
      </x:c>
      <x:c r="T2009" s="11" t="n">
        <x:v>386</x:v>
      </x:c>
    </x:row>
    <x:row r="2010" ht="23" customHeight="1">
      <x:c r="A2010" s="2" t="str">
        <x:v>Q8BVU0</x:v>
      </x:c>
      <x:c r="B2010" s="2" t="str">
        <x:v>UN</x:v>
      </x:c>
      <x:c r="C2010" s="2" t="n">
        <x:v>1</x:v>
      </x:c>
      <x:c r="D2010" s="2" t="n">
        <x:v>1</x:v>
      </x:c>
      <x:c r="E2010" s="10" t="n">
        <x:v>64.60782776349615</x:v>
      </x:c>
      <x:c r="F2010" s="11" t="n">
        <x:v>778</x:v>
      </x:c>
      <x:c r="G2010" s="11" t="n">
        <x:v>0</x:v>
      </x:c>
      <x:c r="H2010" s="11" t="n">
        <x:v>0</x:v>
      </x:c>
      <x:c r="I2010" s="11" t="n">
        <x:v>0</x:v>
      </x:c>
      <x:c r="J2010" s="11" t="n">
        <x:v>0</x:v>
      </x:c>
      <x:c r="K2010" s="11" t="n">
        <x:v>0</x:v>
      </x:c>
      <x:c r="L2010" s="11" t="n">
        <x:f>IF(B2010="NED",1,IF(OR(B2010="ED",B2010="UN"),0,""))</x:f>
        <x:v>0</x:v>
      </x:c>
      <x:c r="M2010" s="11" t="n">
        <x:f>IF(AND(K2010=1,OR(B2010="ED",B2010="NED")),1,0)</x:f>
        <x:v>0</x:v>
      </x:c>
      <x:c r="N2010" s="11" t="n">
        <x:f>IF(K2010=1,1,0)</x:f>
        <x:v>0</x:v>
      </x:c>
      <x:c r="O2010" s="12" t="str">
        <x:v>Retain protein mean pLDDT &gt;=70</x:v>
      </x:c>
      <x:c r="P2010" s="11" t="n">
        <x:v>0</x:v>
      </x:c>
      <x:c r="Q2010" s="12" t="str">
        <x:v>AF-Q8BVU0-F1-model_v6</x:v>
      </x:c>
      <x:c r="R2010" s="12" t="str">
        <x:v>ok</x:v>
      </x:c>
      <x:c r="S2010" s="11" t="n">
        <x:v>1532</x:v>
      </x:c>
      <x:c r="T2010" s="11" t="n">
        <x:v>778</x:v>
      </x:c>
    </x:row>
    <x:row r="2011" ht="23" customHeight="1">
      <x:c r="A2011" s="2" t="str">
        <x:v>Q8BVU5</x:v>
      </x:c>
      <x:c r="B2011" s="2" t="str">
        <x:v>ED</x:v>
      </x:c>
      <x:c r="C2011" s="2" t="n">
        <x:v>1</x:v>
      </x:c>
      <x:c r="D2011" s="2" t="n">
        <x:v>1</x:v>
      </x:c>
      <x:c r="E2011" s="10" t="n">
        <x:v>83.91965714285715</x:v>
      </x:c>
      <x:c r="F2011" s="11" t="n">
        <x:v>350</x:v>
      </x:c>
      <x:c r="G2011" s="11" t="n">
        <x:v>0</x:v>
      </x:c>
      <x:c r="H2011" s="11" t="n">
        <x:v>0</x:v>
      </x:c>
      <x:c r="I2011" s="11" t="n">
        <x:v>0</x:v>
      </x:c>
      <x:c r="J2011" s="11" t="n">
        <x:v>0</x:v>
      </x:c>
      <x:c r="K2011" s="11" t="n">
        <x:v>1</x:v>
      </x:c>
      <x:c r="L2011" s="11" t="n">
        <x:f>IF(B2011="NED",1,IF(OR(B2011="ED",B2011="UN"),0,""))</x:f>
        <x:v>0</x:v>
      </x:c>
      <x:c r="M2011" s="11" t="n">
        <x:f>IF(AND(K2011=1,OR(B2011="ED",B2011="NED")),1,0)</x:f>
        <x:v>1</x:v>
      </x:c>
      <x:c r="N2011" s="11" t="n">
        <x:f>IF(K2011=1,1,0)</x:f>
        <x:v>1</x:v>
      </x:c>
      <x:c r="O2011" s="12"/>
      <x:c r="P2011" s="11" t="n">
        <x:v>0</x:v>
      </x:c>
      <x:c r="Q2011" s="12" t="str">
        <x:v>AF-Q8BVU5-F1-model_v6</x:v>
      </x:c>
      <x:c r="R2011" s="12" t="str">
        <x:v>ok</x:v>
      </x:c>
      <x:c r="S2011" s="11" t="n">
        <x:v>1533</x:v>
      </x:c>
      <x:c r="T2011" s="11" t="n">
        <x:v>350</x:v>
      </x:c>
    </x:row>
    <x:row r="2012" ht="23" customHeight="1">
      <x:c r="A2012" s="2" t="str">
        <x:v>Q8BVY0</x:v>
      </x:c>
      <x:c r="B2012" s="2" t="str">
        <x:v>ED</x:v>
      </x:c>
      <x:c r="C2012" s="2" t="n">
        <x:v>1</x:v>
      </x:c>
      <x:c r="D2012" s="2" t="n">
        <x:v>1</x:v>
      </x:c>
      <x:c r="E2012" s="10" t="n">
        <x:v>66.99356194690266</x:v>
      </x:c>
      <x:c r="F2012" s="11" t="n">
        <x:v>452</x:v>
      </x:c>
      <x:c r="G2012" s="11" t="n">
        <x:v>0</x:v>
      </x:c>
      <x:c r="H2012" s="11" t="n">
        <x:v>0</x:v>
      </x:c>
      <x:c r="I2012" s="11" t="n">
        <x:v>0</x:v>
      </x:c>
      <x:c r="J2012" s="11" t="n">
        <x:v>0</x:v>
      </x:c>
      <x:c r="K2012" s="11" t="n">
        <x:v>0</x:v>
      </x:c>
      <x:c r="L2012" s="11" t="n">
        <x:f>IF(B2012="NED",1,IF(OR(B2012="ED",B2012="UN"),0,""))</x:f>
        <x:v>0</x:v>
      </x:c>
      <x:c r="M2012" s="11" t="n">
        <x:f>IF(AND(K2012=1,OR(B2012="ED",B2012="NED")),1,0)</x:f>
        <x:v>0</x:v>
      </x:c>
      <x:c r="N2012" s="11" t="n">
        <x:f>IF(K2012=1,1,0)</x:f>
        <x:v>0</x:v>
      </x:c>
      <x:c r="O2012" s="12" t="str">
        <x:v>Retain protein mean pLDDT &gt;=70</x:v>
      </x:c>
      <x:c r="P2012" s="11" t="n">
        <x:v>0</x:v>
      </x:c>
      <x:c r="Q2012" s="12" t="str">
        <x:v>AF-Q8BVY0-F1-model_v6</x:v>
      </x:c>
      <x:c r="R2012" s="12" t="str">
        <x:v>ok</x:v>
      </x:c>
      <x:c r="S2012" s="11" t="n">
        <x:v>1534</x:v>
      </x:c>
      <x:c r="T2012" s="11" t="n">
        <x:v>452</x:v>
      </x:c>
    </x:row>
    <x:row r="2013" ht="23" customHeight="1">
      <x:c r="A2013" s="2" t="str">
        <x:v>Q8BW10</x:v>
      </x:c>
      <x:c r="B2013" s="2" t="str">
        <x:v>UN</x:v>
      </x:c>
      <x:c r="C2013" s="2" t="n">
        <x:v>1</x:v>
      </x:c>
      <x:c r="D2013" s="2" t="n">
        <x:v>1</x:v>
      </x:c>
      <x:c r="E2013" s="10" t="n">
        <x:v>81.19267990074442</x:v>
      </x:c>
      <x:c r="F2013" s="11" t="n">
        <x:v>403</x:v>
      </x:c>
      <x:c r="G2013" s="11" t="n">
        <x:v>0</x:v>
      </x:c>
      <x:c r="H2013" s="11" t="n">
        <x:v>0</x:v>
      </x:c>
      <x:c r="I2013" s="11" t="n">
        <x:v>0</x:v>
      </x:c>
      <x:c r="J2013" s="11" t="n">
        <x:v>0</x:v>
      </x:c>
      <x:c r="K2013" s="11" t="n">
        <x:v>1</x:v>
      </x:c>
      <x:c r="L2013" s="11" t="n">
        <x:f>IF(B2013="NED",1,IF(OR(B2013="ED",B2013="UN"),0,""))</x:f>
        <x:v>0</x:v>
      </x:c>
      <x:c r="M2013" s="11" t="n">
        <x:f>IF(AND(K2013=1,OR(B2013="ED",B2013="NED")),1,0)</x:f>
        <x:v>0</x:v>
      </x:c>
      <x:c r="N2013" s="11" t="n">
        <x:f>IF(K2013=1,1,0)</x:f>
        <x:v>1</x:v>
      </x:c>
      <x:c r="O2013" s="12"/>
      <x:c r="P2013" s="11" t="n">
        <x:v>0</x:v>
      </x:c>
      <x:c r="Q2013" s="12" t="str">
        <x:v>AF-Q8BW10-F1-model_v6</x:v>
      </x:c>
      <x:c r="R2013" s="12" t="str">
        <x:v>ok</x:v>
      </x:c>
      <x:c r="S2013" s="11" t="n">
        <x:v>1535</x:v>
      </x:c>
      <x:c r="T2013" s="11" t="n">
        <x:v>403</x:v>
      </x:c>
    </x:row>
    <x:row r="2014" ht="23" customHeight="1">
      <x:c r="A2014" s="2" t="str">
        <x:v>Q8BWM0</x:v>
      </x:c>
      <x:c r="B2014" s="2" t="str">
        <x:v>ED</x:v>
      </x:c>
      <x:c r="C2014" s="2" t="n">
        <x:v>1</x:v>
      </x:c>
      <x:c r="D2014" s="2" t="n">
        <x:v>1</x:v>
      </x:c>
      <x:c r="E2014" s="10"/>
      <x:c r="F2014" s="11" t="n">
        <x:v>384</x:v>
      </x:c>
      <x:c r="G2014" s="11" t="n">
        <x:v>0</x:v>
      </x:c>
      <x:c r="H2014" s="11" t="n">
        <x:v>0</x:v>
      </x:c>
      <x:c r="I2014" s="11" t="n">
        <x:v>1</x:v>
      </x:c>
      <x:c r="J2014" s="11" t="n">
        <x:v>0</x:v>
      </x:c>
      <x:c r="K2014" s="11" t="n">
        <x:v>0</x:v>
      </x:c>
      <x:c r="L2014" s="11" t="n">
        <x:f>IF(B2014="NED",1,IF(OR(B2014="ED",B2014="UN"),0,""))</x:f>
        <x:v>0</x:v>
      </x:c>
      <x:c r="M2014" s="11" t="n">
        <x:f>IF(AND(K2014=1,OR(B2014="ED",B2014="NED")),1,0)</x:f>
        <x:v>0</x:v>
      </x:c>
      <x:c r="N2014" s="11" t="n">
        <x:f>IF(K2014=1,1,0)</x:f>
        <x:v>0</x:v>
      </x:c>
      <x:c r="O2014" s="12" t="str">
        <x:v>Exclude UniProt Membrane keyword</x:v>
      </x:c>
      <x:c r="P2014" s="11" t="n">
        <x:v>0</x:v>
      </x:c>
      <x:c r="Q2014" s="12" t="str">
        <x:v>AF-Q8BWM0-F1-model_v6</x:v>
      </x:c>
      <x:c r="R2014" s="12" t="str">
        <x:v>ok</x:v>
      </x:c>
      <x:c r="S2014" s="11" t="n">
        <x:v>1536</x:v>
      </x:c>
      <x:c r="T2014" s="11" t="n">
        <x:v>384</x:v>
      </x:c>
    </x:row>
    <x:row r="2015" ht="23" customHeight="1">
      <x:c r="A2015" s="2" t="str">
        <x:v>Q8BWQ6</x:v>
      </x:c>
      <x:c r="B2015" s="2" t="str">
        <x:v>UN</x:v>
      </x:c>
      <x:c r="C2015" s="2" t="n">
        <x:v>0</x:v>
      </x:c>
      <x:c r="D2015" s="2" t="n">
        <x:v>0</x:v>
      </x:c>
      <x:c r="E2015" s="10"/>
      <x:c r="F2015" s="11" t="n">
        <x:v>963</x:v>
      </x:c>
      <x:c r="G2015" s="11" t="n">
        <x:v>0</x:v>
      </x:c>
      <x:c r="H2015" s="11" t="n">
        <x:v>0</x:v>
      </x:c>
      <x:c r="I2015" s="11" t="n">
        <x:v>1</x:v>
      </x:c>
      <x:c r="J2015" s="11" t="n">
        <x:v>0</x:v>
      </x:c>
      <x:c r="K2015" s="11" t="n">
        <x:v>0</x:v>
      </x:c>
      <x:c r="L2015" s="11" t="n">
        <x:f>IF(B2015="NED",1,IF(OR(B2015="ED",B2015="UN"),0,""))</x:f>
        <x:v>0</x:v>
      </x:c>
      <x:c r="M2015" s="11" t="n">
        <x:f>IF(AND(K2015=1,OR(B2015="ED",B2015="NED")),1,0)</x:f>
        <x:v>0</x:v>
      </x:c>
      <x:c r="N2015" s="11" t="n">
        <x:f>IF(K2015=1,1,0)</x:f>
        <x:v>0</x:v>
      </x:c>
      <x:c r="O2015" s="12" t="str">
        <x:v>Exclude UniProt Membrane keyword</x:v>
      </x:c>
      <x:c r="P2015" s="11" t="n">
        <x:v>0</x:v>
      </x:c>
      <x:c r="Q2015" s="12" t="str">
        <x:v>AF-Q8BWQ6-F1-model_v6</x:v>
      </x:c>
      <x:c r="R2015" s="12" t="str">
        <x:v>ok</x:v>
      </x:c>
      <x:c r="S2015" s="11" t="n">
        <x:v>1537</x:v>
      </x:c>
      <x:c r="T2015" s="11" t="n">
        <x:v>963</x:v>
      </x:c>
    </x:row>
    <x:row r="2016" ht="23" customHeight="1">
      <x:c r="A2016" s="2" t="str">
        <x:v>Q8BWT1</x:v>
      </x:c>
      <x:c r="B2016" s="2" t="str">
        <x:v>UN</x:v>
      </x:c>
      <x:c r="C2016" s="2" t="n">
        <x:v>1</x:v>
      </x:c>
      <x:c r="D2016" s="2" t="n">
        <x:v>1</x:v>
      </x:c>
      <x:c r="E2016" s="10" t="n">
        <x:v>98.32546599496222</x:v>
      </x:c>
      <x:c r="F2016" s="11" t="n">
        <x:v>397</x:v>
      </x:c>
      <x:c r="G2016" s="11" t="n">
        <x:v>0</x:v>
      </x:c>
      <x:c r="H2016" s="11" t="n">
        <x:v>0</x:v>
      </x:c>
      <x:c r="I2016" s="11" t="n">
        <x:v>0</x:v>
      </x:c>
      <x:c r="J2016" s="11" t="n">
        <x:v>0</x:v>
      </x:c>
      <x:c r="K2016" s="11" t="n">
        <x:v>1</x:v>
      </x:c>
      <x:c r="L2016" s="11" t="n">
        <x:f>IF(B2016="NED",1,IF(OR(B2016="ED",B2016="UN"),0,""))</x:f>
        <x:v>0</x:v>
      </x:c>
      <x:c r="M2016" s="11" t="n">
        <x:f>IF(AND(K2016=1,OR(B2016="ED",B2016="NED")),1,0)</x:f>
        <x:v>0</x:v>
      </x:c>
      <x:c r="N2016" s="11" t="n">
        <x:f>IF(K2016=1,1,0)</x:f>
        <x:v>1</x:v>
      </x:c>
      <x:c r="O2016" s="12"/>
      <x:c r="P2016" s="11" t="n">
        <x:v>0</x:v>
      </x:c>
      <x:c r="Q2016" s="12" t="str">
        <x:v>AF-Q8BWT1-F1-model_v6</x:v>
      </x:c>
      <x:c r="R2016" s="12" t="str">
        <x:v>ok</x:v>
      </x:c>
      <x:c r="S2016" s="11" t="n">
        <x:v>1538</x:v>
      </x:c>
      <x:c r="T2016" s="11" t="n">
        <x:v>397</x:v>
      </x:c>
    </x:row>
    <x:row r="2017" ht="23" customHeight="1">
      <x:c r="A2017" s="2" t="str">
        <x:v>Q8BWT5</x:v>
      </x:c>
      <x:c r="B2017" s="2" t="str">
        <x:v>ED</x:v>
      </x:c>
      <x:c r="C2017" s="2" t="n">
        <x:v>1</x:v>
      </x:c>
      <x:c r="D2017" s="2" t="n">
        <x:v>1</x:v>
      </x:c>
      <x:c r="E2017" s="10"/>
      <x:c r="F2017" s="11" t="n">
        <x:v>1523</x:v>
      </x:c>
      <x:c r="G2017" s="11" t="n">
        <x:v>0</x:v>
      </x:c>
      <x:c r="H2017" s="11" t="n">
        <x:v>0</x:v>
      </x:c>
      <x:c r="I2017" s="11" t="n">
        <x:v>1</x:v>
      </x:c>
      <x:c r="J2017" s="11" t="n">
        <x:v>0</x:v>
      </x:c>
      <x:c r="K2017" s="11" t="n">
        <x:v>0</x:v>
      </x:c>
      <x:c r="L2017" s="11" t="n">
        <x:f>IF(B2017="NED",1,IF(OR(B2017="ED",B2017="UN"),0,""))</x:f>
        <x:v>0</x:v>
      </x:c>
      <x:c r="M2017" s="11" t="n">
        <x:f>IF(AND(K2017=1,OR(B2017="ED",B2017="NED")),1,0)</x:f>
        <x:v>0</x:v>
      </x:c>
      <x:c r="N2017" s="11" t="n">
        <x:f>IF(K2017=1,1,0)</x:f>
        <x:v>0</x:v>
      </x:c>
      <x:c r="O2017" s="12" t="str">
        <x:v>Exclude UniProt Membrane keyword</x:v>
      </x:c>
      <x:c r="P2017" s="11" t="n">
        <x:v>0</x:v>
      </x:c>
      <x:c r="Q2017" s="12" t="str">
        <x:v>AF-Q8BWT5-F1-model_v6</x:v>
      </x:c>
      <x:c r="R2017" s="12" t="str">
        <x:v>ok</x:v>
      </x:c>
      <x:c r="S2017" s="11" t="n">
        <x:v>1539</x:v>
      </x:c>
      <x:c r="T2017" s="11" t="n">
        <x:v>1523</x:v>
      </x:c>
    </x:row>
    <x:row r="2018" ht="23" customHeight="1">
      <x:c r="A2018" s="2" t="str">
        <x:v>Q8BWW3</x:v>
      </x:c>
      <x:c r="B2018" s="2" t="str">
        <x:v>ED</x:v>
      </x:c>
      <x:c r="C2018" s="2"/>
      <x:c r="D2018" s="2"/>
      <x:c r="E2018" s="10"/>
      <x:c r="F2018" s="11"/>
      <x:c r="G2018" s="11" t="n">
        <x:v>0</x:v>
      </x:c>
      <x:c r="H2018" s="11" t="n">
        <x:v>0</x:v>
      </x:c>
      <x:c r="I2018" s="11" t="n">
        <x:v>0</x:v>
      </x:c>
      <x:c r="J2018" s="11" t="n">
        <x:v>0</x:v>
      </x:c>
      <x:c r="K2018" s="11" t="n">
        <x:v>0</x:v>
      </x:c>
      <x:c r="L2018" s="11" t="n">
        <x:f>IF(B2018="NED",1,IF(OR(B2018="ED",B2018="UN"),0,""))</x:f>
        <x:v>0</x:v>
      </x:c>
      <x:c r="M2018" s="11" t="n">
        <x:f>IF(AND(K2018=1,OR(B2018="ED",B2018="NED")),1,0)</x:f>
        <x:v>0</x:v>
      </x:c>
      <x:c r="N2018" s="11" t="n">
        <x:f>IF(K2018=1,1,0)</x:f>
        <x:v>0</x:v>
      </x:c>
      <x:c r="O2018" s="12" t="str">
        <x:v>Require exact native accession match</x:v>
      </x:c>
      <x:c r="P2018" s="11" t="n">
        <x:v>0</x:v>
      </x:c>
      <x:c r="Q2018" s="12"/>
      <x:c r="R2018" s="12"/>
      <x:c r="S2018" s="11" t="n">
        <x:v>3221</x:v>
      </x:c>
      <x:c r="T2018" s="11" t="n">
        <x:v>501</x:v>
      </x:c>
    </x:row>
    <x:row r="2019" ht="23" customHeight="1">
      <x:c r="A2019" s="2" t="str">
        <x:v>Q8BWW9-2</x:v>
      </x:c>
      <x:c r="B2019" s="2" t="str">
        <x:v>ED</x:v>
      </x:c>
      <x:c r="C2019" s="2"/>
      <x:c r="D2019" s="2"/>
      <x:c r="E2019" s="10"/>
      <x:c r="F2019" s="11"/>
      <x:c r="G2019" s="11" t="n">
        <x:v>0</x:v>
      </x:c>
      <x:c r="H2019" s="11" t="n">
        <x:v>0</x:v>
      </x:c>
      <x:c r="I2019" s="11"/>
      <x:c r="J2019" s="11"/>
      <x:c r="K2019" s="11" t="n">
        <x:v>0</x:v>
      </x:c>
      <x:c r="L2019" s="11" t="n">
        <x:f>IF(B2019="NED",1,IF(OR(B2019="ED",B2019="UN"),0,""))</x:f>
        <x:v>0</x:v>
      </x:c>
      <x:c r="M2019" s="11" t="n">
        <x:f>IF(AND(K2019=1,OR(B2019="ED",B2019="NED")),1,0)</x:f>
        <x:v>0</x:v>
      </x:c>
      <x:c r="N2019" s="11" t="n">
        <x:f>IF(K2019=1,1,0)</x:f>
        <x:v>0</x:v>
      </x:c>
      <x:c r="O2019" s="12" t="str">
        <x:v>Require exact native accession match</x:v>
      </x:c>
      <x:c r="P2019" s="11" t="n">
        <x:v>0</x:v>
      </x:c>
      <x:c r="Q2019" s="12"/>
      <x:c r="R2019" s="12"/>
      <x:c r="S2019" s="11" t="n">
        <x:v>1540</x:v>
      </x:c>
      <x:c r="T2019" s="11"/>
    </x:row>
    <x:row r="2020" ht="23" customHeight="1">
      <x:c r="A2020" s="2" t="str">
        <x:v>Q8BWY3</x:v>
      </x:c>
      <x:c r="B2020" s="2" t="str">
        <x:v>ED</x:v>
      </x:c>
      <x:c r="C2020" s="2" t="n">
        <x:v>1</x:v>
      </x:c>
      <x:c r="D2020" s="2" t="n">
        <x:v>1</x:v>
      </x:c>
      <x:c r="E2020" s="10" t="n">
        <x:v>85.44727688787185</x:v>
      </x:c>
      <x:c r="F2020" s="11" t="n">
        <x:v>437</x:v>
      </x:c>
      <x:c r="G2020" s="11" t="n">
        <x:v>0</x:v>
      </x:c>
      <x:c r="H2020" s="11" t="n">
        <x:v>0</x:v>
      </x:c>
      <x:c r="I2020" s="11" t="n">
        <x:v>0</x:v>
      </x:c>
      <x:c r="J2020" s="11" t="n">
        <x:v>0</x:v>
      </x:c>
      <x:c r="K2020" s="11" t="n">
        <x:v>1</x:v>
      </x:c>
      <x:c r="L2020" s="11" t="n">
        <x:f>IF(B2020="NED",1,IF(OR(B2020="ED",B2020="UN"),0,""))</x:f>
        <x:v>0</x:v>
      </x:c>
      <x:c r="M2020" s="11" t="n">
        <x:f>IF(AND(K2020=1,OR(B2020="ED",B2020="NED")),1,0)</x:f>
        <x:v>1</x:v>
      </x:c>
      <x:c r="N2020" s="11" t="n">
        <x:f>IF(K2020=1,1,0)</x:f>
        <x:v>1</x:v>
      </x:c>
      <x:c r="O2020" s="12"/>
      <x:c r="P2020" s="11" t="n">
        <x:v>0</x:v>
      </x:c>
      <x:c r="Q2020" s="12" t="str">
        <x:v>AF-Q8BWY3-F1-model_v6</x:v>
      </x:c>
      <x:c r="R2020" s="12" t="str">
        <x:v>ok</x:v>
      </x:c>
      <x:c r="S2020" s="11" t="n">
        <x:v>1541</x:v>
      </x:c>
      <x:c r="T2020" s="11" t="n">
        <x:v>437</x:v>
      </x:c>
    </x:row>
    <x:row r="2021" ht="23" customHeight="1">
      <x:c r="A2021" s="2" t="str">
        <x:v>Q8BWY9</x:v>
      </x:c>
      <x:c r="B2021" s="2" t="str">
        <x:v>UN</x:v>
      </x:c>
      <x:c r="C2021" s="2" t="n">
        <x:v>0</x:v>
      </x:c>
      <x:c r="D2021" s="2" t="n">
        <x:v>0</x:v>
      </x:c>
      <x:c r="E2021" s="10" t="n">
        <x:v>83.4360308710033</x:v>
      </x:c>
      <x:c r="F2021" s="11" t="n">
        <x:v>907</x:v>
      </x:c>
      <x:c r="G2021" s="11" t="n">
        <x:v>0</x:v>
      </x:c>
      <x:c r="H2021" s="11" t="n">
        <x:v>0</x:v>
      </x:c>
      <x:c r="I2021" s="11" t="n">
        <x:v>0</x:v>
      </x:c>
      <x:c r="J2021" s="11" t="n">
        <x:v>0</x:v>
      </x:c>
      <x:c r="K2021" s="11" t="n">
        <x:v>1</x:v>
      </x:c>
      <x:c r="L2021" s="11" t="n">
        <x:f>IF(B2021="NED",1,IF(OR(B2021="ED",B2021="UN"),0,""))</x:f>
        <x:v>0</x:v>
      </x:c>
      <x:c r="M2021" s="11" t="n">
        <x:f>IF(AND(K2021=1,OR(B2021="ED",B2021="NED")),1,0)</x:f>
        <x:v>0</x:v>
      </x:c>
      <x:c r="N2021" s="11" t="n">
        <x:f>IF(K2021=1,1,0)</x:f>
        <x:v>1</x:v>
      </x:c>
      <x:c r="O2021" s="12"/>
      <x:c r="P2021" s="11" t="n">
        <x:v>0</x:v>
      </x:c>
      <x:c r="Q2021" s="12" t="str">
        <x:v>AF-Q8BWY9-F1-model_v6</x:v>
      </x:c>
      <x:c r="R2021" s="12" t="str">
        <x:v>ok</x:v>
      </x:c>
      <x:c r="S2021" s="11" t="n">
        <x:v>1542</x:v>
      </x:c>
      <x:c r="T2021" s="11" t="n">
        <x:v>907</x:v>
      </x:c>
    </x:row>
    <x:row r="2022" ht="23" customHeight="1">
      <x:c r="A2022" s="2" t="str">
        <x:v>Q8BWZ3-2</x:v>
      </x:c>
      <x:c r="B2022" s="2" t="str">
        <x:v>UN</x:v>
      </x:c>
      <x:c r="C2022" s="2"/>
      <x:c r="D2022" s="2"/>
      <x:c r="E2022" s="10"/>
      <x:c r="F2022" s="11"/>
      <x:c r="G2022" s="11" t="n">
        <x:v>0</x:v>
      </x:c>
      <x:c r="H2022" s="11" t="n">
        <x:v>0</x:v>
      </x:c>
      <x:c r="I2022" s="11"/>
      <x:c r="J2022" s="11"/>
      <x:c r="K2022" s="11" t="n">
        <x:v>0</x:v>
      </x:c>
      <x:c r="L2022" s="11" t="n">
        <x:f>IF(B2022="NED",1,IF(OR(B2022="ED",B2022="UN"),0,""))</x:f>
        <x:v>0</x:v>
      </x:c>
      <x:c r="M2022" s="11" t="n">
        <x:f>IF(AND(K2022=1,OR(B2022="ED",B2022="NED")),1,0)</x:f>
        <x:v>0</x:v>
      </x:c>
      <x:c r="N2022" s="11" t="n">
        <x:f>IF(K2022=1,1,0)</x:f>
        <x:v>0</x:v>
      </x:c>
      <x:c r="O2022" s="12" t="str">
        <x:v>Require exact native accession match</x:v>
      </x:c>
      <x:c r="P2022" s="11" t="n">
        <x:v>0</x:v>
      </x:c>
      <x:c r="Q2022" s="12"/>
      <x:c r="R2022" s="12"/>
      <x:c r="S2022" s="11" t="n">
        <x:v>1543</x:v>
      </x:c>
      <x:c r="T2022" s="11"/>
    </x:row>
    <x:row r="2023" ht="23" customHeight="1">
      <x:c r="A2023" s="2" t="str">
        <x:v>Q8BX02</x:v>
      </x:c>
      <x:c r="B2023" s="2" t="str">
        <x:v>UN</x:v>
      </x:c>
      <x:c r="C2023" s="2" t="n">
        <x:v>0</x:v>
      </x:c>
      <x:c r="D2023" s="2" t="n">
        <x:v>0</x:v>
      </x:c>
      <x:c r="E2023" s="10" t="n">
        <x:v>60.33967971530249</x:v>
      </x:c>
      <x:c r="F2023" s="11" t="n">
        <x:v>843</x:v>
      </x:c>
      <x:c r="G2023" s="11" t="n">
        <x:v>0</x:v>
      </x:c>
      <x:c r="H2023" s="11" t="n">
        <x:v>0</x:v>
      </x:c>
      <x:c r="I2023" s="11" t="n">
        <x:v>0</x:v>
      </x:c>
      <x:c r="J2023" s="11" t="n">
        <x:v>0</x:v>
      </x:c>
      <x:c r="K2023" s="11" t="n">
        <x:v>0</x:v>
      </x:c>
      <x:c r="L2023" s="11" t="n">
        <x:f>IF(B2023="NED",1,IF(OR(B2023="ED",B2023="UN"),0,""))</x:f>
        <x:v>0</x:v>
      </x:c>
      <x:c r="M2023" s="11" t="n">
        <x:f>IF(AND(K2023=1,OR(B2023="ED",B2023="NED")),1,0)</x:f>
        <x:v>0</x:v>
      </x:c>
      <x:c r="N2023" s="11" t="n">
        <x:f>IF(K2023=1,1,0)</x:f>
        <x:v>0</x:v>
      </x:c>
      <x:c r="O2023" s="12" t="str">
        <x:v>Retain protein mean pLDDT &gt;=70</x:v>
      </x:c>
      <x:c r="P2023" s="11" t="n">
        <x:v>0</x:v>
      </x:c>
      <x:c r="Q2023" s="12" t="str">
        <x:v>AF-Q8BX02-F1-model_v6</x:v>
      </x:c>
      <x:c r="R2023" s="12" t="str">
        <x:v>ok</x:v>
      </x:c>
      <x:c r="S2023" s="11" t="n">
        <x:v>1544</x:v>
      </x:c>
      <x:c r="T2023" s="11" t="n">
        <x:v>843</x:v>
      </x:c>
    </x:row>
    <x:row r="2024" ht="23" customHeight="1">
      <x:c r="A2024" s="2" t="str">
        <x:v>Q8BX10-2</x:v>
      </x:c>
      <x:c r="B2024" s="2" t="str">
        <x:v>NED</x:v>
      </x:c>
      <x:c r="C2024" s="2"/>
      <x:c r="D2024" s="2"/>
      <x:c r="E2024" s="10"/>
      <x:c r="F2024" s="11"/>
      <x:c r="G2024" s="11" t="n">
        <x:v>0</x:v>
      </x:c>
      <x:c r="H2024" s="11" t="n">
        <x:v>0</x:v>
      </x:c>
      <x:c r="I2024" s="11"/>
      <x:c r="J2024" s="11"/>
      <x:c r="K2024" s="11" t="n">
        <x:v>0</x:v>
      </x:c>
      <x:c r="L2024" s="11" t="n">
        <x:f>IF(B2024="NED",1,IF(OR(B2024="ED",B2024="UN"),0,""))</x:f>
        <x:v>1</x:v>
      </x:c>
      <x:c r="M2024" s="11" t="n">
        <x:f>IF(AND(K2024=1,OR(B2024="ED",B2024="NED")),1,0)</x:f>
        <x:v>0</x:v>
      </x:c>
      <x:c r="N2024" s="11" t="n">
        <x:f>IF(K2024=1,1,0)</x:f>
        <x:v>0</x:v>
      </x:c>
      <x:c r="O2024" s="12" t="str">
        <x:v>Require exact native accession match</x:v>
      </x:c>
      <x:c r="P2024" s="11" t="n">
        <x:v>0</x:v>
      </x:c>
      <x:c r="Q2024" s="12"/>
      <x:c r="R2024" s="12"/>
      <x:c r="S2024" s="11" t="n">
        <x:v>1545</x:v>
      </x:c>
      <x:c r="T2024" s="11"/>
    </x:row>
    <x:row r="2025" ht="23" customHeight="1">
      <x:c r="A2025" s="2" t="str">
        <x:v>Q8BX17</x:v>
      </x:c>
      <x:c r="B2025" s="2" t="str">
        <x:v>UN</x:v>
      </x:c>
      <x:c r="C2025" s="2" t="n">
        <x:v>1</x:v>
      </x:c>
      <x:c r="D2025" s="2" t="n">
        <x:v>1</x:v>
      </x:c>
      <x:c r="E2025" s="10" t="n">
        <x:v>79.35478695073236</x:v>
      </x:c>
      <x:c r="F2025" s="11" t="n">
        <x:v>1502</x:v>
      </x:c>
      <x:c r="G2025" s="11" t="n">
        <x:v>0</x:v>
      </x:c>
      <x:c r="H2025" s="11" t="n">
        <x:v>0</x:v>
      </x:c>
      <x:c r="I2025" s="11" t="n">
        <x:v>0</x:v>
      </x:c>
      <x:c r="J2025" s="11" t="n">
        <x:v>0</x:v>
      </x:c>
      <x:c r="K2025" s="11" t="n">
        <x:v>1</x:v>
      </x:c>
      <x:c r="L2025" s="11" t="n">
        <x:f>IF(B2025="NED",1,IF(OR(B2025="ED",B2025="UN"),0,""))</x:f>
        <x:v>0</x:v>
      </x:c>
      <x:c r="M2025" s="11" t="n">
        <x:f>IF(AND(K2025=1,OR(B2025="ED",B2025="NED")),1,0)</x:f>
        <x:v>0</x:v>
      </x:c>
      <x:c r="N2025" s="11" t="n">
        <x:f>IF(K2025=1,1,0)</x:f>
        <x:v>1</x:v>
      </x:c>
      <x:c r="O2025" s="12"/>
      <x:c r="P2025" s="11" t="n">
        <x:v>0</x:v>
      </x:c>
      <x:c r="Q2025" s="12" t="str">
        <x:v>AF-Q8BX17-F1-model_v6</x:v>
      </x:c>
      <x:c r="R2025" s="12" t="str">
        <x:v>ok</x:v>
      </x:c>
      <x:c r="S2025" s="11" t="n">
        <x:v>1546</x:v>
      </x:c>
      <x:c r="T2025" s="11" t="n">
        <x:v>1502</x:v>
      </x:c>
    </x:row>
    <x:row r="2026" ht="23" customHeight="1">
      <x:c r="A2026" s="2" t="str">
        <x:v>Q8BX70-2</x:v>
      </x:c>
      <x:c r="B2026" s="2" t="str">
        <x:v>UN</x:v>
      </x:c>
      <x:c r="C2026" s="2"/>
      <x:c r="D2026" s="2"/>
      <x:c r="E2026" s="10"/>
      <x:c r="F2026" s="11"/>
      <x:c r="G2026" s="11" t="n">
        <x:v>0</x:v>
      </x:c>
      <x:c r="H2026" s="11" t="n">
        <x:v>0</x:v>
      </x:c>
      <x:c r="I2026" s="11"/>
      <x:c r="J2026" s="11"/>
      <x:c r="K2026" s="11" t="n">
        <x:v>0</x:v>
      </x:c>
      <x:c r="L2026" s="11" t="n">
        <x:f>IF(B2026="NED",1,IF(OR(B2026="ED",B2026="UN"),0,""))</x:f>
        <x:v>0</x:v>
      </x:c>
      <x:c r="M2026" s="11" t="n">
        <x:f>IF(AND(K2026=1,OR(B2026="ED",B2026="NED")),1,0)</x:f>
        <x:v>0</x:v>
      </x:c>
      <x:c r="N2026" s="11" t="n">
        <x:f>IF(K2026=1,1,0)</x:f>
        <x:v>0</x:v>
      </x:c>
      <x:c r="O2026" s="12" t="str">
        <x:v>Require exact native accession match</x:v>
      </x:c>
      <x:c r="P2026" s="11" t="n">
        <x:v>0</x:v>
      </x:c>
      <x:c r="Q2026" s="12"/>
      <x:c r="R2026" s="12"/>
      <x:c r="S2026" s="11" t="n">
        <x:v>1547</x:v>
      </x:c>
      <x:c r="T2026" s="11"/>
    </x:row>
    <x:row r="2027" ht="23" customHeight="1">
      <x:c r="A2027" s="2" t="str">
        <x:v>Q8BX94</x:v>
      </x:c>
      <x:c r="B2027" s="2" t="str">
        <x:v>ED</x:v>
      </x:c>
      <x:c r="C2027" s="2" t="n">
        <x:v>1</x:v>
      </x:c>
      <x:c r="D2027" s="2" t="n">
        <x:v>1</x:v>
      </x:c>
      <x:c r="E2027" s="10"/>
      <x:c r="F2027" s="11" t="n">
        <x:v>484</x:v>
      </x:c>
      <x:c r="G2027" s="11" t="n">
        <x:v>0</x:v>
      </x:c>
      <x:c r="H2027" s="11" t="n">
        <x:v>0</x:v>
      </x:c>
      <x:c r="I2027" s="11" t="n">
        <x:v>1</x:v>
      </x:c>
      <x:c r="J2027" s="11" t="n">
        <x:v>0</x:v>
      </x:c>
      <x:c r="K2027" s="11" t="n">
        <x:v>0</x:v>
      </x:c>
      <x:c r="L2027" s="11" t="n">
        <x:f>IF(B2027="NED",1,IF(OR(B2027="ED",B2027="UN"),0,""))</x:f>
        <x:v>0</x:v>
      </x:c>
      <x:c r="M2027" s="11" t="n">
        <x:f>IF(AND(K2027=1,OR(B2027="ED",B2027="NED")),1,0)</x:f>
        <x:v>0</x:v>
      </x:c>
      <x:c r="N2027" s="11" t="n">
        <x:f>IF(K2027=1,1,0)</x:f>
        <x:v>0</x:v>
      </x:c>
      <x:c r="O2027" s="12" t="str">
        <x:v>Exclude UniProt Membrane keyword</x:v>
      </x:c>
      <x:c r="P2027" s="11" t="n">
        <x:v>0</x:v>
      </x:c>
      <x:c r="Q2027" s="12" t="str">
        <x:v>AF-Q8BX94-F1-model_v6</x:v>
      </x:c>
      <x:c r="R2027" s="12" t="str">
        <x:v>ok</x:v>
      </x:c>
      <x:c r="S2027" s="11" t="n">
        <x:v>1548</x:v>
      </x:c>
      <x:c r="T2027" s="11" t="n">
        <x:v>484</x:v>
      </x:c>
    </x:row>
    <x:row r="2028" ht="23" customHeight="1">
      <x:c r="A2028" s="2" t="str">
        <x:v>Q8BXC6</x:v>
      </x:c>
      <x:c r="B2028" s="2" t="str">
        <x:v>NED</x:v>
      </x:c>
      <x:c r="C2028" s="2" t="n">
        <x:v>0</x:v>
      </x:c>
      <x:c r="D2028" s="2" t="n">
        <x:v>0</x:v>
      </x:c>
      <x:c r="E2028" s="10" t="n">
        <x:v>88.52557788944723</x:v>
      </x:c>
      <x:c r="F2028" s="11" t="n">
        <x:v>199</x:v>
      </x:c>
      <x:c r="G2028" s="11" t="n">
        <x:v>0</x:v>
      </x:c>
      <x:c r="H2028" s="11" t="n">
        <x:v>0</x:v>
      </x:c>
      <x:c r="I2028" s="11" t="n">
        <x:v>0</x:v>
      </x:c>
      <x:c r="J2028" s="11" t="n">
        <x:v>0</x:v>
      </x:c>
      <x:c r="K2028" s="11" t="n">
        <x:v>1</x:v>
      </x:c>
      <x:c r="L2028" s="11" t="n">
        <x:f>IF(B2028="NED",1,IF(OR(B2028="ED",B2028="UN"),0,""))</x:f>
        <x:v>1</x:v>
      </x:c>
      <x:c r="M2028" s="11" t="n">
        <x:f>IF(AND(K2028=1,OR(B2028="ED",B2028="NED")),1,0)</x:f>
        <x:v>1</x:v>
      </x:c>
      <x:c r="N2028" s="11" t="n">
        <x:f>IF(K2028=1,1,0)</x:f>
        <x:v>1</x:v>
      </x:c>
      <x:c r="O2028" s="12"/>
      <x:c r="P2028" s="11" t="n">
        <x:v>0</x:v>
      </x:c>
      <x:c r="Q2028" s="12" t="str">
        <x:v>AF-Q8BXC6-F1-model_v6</x:v>
      </x:c>
      <x:c r="R2028" s="12" t="str">
        <x:v>ok</x:v>
      </x:c>
      <x:c r="S2028" s="11" t="n">
        <x:v>1549</x:v>
      </x:c>
      <x:c r="T2028" s="11" t="n">
        <x:v>199</x:v>
      </x:c>
    </x:row>
    <x:row r="2029" ht="23" customHeight="1">
      <x:c r="A2029" s="2" t="str">
        <x:v>Q8BXL7</x:v>
      </x:c>
      <x:c r="B2029" s="2" t="str">
        <x:v>UN</x:v>
      </x:c>
      <x:c r="C2029" s="2" t="n">
        <x:v>1</x:v>
      </x:c>
      <x:c r="D2029" s="2" t="n">
        <x:v>1</x:v>
      </x:c>
      <x:c r="E2029" s="10" t="n">
        <x:v>90.74189054726368</x:v>
      </x:c>
      <x:c r="F2029" s="11" t="n">
        <x:v>201</x:v>
      </x:c>
      <x:c r="G2029" s="11" t="n">
        <x:v>0</x:v>
      </x:c>
      <x:c r="H2029" s="11" t="n">
        <x:v>0</x:v>
      </x:c>
      <x:c r="I2029" s="11" t="n">
        <x:v>0</x:v>
      </x:c>
      <x:c r="J2029" s="11" t="n">
        <x:v>0</x:v>
      </x:c>
      <x:c r="K2029" s="11" t="n">
        <x:v>1</x:v>
      </x:c>
      <x:c r="L2029" s="11" t="n">
        <x:f>IF(B2029="NED",1,IF(OR(B2029="ED",B2029="UN"),0,""))</x:f>
        <x:v>0</x:v>
      </x:c>
      <x:c r="M2029" s="11" t="n">
        <x:f>IF(AND(K2029=1,OR(B2029="ED",B2029="NED")),1,0)</x:f>
        <x:v>0</x:v>
      </x:c>
      <x:c r="N2029" s="11" t="n">
        <x:f>IF(K2029=1,1,0)</x:f>
        <x:v>1</x:v>
      </x:c>
      <x:c r="O2029" s="12"/>
      <x:c r="P2029" s="11" t="n">
        <x:v>0</x:v>
      </x:c>
      <x:c r="Q2029" s="12" t="str">
        <x:v>AF-Q8BXL7-F1-model_v6</x:v>
      </x:c>
      <x:c r="R2029" s="12" t="str">
        <x:v>ok</x:v>
      </x:c>
      <x:c r="S2029" s="11" t="n">
        <x:v>1550</x:v>
      </x:c>
      <x:c r="T2029" s="11" t="n">
        <x:v>201</x:v>
      </x:c>
    </x:row>
    <x:row r="2030" ht="23" customHeight="1">
      <x:c r="A2030" s="2" t="str">
        <x:v>Q8BXZ1</x:v>
      </x:c>
      <x:c r="B2030" s="2" t="str">
        <x:v>UN</x:v>
      </x:c>
      <x:c r="C2030" s="2" t="n">
        <x:v>1</x:v>
      </x:c>
      <x:c r="D2030" s="2" t="n">
        <x:v>1</x:v>
      </x:c>
      <x:c r="E2030" s="10"/>
      <x:c r="F2030" s="11" t="n">
        <x:v>456</x:v>
      </x:c>
      <x:c r="G2030" s="11" t="n">
        <x:v>0</x:v>
      </x:c>
      <x:c r="H2030" s="11" t="n">
        <x:v>0</x:v>
      </x:c>
      <x:c r="I2030" s="11" t="n">
        <x:v>1</x:v>
      </x:c>
      <x:c r="J2030" s="11" t="n">
        <x:v>0</x:v>
      </x:c>
      <x:c r="K2030" s="11" t="n">
        <x:v>0</x:v>
      </x:c>
      <x:c r="L2030" s="11" t="n">
        <x:f>IF(B2030="NED",1,IF(OR(B2030="ED",B2030="UN"),0,""))</x:f>
        <x:v>0</x:v>
      </x:c>
      <x:c r="M2030" s="11" t="n">
        <x:f>IF(AND(K2030=1,OR(B2030="ED",B2030="NED")),1,0)</x:f>
        <x:v>0</x:v>
      </x:c>
      <x:c r="N2030" s="11" t="n">
        <x:f>IF(K2030=1,1,0)</x:f>
        <x:v>0</x:v>
      </x:c>
      <x:c r="O2030" s="12" t="str">
        <x:v>Exclude UniProt Membrane keyword</x:v>
      </x:c>
      <x:c r="P2030" s="11" t="n">
        <x:v>0</x:v>
      </x:c>
      <x:c r="Q2030" s="12" t="str">
        <x:v>AF-Q8BXZ1-F1-model_v6</x:v>
      </x:c>
      <x:c r="R2030" s="12" t="str">
        <x:v>ok</x:v>
      </x:c>
      <x:c r="S2030" s="11" t="n">
        <x:v>1551</x:v>
      </x:c>
      <x:c r="T2030" s="11" t="n">
        <x:v>456</x:v>
      </x:c>
    </x:row>
    <x:row r="2031" ht="23" customHeight="1">
      <x:c r="A2031" s="2" t="str">
        <x:v>Q8BY02</x:v>
      </x:c>
      <x:c r="B2031" s="2" t="str">
        <x:v>UN</x:v>
      </x:c>
      <x:c r="C2031" s="2" t="n">
        <x:v>1</x:v>
      </x:c>
      <x:c r="D2031" s="2"/>
      <x:c r="E2031" s="10" t="n">
        <x:v>69.51337681159421</x:v>
      </x:c>
      <x:c r="F2031" s="11" t="n">
        <x:v>690</x:v>
      </x:c>
      <x:c r="G2031" s="11" t="n">
        <x:v>0</x:v>
      </x:c>
      <x:c r="H2031" s="11" t="n">
        <x:v>0</x:v>
      </x:c>
      <x:c r="I2031" s="11" t="n">
        <x:v>0</x:v>
      </x:c>
      <x:c r="J2031" s="11" t="n">
        <x:v>0</x:v>
      </x:c>
      <x:c r="K2031" s="11" t="n">
        <x:v>0</x:v>
      </x:c>
      <x:c r="L2031" s="11" t="n">
        <x:f>IF(B2031="NED",1,IF(OR(B2031="ED",B2031="UN"),0,""))</x:f>
        <x:v>0</x:v>
      </x:c>
      <x:c r="M2031" s="11" t="n">
        <x:f>IF(AND(K2031=1,OR(B2031="ED",B2031="NED")),1,0)</x:f>
        <x:v>0</x:v>
      </x:c>
      <x:c r="N2031" s="11" t="n">
        <x:f>IF(K2031=1,1,0)</x:f>
        <x:v>0</x:v>
      </x:c>
      <x:c r="O2031" s="12" t="str">
        <x:v>Retain protein mean pLDDT &gt;=70</x:v>
      </x:c>
      <x:c r="P2031" s="11" t="n">
        <x:v>0</x:v>
      </x:c>
      <x:c r="Q2031" s="12" t="str">
        <x:v>AF-Q8BY02-F1-model_v6</x:v>
      </x:c>
      <x:c r="R2031" s="12" t="str">
        <x:v>ok</x:v>
      </x:c>
      <x:c r="S2031" s="11" t="n">
        <x:v>1552</x:v>
      </x:c>
      <x:c r="T2031" s="11" t="n">
        <x:v>690</x:v>
      </x:c>
    </x:row>
    <x:row r="2032" ht="23" customHeight="1">
      <x:c r="A2032" s="2" t="str">
        <x:v>Q8BY71</x:v>
      </x:c>
      <x:c r="B2032" s="2" t="str">
        <x:v>ED</x:v>
      </x:c>
      <x:c r="C2032" s="2" t="n">
        <x:v>1</x:v>
      </x:c>
      <x:c r="D2032" s="2" t="n">
        <x:v>1</x:v>
      </x:c>
      <x:c r="E2032" s="10" t="n">
        <x:v>93.39478365384616</x:v>
      </x:c>
      <x:c r="F2032" s="11" t="n">
        <x:v>416</x:v>
      </x:c>
      <x:c r="G2032" s="11" t="n">
        <x:v>0</x:v>
      </x:c>
      <x:c r="H2032" s="11" t="n">
        <x:v>0</x:v>
      </x:c>
      <x:c r="I2032" s="11" t="n">
        <x:v>0</x:v>
      </x:c>
      <x:c r="J2032" s="11" t="n">
        <x:v>0</x:v>
      </x:c>
      <x:c r="K2032" s="11" t="n">
        <x:v>1</x:v>
      </x:c>
      <x:c r="L2032" s="11" t="n">
        <x:f>IF(B2032="NED",1,IF(OR(B2032="ED",B2032="UN"),0,""))</x:f>
        <x:v>0</x:v>
      </x:c>
      <x:c r="M2032" s="11" t="n">
        <x:f>IF(AND(K2032=1,OR(B2032="ED",B2032="NED")),1,0)</x:f>
        <x:v>1</x:v>
      </x:c>
      <x:c r="N2032" s="11" t="n">
        <x:f>IF(K2032=1,1,0)</x:f>
        <x:v>1</x:v>
      </x:c>
      <x:c r="O2032" s="12"/>
      <x:c r="P2032" s="11" t="n">
        <x:v>0</x:v>
      </x:c>
      <x:c r="Q2032" s="12" t="str">
        <x:v>AF-Q8BY71-F1-model_v6</x:v>
      </x:c>
      <x:c r="R2032" s="12" t="str">
        <x:v>ok</x:v>
      </x:c>
      <x:c r="S2032" s="11" t="n">
        <x:v>1553</x:v>
      </x:c>
      <x:c r="T2032" s="11" t="n">
        <x:v>416</x:v>
      </x:c>
    </x:row>
    <x:row r="2033" ht="23" customHeight="1">
      <x:c r="A2033" s="2" t="str">
        <x:v>Q8BY87</x:v>
      </x:c>
      <x:c r="B2033" s="2" t="str">
        <x:v>ED</x:v>
      </x:c>
      <x:c r="C2033" s="2" t="n">
        <x:v>1</x:v>
      </x:c>
      <x:c r="D2033" s="2" t="n">
        <x:v>1</x:v>
      </x:c>
      <x:c r="E2033" s="10" t="n">
        <x:v>71.37292877906977</x:v>
      </x:c>
      <x:c r="F2033" s="11" t="n">
        <x:v>1376</x:v>
      </x:c>
      <x:c r="G2033" s="11" t="n">
        <x:v>0</x:v>
      </x:c>
      <x:c r="H2033" s="11" t="n">
        <x:v>0</x:v>
      </x:c>
      <x:c r="I2033" s="11" t="n">
        <x:v>0</x:v>
      </x:c>
      <x:c r="J2033" s="11" t="n">
        <x:v>0</x:v>
      </x:c>
      <x:c r="K2033" s="11" t="n">
        <x:v>1</x:v>
      </x:c>
      <x:c r="L2033" s="11" t="n">
        <x:f>IF(B2033="NED",1,IF(OR(B2033="ED",B2033="UN"),0,""))</x:f>
        <x:v>0</x:v>
      </x:c>
      <x:c r="M2033" s="11" t="n">
        <x:f>IF(AND(K2033=1,OR(B2033="ED",B2033="NED")),1,0)</x:f>
        <x:v>1</x:v>
      </x:c>
      <x:c r="N2033" s="11" t="n">
        <x:f>IF(K2033=1,1,0)</x:f>
        <x:v>1</x:v>
      </x:c>
      <x:c r="O2033" s="12"/>
      <x:c r="P2033" s="11" t="n">
        <x:v>0</x:v>
      </x:c>
      <x:c r="Q2033" s="12" t="str">
        <x:v>AF-Q8BY87-F1-model_v6</x:v>
      </x:c>
      <x:c r="R2033" s="12" t="str">
        <x:v>ok</x:v>
      </x:c>
      <x:c r="S2033" s="11" t="n">
        <x:v>1554</x:v>
      </x:c>
      <x:c r="T2033" s="11" t="n">
        <x:v>1376</x:v>
      </x:c>
    </x:row>
    <x:row r="2034" ht="23" customHeight="1">
      <x:c r="A2034" s="2" t="str">
        <x:v>Q8BY89-2</x:v>
      </x:c>
      <x:c r="B2034" s="2" t="str">
        <x:v>UN</x:v>
      </x:c>
      <x:c r="C2034" s="2"/>
      <x:c r="D2034" s="2"/>
      <x:c r="E2034" s="10"/>
      <x:c r="F2034" s="11"/>
      <x:c r="G2034" s="11" t="n">
        <x:v>0</x:v>
      </x:c>
      <x:c r="H2034" s="11" t="n">
        <x:v>0</x:v>
      </x:c>
      <x:c r="I2034" s="11"/>
      <x:c r="J2034" s="11"/>
      <x:c r="K2034" s="11" t="n">
        <x:v>0</x:v>
      </x:c>
      <x:c r="L2034" s="11" t="n">
        <x:f>IF(B2034="NED",1,IF(OR(B2034="ED",B2034="UN"),0,""))</x:f>
        <x:v>0</x:v>
      </x:c>
      <x:c r="M2034" s="11" t="n">
        <x:f>IF(AND(K2034=1,OR(B2034="ED",B2034="NED")),1,0)</x:f>
        <x:v>0</x:v>
      </x:c>
      <x:c r="N2034" s="11" t="n">
        <x:f>IF(K2034=1,1,0)</x:f>
        <x:v>0</x:v>
      </x:c>
      <x:c r="O2034" s="12" t="str">
        <x:v>Require exact native accession match</x:v>
      </x:c>
      <x:c r="P2034" s="11" t="n">
        <x:v>0</x:v>
      </x:c>
      <x:c r="Q2034" s="12"/>
      <x:c r="R2034" s="12"/>
      <x:c r="S2034" s="11" t="n">
        <x:v>1555</x:v>
      </x:c>
      <x:c r="T2034" s="11"/>
    </x:row>
    <x:row r="2035" ht="23" customHeight="1">
      <x:c r="A2035" s="2" t="str">
        <x:v>Q8BYA0</x:v>
      </x:c>
      <x:c r="B2035" s="2" t="str">
        <x:v>UN</x:v>
      </x:c>
      <x:c r="C2035" s="2" t="n">
        <x:v>0</x:v>
      </x:c>
      <x:c r="D2035" s="2" t="n">
        <x:v>0</x:v>
      </x:c>
      <x:c r="E2035" s="10"/>
      <x:c r="F2035" s="11" t="n">
        <x:v>1196</x:v>
      </x:c>
      <x:c r="G2035" s="11" t="n">
        <x:v>0</x:v>
      </x:c>
      <x:c r="H2035" s="11" t="n">
        <x:v>0</x:v>
      </x:c>
      <x:c r="I2035" s="11" t="n">
        <x:v>1</x:v>
      </x:c>
      <x:c r="J2035" s="11" t="n">
        <x:v>0</x:v>
      </x:c>
      <x:c r="K2035" s="11" t="n">
        <x:v>0</x:v>
      </x:c>
      <x:c r="L2035" s="11" t="n">
        <x:f>IF(B2035="NED",1,IF(OR(B2035="ED",B2035="UN"),0,""))</x:f>
        <x:v>0</x:v>
      </x:c>
      <x:c r="M2035" s="11" t="n">
        <x:f>IF(AND(K2035=1,OR(B2035="ED",B2035="NED")),1,0)</x:f>
        <x:v>0</x:v>
      </x:c>
      <x:c r="N2035" s="11" t="n">
        <x:f>IF(K2035=1,1,0)</x:f>
        <x:v>0</x:v>
      </x:c>
      <x:c r="O2035" s="12" t="str">
        <x:v>Exclude UniProt Membrane keyword</x:v>
      </x:c>
      <x:c r="P2035" s="11" t="n">
        <x:v>0</x:v>
      </x:c>
      <x:c r="Q2035" s="12" t="str">
        <x:v>AF-Q8BYA0-F1-model_v6</x:v>
      </x:c>
      <x:c r="R2035" s="12" t="str">
        <x:v>ok</x:v>
      </x:c>
      <x:c r="S2035" s="11" t="n">
        <x:v>1556</x:v>
      </x:c>
      <x:c r="T2035" s="11" t="n">
        <x:v>1196</x:v>
      </x:c>
    </x:row>
    <x:row r="2036" ht="23" customHeight="1">
      <x:c r="A2036" s="2" t="str">
        <x:v>Q8BYK6-3</x:v>
      </x:c>
      <x:c r="B2036" s="2" t="str">
        <x:v>ED</x:v>
      </x:c>
      <x:c r="C2036" s="2"/>
      <x:c r="D2036" s="2"/>
      <x:c r="E2036" s="10"/>
      <x:c r="F2036" s="11"/>
      <x:c r="G2036" s="11" t="n">
        <x:v>0</x:v>
      </x:c>
      <x:c r="H2036" s="11" t="n">
        <x:v>0</x:v>
      </x:c>
      <x:c r="I2036" s="11"/>
      <x:c r="J2036" s="11"/>
      <x:c r="K2036" s="11" t="n">
        <x:v>0</x:v>
      </x:c>
      <x:c r="L2036" s="11" t="n">
        <x:f>IF(B2036="NED",1,IF(OR(B2036="ED",B2036="UN"),0,""))</x:f>
        <x:v>0</x:v>
      </x:c>
      <x:c r="M2036" s="11" t="n">
        <x:f>IF(AND(K2036=1,OR(B2036="ED",B2036="NED")),1,0)</x:f>
        <x:v>0</x:v>
      </x:c>
      <x:c r="N2036" s="11" t="n">
        <x:f>IF(K2036=1,1,0)</x:f>
        <x:v>0</x:v>
      </x:c>
      <x:c r="O2036" s="12" t="str">
        <x:v>Require exact native accession match</x:v>
      </x:c>
      <x:c r="P2036" s="11" t="n">
        <x:v>0</x:v>
      </x:c>
      <x:c r="Q2036" s="12"/>
      <x:c r="R2036" s="12"/>
      <x:c r="S2036" s="11" t="n">
        <x:v>1557</x:v>
      </x:c>
      <x:c r="T2036" s="11"/>
    </x:row>
    <x:row r="2037" ht="23" customHeight="1">
      <x:c r="A2037" s="2" t="str">
        <x:v>Q8BYL4</x:v>
      </x:c>
      <x:c r="B2037" s="2" t="str">
        <x:v>UN</x:v>
      </x:c>
      <x:c r="C2037" s="2" t="n">
        <x:v>1</x:v>
      </x:c>
      <x:c r="D2037" s="2" t="n">
        <x:v>1</x:v>
      </x:c>
      <x:c r="E2037" s="10" t="n">
        <x:v>86.99296610169492</x:v>
      </x:c>
      <x:c r="F2037" s="11" t="n">
        <x:v>472</x:v>
      </x:c>
      <x:c r="G2037" s="11" t="n">
        <x:v>0</x:v>
      </x:c>
      <x:c r="H2037" s="11" t="n">
        <x:v>0</x:v>
      </x:c>
      <x:c r="I2037" s="11" t="n">
        <x:v>0</x:v>
      </x:c>
      <x:c r="J2037" s="11" t="n">
        <x:v>0</x:v>
      </x:c>
      <x:c r="K2037" s="11" t="n">
        <x:v>1</x:v>
      </x:c>
      <x:c r="L2037" s="11" t="n">
        <x:f>IF(B2037="NED",1,IF(OR(B2037="ED",B2037="UN"),0,""))</x:f>
        <x:v>0</x:v>
      </x:c>
      <x:c r="M2037" s="11" t="n">
        <x:f>IF(AND(K2037=1,OR(B2037="ED",B2037="NED")),1,0)</x:f>
        <x:v>0</x:v>
      </x:c>
      <x:c r="N2037" s="11" t="n">
        <x:f>IF(K2037=1,1,0)</x:f>
        <x:v>1</x:v>
      </x:c>
      <x:c r="O2037" s="12"/>
      <x:c r="P2037" s="11" t="n">
        <x:v>0</x:v>
      </x:c>
      <x:c r="Q2037" s="12" t="str">
        <x:v>AF-Q8BYL4-F1-model_v6</x:v>
      </x:c>
      <x:c r="R2037" s="12" t="str">
        <x:v>ok</x:v>
      </x:c>
      <x:c r="S2037" s="11" t="n">
        <x:v>1558</x:v>
      </x:c>
      <x:c r="T2037" s="11" t="n">
        <x:v>472</x:v>
      </x:c>
    </x:row>
    <x:row r="2038" ht="23" customHeight="1">
      <x:c r="A2038" s="2" t="str">
        <x:v>Q8BYN2</x:v>
      </x:c>
      <x:c r="B2038" s="2" t="str">
        <x:v>ED</x:v>
      </x:c>
      <x:c r="C2038" s="2"/>
      <x:c r="D2038" s="2"/>
      <x:c r="E2038" s="10"/>
      <x:c r="F2038" s="11"/>
      <x:c r="G2038" s="11" t="n">
        <x:v>0</x:v>
      </x:c>
      <x:c r="H2038" s="11" t="n">
        <x:v>0</x:v>
      </x:c>
      <x:c r="I2038" s="11" t="n">
        <x:v>0</x:v>
      </x:c>
      <x:c r="J2038" s="11" t="n">
        <x:v>0</x:v>
      </x:c>
      <x:c r="K2038" s="11" t="n">
        <x:v>0</x:v>
      </x:c>
      <x:c r="L2038" s="11" t="n">
        <x:f>IF(B2038="NED",1,IF(OR(B2038="ED",B2038="UN"),0,""))</x:f>
        <x:v>0</x:v>
      </x:c>
      <x:c r="M2038" s="11" t="n">
        <x:f>IF(AND(K2038=1,OR(B2038="ED",B2038="NED")),1,0)</x:f>
        <x:v>0</x:v>
      </x:c>
      <x:c r="N2038" s="11" t="n">
        <x:f>IF(K2038=1,1,0)</x:f>
        <x:v>0</x:v>
      </x:c>
      <x:c r="O2038" s="12" t="str">
        <x:v>Require exact native accession match</x:v>
      </x:c>
      <x:c r="P2038" s="11" t="n">
        <x:v>0</x:v>
      </x:c>
      <x:c r="Q2038" s="12"/>
      <x:c r="R2038" s="12"/>
      <x:c r="S2038" s="11" t="n">
        <x:v>3222</x:v>
      </x:c>
      <x:c r="T2038" s="11" t="n">
        <x:v>666</x:v>
      </x:c>
    </x:row>
    <x:row r="2039" ht="23" customHeight="1">
      <x:c r="A2039" s="2" t="str">
        <x:v>Q8BYU6</x:v>
      </x:c>
      <x:c r="B2039" s="2" t="str">
        <x:v>ED</x:v>
      </x:c>
      <x:c r="C2039" s="2"/>
      <x:c r="D2039" s="2"/>
      <x:c r="E2039" s="10"/>
      <x:c r="F2039" s="11" t="n">
        <x:v>502</x:v>
      </x:c>
      <x:c r="G2039" s="11" t="n">
        <x:v>0</x:v>
      </x:c>
      <x:c r="H2039" s="11" t="n">
        <x:v>1</x:v>
      </x:c>
      <x:c r="I2039" s="11" t="n">
        <x:v>1</x:v>
      </x:c>
      <x:c r="J2039" s="11" t="n">
        <x:v>0</x:v>
      </x:c>
      <x:c r="K2039" s="11" t="n">
        <x:v>0</x:v>
      </x:c>
      <x:c r="L2039" s="11" t="n">
        <x:f>IF(B2039="NED",1,IF(OR(B2039="ED",B2039="UN"),0,""))</x:f>
        <x:v>0</x:v>
      </x:c>
      <x:c r="M2039" s="11" t="n">
        <x:f>IF(AND(K2039=1,OR(B2039="ED",B2039="NED")),1,0)</x:f>
        <x:v>0</x:v>
      </x:c>
      <x:c r="N2039" s="11" t="n">
        <x:f>IF(K2039=1,1,0)</x:f>
        <x:v>0</x:v>
      </x:c>
      <x:c r="O2039" s="12" t="str">
        <x:v>Require binary native NCLE status</x:v>
      </x:c>
      <x:c r="P2039" s="11" t="n">
        <x:v>0</x:v>
      </x:c>
      <x:c r="Q2039" s="12" t="str">
        <x:v>AF-Q8BYU6-F1-model_v6</x:v>
      </x:c>
      <x:c r="R2039" s="12" t="str">
        <x:v>ok</x:v>
      </x:c>
      <x:c r="S2039" s="11" t="n">
        <x:v>1559</x:v>
      </x:c>
      <x:c r="T2039" s="11" t="n">
        <x:v>502</x:v>
      </x:c>
    </x:row>
    <x:row r="2040" ht="23" customHeight="1">
      <x:c r="A2040" s="2" t="str">
        <x:v>Q8BYW9</x:v>
      </x:c>
      <x:c r="B2040" s="2" t="str">
        <x:v>ED</x:v>
      </x:c>
      <x:c r="C2040" s="2" t="n">
        <x:v>1</x:v>
      </x:c>
      <x:c r="D2040" s="2" t="n">
        <x:v>1</x:v>
      </x:c>
      <x:c r="E2040" s="10" t="n">
        <x:v>91.32430740037952</x:v>
      </x:c>
      <x:c r="F2040" s="11" t="n">
        <x:v>527</x:v>
      </x:c>
      <x:c r="G2040" s="11" t="n">
        <x:v>0</x:v>
      </x:c>
      <x:c r="H2040" s="11" t="n">
        <x:v>0</x:v>
      </x:c>
      <x:c r="I2040" s="11" t="n">
        <x:v>0</x:v>
      </x:c>
      <x:c r="J2040" s="11" t="n">
        <x:v>0</x:v>
      </x:c>
      <x:c r="K2040" s="11" t="n">
        <x:v>1</x:v>
      </x:c>
      <x:c r="L2040" s="11" t="n">
        <x:f>IF(B2040="NED",1,IF(OR(B2040="ED",B2040="UN"),0,""))</x:f>
        <x:v>0</x:v>
      </x:c>
      <x:c r="M2040" s="11" t="n">
        <x:f>IF(AND(K2040=1,OR(B2040="ED",B2040="NED")),1,0)</x:f>
        <x:v>1</x:v>
      </x:c>
      <x:c r="N2040" s="11" t="n">
        <x:f>IF(K2040=1,1,0)</x:f>
        <x:v>1</x:v>
      </x:c>
      <x:c r="O2040" s="12"/>
      <x:c r="P2040" s="11" t="n">
        <x:v>0</x:v>
      </x:c>
      <x:c r="Q2040" s="12" t="str">
        <x:v>AF-Q8BYW9-F1-model_v6</x:v>
      </x:c>
      <x:c r="R2040" s="12" t="str">
        <x:v>ok</x:v>
      </x:c>
      <x:c r="S2040" s="11" t="n">
        <x:v>1560</x:v>
      </x:c>
      <x:c r="T2040" s="11" t="n">
        <x:v>527</x:v>
      </x:c>
    </x:row>
    <x:row r="2041" ht="23" customHeight="1">
      <x:c r="A2041" s="2" t="str">
        <x:v>Q8BYY4</x:v>
      </x:c>
      <x:c r="B2041" s="2" t="str">
        <x:v>ED</x:v>
      </x:c>
      <x:c r="C2041" s="2" t="n">
        <x:v>0</x:v>
      </x:c>
      <x:c r="D2041" s="2" t="n">
        <x:v>0</x:v>
      </x:c>
      <x:c r="E2041" s="10" t="n">
        <x:v>86.42726094003243</x:v>
      </x:c>
      <x:c r="F2041" s="11" t="n">
        <x:v>617</x:v>
      </x:c>
      <x:c r="G2041" s="11" t="n">
        <x:v>0</x:v>
      </x:c>
      <x:c r="H2041" s="11" t="n">
        <x:v>0</x:v>
      </x:c>
      <x:c r="I2041" s="11" t="n">
        <x:v>0</x:v>
      </x:c>
      <x:c r="J2041" s="11" t="n">
        <x:v>0</x:v>
      </x:c>
      <x:c r="K2041" s="11" t="n">
        <x:v>1</x:v>
      </x:c>
      <x:c r="L2041" s="11" t="n">
        <x:f>IF(B2041="NED",1,IF(OR(B2041="ED",B2041="UN"),0,""))</x:f>
        <x:v>0</x:v>
      </x:c>
      <x:c r="M2041" s="11" t="n">
        <x:f>IF(AND(K2041=1,OR(B2041="ED",B2041="NED")),1,0)</x:f>
        <x:v>1</x:v>
      </x:c>
      <x:c r="N2041" s="11" t="n">
        <x:f>IF(K2041=1,1,0)</x:f>
        <x:v>1</x:v>
      </x:c>
      <x:c r="O2041" s="12"/>
      <x:c r="P2041" s="11" t="n">
        <x:v>0</x:v>
      </x:c>
      <x:c r="Q2041" s="12" t="str">
        <x:v>AF-Q8BYY4-F1-model_v6</x:v>
      </x:c>
      <x:c r="R2041" s="12" t="str">
        <x:v>ok</x:v>
      </x:c>
      <x:c r="S2041" s="11" t="n">
        <x:v>1561</x:v>
      </x:c>
      <x:c r="T2041" s="11" t="n">
        <x:v>617</x:v>
      </x:c>
    </x:row>
    <x:row r="2042" ht="23" customHeight="1">
      <x:c r="A2042" s="2" t="str">
        <x:v>Q8BZA9</x:v>
      </x:c>
      <x:c r="B2042" s="2" t="str">
        <x:v>ED</x:v>
      </x:c>
      <x:c r="C2042" s="2" t="n">
        <x:v>1</x:v>
      </x:c>
      <x:c r="D2042" s="2" t="n">
        <x:v>1</x:v>
      </x:c>
      <x:c r="E2042" s="10" t="n">
        <x:v>86.97999999999999</x:v>
      </x:c>
      <x:c r="F2042" s="11" t="n">
        <x:v>269</x:v>
      </x:c>
      <x:c r="G2042" s="11" t="n">
        <x:v>0</x:v>
      </x:c>
      <x:c r="H2042" s="11" t="n">
        <x:v>0</x:v>
      </x:c>
      <x:c r="I2042" s="11" t="n">
        <x:v>0</x:v>
      </x:c>
      <x:c r="J2042" s="11" t="n">
        <x:v>0</x:v>
      </x:c>
      <x:c r="K2042" s="11" t="n">
        <x:v>1</x:v>
      </x:c>
      <x:c r="L2042" s="11" t="n">
        <x:f>IF(B2042="NED",1,IF(OR(B2042="ED",B2042="UN"),0,""))</x:f>
        <x:v>0</x:v>
      </x:c>
      <x:c r="M2042" s="11" t="n">
        <x:f>IF(AND(K2042=1,OR(B2042="ED",B2042="NED")),1,0)</x:f>
        <x:v>1</x:v>
      </x:c>
      <x:c r="N2042" s="11" t="n">
        <x:f>IF(K2042=1,1,0)</x:f>
        <x:v>1</x:v>
      </x:c>
      <x:c r="O2042" s="12"/>
      <x:c r="P2042" s="11" t="n">
        <x:v>0</x:v>
      </x:c>
      <x:c r="Q2042" s="12" t="str">
        <x:v>AF-Q8BZA9-F1-model_v6</x:v>
      </x:c>
      <x:c r="R2042" s="12" t="str">
        <x:v>ok</x:v>
      </x:c>
      <x:c r="S2042" s="11" t="n">
        <x:v>1562</x:v>
      </x:c>
      <x:c r="T2042" s="11" t="n">
        <x:v>269</x:v>
      </x:c>
    </x:row>
    <x:row r="2043" ht="23" customHeight="1">
      <x:c r="A2043" s="2" t="str">
        <x:v>Q8BZM1</x:v>
      </x:c>
      <x:c r="B2043" s="2" t="str">
        <x:v>ED</x:v>
      </x:c>
      <x:c r="C2043" s="2" t="n">
        <x:v>0</x:v>
      </x:c>
      <x:c r="D2043" s="2" t="n">
        <x:v>0</x:v>
      </x:c>
      <x:c r="E2043" s="10" t="n">
        <x:v>89.04739932885906</x:v>
      </x:c>
      <x:c r="F2043" s="11" t="n">
        <x:v>596</x:v>
      </x:c>
      <x:c r="G2043" s="11" t="n">
        <x:v>0</x:v>
      </x:c>
      <x:c r="H2043" s="11" t="n">
        <x:v>0</x:v>
      </x:c>
      <x:c r="I2043" s="11" t="n">
        <x:v>0</x:v>
      </x:c>
      <x:c r="J2043" s="11" t="n">
        <x:v>0</x:v>
      </x:c>
      <x:c r="K2043" s="11" t="n">
        <x:v>1</x:v>
      </x:c>
      <x:c r="L2043" s="11" t="n">
        <x:f>IF(B2043="NED",1,IF(OR(B2043="ED",B2043="UN"),0,""))</x:f>
        <x:v>0</x:v>
      </x:c>
      <x:c r="M2043" s="11" t="n">
        <x:f>IF(AND(K2043=1,OR(B2043="ED",B2043="NED")),1,0)</x:f>
        <x:v>1</x:v>
      </x:c>
      <x:c r="N2043" s="11" t="n">
        <x:f>IF(K2043=1,1,0)</x:f>
        <x:v>1</x:v>
      </x:c>
      <x:c r="O2043" s="12"/>
      <x:c r="P2043" s="11" t="n">
        <x:v>0</x:v>
      </x:c>
      <x:c r="Q2043" s="12" t="str">
        <x:v>AF-Q8BZM1-F1-model_v6</x:v>
      </x:c>
      <x:c r="R2043" s="12" t="str">
        <x:v>ok</x:v>
      </x:c>
      <x:c r="S2043" s="11" t="n">
        <x:v>1563</x:v>
      </x:c>
      <x:c r="T2043" s="11" t="n">
        <x:v>596</x:v>
      </x:c>
    </x:row>
    <x:row r="2044" ht="23" customHeight="1">
      <x:c r="A2044" s="2" t="str">
        <x:v>Q8BZQ7</x:v>
      </x:c>
      <x:c r="B2044" s="2" t="str">
        <x:v>UN</x:v>
      </x:c>
      <x:c r="C2044" s="2" t="n">
        <x:v>1</x:v>
      </x:c>
      <x:c r="D2044" s="2" t="n">
        <x:v>1</x:v>
      </x:c>
      <x:c r="E2044" s="10" t="n">
        <x:v>78.73072879330944</x:v>
      </x:c>
      <x:c r="F2044" s="11" t="n">
        <x:v>837</x:v>
      </x:c>
      <x:c r="G2044" s="11" t="n">
        <x:v>0</x:v>
      </x:c>
      <x:c r="H2044" s="11" t="n">
        <x:v>0</x:v>
      </x:c>
      <x:c r="I2044" s="11" t="n">
        <x:v>0</x:v>
      </x:c>
      <x:c r="J2044" s="11" t="n">
        <x:v>0</x:v>
      </x:c>
      <x:c r="K2044" s="11" t="n">
        <x:v>1</x:v>
      </x:c>
      <x:c r="L2044" s="11" t="n">
        <x:f>IF(B2044="NED",1,IF(OR(B2044="ED",B2044="UN"),0,""))</x:f>
        <x:v>0</x:v>
      </x:c>
      <x:c r="M2044" s="11" t="n">
        <x:f>IF(AND(K2044=1,OR(B2044="ED",B2044="NED")),1,0)</x:f>
        <x:v>0</x:v>
      </x:c>
      <x:c r="N2044" s="11" t="n">
        <x:f>IF(K2044=1,1,0)</x:f>
        <x:v>1</x:v>
      </x:c>
      <x:c r="O2044" s="12"/>
      <x:c r="P2044" s="11" t="n">
        <x:v>0</x:v>
      </x:c>
      <x:c r="Q2044" s="12" t="str">
        <x:v>AF-Q8BZQ7-F1-model_v6</x:v>
      </x:c>
      <x:c r="R2044" s="12" t="str">
        <x:v>ok</x:v>
      </x:c>
      <x:c r="S2044" s="11" t="n">
        <x:v>1564</x:v>
      </x:c>
      <x:c r="T2044" s="11" t="n">
        <x:v>837</x:v>
      </x:c>
    </x:row>
    <x:row r="2045" ht="23" customHeight="1">
      <x:c r="A2045" s="2" t="str">
        <x:v>Q8C052</x:v>
      </x:c>
      <x:c r="B2045" s="2" t="str">
        <x:v>ED</x:v>
      </x:c>
      <x:c r="C2045" s="2" t="n">
        <x:v>1</x:v>
      </x:c>
      <x:c r="D2045" s="2" t="n">
        <x:v>1</x:v>
      </x:c>
      <x:c r="E2045" s="10" t="n">
        <x:v>67.45425488180885</x:v>
      </x:c>
      <x:c r="F2045" s="11" t="n">
        <x:v>973</x:v>
      </x:c>
      <x:c r="G2045" s="11" t="n">
        <x:v>0</x:v>
      </x:c>
      <x:c r="H2045" s="11" t="n">
        <x:v>0</x:v>
      </x:c>
      <x:c r="I2045" s="11" t="n">
        <x:v>0</x:v>
      </x:c>
      <x:c r="J2045" s="11" t="n">
        <x:v>0</x:v>
      </x:c>
      <x:c r="K2045" s="11" t="n">
        <x:v>0</x:v>
      </x:c>
      <x:c r="L2045" s="11" t="n">
        <x:f>IF(B2045="NED",1,IF(OR(B2045="ED",B2045="UN"),0,""))</x:f>
        <x:v>0</x:v>
      </x:c>
      <x:c r="M2045" s="11" t="n">
        <x:f>IF(AND(K2045=1,OR(B2045="ED",B2045="NED")),1,0)</x:f>
        <x:v>0</x:v>
      </x:c>
      <x:c r="N2045" s="11" t="n">
        <x:f>IF(K2045=1,1,0)</x:f>
        <x:v>0</x:v>
      </x:c>
      <x:c r="O2045" s="12" t="str">
        <x:v>Retain protein mean pLDDT &gt;=70</x:v>
      </x:c>
      <x:c r="P2045" s="11" t="n">
        <x:v>0</x:v>
      </x:c>
      <x:c r="Q2045" s="12" t="str">
        <x:v>AF-Q8C052-F1-model_v6</x:v>
      </x:c>
      <x:c r="R2045" s="12" t="str">
        <x:v>ok</x:v>
      </x:c>
      <x:c r="S2045" s="11" t="n">
        <x:v>1565</x:v>
      </x:c>
      <x:c r="T2045" s="11" t="n">
        <x:v>973</x:v>
      </x:c>
    </x:row>
    <x:row r="2046" ht="23" customHeight="1">
      <x:c r="A2046" s="2" t="str">
        <x:v>Q8C078-2</x:v>
      </x:c>
      <x:c r="B2046" s="2" t="str">
        <x:v>ED</x:v>
      </x:c>
      <x:c r="C2046" s="2"/>
      <x:c r="D2046" s="2"/>
      <x:c r="E2046" s="10"/>
      <x:c r="F2046" s="11"/>
      <x:c r="G2046" s="11" t="n">
        <x:v>0</x:v>
      </x:c>
      <x:c r="H2046" s="11" t="n">
        <x:v>0</x:v>
      </x:c>
      <x:c r="I2046" s="11"/>
      <x:c r="J2046" s="11"/>
      <x:c r="K2046" s="11" t="n">
        <x:v>0</x:v>
      </x:c>
      <x:c r="L2046" s="11" t="n">
        <x:f>IF(B2046="NED",1,IF(OR(B2046="ED",B2046="UN"),0,""))</x:f>
        <x:v>0</x:v>
      </x:c>
      <x:c r="M2046" s="11" t="n">
        <x:f>IF(AND(K2046=1,OR(B2046="ED",B2046="NED")),1,0)</x:f>
        <x:v>0</x:v>
      </x:c>
      <x:c r="N2046" s="11" t="n">
        <x:f>IF(K2046=1,1,0)</x:f>
        <x:v>0</x:v>
      </x:c>
      <x:c r="O2046" s="12" t="str">
        <x:v>Require exact native accession match</x:v>
      </x:c>
      <x:c r="P2046" s="11" t="n">
        <x:v>0</x:v>
      </x:c>
      <x:c r="Q2046" s="12"/>
      <x:c r="R2046" s="12"/>
      <x:c r="S2046" s="11" t="n">
        <x:v>1566</x:v>
      </x:c>
      <x:c r="T2046" s="11"/>
    </x:row>
    <x:row r="2047" ht="23" customHeight="1">
      <x:c r="A2047" s="2" t="str">
        <x:v>Q8C079-4</x:v>
      </x:c>
      <x:c r="B2047" s="2" t="str">
        <x:v>UN</x:v>
      </x:c>
      <x:c r="C2047" s="2"/>
      <x:c r="D2047" s="2"/>
      <x:c r="E2047" s="10"/>
      <x:c r="F2047" s="11"/>
      <x:c r="G2047" s="11" t="n">
        <x:v>0</x:v>
      </x:c>
      <x:c r="H2047" s="11" t="n">
        <x:v>0</x:v>
      </x:c>
      <x:c r="I2047" s="11"/>
      <x:c r="J2047" s="11"/>
      <x:c r="K2047" s="11" t="n">
        <x:v>0</x:v>
      </x:c>
      <x:c r="L2047" s="11" t="n">
        <x:f>IF(B2047="NED",1,IF(OR(B2047="ED",B2047="UN"),0,""))</x:f>
        <x:v>0</x:v>
      </x:c>
      <x:c r="M2047" s="11" t="n">
        <x:f>IF(AND(K2047=1,OR(B2047="ED",B2047="NED")),1,0)</x:f>
        <x:v>0</x:v>
      </x:c>
      <x:c r="N2047" s="11" t="n">
        <x:f>IF(K2047=1,1,0)</x:f>
        <x:v>0</x:v>
      </x:c>
      <x:c r="O2047" s="12" t="str">
        <x:v>Require exact native accession match</x:v>
      </x:c>
      <x:c r="P2047" s="11" t="n">
        <x:v>0</x:v>
      </x:c>
      <x:c r="Q2047" s="12"/>
      <x:c r="R2047" s="12"/>
      <x:c r="S2047" s="11" t="n">
        <x:v>1567</x:v>
      </x:c>
      <x:c r="T2047" s="11"/>
    </x:row>
    <x:row r="2048" ht="23" customHeight="1">
      <x:c r="A2048" s="2" t="str">
        <x:v>Q8C0D5</x:v>
      </x:c>
      <x:c r="B2048" s="2" t="str">
        <x:v>ED</x:v>
      </x:c>
      <x:c r="C2048" s="2" t="n">
        <x:v>1</x:v>
      </x:c>
      <x:c r="D2048" s="2" t="n">
        <x:v>1</x:v>
      </x:c>
      <x:c r="E2048" s="10" t="n">
        <x:v>73.8379059449867</x:v>
      </x:c>
      <x:c r="F2048" s="11" t="n">
        <x:v>1127</x:v>
      </x:c>
      <x:c r="G2048" s="11" t="n">
        <x:v>0</x:v>
      </x:c>
      <x:c r="H2048" s="11" t="n">
        <x:v>0</x:v>
      </x:c>
      <x:c r="I2048" s="11" t="n">
        <x:v>0</x:v>
      </x:c>
      <x:c r="J2048" s="11" t="n">
        <x:v>0</x:v>
      </x:c>
      <x:c r="K2048" s="11" t="n">
        <x:v>1</x:v>
      </x:c>
      <x:c r="L2048" s="11" t="n">
        <x:f>IF(B2048="NED",1,IF(OR(B2048="ED",B2048="UN"),0,""))</x:f>
        <x:v>0</x:v>
      </x:c>
      <x:c r="M2048" s="11" t="n">
        <x:f>IF(AND(K2048=1,OR(B2048="ED",B2048="NED")),1,0)</x:f>
        <x:v>1</x:v>
      </x:c>
      <x:c r="N2048" s="11" t="n">
        <x:f>IF(K2048=1,1,0)</x:f>
        <x:v>1</x:v>
      </x:c>
      <x:c r="O2048" s="12"/>
      <x:c r="P2048" s="11" t="n">
        <x:v>0</x:v>
      </x:c>
      <x:c r="Q2048" s="12" t="str">
        <x:v>AF-Q8C0D5-F1-model_v6</x:v>
      </x:c>
      <x:c r="R2048" s="12" t="str">
        <x:v>ok</x:v>
      </x:c>
      <x:c r="S2048" s="11" t="n">
        <x:v>1568</x:v>
      </x:c>
      <x:c r="T2048" s="11" t="n">
        <x:v>1127</x:v>
      </x:c>
    </x:row>
    <x:row r="2049" ht="23" customHeight="1">
      <x:c r="A2049" s="2" t="str">
        <x:v>Q8C0E3</x:v>
      </x:c>
      <x:c r="B2049" s="2" t="str">
        <x:v>UN</x:v>
      </x:c>
      <x:c r="C2049" s="2" t="n">
        <x:v>1</x:v>
      </x:c>
      <x:c r="D2049" s="2" t="n">
        <x:v>1</x:v>
      </x:c>
      <x:c r="E2049" s="10" t="n">
        <x:v>79.9429329173167</x:v>
      </x:c>
      <x:c r="F2049" s="11" t="n">
        <x:v>641</x:v>
      </x:c>
      <x:c r="G2049" s="11" t="n">
        <x:v>0</x:v>
      </x:c>
      <x:c r="H2049" s="11" t="n">
        <x:v>0</x:v>
      </x:c>
      <x:c r="I2049" s="11" t="n">
        <x:v>0</x:v>
      </x:c>
      <x:c r="J2049" s="11" t="n">
        <x:v>0</x:v>
      </x:c>
      <x:c r="K2049" s="11" t="n">
        <x:v>1</x:v>
      </x:c>
      <x:c r="L2049" s="11" t="n">
        <x:f>IF(B2049="NED",1,IF(OR(B2049="ED",B2049="UN"),0,""))</x:f>
        <x:v>0</x:v>
      </x:c>
      <x:c r="M2049" s="11" t="n">
        <x:f>IF(AND(K2049=1,OR(B2049="ED",B2049="NED")),1,0)</x:f>
        <x:v>0</x:v>
      </x:c>
      <x:c r="N2049" s="11" t="n">
        <x:f>IF(K2049=1,1,0)</x:f>
        <x:v>1</x:v>
      </x:c>
      <x:c r="O2049" s="12"/>
      <x:c r="P2049" s="11" t="n">
        <x:v>0</x:v>
      </x:c>
      <x:c r="Q2049" s="12" t="str">
        <x:v>AF-Q8C0E3-F1-model_v6</x:v>
      </x:c>
      <x:c r="R2049" s="12" t="str">
        <x:v>ok</x:v>
      </x:c>
      <x:c r="S2049" s="11" t="n">
        <x:v>1569</x:v>
      </x:c>
      <x:c r="T2049" s="11" t="n">
        <x:v>641</x:v>
      </x:c>
    </x:row>
    <x:row r="2050" ht="23" customHeight="1">
      <x:c r="A2050" s="2" t="str">
        <x:v>Q8C0I1</x:v>
      </x:c>
      <x:c r="B2050" s="2" t="str">
        <x:v>ED</x:v>
      </x:c>
      <x:c r="C2050" s="2" t="n">
        <x:v>1</x:v>
      </x:c>
      <x:c r="D2050" s="2" t="n">
        <x:v>1</x:v>
      </x:c>
      <x:c r="E2050" s="10"/>
      <x:c r="F2050" s="11" t="n">
        <x:v>645</x:v>
      </x:c>
      <x:c r="G2050" s="11" t="n">
        <x:v>0</x:v>
      </x:c>
      <x:c r="H2050" s="11" t="n">
        <x:v>0</x:v>
      </x:c>
      <x:c r="I2050" s="11" t="n">
        <x:v>1</x:v>
      </x:c>
      <x:c r="J2050" s="11" t="n">
        <x:v>0</x:v>
      </x:c>
      <x:c r="K2050" s="11" t="n">
        <x:v>0</x:v>
      </x:c>
      <x:c r="L2050" s="11" t="n">
        <x:f>IF(B2050="NED",1,IF(OR(B2050="ED",B2050="UN"),0,""))</x:f>
        <x:v>0</x:v>
      </x:c>
      <x:c r="M2050" s="11" t="n">
        <x:f>IF(AND(K2050=1,OR(B2050="ED",B2050="NED")),1,0)</x:f>
        <x:v>0</x:v>
      </x:c>
      <x:c r="N2050" s="11" t="n">
        <x:f>IF(K2050=1,1,0)</x:f>
        <x:v>0</x:v>
      </x:c>
      <x:c r="O2050" s="12" t="str">
        <x:v>Exclude UniProt Membrane keyword</x:v>
      </x:c>
      <x:c r="P2050" s="11" t="n">
        <x:v>0</x:v>
      </x:c>
      <x:c r="Q2050" s="12" t="str">
        <x:v>AF-Q8C0I1-F1-model_v6</x:v>
      </x:c>
      <x:c r="R2050" s="12" t="str">
        <x:v>ok</x:v>
      </x:c>
      <x:c r="S2050" s="11" t="n">
        <x:v>1570</x:v>
      </x:c>
      <x:c r="T2050" s="11" t="n">
        <x:v>645</x:v>
      </x:c>
    </x:row>
    <x:row r="2051" ht="23" customHeight="1">
      <x:c r="A2051" s="2" t="str">
        <x:v>Q8C0N2</x:v>
      </x:c>
      <x:c r="B2051" s="2" t="str">
        <x:v>ED</x:v>
      </x:c>
      <x:c r="C2051" s="2" t="n">
        <x:v>1</x:v>
      </x:c>
      <x:c r="D2051" s="2" t="n">
        <x:v>1</x:v>
      </x:c>
      <x:c r="E2051" s="10"/>
      <x:c r="F2051" s="11" t="n">
        <x:v>438</x:v>
      </x:c>
      <x:c r="G2051" s="11" t="n">
        <x:v>0</x:v>
      </x:c>
      <x:c r="H2051" s="11" t="n">
        <x:v>0</x:v>
      </x:c>
      <x:c r="I2051" s="11" t="n">
        <x:v>1</x:v>
      </x:c>
      <x:c r="J2051" s="11" t="n">
        <x:v>0</x:v>
      </x:c>
      <x:c r="K2051" s="11" t="n">
        <x:v>0</x:v>
      </x:c>
      <x:c r="L2051" s="11" t="n">
        <x:f>IF(B2051="NED",1,IF(OR(B2051="ED",B2051="UN"),0,""))</x:f>
        <x:v>0</x:v>
      </x:c>
      <x:c r="M2051" s="11" t="n">
        <x:f>IF(AND(K2051=1,OR(B2051="ED",B2051="NED")),1,0)</x:f>
        <x:v>0</x:v>
      </x:c>
      <x:c r="N2051" s="11" t="n">
        <x:f>IF(K2051=1,1,0)</x:f>
        <x:v>0</x:v>
      </x:c>
      <x:c r="O2051" s="12" t="str">
        <x:v>Exclude UniProt Membrane keyword</x:v>
      </x:c>
      <x:c r="P2051" s="11" t="n">
        <x:v>0</x:v>
      </x:c>
      <x:c r="Q2051" s="12" t="str">
        <x:v>AF-Q8C0N2-F1-model_v6</x:v>
      </x:c>
      <x:c r="R2051" s="12" t="str">
        <x:v>ok</x:v>
      </x:c>
      <x:c r="S2051" s="11" t="n">
        <x:v>1571</x:v>
      </x:c>
      <x:c r="T2051" s="11" t="n">
        <x:v>438</x:v>
      </x:c>
    </x:row>
    <x:row r="2052" ht="23" customHeight="1">
      <x:c r="A2052" s="2" t="str">
        <x:v>Q8C0P0</x:v>
      </x:c>
      <x:c r="B2052" s="2" t="str">
        <x:v>ED</x:v>
      </x:c>
      <x:c r="C2052" s="2" t="n">
        <x:v>1</x:v>
      </x:c>
      <x:c r="D2052" s="2" t="n">
        <x:v>1</x:v>
      </x:c>
      <x:c r="E2052" s="10" t="n">
        <x:v>54.596057803468206</x:v>
      </x:c>
      <x:c r="F2052" s="11" t="n">
        <x:v>865</x:v>
      </x:c>
      <x:c r="G2052" s="11" t="n">
        <x:v>0</x:v>
      </x:c>
      <x:c r="H2052" s="11" t="n">
        <x:v>0</x:v>
      </x:c>
      <x:c r="I2052" s="11" t="n">
        <x:v>0</x:v>
      </x:c>
      <x:c r="J2052" s="11" t="n">
        <x:v>0</x:v>
      </x:c>
      <x:c r="K2052" s="11" t="n">
        <x:v>0</x:v>
      </x:c>
      <x:c r="L2052" s="11" t="n">
        <x:f>IF(B2052="NED",1,IF(OR(B2052="ED",B2052="UN"),0,""))</x:f>
        <x:v>0</x:v>
      </x:c>
      <x:c r="M2052" s="11" t="n">
        <x:f>IF(AND(K2052=1,OR(B2052="ED",B2052="NED")),1,0)</x:f>
        <x:v>0</x:v>
      </x:c>
      <x:c r="N2052" s="11" t="n">
        <x:f>IF(K2052=1,1,0)</x:f>
        <x:v>0</x:v>
      </x:c>
      <x:c r="O2052" s="12" t="str">
        <x:v>Retain protein mean pLDDT &gt;=70</x:v>
      </x:c>
      <x:c r="P2052" s="11" t="n">
        <x:v>0</x:v>
      </x:c>
      <x:c r="Q2052" s="12" t="str">
        <x:v>AF-Q8C0P0-F1-model_v6</x:v>
      </x:c>
      <x:c r="R2052" s="12" t="str">
        <x:v>ok</x:v>
      </x:c>
      <x:c r="S2052" s="11" t="n">
        <x:v>1572</x:v>
      </x:c>
      <x:c r="T2052" s="11" t="n">
        <x:v>865</x:v>
      </x:c>
    </x:row>
    <x:row r="2053" ht="23" customHeight="1">
      <x:c r="A2053" s="2" t="str">
        <x:v>Q8C0R0-2</x:v>
      </x:c>
      <x:c r="B2053" s="2" t="str">
        <x:v>ED</x:v>
      </x:c>
      <x:c r="C2053" s="2"/>
      <x:c r="D2053" s="2"/>
      <x:c r="E2053" s="10"/>
      <x:c r="F2053" s="11"/>
      <x:c r="G2053" s="11" t="n">
        <x:v>0</x:v>
      </x:c>
      <x:c r="H2053" s="11" t="n">
        <x:v>0</x:v>
      </x:c>
      <x:c r="I2053" s="11"/>
      <x:c r="J2053" s="11"/>
      <x:c r="K2053" s="11" t="n">
        <x:v>0</x:v>
      </x:c>
      <x:c r="L2053" s="11" t="n">
        <x:f>IF(B2053="NED",1,IF(OR(B2053="ED",B2053="UN"),0,""))</x:f>
        <x:v>0</x:v>
      </x:c>
      <x:c r="M2053" s="11" t="n">
        <x:f>IF(AND(K2053=1,OR(B2053="ED",B2053="NED")),1,0)</x:f>
        <x:v>0</x:v>
      </x:c>
      <x:c r="N2053" s="11" t="n">
        <x:f>IF(K2053=1,1,0)</x:f>
        <x:v>0</x:v>
      </x:c>
      <x:c r="O2053" s="12" t="str">
        <x:v>Require exact native accession match</x:v>
      </x:c>
      <x:c r="P2053" s="11" t="n">
        <x:v>0</x:v>
      </x:c>
      <x:c r="Q2053" s="12"/>
      <x:c r="R2053" s="12"/>
      <x:c r="S2053" s="11" t="n">
        <x:v>1573</x:v>
      </x:c>
      <x:c r="T2053" s="11"/>
    </x:row>
    <x:row r="2054" ht="23" customHeight="1">
      <x:c r="A2054" s="2" t="str">
        <x:v>Q8C0Z1</x:v>
      </x:c>
      <x:c r="B2054" s="2" t="str">
        <x:v>ED</x:v>
      </x:c>
      <x:c r="C2054" s="2" t="n">
        <x:v>1</x:v>
      </x:c>
      <x:c r="D2054" s="2" t="n">
        <x:v>1</x:v>
      </x:c>
      <x:c r="E2054" s="10"/>
      <x:c r="F2054" s="11" t="n">
        <x:v>555</x:v>
      </x:c>
      <x:c r="G2054" s="11" t="n">
        <x:v>0</x:v>
      </x:c>
      <x:c r="H2054" s="11" t="n">
        <x:v>0</x:v>
      </x:c>
      <x:c r="I2054" s="11" t="n">
        <x:v>1</x:v>
      </x:c>
      <x:c r="J2054" s="11" t="n">
        <x:v>0</x:v>
      </x:c>
      <x:c r="K2054" s="11" t="n">
        <x:v>0</x:v>
      </x:c>
      <x:c r="L2054" s="11" t="n">
        <x:f>IF(B2054="NED",1,IF(OR(B2054="ED",B2054="UN"),0,""))</x:f>
        <x:v>0</x:v>
      </x:c>
      <x:c r="M2054" s="11" t="n">
        <x:f>IF(AND(K2054=1,OR(B2054="ED",B2054="NED")),1,0)</x:f>
        <x:v>0</x:v>
      </x:c>
      <x:c r="N2054" s="11" t="n">
        <x:f>IF(K2054=1,1,0)</x:f>
        <x:v>0</x:v>
      </x:c>
      <x:c r="O2054" s="12" t="str">
        <x:v>Exclude UniProt Membrane keyword</x:v>
      </x:c>
      <x:c r="P2054" s="11" t="n">
        <x:v>0</x:v>
      </x:c>
      <x:c r="Q2054" s="12" t="str">
        <x:v>AF-Q8C0Z1-F1-model_v6</x:v>
      </x:c>
      <x:c r="R2054" s="12" t="str">
        <x:v>ok</x:v>
      </x:c>
      <x:c r="S2054" s="11" t="n">
        <x:v>1574</x:v>
      </x:c>
      <x:c r="T2054" s="11" t="n">
        <x:v>555</x:v>
      </x:c>
    </x:row>
    <x:row r="2055" ht="23" customHeight="1">
      <x:c r="A2055" s="2" t="str">
        <x:v>Q8C129</x:v>
      </x:c>
      <x:c r="B2055" s="2" t="str">
        <x:v>UN</x:v>
      </x:c>
      <x:c r="C2055" s="2" t="n">
        <x:v>1</x:v>
      </x:c>
      <x:c r="D2055" s="2" t="n">
        <x:v>1</x:v>
      </x:c>
      <x:c r="E2055" s="10"/>
      <x:c r="F2055" s="11" t="n">
        <x:v>1025</x:v>
      </x:c>
      <x:c r="G2055" s="11" t="n">
        <x:v>0</x:v>
      </x:c>
      <x:c r="H2055" s="11" t="n">
        <x:v>0</x:v>
      </x:c>
      <x:c r="I2055" s="11" t="n">
        <x:v>1</x:v>
      </x:c>
      <x:c r="J2055" s="11" t="n">
        <x:v>0</x:v>
      </x:c>
      <x:c r="K2055" s="11" t="n">
        <x:v>0</x:v>
      </x:c>
      <x:c r="L2055" s="11" t="n">
        <x:f>IF(B2055="NED",1,IF(OR(B2055="ED",B2055="UN"),0,""))</x:f>
        <x:v>0</x:v>
      </x:c>
      <x:c r="M2055" s="11" t="n">
        <x:f>IF(AND(K2055=1,OR(B2055="ED",B2055="NED")),1,0)</x:f>
        <x:v>0</x:v>
      </x:c>
      <x:c r="N2055" s="11" t="n">
        <x:f>IF(K2055=1,1,0)</x:f>
        <x:v>0</x:v>
      </x:c>
      <x:c r="O2055" s="12" t="str">
        <x:v>Exclude UniProt Membrane keyword</x:v>
      </x:c>
      <x:c r="P2055" s="11" t="n">
        <x:v>0</x:v>
      </x:c>
      <x:c r="Q2055" s="12" t="str">
        <x:v>AF-Q8C129-F1-model_v6</x:v>
      </x:c>
      <x:c r="R2055" s="12" t="str">
        <x:v>ok</x:v>
      </x:c>
      <x:c r="S2055" s="11" t="n">
        <x:v>1575</x:v>
      </x:c>
      <x:c r="T2055" s="11" t="n">
        <x:v>1025</x:v>
      </x:c>
    </x:row>
    <x:row r="2056" ht="23" customHeight="1">
      <x:c r="A2056" s="2" t="str">
        <x:v>Q8C156</x:v>
      </x:c>
      <x:c r="B2056" s="2" t="str">
        <x:v>UN</x:v>
      </x:c>
      <x:c r="C2056" s="2" t="n">
        <x:v>1</x:v>
      </x:c>
      <x:c r="D2056" s="2"/>
      <x:c r="E2056" s="10" t="n">
        <x:v>59.77476060191518</x:v>
      </x:c>
      <x:c r="F2056" s="11" t="n">
        <x:v>731</x:v>
      </x:c>
      <x:c r="G2056" s="11" t="n">
        <x:v>0</x:v>
      </x:c>
      <x:c r="H2056" s="11" t="n">
        <x:v>0</x:v>
      </x:c>
      <x:c r="I2056" s="11" t="n">
        <x:v>0</x:v>
      </x:c>
      <x:c r="J2056" s="11" t="n">
        <x:v>0</x:v>
      </x:c>
      <x:c r="K2056" s="11" t="n">
        <x:v>0</x:v>
      </x:c>
      <x:c r="L2056" s="11" t="n">
        <x:f>IF(B2056="NED",1,IF(OR(B2056="ED",B2056="UN"),0,""))</x:f>
        <x:v>0</x:v>
      </x:c>
      <x:c r="M2056" s="11" t="n">
        <x:f>IF(AND(K2056=1,OR(B2056="ED",B2056="NED")),1,0)</x:f>
        <x:v>0</x:v>
      </x:c>
      <x:c r="N2056" s="11" t="n">
        <x:f>IF(K2056=1,1,0)</x:f>
        <x:v>0</x:v>
      </x:c>
      <x:c r="O2056" s="12" t="str">
        <x:v>Retain protein mean pLDDT &gt;=70</x:v>
      </x:c>
      <x:c r="P2056" s="11" t="n">
        <x:v>0</x:v>
      </x:c>
      <x:c r="Q2056" s="12" t="str">
        <x:v>AF-Q8C156-F1-model_v6</x:v>
      </x:c>
      <x:c r="R2056" s="12" t="str">
        <x:v>ok</x:v>
      </x:c>
      <x:c r="S2056" s="11" t="n">
        <x:v>1576</x:v>
      </x:c>
      <x:c r="T2056" s="11" t="n">
        <x:v>731</x:v>
      </x:c>
    </x:row>
    <x:row r="2057" ht="23" customHeight="1">
      <x:c r="A2057" s="2" t="str">
        <x:v>Q8C166</x:v>
      </x:c>
      <x:c r="B2057" s="2" t="str">
        <x:v>ED</x:v>
      </x:c>
      <x:c r="C2057" s="2" t="n">
        <x:v>1</x:v>
      </x:c>
      <x:c r="D2057" s="2" t="n">
        <x:v>1</x:v>
      </x:c>
      <x:c r="E2057" s="10"/>
      <x:c r="F2057" s="11" t="n">
        <x:v>536</x:v>
      </x:c>
      <x:c r="G2057" s="11" t="n">
        <x:v>0</x:v>
      </x:c>
      <x:c r="H2057" s="11" t="n">
        <x:v>0</x:v>
      </x:c>
      <x:c r="I2057" s="11" t="n">
        <x:v>1</x:v>
      </x:c>
      <x:c r="J2057" s="11" t="n">
        <x:v>0</x:v>
      </x:c>
      <x:c r="K2057" s="11" t="n">
        <x:v>0</x:v>
      </x:c>
      <x:c r="L2057" s="11" t="n">
        <x:f>IF(B2057="NED",1,IF(OR(B2057="ED",B2057="UN"),0,""))</x:f>
        <x:v>0</x:v>
      </x:c>
      <x:c r="M2057" s="11" t="n">
        <x:f>IF(AND(K2057=1,OR(B2057="ED",B2057="NED")),1,0)</x:f>
        <x:v>0</x:v>
      </x:c>
      <x:c r="N2057" s="11" t="n">
        <x:f>IF(K2057=1,1,0)</x:f>
        <x:v>0</x:v>
      </x:c>
      <x:c r="O2057" s="12" t="str">
        <x:v>Exclude UniProt Membrane keyword</x:v>
      </x:c>
      <x:c r="P2057" s="11" t="n">
        <x:v>0</x:v>
      </x:c>
      <x:c r="Q2057" s="12" t="str">
        <x:v>AF-Q8C166-F1-model_v6</x:v>
      </x:c>
      <x:c r="R2057" s="12" t="str">
        <x:v>ok</x:v>
      </x:c>
      <x:c r="S2057" s="11" t="n">
        <x:v>1577</x:v>
      </x:c>
      <x:c r="T2057" s="11" t="n">
        <x:v>536</x:v>
      </x:c>
    </x:row>
    <x:row r="2058" ht="23" customHeight="1">
      <x:c r="A2058" s="2" t="str">
        <x:v>Q8C167-2</x:v>
      </x:c>
      <x:c r="B2058" s="2" t="str">
        <x:v>UN</x:v>
      </x:c>
      <x:c r="C2058" s="2"/>
      <x:c r="D2058" s="2"/>
      <x:c r="E2058" s="10"/>
      <x:c r="F2058" s="11"/>
      <x:c r="G2058" s="11" t="n">
        <x:v>0</x:v>
      </x:c>
      <x:c r="H2058" s="11" t="n">
        <x:v>0</x:v>
      </x:c>
      <x:c r="I2058" s="11"/>
      <x:c r="J2058" s="11"/>
      <x:c r="K2058" s="11" t="n">
        <x:v>0</x:v>
      </x:c>
      <x:c r="L2058" s="11" t="n">
        <x:f>IF(B2058="NED",1,IF(OR(B2058="ED",B2058="UN"),0,""))</x:f>
        <x:v>0</x:v>
      </x:c>
      <x:c r="M2058" s="11" t="n">
        <x:f>IF(AND(K2058=1,OR(B2058="ED",B2058="NED")),1,0)</x:f>
        <x:v>0</x:v>
      </x:c>
      <x:c r="N2058" s="11" t="n">
        <x:f>IF(K2058=1,1,0)</x:f>
        <x:v>0</x:v>
      </x:c>
      <x:c r="O2058" s="12" t="str">
        <x:v>Require exact native accession match</x:v>
      </x:c>
      <x:c r="P2058" s="11" t="n">
        <x:v>0</x:v>
      </x:c>
      <x:c r="Q2058" s="12"/>
      <x:c r="R2058" s="12"/>
      <x:c r="S2058" s="11" t="n">
        <x:v>1578</x:v>
      </x:c>
      <x:c r="T2058" s="11"/>
    </x:row>
    <x:row r="2059" ht="23" customHeight="1">
      <x:c r="A2059" s="2" t="str">
        <x:v>Q8C1A5</x:v>
      </x:c>
      <x:c r="B2059" s="2" t="str">
        <x:v>ED</x:v>
      </x:c>
      <x:c r="C2059" s="2" t="n">
        <x:v>1</x:v>
      </x:c>
      <x:c r="D2059" s="2" t="n">
        <x:v>1</x:v>
      </x:c>
      <x:c r="E2059" s="10" t="n">
        <x:v>93.81443959243086</x:v>
      </x:c>
      <x:c r="F2059" s="11" t="n">
        <x:v>687</x:v>
      </x:c>
      <x:c r="G2059" s="11" t="n">
        <x:v>0</x:v>
      </x:c>
      <x:c r="H2059" s="11" t="n">
        <x:v>0</x:v>
      </x:c>
      <x:c r="I2059" s="11" t="n">
        <x:v>0</x:v>
      </x:c>
      <x:c r="J2059" s="11" t="n">
        <x:v>0</x:v>
      </x:c>
      <x:c r="K2059" s="11" t="n">
        <x:v>1</x:v>
      </x:c>
      <x:c r="L2059" s="11" t="n">
        <x:f>IF(B2059="NED",1,IF(OR(B2059="ED",B2059="UN"),0,""))</x:f>
        <x:v>0</x:v>
      </x:c>
      <x:c r="M2059" s="11" t="n">
        <x:f>IF(AND(K2059=1,OR(B2059="ED",B2059="NED")),1,0)</x:f>
        <x:v>1</x:v>
      </x:c>
      <x:c r="N2059" s="11" t="n">
        <x:f>IF(K2059=1,1,0)</x:f>
        <x:v>1</x:v>
      </x:c>
      <x:c r="O2059" s="12"/>
      <x:c r="P2059" s="11" t="n">
        <x:v>0</x:v>
      </x:c>
      <x:c r="Q2059" s="12" t="str">
        <x:v>AF-Q8C1A5-F1-model_v6</x:v>
      </x:c>
      <x:c r="R2059" s="12" t="str">
        <x:v>ok</x:v>
      </x:c>
      <x:c r="S2059" s="11" t="n">
        <x:v>1579</x:v>
      </x:c>
      <x:c r="T2059" s="11" t="n">
        <x:v>687</x:v>
      </x:c>
    </x:row>
    <x:row r="2060" ht="23" customHeight="1">
      <x:c r="A2060" s="2" t="str">
        <x:v>Q8C1B1</x:v>
      </x:c>
      <x:c r="B2060" s="2" t="str">
        <x:v>ED</x:v>
      </x:c>
      <x:c r="C2060" s="2" t="n">
        <x:v>1</x:v>
      </x:c>
      <x:c r="D2060" s="2" t="n">
        <x:v>1</x:v>
      </x:c>
      <x:c r="E2060" s="10" t="n">
        <x:v>57.11410677618071</x:v>
      </x:c>
      <x:c r="F2060" s="11" t="n">
        <x:v>1461</x:v>
      </x:c>
      <x:c r="G2060" s="11" t="n">
        <x:v>0</x:v>
      </x:c>
      <x:c r="H2060" s="11" t="n">
        <x:v>0</x:v>
      </x:c>
      <x:c r="I2060" s="11" t="n">
        <x:v>0</x:v>
      </x:c>
      <x:c r="J2060" s="11" t="n">
        <x:v>0</x:v>
      </x:c>
      <x:c r="K2060" s="11" t="n">
        <x:v>0</x:v>
      </x:c>
      <x:c r="L2060" s="11" t="n">
        <x:f>IF(B2060="NED",1,IF(OR(B2060="ED",B2060="UN"),0,""))</x:f>
        <x:v>0</x:v>
      </x:c>
      <x:c r="M2060" s="11" t="n">
        <x:f>IF(AND(K2060=1,OR(B2060="ED",B2060="NED")),1,0)</x:f>
        <x:v>0</x:v>
      </x:c>
      <x:c r="N2060" s="11" t="n">
        <x:f>IF(K2060=1,1,0)</x:f>
        <x:v>0</x:v>
      </x:c>
      <x:c r="O2060" s="12" t="str">
        <x:v>Retain protein mean pLDDT &gt;=70</x:v>
      </x:c>
      <x:c r="P2060" s="11" t="n">
        <x:v>0</x:v>
      </x:c>
      <x:c r="Q2060" s="12" t="str">
        <x:v>AF-Q8C1B1-F1-model_v6</x:v>
      </x:c>
      <x:c r="R2060" s="12" t="str">
        <x:v>ok</x:v>
      </x:c>
      <x:c r="S2060" s="11" t="n">
        <x:v>1580</x:v>
      </x:c>
      <x:c r="T2060" s="11" t="n">
        <x:v>1461</x:v>
      </x:c>
    </x:row>
    <x:row r="2061" ht="23" customHeight="1">
      <x:c r="A2061" s="2" t="str">
        <x:v>Q8C1B7-3</x:v>
      </x:c>
      <x:c r="B2061" s="2" t="str">
        <x:v>UN</x:v>
      </x:c>
      <x:c r="C2061" s="2"/>
      <x:c r="D2061" s="2"/>
      <x:c r="E2061" s="10"/>
      <x:c r="F2061" s="11"/>
      <x:c r="G2061" s="11" t="n">
        <x:v>0</x:v>
      </x:c>
      <x:c r="H2061" s="11" t="n">
        <x:v>0</x:v>
      </x:c>
      <x:c r="I2061" s="11"/>
      <x:c r="J2061" s="11"/>
      <x:c r="K2061" s="11" t="n">
        <x:v>0</x:v>
      </x:c>
      <x:c r="L2061" s="11" t="n">
        <x:f>IF(B2061="NED",1,IF(OR(B2061="ED",B2061="UN"),0,""))</x:f>
        <x:v>0</x:v>
      </x:c>
      <x:c r="M2061" s="11" t="n">
        <x:f>IF(AND(K2061=1,OR(B2061="ED",B2061="NED")),1,0)</x:f>
        <x:v>0</x:v>
      </x:c>
      <x:c r="N2061" s="11" t="n">
        <x:f>IF(K2061=1,1,0)</x:f>
        <x:v>0</x:v>
      </x:c>
      <x:c r="O2061" s="12" t="str">
        <x:v>Require exact native accession match</x:v>
      </x:c>
      <x:c r="P2061" s="11" t="n">
        <x:v>0</x:v>
      </x:c>
      <x:c r="Q2061" s="12"/>
      <x:c r="R2061" s="12"/>
      <x:c r="S2061" s="11" t="n">
        <x:v>1581</x:v>
      </x:c>
      <x:c r="T2061" s="11"/>
    </x:row>
    <x:row r="2062" ht="23" customHeight="1">
      <x:c r="A2062" s="2" t="str">
        <x:v>Q8C1Y8</x:v>
      </x:c>
      <x:c r="B2062" s="2" t="str">
        <x:v>ED</x:v>
      </x:c>
      <x:c r="C2062" s="2" t="n">
        <x:v>1</x:v>
      </x:c>
      <x:c r="D2062" s="2" t="n">
        <x:v>1</x:v>
      </x:c>
      <x:c r="E2062" s="10"/>
      <x:c r="F2062" s="11" t="n">
        <x:v>480</x:v>
      </x:c>
      <x:c r="G2062" s="11" t="n">
        <x:v>0</x:v>
      </x:c>
      <x:c r="H2062" s="11" t="n">
        <x:v>0</x:v>
      </x:c>
      <x:c r="I2062" s="11" t="n">
        <x:v>1</x:v>
      </x:c>
      <x:c r="J2062" s="11" t="n">
        <x:v>0</x:v>
      </x:c>
      <x:c r="K2062" s="11" t="n">
        <x:v>0</x:v>
      </x:c>
      <x:c r="L2062" s="11" t="n">
        <x:f>IF(B2062="NED",1,IF(OR(B2062="ED",B2062="UN"),0,""))</x:f>
        <x:v>0</x:v>
      </x:c>
      <x:c r="M2062" s="11" t="n">
        <x:f>IF(AND(K2062=1,OR(B2062="ED",B2062="NED")),1,0)</x:f>
        <x:v>0</x:v>
      </x:c>
      <x:c r="N2062" s="11" t="n">
        <x:f>IF(K2062=1,1,0)</x:f>
        <x:v>0</x:v>
      </x:c>
      <x:c r="O2062" s="12" t="str">
        <x:v>Exclude UniProt Membrane keyword</x:v>
      </x:c>
      <x:c r="P2062" s="11" t="n">
        <x:v>0</x:v>
      </x:c>
      <x:c r="Q2062" s="12" t="str">
        <x:v>AF-Q8C1Y8-F1-model_v6</x:v>
      </x:c>
      <x:c r="R2062" s="12" t="str">
        <x:v>ok</x:v>
      </x:c>
      <x:c r="S2062" s="11" t="n">
        <x:v>1582</x:v>
      </x:c>
      <x:c r="T2062" s="11" t="n">
        <x:v>480</x:v>
      </x:c>
    </x:row>
    <x:row r="2063" ht="23" customHeight="1">
      <x:c r="A2063" s="2" t="str">
        <x:v>Q8C253</x:v>
      </x:c>
      <x:c r="B2063" s="2" t="str">
        <x:v>ED</x:v>
      </x:c>
      <x:c r="C2063" s="2"/>
      <x:c r="D2063" s="2"/>
      <x:c r="E2063" s="10"/>
      <x:c r="F2063" s="11"/>
      <x:c r="G2063" s="11" t="n">
        <x:v>0</x:v>
      </x:c>
      <x:c r="H2063" s="11" t="n">
        <x:v>0</x:v>
      </x:c>
      <x:c r="I2063" s="11" t="n">
        <x:v>0</x:v>
      </x:c>
      <x:c r="J2063" s="11" t="n">
        <x:v>1</x:v>
      </x:c>
      <x:c r="K2063" s="11" t="n">
        <x:v>0</x:v>
      </x:c>
      <x:c r="L2063" s="11" t="n">
        <x:f>IF(B2063="NED",1,IF(OR(B2063="ED",B2063="UN"),0,""))</x:f>
        <x:v>0</x:v>
      </x:c>
      <x:c r="M2063" s="11" t="n">
        <x:f>IF(AND(K2063=1,OR(B2063="ED",B2063="NED")),1,0)</x:f>
        <x:v>0</x:v>
      </x:c>
      <x:c r="N2063" s="11" t="n">
        <x:f>IF(K2063=1,1,0)</x:f>
        <x:v>0</x:v>
      </x:c>
      <x:c r="O2063" s="12" t="str">
        <x:v>Require exact native accession match</x:v>
      </x:c>
      <x:c r="P2063" s="11" t="n">
        <x:v>0</x:v>
      </x:c>
      <x:c r="Q2063" s="12"/>
      <x:c r="R2063" s="12"/>
      <x:c r="S2063" s="11" t="n">
        <x:v>3223</x:v>
      </x:c>
      <x:c r="T2063" s="11" t="n">
        <x:v>264</x:v>
      </x:c>
    </x:row>
    <x:row r="2064" ht="23" customHeight="1">
      <x:c r="A2064" s="2" t="str">
        <x:v>Q8C263</x:v>
      </x:c>
      <x:c r="B2064" s="2" t="str">
        <x:v>ED</x:v>
      </x:c>
      <x:c r="C2064" s="2" t="n">
        <x:v>0</x:v>
      </x:c>
      <x:c r="D2064" s="2" t="n">
        <x:v>0</x:v>
      </x:c>
      <x:c r="E2064" s="10" t="n">
        <x:v>62.90226277372263</x:v>
      </x:c>
      <x:c r="F2064" s="11" t="n">
        <x:v>411</x:v>
      </x:c>
      <x:c r="G2064" s="11" t="n">
        <x:v>0</x:v>
      </x:c>
      <x:c r="H2064" s="11" t="n">
        <x:v>0</x:v>
      </x:c>
      <x:c r="I2064" s="11" t="n">
        <x:v>0</x:v>
      </x:c>
      <x:c r="J2064" s="11" t="n">
        <x:v>0</x:v>
      </x:c>
      <x:c r="K2064" s="11" t="n">
        <x:v>0</x:v>
      </x:c>
      <x:c r="L2064" s="11" t="n">
        <x:f>IF(B2064="NED",1,IF(OR(B2064="ED",B2064="UN"),0,""))</x:f>
        <x:v>0</x:v>
      </x:c>
      <x:c r="M2064" s="11" t="n">
        <x:f>IF(AND(K2064=1,OR(B2064="ED",B2064="NED")),1,0)</x:f>
        <x:v>0</x:v>
      </x:c>
      <x:c r="N2064" s="11" t="n">
        <x:f>IF(K2064=1,1,0)</x:f>
        <x:v>0</x:v>
      </x:c>
      <x:c r="O2064" s="12" t="str">
        <x:v>Retain protein mean pLDDT &gt;=70</x:v>
      </x:c>
      <x:c r="P2064" s="11" t="n">
        <x:v>0</x:v>
      </x:c>
      <x:c r="Q2064" s="12" t="str">
        <x:v>AF-Q8C263-F1-model_v6</x:v>
      </x:c>
      <x:c r="R2064" s="12" t="str">
        <x:v>ok</x:v>
      </x:c>
      <x:c r="S2064" s="11" t="n">
        <x:v>1583</x:v>
      </x:c>
      <x:c r="T2064" s="11" t="n">
        <x:v>411</x:v>
      </x:c>
    </x:row>
    <x:row r="2065" ht="23" customHeight="1">
      <x:c r="A2065" s="2" t="str">
        <x:v>Q8C2E4</x:v>
      </x:c>
      <x:c r="B2065" s="2" t="str">
        <x:v>UN</x:v>
      </x:c>
      <x:c r="C2065" s="2" t="n">
        <x:v>1</x:v>
      </x:c>
      <x:c r="D2065" s="2"/>
      <x:c r="E2065" s="10" t="n">
        <x:v>68.58736690647483</x:v>
      </x:c>
      <x:c r="F2065" s="11" t="n">
        <x:v>695</x:v>
      </x:c>
      <x:c r="G2065" s="11" t="n">
        <x:v>0</x:v>
      </x:c>
      <x:c r="H2065" s="11" t="n">
        <x:v>0</x:v>
      </x:c>
      <x:c r="I2065" s="11" t="n">
        <x:v>0</x:v>
      </x:c>
      <x:c r="J2065" s="11" t="n">
        <x:v>0</x:v>
      </x:c>
      <x:c r="K2065" s="11" t="n">
        <x:v>0</x:v>
      </x:c>
      <x:c r="L2065" s="11" t="n">
        <x:f>IF(B2065="NED",1,IF(OR(B2065="ED",B2065="UN"),0,""))</x:f>
        <x:v>0</x:v>
      </x:c>
      <x:c r="M2065" s="11" t="n">
        <x:f>IF(AND(K2065=1,OR(B2065="ED",B2065="NED")),1,0)</x:f>
        <x:v>0</x:v>
      </x:c>
      <x:c r="N2065" s="11" t="n">
        <x:f>IF(K2065=1,1,0)</x:f>
        <x:v>0</x:v>
      </x:c>
      <x:c r="O2065" s="12" t="str">
        <x:v>Retain protein mean pLDDT &gt;=70</x:v>
      </x:c>
      <x:c r="P2065" s="11" t="n">
        <x:v>0</x:v>
      </x:c>
      <x:c r="Q2065" s="12" t="str">
        <x:v>AF-Q8C2E4-F1-model_v6</x:v>
      </x:c>
      <x:c r="R2065" s="12" t="str">
        <x:v>ok</x:v>
      </x:c>
      <x:c r="S2065" s="11" t="n">
        <x:v>1584</x:v>
      </x:c>
      <x:c r="T2065" s="11" t="n">
        <x:v>695</x:v>
      </x:c>
    </x:row>
    <x:row r="2066" ht="23" customHeight="1">
      <x:c r="A2066" s="2" t="str">
        <x:v>Q8C2E7</x:v>
      </x:c>
      <x:c r="B2066" s="2" t="str">
        <x:v>UN</x:v>
      </x:c>
      <x:c r="C2066" s="2" t="n">
        <x:v>1</x:v>
      </x:c>
      <x:c r="D2066" s="2" t="n">
        <x:v>1</x:v>
      </x:c>
      <x:c r="E2066" s="10" t="n">
        <x:v>89.76421915444348</x:v>
      </x:c>
      <x:c r="F2066" s="11" t="n">
        <x:v>1159</x:v>
      </x:c>
      <x:c r="G2066" s="11" t="n">
        <x:v>0</x:v>
      </x:c>
      <x:c r="H2066" s="11" t="n">
        <x:v>0</x:v>
      </x:c>
      <x:c r="I2066" s="11" t="n">
        <x:v>0</x:v>
      </x:c>
      <x:c r="J2066" s="11" t="n">
        <x:v>0</x:v>
      </x:c>
      <x:c r="K2066" s="11" t="n">
        <x:v>1</x:v>
      </x:c>
      <x:c r="L2066" s="11" t="n">
        <x:f>IF(B2066="NED",1,IF(OR(B2066="ED",B2066="UN"),0,""))</x:f>
        <x:v>0</x:v>
      </x:c>
      <x:c r="M2066" s="11" t="n">
        <x:f>IF(AND(K2066=1,OR(B2066="ED",B2066="NED")),1,0)</x:f>
        <x:v>0</x:v>
      </x:c>
      <x:c r="N2066" s="11" t="n">
        <x:f>IF(K2066=1,1,0)</x:f>
        <x:v>1</x:v>
      </x:c>
      <x:c r="O2066" s="12"/>
      <x:c r="P2066" s="11" t="n">
        <x:v>0</x:v>
      </x:c>
      <x:c r="Q2066" s="12" t="str">
        <x:v>AF-Q8C2E7-F1-model_v6</x:v>
      </x:c>
      <x:c r="R2066" s="12" t="str">
        <x:v>ok</x:v>
      </x:c>
      <x:c r="S2066" s="11" t="n">
        <x:v>1585</x:v>
      </x:c>
      <x:c r="T2066" s="11" t="n">
        <x:v>1159</x:v>
      </x:c>
    </x:row>
    <x:row r="2067" ht="23" customHeight="1">
      <x:c r="A2067" s="2" t="str">
        <x:v>Q8C2Q3</x:v>
      </x:c>
      <x:c r="B2067" s="2" t="str">
        <x:v>ED</x:v>
      </x:c>
      <x:c r="C2067" s="2" t="n">
        <x:v>1</x:v>
      </x:c>
      <x:c r="D2067" s="2" t="n">
        <x:v>1</x:v>
      </x:c>
      <x:c r="E2067" s="10" t="n">
        <x:v>50.188430493273536</x:v>
      </x:c>
      <x:c r="F2067" s="11" t="n">
        <x:v>669</x:v>
      </x:c>
      <x:c r="G2067" s="11" t="n">
        <x:v>0</x:v>
      </x:c>
      <x:c r="H2067" s="11" t="n">
        <x:v>0</x:v>
      </x:c>
      <x:c r="I2067" s="11" t="n">
        <x:v>0</x:v>
      </x:c>
      <x:c r="J2067" s="11" t="n">
        <x:v>0</x:v>
      </x:c>
      <x:c r="K2067" s="11" t="n">
        <x:v>0</x:v>
      </x:c>
      <x:c r="L2067" s="11" t="n">
        <x:f>IF(B2067="NED",1,IF(OR(B2067="ED",B2067="UN"),0,""))</x:f>
        <x:v>0</x:v>
      </x:c>
      <x:c r="M2067" s="11" t="n">
        <x:f>IF(AND(K2067=1,OR(B2067="ED",B2067="NED")),1,0)</x:f>
        <x:v>0</x:v>
      </x:c>
      <x:c r="N2067" s="11" t="n">
        <x:f>IF(K2067=1,1,0)</x:f>
        <x:v>0</x:v>
      </x:c>
      <x:c r="O2067" s="12" t="str">
        <x:v>Retain protein mean pLDDT &gt;=70</x:v>
      </x:c>
      <x:c r="P2067" s="11" t="n">
        <x:v>0</x:v>
      </x:c>
      <x:c r="Q2067" s="12" t="str">
        <x:v>AF-Q8C2Q3-F1-model_v6</x:v>
      </x:c>
      <x:c r="R2067" s="12" t="str">
        <x:v>ok</x:v>
      </x:c>
      <x:c r="S2067" s="11" t="n">
        <x:v>1586</x:v>
      </x:c>
      <x:c r="T2067" s="11" t="n">
        <x:v>669</x:v>
      </x:c>
    </x:row>
    <x:row r="2068" ht="23" customHeight="1">
      <x:c r="A2068" s="2" t="str">
        <x:v>Q8C2Q8</x:v>
      </x:c>
      <x:c r="B2068" s="2" t="str">
        <x:v>UN</x:v>
      </x:c>
      <x:c r="C2068" s="2"/>
      <x:c r="D2068" s="2"/>
      <x:c r="E2068" s="10"/>
      <x:c r="F2068" s="11"/>
      <x:c r="G2068" s="11" t="n">
        <x:v>0</x:v>
      </x:c>
      <x:c r="H2068" s="11" t="n">
        <x:v>0</x:v>
      </x:c>
      <x:c r="I2068" s="11" t="n">
        <x:v>1</x:v>
      </x:c>
      <x:c r="J2068" s="11" t="n">
        <x:v>0</x:v>
      </x:c>
      <x:c r="K2068" s="11" t="n">
        <x:v>0</x:v>
      </x:c>
      <x:c r="L2068" s="11" t="n">
        <x:f>IF(B2068="NED",1,IF(OR(B2068="ED",B2068="UN"),0,""))</x:f>
        <x:v>0</x:v>
      </x:c>
      <x:c r="M2068" s="11" t="n">
        <x:f>IF(AND(K2068=1,OR(B2068="ED",B2068="NED")),1,0)</x:f>
        <x:v>0</x:v>
      </x:c>
      <x:c r="N2068" s="11" t="n">
        <x:f>IF(K2068=1,1,0)</x:f>
        <x:v>0</x:v>
      </x:c>
      <x:c r="O2068" s="12" t="str">
        <x:v>Require exact native accession match</x:v>
      </x:c>
      <x:c r="P2068" s="11" t="n">
        <x:v>0</x:v>
      </x:c>
      <x:c r="Q2068" s="12"/>
      <x:c r="R2068" s="12"/>
      <x:c r="S2068" s="11" t="n">
        <x:v>3224</x:v>
      </x:c>
      <x:c r="T2068" s="11" t="n">
        <x:v>274</x:v>
      </x:c>
    </x:row>
    <x:row r="2069" ht="23" customHeight="1">
      <x:c r="A2069" s="2" t="str">
        <x:v>Q8C3I8</x:v>
      </x:c>
      <x:c r="B2069" s="2" t="str">
        <x:v>ED</x:v>
      </x:c>
      <x:c r="C2069" s="2" t="n">
        <x:v>1</x:v>
      </x:c>
      <x:c r="D2069" s="2" t="n">
        <x:v>1</x:v>
      </x:c>
      <x:c r="E2069" s="10" t="n">
        <x:v>90.4802290076336</x:v>
      </x:c>
      <x:c r="F2069" s="11" t="n">
        <x:v>393</x:v>
      </x:c>
      <x:c r="G2069" s="11" t="n">
        <x:v>0</x:v>
      </x:c>
      <x:c r="H2069" s="11" t="n">
        <x:v>0</x:v>
      </x:c>
      <x:c r="I2069" s="11" t="n">
        <x:v>0</x:v>
      </x:c>
      <x:c r="J2069" s="11" t="n">
        <x:v>0</x:v>
      </x:c>
      <x:c r="K2069" s="11" t="n">
        <x:v>1</x:v>
      </x:c>
      <x:c r="L2069" s="11" t="n">
        <x:f>IF(B2069="NED",1,IF(OR(B2069="ED",B2069="UN"),0,""))</x:f>
        <x:v>0</x:v>
      </x:c>
      <x:c r="M2069" s="11" t="n">
        <x:f>IF(AND(K2069=1,OR(B2069="ED",B2069="NED")),1,0)</x:f>
        <x:v>1</x:v>
      </x:c>
      <x:c r="N2069" s="11" t="n">
        <x:f>IF(K2069=1,1,0)</x:f>
        <x:v>1</x:v>
      </x:c>
      <x:c r="O2069" s="12"/>
      <x:c r="P2069" s="11" t="n">
        <x:v>0</x:v>
      </x:c>
      <x:c r="Q2069" s="12" t="str">
        <x:v>AF-Q8C3I8-F1-model_v6</x:v>
      </x:c>
      <x:c r="R2069" s="12" t="str">
        <x:v>ok</x:v>
      </x:c>
      <x:c r="S2069" s="11" t="n">
        <x:v>1587</x:v>
      </x:c>
      <x:c r="T2069" s="11" t="n">
        <x:v>393</x:v>
      </x:c>
    </x:row>
    <x:row r="2070" ht="23" customHeight="1">
      <x:c r="A2070" s="2" t="str">
        <x:v>Q8C3R1</x:v>
      </x:c>
      <x:c r="B2070" s="2" t="str">
        <x:v>UN</x:v>
      </x:c>
      <x:c r="C2070" s="2" t="n">
        <x:v>1</x:v>
      </x:c>
      <x:c r="D2070" s="2" t="n">
        <x:v>1</x:v>
      </x:c>
      <x:c r="E2070" s="10" t="n">
        <x:v>84.72979318734794</x:v>
      </x:c>
      <x:c r="F2070" s="11" t="n">
        <x:v>822</x:v>
      </x:c>
      <x:c r="G2070" s="11" t="n">
        <x:v>0</x:v>
      </x:c>
      <x:c r="H2070" s="11" t="n">
        <x:v>0</x:v>
      </x:c>
      <x:c r="I2070" s="11" t="n">
        <x:v>0</x:v>
      </x:c>
      <x:c r="J2070" s="11" t="n">
        <x:v>0</x:v>
      </x:c>
      <x:c r="K2070" s="11" t="n">
        <x:v>1</x:v>
      </x:c>
      <x:c r="L2070" s="11" t="n">
        <x:f>IF(B2070="NED",1,IF(OR(B2070="ED",B2070="UN"),0,""))</x:f>
        <x:v>0</x:v>
      </x:c>
      <x:c r="M2070" s="11" t="n">
        <x:f>IF(AND(K2070=1,OR(B2070="ED",B2070="NED")),1,0)</x:f>
        <x:v>0</x:v>
      </x:c>
      <x:c r="N2070" s="11" t="n">
        <x:f>IF(K2070=1,1,0)</x:f>
        <x:v>1</x:v>
      </x:c>
      <x:c r="O2070" s="12"/>
      <x:c r="P2070" s="11" t="n">
        <x:v>0</x:v>
      </x:c>
      <x:c r="Q2070" s="12" t="str">
        <x:v>AF-Q8C3R1-F1-model_v6</x:v>
      </x:c>
      <x:c r="R2070" s="12" t="str">
        <x:v>ok</x:v>
      </x:c>
      <x:c r="S2070" s="11" t="n">
        <x:v>1588</x:v>
      </x:c>
      <x:c r="T2070" s="11" t="n">
        <x:v>822</x:v>
      </x:c>
    </x:row>
    <x:row r="2071" ht="23" customHeight="1">
      <x:c r="A2071" s="2" t="str">
        <x:v>Q8C3V4</x:v>
      </x:c>
      <x:c r="B2071" s="2" t="str">
        <x:v>ED</x:v>
      </x:c>
      <x:c r="C2071" s="2"/>
      <x:c r="D2071" s="2"/>
      <x:c r="E2071" s="10"/>
      <x:c r="F2071" s="11"/>
      <x:c r="G2071" s="11" t="n">
        <x:v>0</x:v>
      </x:c>
      <x:c r="H2071" s="11" t="n">
        <x:v>0</x:v>
      </x:c>
      <x:c r="I2071" s="11" t="n">
        <x:v>0</x:v>
      </x:c>
      <x:c r="J2071" s="11" t="n">
        <x:v>0</x:v>
      </x:c>
      <x:c r="K2071" s="11" t="n">
        <x:v>0</x:v>
      </x:c>
      <x:c r="L2071" s="11" t="n">
        <x:f>IF(B2071="NED",1,IF(OR(B2071="ED",B2071="UN"),0,""))</x:f>
        <x:v>0</x:v>
      </x:c>
      <x:c r="M2071" s="11" t="n">
        <x:f>IF(AND(K2071=1,OR(B2071="ED",B2071="NED")),1,0)</x:f>
        <x:v>0</x:v>
      </x:c>
      <x:c r="N2071" s="11" t="n">
        <x:f>IF(K2071=1,1,0)</x:f>
        <x:v>0</x:v>
      </x:c>
      <x:c r="O2071" s="12" t="str">
        <x:v>Require exact native accession match</x:v>
      </x:c>
      <x:c r="P2071" s="11" t="n">
        <x:v>0</x:v>
      </x:c>
      <x:c r="Q2071" s="12"/>
      <x:c r="R2071" s="12"/>
      <x:c r="S2071" s="11" t="n">
        <x:v>3225</x:v>
      </x:c>
      <x:c r="T2071" s="11" t="n">
        <x:v>749</x:v>
      </x:c>
    </x:row>
    <x:row r="2072" ht="23" customHeight="1">
      <x:c r="A2072" s="2" t="str">
        <x:v>Q8C3X2</x:v>
      </x:c>
      <x:c r="B2072" s="2" t="str">
        <x:v>UN</x:v>
      </x:c>
      <x:c r="C2072" s="2" t="n">
        <x:v>0</x:v>
      </x:c>
      <x:c r="D2072" s="2" t="n">
        <x:v>0</x:v>
      </x:c>
      <x:c r="E2072" s="10"/>
      <x:c r="F2072" s="11" t="n">
        <x:v>256</x:v>
      </x:c>
      <x:c r="G2072" s="11" t="n">
        <x:v>0</x:v>
      </x:c>
      <x:c r="H2072" s="11" t="n">
        <x:v>0</x:v>
      </x:c>
      <x:c r="I2072" s="11" t="n">
        <x:v>1</x:v>
      </x:c>
      <x:c r="J2072" s="11" t="n">
        <x:v>0</x:v>
      </x:c>
      <x:c r="K2072" s="11" t="n">
        <x:v>0</x:v>
      </x:c>
      <x:c r="L2072" s="11" t="n">
        <x:f>IF(B2072="NED",1,IF(OR(B2072="ED",B2072="UN"),0,""))</x:f>
        <x:v>0</x:v>
      </x:c>
      <x:c r="M2072" s="11" t="n">
        <x:f>IF(AND(K2072=1,OR(B2072="ED",B2072="NED")),1,0)</x:f>
        <x:v>0</x:v>
      </x:c>
      <x:c r="N2072" s="11" t="n">
        <x:f>IF(K2072=1,1,0)</x:f>
        <x:v>0</x:v>
      </x:c>
      <x:c r="O2072" s="12" t="str">
        <x:v>Exclude UniProt Membrane keyword</x:v>
      </x:c>
      <x:c r="P2072" s="11" t="n">
        <x:v>0</x:v>
      </x:c>
      <x:c r="Q2072" s="12" t="str">
        <x:v>AF-Q8C3X2-F1-model_v6</x:v>
      </x:c>
      <x:c r="R2072" s="12" t="str">
        <x:v>ok</x:v>
      </x:c>
      <x:c r="S2072" s="11" t="n">
        <x:v>1589</x:v>
      </x:c>
      <x:c r="T2072" s="11" t="n">
        <x:v>256</x:v>
      </x:c>
    </x:row>
    <x:row r="2073" ht="23" customHeight="1">
      <x:c r="A2073" s="2" t="str">
        <x:v>Q8C3X8</x:v>
      </x:c>
      <x:c r="B2073" s="2" t="str">
        <x:v>ED</x:v>
      </x:c>
      <x:c r="C2073" s="2" t="n">
        <x:v>1</x:v>
      </x:c>
      <x:c r="D2073" s="2" t="n">
        <x:v>1</x:v>
      </x:c>
      <x:c r="E2073" s="10"/>
      <x:c r="F2073" s="11" t="n">
        <x:v>702</x:v>
      </x:c>
      <x:c r="G2073" s="11" t="n">
        <x:v>0</x:v>
      </x:c>
      <x:c r="H2073" s="11" t="n">
        <x:v>0</x:v>
      </x:c>
      <x:c r="I2073" s="11" t="n">
        <x:v>1</x:v>
      </x:c>
      <x:c r="J2073" s="11" t="n">
        <x:v>0</x:v>
      </x:c>
      <x:c r="K2073" s="11" t="n">
        <x:v>0</x:v>
      </x:c>
      <x:c r="L2073" s="11" t="n">
        <x:f>IF(B2073="NED",1,IF(OR(B2073="ED",B2073="UN"),0,""))</x:f>
        <x:v>0</x:v>
      </x:c>
      <x:c r="M2073" s="11" t="n">
        <x:f>IF(AND(K2073=1,OR(B2073="ED",B2073="NED")),1,0)</x:f>
        <x:v>0</x:v>
      </x:c>
      <x:c r="N2073" s="11" t="n">
        <x:f>IF(K2073=1,1,0)</x:f>
        <x:v>0</x:v>
      </x:c>
      <x:c r="O2073" s="12" t="str">
        <x:v>Exclude UniProt Membrane keyword</x:v>
      </x:c>
      <x:c r="P2073" s="11" t="n">
        <x:v>0</x:v>
      </x:c>
      <x:c r="Q2073" s="12" t="str">
        <x:v>AF-Q8C3X8-F1-model_v6</x:v>
      </x:c>
      <x:c r="R2073" s="12" t="str">
        <x:v>ok</x:v>
      </x:c>
      <x:c r="S2073" s="11" t="n">
        <x:v>1590</x:v>
      </x:c>
      <x:c r="T2073" s="11" t="n">
        <x:v>702</x:v>
      </x:c>
    </x:row>
    <x:row r="2074" ht="23" customHeight="1">
      <x:c r="A2074" s="2" t="str">
        <x:v>Q8C3Y4</x:v>
      </x:c>
      <x:c r="B2074" s="2" t="str">
        <x:v>ED</x:v>
      </x:c>
      <x:c r="C2074" s="2" t="n">
        <x:v>1</x:v>
      </x:c>
      <x:c r="D2074" s="2" t="n">
        <x:v>1</x:v>
      </x:c>
      <x:c r="E2074" s="10" t="n">
        <x:v>70.11559130040779</x:v>
      </x:c>
      <x:c r="F2074" s="11" t="n">
        <x:v>2207</x:v>
      </x:c>
      <x:c r="G2074" s="11" t="n">
        <x:v>0</x:v>
      </x:c>
      <x:c r="H2074" s="11" t="n">
        <x:v>0</x:v>
      </x:c>
      <x:c r="I2074" s="11" t="n">
        <x:v>0</x:v>
      </x:c>
      <x:c r="J2074" s="11" t="n">
        <x:v>0</x:v>
      </x:c>
      <x:c r="K2074" s="11" t="n">
        <x:v>1</x:v>
      </x:c>
      <x:c r="L2074" s="11" t="n">
        <x:f>IF(B2074="NED",1,IF(OR(B2074="ED",B2074="UN"),0,""))</x:f>
        <x:v>0</x:v>
      </x:c>
      <x:c r="M2074" s="11" t="n">
        <x:f>IF(AND(K2074=1,OR(B2074="ED",B2074="NED")),1,0)</x:f>
        <x:v>1</x:v>
      </x:c>
      <x:c r="N2074" s="11" t="n">
        <x:f>IF(K2074=1,1,0)</x:f>
        <x:v>1</x:v>
      </x:c>
      <x:c r="O2074" s="12"/>
      <x:c r="P2074" s="11" t="n">
        <x:v>0</x:v>
      </x:c>
      <x:c r="Q2074" s="12" t="str">
        <x:v>AF-Q8C3Y4-F1-model_v6</x:v>
      </x:c>
      <x:c r="R2074" s="12" t="str">
        <x:v>ok</x:v>
      </x:c>
      <x:c r="S2074" s="11" t="n">
        <x:v>1591</x:v>
      </x:c>
      <x:c r="T2074" s="11" t="n">
        <x:v>2207</x:v>
      </x:c>
    </x:row>
    <x:row r="2075" ht="23" customHeight="1">
      <x:c r="A2075" s="2" t="str">
        <x:v>Q8C4B4</x:v>
      </x:c>
      <x:c r="B2075" s="2" t="str">
        <x:v>ED</x:v>
      </x:c>
      <x:c r="C2075" s="2" t="n">
        <x:v>0</x:v>
      </x:c>
      <x:c r="D2075" s="2" t="n">
        <x:v>0</x:v>
      </x:c>
      <x:c r="E2075" s="10" t="n">
        <x:v>78.9796812749004</x:v>
      </x:c>
      <x:c r="F2075" s="11" t="n">
        <x:v>251</x:v>
      </x:c>
      <x:c r="G2075" s="11" t="n">
        <x:v>0</x:v>
      </x:c>
      <x:c r="H2075" s="11" t="n">
        <x:v>0</x:v>
      </x:c>
      <x:c r="I2075" s="11" t="n">
        <x:v>0</x:v>
      </x:c>
      <x:c r="J2075" s="11" t="n">
        <x:v>0</x:v>
      </x:c>
      <x:c r="K2075" s="11" t="n">
        <x:v>1</x:v>
      </x:c>
      <x:c r="L2075" s="11" t="n">
        <x:f>IF(B2075="NED",1,IF(OR(B2075="ED",B2075="UN"),0,""))</x:f>
        <x:v>0</x:v>
      </x:c>
      <x:c r="M2075" s="11" t="n">
        <x:f>IF(AND(K2075=1,OR(B2075="ED",B2075="NED")),1,0)</x:f>
        <x:v>1</x:v>
      </x:c>
      <x:c r="N2075" s="11" t="n">
        <x:f>IF(K2075=1,1,0)</x:f>
        <x:v>1</x:v>
      </x:c>
      <x:c r="O2075" s="12"/>
      <x:c r="P2075" s="11" t="n">
        <x:v>0</x:v>
      </x:c>
      <x:c r="Q2075" s="12" t="str">
        <x:v>AF-Q8C4B4-F1-model_v6</x:v>
      </x:c>
      <x:c r="R2075" s="12" t="str">
        <x:v>ok</x:v>
      </x:c>
      <x:c r="S2075" s="11" t="n">
        <x:v>1592</x:v>
      </x:c>
      <x:c r="T2075" s="11" t="n">
        <x:v>251</x:v>
      </x:c>
    </x:row>
    <x:row r="2076" ht="23" customHeight="1">
      <x:c r="A2076" s="2" t="str">
        <x:v>Q8C4J7</x:v>
      </x:c>
      <x:c r="B2076" s="2" t="str">
        <x:v>ED</x:v>
      </x:c>
      <x:c r="C2076" s="2" t="n">
        <x:v>1</x:v>
      </x:c>
      <x:c r="D2076" s="2" t="n">
        <x:v>1</x:v>
      </x:c>
      <x:c r="E2076" s="10" t="n">
        <x:v>85.17660424469415</x:v>
      </x:c>
      <x:c r="F2076" s="11" t="n">
        <x:v>801</x:v>
      </x:c>
      <x:c r="G2076" s="11" t="n">
        <x:v>0</x:v>
      </x:c>
      <x:c r="H2076" s="11" t="n">
        <x:v>0</x:v>
      </x:c>
      <x:c r="I2076" s="11" t="n">
        <x:v>0</x:v>
      </x:c>
      <x:c r="J2076" s="11" t="n">
        <x:v>0</x:v>
      </x:c>
      <x:c r="K2076" s="11" t="n">
        <x:v>1</x:v>
      </x:c>
      <x:c r="L2076" s="11" t="n">
        <x:f>IF(B2076="NED",1,IF(OR(B2076="ED",B2076="UN"),0,""))</x:f>
        <x:v>0</x:v>
      </x:c>
      <x:c r="M2076" s="11" t="n">
        <x:f>IF(AND(K2076=1,OR(B2076="ED",B2076="NED")),1,0)</x:f>
        <x:v>1</x:v>
      </x:c>
      <x:c r="N2076" s="11" t="n">
        <x:f>IF(K2076=1,1,0)</x:f>
        <x:v>1</x:v>
      </x:c>
      <x:c r="O2076" s="12"/>
      <x:c r="P2076" s="11" t="n">
        <x:v>0</x:v>
      </x:c>
      <x:c r="Q2076" s="12" t="str">
        <x:v>AF-Q8C4J7-F1-model_v6</x:v>
      </x:c>
      <x:c r="R2076" s="12" t="str">
        <x:v>ok</x:v>
      </x:c>
      <x:c r="S2076" s="11" t="n">
        <x:v>1593</x:v>
      </x:c>
      <x:c r="T2076" s="11" t="n">
        <x:v>801</x:v>
      </x:c>
    </x:row>
    <x:row r="2077" ht="23" customHeight="1">
      <x:c r="A2077" s="2" t="str">
        <x:v>Q8C547</x:v>
      </x:c>
      <x:c r="B2077" s="2" t="str">
        <x:v>ED</x:v>
      </x:c>
      <x:c r="C2077" s="2" t="n">
        <x:v>1</x:v>
      </x:c>
      <x:c r="D2077" s="2" t="n">
        <x:v>1</x:v>
      </x:c>
      <x:c r="E2077" s="10" t="n">
        <x:v>81.27821256038646</x:v>
      </x:c>
      <x:c r="F2077" s="11" t="n">
        <x:v>2070</x:v>
      </x:c>
      <x:c r="G2077" s="11" t="n">
        <x:v>0</x:v>
      </x:c>
      <x:c r="H2077" s="11" t="n">
        <x:v>0</x:v>
      </x:c>
      <x:c r="I2077" s="11" t="n">
        <x:v>0</x:v>
      </x:c>
      <x:c r="J2077" s="11" t="n">
        <x:v>0</x:v>
      </x:c>
      <x:c r="K2077" s="11" t="n">
        <x:v>1</x:v>
      </x:c>
      <x:c r="L2077" s="11" t="n">
        <x:f>IF(B2077="NED",1,IF(OR(B2077="ED",B2077="UN"),0,""))</x:f>
        <x:v>0</x:v>
      </x:c>
      <x:c r="M2077" s="11" t="n">
        <x:f>IF(AND(K2077=1,OR(B2077="ED",B2077="NED")),1,0)</x:f>
        <x:v>1</x:v>
      </x:c>
      <x:c r="N2077" s="11" t="n">
        <x:f>IF(K2077=1,1,0)</x:f>
        <x:v>1</x:v>
      </x:c>
      <x:c r="O2077" s="12"/>
      <x:c r="P2077" s="11" t="n">
        <x:v>0</x:v>
      </x:c>
      <x:c r="Q2077" s="12" t="str">
        <x:v>AF-Q8C547-F1-model_v6</x:v>
      </x:c>
      <x:c r="R2077" s="12" t="str">
        <x:v>ok</x:v>
      </x:c>
      <x:c r="S2077" s="11" t="n">
        <x:v>1594</x:v>
      </x:c>
      <x:c r="T2077" s="11" t="n">
        <x:v>2070</x:v>
      </x:c>
    </x:row>
    <x:row r="2078" ht="23" customHeight="1">
      <x:c r="A2078" s="2" t="str">
        <x:v>Q8C570</x:v>
      </x:c>
      <x:c r="B2078" s="2" t="str">
        <x:v>ED</x:v>
      </x:c>
      <x:c r="C2078" s="2" t="n">
        <x:v>1</x:v>
      </x:c>
      <x:c r="D2078" s="2" t="n">
        <x:v>1</x:v>
      </x:c>
      <x:c r="E2078" s="10" t="n">
        <x:v>94.40619565217392</x:v>
      </x:c>
      <x:c r="F2078" s="11" t="n">
        <x:v>368</x:v>
      </x:c>
      <x:c r="G2078" s="11" t="n">
        <x:v>0</x:v>
      </x:c>
      <x:c r="H2078" s="11" t="n">
        <x:v>0</x:v>
      </x:c>
      <x:c r="I2078" s="11" t="n">
        <x:v>0</x:v>
      </x:c>
      <x:c r="J2078" s="11" t="n">
        <x:v>0</x:v>
      </x:c>
      <x:c r="K2078" s="11" t="n">
        <x:v>1</x:v>
      </x:c>
      <x:c r="L2078" s="11" t="n">
        <x:f>IF(B2078="NED",1,IF(OR(B2078="ED",B2078="UN"),0,""))</x:f>
        <x:v>0</x:v>
      </x:c>
      <x:c r="M2078" s="11" t="n">
        <x:f>IF(AND(K2078=1,OR(B2078="ED",B2078="NED")),1,0)</x:f>
        <x:v>1</x:v>
      </x:c>
      <x:c r="N2078" s="11" t="n">
        <x:f>IF(K2078=1,1,0)</x:f>
        <x:v>1</x:v>
      </x:c>
      <x:c r="O2078" s="12"/>
      <x:c r="P2078" s="11" t="n">
        <x:v>0</x:v>
      </x:c>
      <x:c r="Q2078" s="12" t="str">
        <x:v>AF-Q8C570-F1-model_v6</x:v>
      </x:c>
      <x:c r="R2078" s="12" t="str">
        <x:v>ok</x:v>
      </x:c>
      <x:c r="S2078" s="11" t="n">
        <x:v>1595</x:v>
      </x:c>
      <x:c r="T2078" s="11" t="n">
        <x:v>368</x:v>
      </x:c>
    </x:row>
    <x:row r="2079" ht="23" customHeight="1">
      <x:c r="A2079" s="2" t="str">
        <x:v>Q8C5L3-3</x:v>
      </x:c>
      <x:c r="B2079" s="2" t="str">
        <x:v>ED</x:v>
      </x:c>
      <x:c r="C2079" s="2"/>
      <x:c r="D2079" s="2"/>
      <x:c r="E2079" s="10"/>
      <x:c r="F2079" s="11"/>
      <x:c r="G2079" s="11" t="n">
        <x:v>0</x:v>
      </x:c>
      <x:c r="H2079" s="11" t="n">
        <x:v>0</x:v>
      </x:c>
      <x:c r="I2079" s="11"/>
      <x:c r="J2079" s="11"/>
      <x:c r="K2079" s="11" t="n">
        <x:v>0</x:v>
      </x:c>
      <x:c r="L2079" s="11" t="n">
        <x:f>IF(B2079="NED",1,IF(OR(B2079="ED",B2079="UN"),0,""))</x:f>
        <x:v>0</x:v>
      </x:c>
      <x:c r="M2079" s="11" t="n">
        <x:f>IF(AND(K2079=1,OR(B2079="ED",B2079="NED")),1,0)</x:f>
        <x:v>0</x:v>
      </x:c>
      <x:c r="N2079" s="11" t="n">
        <x:f>IF(K2079=1,1,0)</x:f>
        <x:v>0</x:v>
      </x:c>
      <x:c r="O2079" s="12" t="str">
        <x:v>Require exact native accession match</x:v>
      </x:c>
      <x:c r="P2079" s="11" t="n">
        <x:v>0</x:v>
      </x:c>
      <x:c r="Q2079" s="12"/>
      <x:c r="R2079" s="12"/>
      <x:c r="S2079" s="11" t="n">
        <x:v>1596</x:v>
      </x:c>
      <x:c r="T2079" s="11"/>
    </x:row>
    <x:row r="2080" ht="23" customHeight="1">
      <x:c r="A2080" s="2" t="str">
        <x:v>Q8C5N3-2</x:v>
      </x:c>
      <x:c r="B2080" s="2" t="str">
        <x:v>NED</x:v>
      </x:c>
      <x:c r="C2080" s="2"/>
      <x:c r="D2080" s="2"/>
      <x:c r="E2080" s="10"/>
      <x:c r="F2080" s="11"/>
      <x:c r="G2080" s="11" t="n">
        <x:v>0</x:v>
      </x:c>
      <x:c r="H2080" s="11" t="n">
        <x:v>0</x:v>
      </x:c>
      <x:c r="I2080" s="11"/>
      <x:c r="J2080" s="11"/>
      <x:c r="K2080" s="11" t="n">
        <x:v>0</x:v>
      </x:c>
      <x:c r="L2080" s="11" t="n">
        <x:f>IF(B2080="NED",1,IF(OR(B2080="ED",B2080="UN"),0,""))</x:f>
        <x:v>1</x:v>
      </x:c>
      <x:c r="M2080" s="11" t="n">
        <x:f>IF(AND(K2080=1,OR(B2080="ED",B2080="NED")),1,0)</x:f>
        <x:v>0</x:v>
      </x:c>
      <x:c r="N2080" s="11" t="n">
        <x:f>IF(K2080=1,1,0)</x:f>
        <x:v>0</x:v>
      </x:c>
      <x:c r="O2080" s="12" t="str">
        <x:v>Require exact native accession match</x:v>
      </x:c>
      <x:c r="P2080" s="11" t="n">
        <x:v>0</x:v>
      </x:c>
      <x:c r="Q2080" s="12"/>
      <x:c r="R2080" s="12"/>
      <x:c r="S2080" s="11" t="n">
        <x:v>1597</x:v>
      </x:c>
      <x:c r="T2080" s="11"/>
    </x:row>
    <x:row r="2081" ht="23" customHeight="1">
      <x:c r="A2081" s="2" t="str">
        <x:v>Q8C5P5-2</x:v>
      </x:c>
      <x:c r="B2081" s="2" t="str">
        <x:v>ED</x:v>
      </x:c>
      <x:c r="C2081" s="2"/>
      <x:c r="D2081" s="2"/>
      <x:c r="E2081" s="10"/>
      <x:c r="F2081" s="11"/>
      <x:c r="G2081" s="11" t="n">
        <x:v>0</x:v>
      </x:c>
      <x:c r="H2081" s="11" t="n">
        <x:v>0</x:v>
      </x:c>
      <x:c r="I2081" s="11"/>
      <x:c r="J2081" s="11"/>
      <x:c r="K2081" s="11" t="n">
        <x:v>0</x:v>
      </x:c>
      <x:c r="L2081" s="11" t="n">
        <x:f>IF(B2081="NED",1,IF(OR(B2081="ED",B2081="UN"),0,""))</x:f>
        <x:v>0</x:v>
      </x:c>
      <x:c r="M2081" s="11" t="n">
        <x:f>IF(AND(K2081=1,OR(B2081="ED",B2081="NED")),1,0)</x:f>
        <x:v>0</x:v>
      </x:c>
      <x:c r="N2081" s="11" t="n">
        <x:f>IF(K2081=1,1,0)</x:f>
        <x:v>0</x:v>
      </x:c>
      <x:c r="O2081" s="12" t="str">
        <x:v>Require exact native accession match</x:v>
      </x:c>
      <x:c r="P2081" s="11" t="n">
        <x:v>0</x:v>
      </x:c>
      <x:c r="Q2081" s="12"/>
      <x:c r="R2081" s="12"/>
      <x:c r="S2081" s="11" t="n">
        <x:v>1598</x:v>
      </x:c>
      <x:c r="T2081" s="11"/>
    </x:row>
    <x:row r="2082" ht="23" customHeight="1">
      <x:c r="A2082" s="2" t="str">
        <x:v>Q8C5R8</x:v>
      </x:c>
      <x:c r="B2082" s="2" t="str">
        <x:v>UN</x:v>
      </x:c>
      <x:c r="C2082" s="2" t="n">
        <x:v>1</x:v>
      </x:c>
      <x:c r="D2082" s="2" t="n">
        <x:v>1</x:v>
      </x:c>
      <x:c r="E2082" s="10" t="n">
        <x:v>94.8417924528302</x:v>
      </x:c>
      <x:c r="F2082" s="11" t="n">
        <x:v>318</x:v>
      </x:c>
      <x:c r="G2082" s="11" t="n">
        <x:v>0</x:v>
      </x:c>
      <x:c r="H2082" s="11" t="n">
        <x:v>0</x:v>
      </x:c>
      <x:c r="I2082" s="11" t="n">
        <x:v>0</x:v>
      </x:c>
      <x:c r="J2082" s="11" t="n">
        <x:v>0</x:v>
      </x:c>
      <x:c r="K2082" s="11" t="n">
        <x:v>1</x:v>
      </x:c>
      <x:c r="L2082" s="11" t="n">
        <x:f>IF(B2082="NED",1,IF(OR(B2082="ED",B2082="UN"),0,""))</x:f>
        <x:v>0</x:v>
      </x:c>
      <x:c r="M2082" s="11" t="n">
        <x:f>IF(AND(K2082=1,OR(B2082="ED",B2082="NED")),1,0)</x:f>
        <x:v>0</x:v>
      </x:c>
      <x:c r="N2082" s="11" t="n">
        <x:f>IF(K2082=1,1,0)</x:f>
        <x:v>1</x:v>
      </x:c>
      <x:c r="O2082" s="12"/>
      <x:c r="P2082" s="11" t="n">
        <x:v>0</x:v>
      </x:c>
      <x:c r="Q2082" s="12" t="str">
        <x:v>AF-Q8C5R8-F1-model_v6</x:v>
      </x:c>
      <x:c r="R2082" s="12" t="str">
        <x:v>ok</x:v>
      </x:c>
      <x:c r="S2082" s="11" t="n">
        <x:v>3226</x:v>
      </x:c>
      <x:c r="T2082" s="11" t="n">
        <x:v>318</x:v>
      </x:c>
    </x:row>
    <x:row r="2083" ht="23" customHeight="1">
      <x:c r="A2083" s="2" t="str">
        <x:v>Q8C5X1</x:v>
      </x:c>
      <x:c r="B2083" s="2" t="str">
        <x:v>ED</x:v>
      </x:c>
      <x:c r="C2083" s="2" t="n">
        <x:v>1</x:v>
      </x:c>
      <x:c r="D2083" s="2" t="n">
        <x:v>1</x:v>
      </x:c>
      <x:c r="E2083" s="10" t="n">
        <x:v>53.70070821529745</x:v>
      </x:c>
      <x:c r="F2083" s="11" t="n">
        <x:v>1059</x:v>
      </x:c>
      <x:c r="G2083" s="11" t="n">
        <x:v>0</x:v>
      </x:c>
      <x:c r="H2083" s="11" t="n">
        <x:v>0</x:v>
      </x:c>
      <x:c r="I2083" s="11" t="n">
        <x:v>0</x:v>
      </x:c>
      <x:c r="J2083" s="11" t="n">
        <x:v>0</x:v>
      </x:c>
      <x:c r="K2083" s="11" t="n">
        <x:v>0</x:v>
      </x:c>
      <x:c r="L2083" s="11" t="n">
        <x:f>IF(B2083="NED",1,IF(OR(B2083="ED",B2083="UN"),0,""))</x:f>
        <x:v>0</x:v>
      </x:c>
      <x:c r="M2083" s="11" t="n">
        <x:f>IF(AND(K2083=1,OR(B2083="ED",B2083="NED")),1,0)</x:f>
        <x:v>0</x:v>
      </x:c>
      <x:c r="N2083" s="11" t="n">
        <x:f>IF(K2083=1,1,0)</x:f>
        <x:v>0</x:v>
      </x:c>
      <x:c r="O2083" s="12" t="str">
        <x:v>Retain protein mean pLDDT &gt;=70</x:v>
      </x:c>
      <x:c r="P2083" s="11" t="n">
        <x:v>0</x:v>
      </x:c>
      <x:c r="Q2083" s="12" t="str">
        <x:v>AF-Q8C5X1-F1-model_v6</x:v>
      </x:c>
      <x:c r="R2083" s="12" t="str">
        <x:v>ok</x:v>
      </x:c>
      <x:c r="S2083" s="11" t="n">
        <x:v>3227</x:v>
      </x:c>
      <x:c r="T2083" s="11" t="n">
        <x:v>1059</x:v>
      </x:c>
    </x:row>
    <x:row r="2084" ht="23" customHeight="1">
      <x:c r="A2084" s="2" t="str">
        <x:v>Q8C6E0</x:v>
      </x:c>
      <x:c r="B2084" s="2" t="str">
        <x:v>UN</x:v>
      </x:c>
      <x:c r="C2084" s="2" t="n">
        <x:v>0</x:v>
      </x:c>
      <x:c r="D2084" s="2" t="n">
        <x:v>0</x:v>
      </x:c>
      <x:c r="E2084" s="10" t="n">
        <x:v>71.88615160349855</x:v>
      </x:c>
      <x:c r="F2084" s="11" t="n">
        <x:v>343</x:v>
      </x:c>
      <x:c r="G2084" s="11" t="n">
        <x:v>0</x:v>
      </x:c>
      <x:c r="H2084" s="11" t="n">
        <x:v>0</x:v>
      </x:c>
      <x:c r="I2084" s="11" t="n">
        <x:v>0</x:v>
      </x:c>
      <x:c r="J2084" s="11" t="n">
        <x:v>0</x:v>
      </x:c>
      <x:c r="K2084" s="11" t="n">
        <x:v>1</x:v>
      </x:c>
      <x:c r="L2084" s="11" t="n">
        <x:f>IF(B2084="NED",1,IF(OR(B2084="ED",B2084="UN"),0,""))</x:f>
        <x:v>0</x:v>
      </x:c>
      <x:c r="M2084" s="11" t="n">
        <x:f>IF(AND(K2084=1,OR(B2084="ED",B2084="NED")),1,0)</x:f>
        <x:v>0</x:v>
      </x:c>
      <x:c r="N2084" s="11" t="n">
        <x:f>IF(K2084=1,1,0)</x:f>
        <x:v>1</x:v>
      </x:c>
      <x:c r="O2084" s="12"/>
      <x:c r="P2084" s="11" t="n">
        <x:v>0</x:v>
      </x:c>
      <x:c r="Q2084" s="12" t="str">
        <x:v>AF-Q8C6E0-F1-model_v6</x:v>
      </x:c>
      <x:c r="R2084" s="12" t="str">
        <x:v>ok</x:v>
      </x:c>
      <x:c r="S2084" s="11" t="n">
        <x:v>1599</x:v>
      </x:c>
      <x:c r="T2084" s="11" t="n">
        <x:v>343</x:v>
      </x:c>
    </x:row>
    <x:row r="2085" ht="23" customHeight="1">
      <x:c r="A2085" s="2" t="str">
        <x:v>Q8C6G8</x:v>
      </x:c>
      <x:c r="B2085" s="2" t="str">
        <x:v>ED</x:v>
      </x:c>
      <x:c r="C2085" s="2" t="n">
        <x:v>1</x:v>
      </x:c>
      <x:c r="D2085" s="2" t="n">
        <x:v>1</x:v>
      </x:c>
      <x:c r="E2085" s="10" t="n">
        <x:v>80.73460218408736</x:v>
      </x:c>
      <x:c r="F2085" s="11" t="n">
        <x:v>641</x:v>
      </x:c>
      <x:c r="G2085" s="11" t="n">
        <x:v>0</x:v>
      </x:c>
      <x:c r="H2085" s="11" t="n">
        <x:v>0</x:v>
      </x:c>
      <x:c r="I2085" s="11" t="n">
        <x:v>0</x:v>
      </x:c>
      <x:c r="J2085" s="11" t="n">
        <x:v>0</x:v>
      </x:c>
      <x:c r="K2085" s="11" t="n">
        <x:v>1</x:v>
      </x:c>
      <x:c r="L2085" s="11" t="n">
        <x:f>IF(B2085="NED",1,IF(OR(B2085="ED",B2085="UN"),0,""))</x:f>
        <x:v>0</x:v>
      </x:c>
      <x:c r="M2085" s="11" t="n">
        <x:f>IF(AND(K2085=1,OR(B2085="ED",B2085="NED")),1,0)</x:f>
        <x:v>1</x:v>
      </x:c>
      <x:c r="N2085" s="11" t="n">
        <x:f>IF(K2085=1,1,0)</x:f>
        <x:v>1</x:v>
      </x:c>
      <x:c r="O2085" s="12"/>
      <x:c r="P2085" s="11" t="n">
        <x:v>0</x:v>
      </x:c>
      <x:c r="Q2085" s="12" t="str">
        <x:v>AF-Q8C6G8-F1-model_v6</x:v>
      </x:c>
      <x:c r="R2085" s="12" t="str">
        <x:v>ok</x:v>
      </x:c>
      <x:c r="S2085" s="11" t="n">
        <x:v>1600</x:v>
      </x:c>
      <x:c r="T2085" s="11" t="n">
        <x:v>641</x:v>
      </x:c>
    </x:row>
    <x:row r="2086" ht="23" customHeight="1">
      <x:c r="A2086" s="2" t="str">
        <x:v>Q8C761</x:v>
      </x:c>
      <x:c r="B2086" s="2" t="str">
        <x:v>ED</x:v>
      </x:c>
      <x:c r="C2086" s="2" t="n">
        <x:v>1</x:v>
      </x:c>
      <x:c r="D2086" s="2" t="n">
        <x:v>1</x:v>
      </x:c>
      <x:c r="E2086" s="10" t="n">
        <x:v>68.056006006006</x:v>
      </x:c>
      <x:c r="F2086" s="11" t="n">
        <x:v>999</x:v>
      </x:c>
      <x:c r="G2086" s="11" t="n">
        <x:v>0</x:v>
      </x:c>
      <x:c r="H2086" s="11" t="n">
        <x:v>0</x:v>
      </x:c>
      <x:c r="I2086" s="11" t="n">
        <x:v>0</x:v>
      </x:c>
      <x:c r="J2086" s="11" t="n">
        <x:v>0</x:v>
      </x:c>
      <x:c r="K2086" s="11" t="n">
        <x:v>0</x:v>
      </x:c>
      <x:c r="L2086" s="11" t="n">
        <x:f>IF(B2086="NED",1,IF(OR(B2086="ED",B2086="UN"),0,""))</x:f>
        <x:v>0</x:v>
      </x:c>
      <x:c r="M2086" s="11" t="n">
        <x:f>IF(AND(K2086=1,OR(B2086="ED",B2086="NED")),1,0)</x:f>
        <x:v>0</x:v>
      </x:c>
      <x:c r="N2086" s="11" t="n">
        <x:f>IF(K2086=1,1,0)</x:f>
        <x:v>0</x:v>
      </x:c>
      <x:c r="O2086" s="12" t="str">
        <x:v>Retain protein mean pLDDT &gt;=70</x:v>
      </x:c>
      <x:c r="P2086" s="11" t="n">
        <x:v>0</x:v>
      </x:c>
      <x:c r="Q2086" s="12" t="str">
        <x:v>AF-Q8C761-F1-model_v6</x:v>
      </x:c>
      <x:c r="R2086" s="12" t="str">
        <x:v>ok</x:v>
      </x:c>
      <x:c r="S2086" s="11" t="n">
        <x:v>1601</x:v>
      </x:c>
      <x:c r="T2086" s="11" t="n">
        <x:v>999</x:v>
      </x:c>
    </x:row>
    <x:row r="2087" ht="23" customHeight="1">
      <x:c r="A2087" s="2" t="str">
        <x:v>Q8C788</x:v>
      </x:c>
      <x:c r="B2087" s="2" t="str">
        <x:v>ED</x:v>
      </x:c>
      <x:c r="C2087" s="2"/>
      <x:c r="D2087" s="2"/>
      <x:c r="E2087" s="10"/>
      <x:c r="F2087" s="11"/>
      <x:c r="G2087" s="11" t="n">
        <x:v>0</x:v>
      </x:c>
      <x:c r="H2087" s="11" t="n">
        <x:v>0</x:v>
      </x:c>
      <x:c r="I2087" s="11" t="n">
        <x:v>1</x:v>
      </x:c>
      <x:c r="J2087" s="11" t="n">
        <x:v>0</x:v>
      </x:c>
      <x:c r="K2087" s="11" t="n">
        <x:v>0</x:v>
      </x:c>
      <x:c r="L2087" s="11" t="n">
        <x:f>IF(B2087="NED",1,IF(OR(B2087="ED",B2087="UN"),0,""))</x:f>
        <x:v>0</x:v>
      </x:c>
      <x:c r="M2087" s="11" t="n">
        <x:f>IF(AND(K2087=1,OR(B2087="ED",B2087="NED")),1,0)</x:f>
        <x:v>0</x:v>
      </x:c>
      <x:c r="N2087" s="11" t="n">
        <x:f>IF(K2087=1,1,0)</x:f>
        <x:v>0</x:v>
      </x:c>
      <x:c r="O2087" s="12" t="str">
        <x:v>Require exact native accession match</x:v>
      </x:c>
      <x:c r="P2087" s="11" t="n">
        <x:v>0</x:v>
      </x:c>
      <x:c r="Q2087" s="12"/>
      <x:c r="R2087" s="12"/>
      <x:c r="S2087" s="11" t="n">
        <x:v>3228</x:v>
      </x:c>
      <x:c r="T2087" s="11" t="n">
        <x:v>615</x:v>
      </x:c>
    </x:row>
    <x:row r="2088" ht="23" customHeight="1">
      <x:c r="A2088" s="2" t="str">
        <x:v>Q8C7R4</x:v>
      </x:c>
      <x:c r="B2088" s="2" t="str">
        <x:v>ED</x:v>
      </x:c>
      <x:c r="C2088" s="2" t="n">
        <x:v>1</x:v>
      </x:c>
      <x:c r="D2088" s="2" t="n">
        <x:v>1</x:v>
      </x:c>
      <x:c r="E2088" s="10" t="n">
        <x:v>91.36526115859448</x:v>
      </x:c>
      <x:c r="F2088" s="11" t="n">
        <x:v>1053</x:v>
      </x:c>
      <x:c r="G2088" s="11" t="n">
        <x:v>0</x:v>
      </x:c>
      <x:c r="H2088" s="11" t="n">
        <x:v>0</x:v>
      </x:c>
      <x:c r="I2088" s="11" t="n">
        <x:v>0</x:v>
      </x:c>
      <x:c r="J2088" s="11" t="n">
        <x:v>0</x:v>
      </x:c>
      <x:c r="K2088" s="11" t="n">
        <x:v>1</x:v>
      </x:c>
      <x:c r="L2088" s="11" t="n">
        <x:f>IF(B2088="NED",1,IF(OR(B2088="ED",B2088="UN"),0,""))</x:f>
        <x:v>0</x:v>
      </x:c>
      <x:c r="M2088" s="11" t="n">
        <x:f>IF(AND(K2088=1,OR(B2088="ED",B2088="NED")),1,0)</x:f>
        <x:v>1</x:v>
      </x:c>
      <x:c r="N2088" s="11" t="n">
        <x:f>IF(K2088=1,1,0)</x:f>
        <x:v>1</x:v>
      </x:c>
      <x:c r="O2088" s="12"/>
      <x:c r="P2088" s="11" t="n">
        <x:v>0</x:v>
      </x:c>
      <x:c r="Q2088" s="12" t="str">
        <x:v>AF-Q8C7R4-F1-model_v6</x:v>
      </x:c>
      <x:c r="R2088" s="12" t="str">
        <x:v>ok</x:v>
      </x:c>
      <x:c r="S2088" s="11" t="n">
        <x:v>1602</x:v>
      </x:c>
      <x:c r="T2088" s="11" t="n">
        <x:v>1053</x:v>
      </x:c>
    </x:row>
    <x:row r="2089" ht="23" customHeight="1">
      <x:c r="A2089" s="2" t="str">
        <x:v>Q8C7V3</x:v>
      </x:c>
      <x:c r="B2089" s="2" t="str">
        <x:v>ED</x:v>
      </x:c>
      <x:c r="C2089" s="2" t="n">
        <x:v>1</x:v>
      </x:c>
      <x:c r="D2089" s="2" t="n">
        <x:v>1</x:v>
      </x:c>
      <x:c r="E2089" s="10" t="n">
        <x:v>84.43600378787879</x:v>
      </x:c>
      <x:c r="F2089" s="11" t="n">
        <x:v>528</x:v>
      </x:c>
      <x:c r="G2089" s="11" t="n">
        <x:v>0</x:v>
      </x:c>
      <x:c r="H2089" s="11" t="n">
        <x:v>0</x:v>
      </x:c>
      <x:c r="I2089" s="11" t="n">
        <x:v>0</x:v>
      </x:c>
      <x:c r="J2089" s="11" t="n">
        <x:v>0</x:v>
      </x:c>
      <x:c r="K2089" s="11" t="n">
        <x:v>1</x:v>
      </x:c>
      <x:c r="L2089" s="11" t="n">
        <x:f>IF(B2089="NED",1,IF(OR(B2089="ED",B2089="UN"),0,""))</x:f>
        <x:v>0</x:v>
      </x:c>
      <x:c r="M2089" s="11" t="n">
        <x:f>IF(AND(K2089=1,OR(B2089="ED",B2089="NED")),1,0)</x:f>
        <x:v>1</x:v>
      </x:c>
      <x:c r="N2089" s="11" t="n">
        <x:f>IF(K2089=1,1,0)</x:f>
        <x:v>1</x:v>
      </x:c>
      <x:c r="O2089" s="12"/>
      <x:c r="P2089" s="11" t="n">
        <x:v>0</x:v>
      </x:c>
      <x:c r="Q2089" s="12" t="str">
        <x:v>AF-Q8C7V3-F1-model_v6</x:v>
      </x:c>
      <x:c r="R2089" s="12" t="str">
        <x:v>ok</x:v>
      </x:c>
      <x:c r="S2089" s="11" t="n">
        <x:v>1603</x:v>
      </x:c>
      <x:c r="T2089" s="11" t="n">
        <x:v>528</x:v>
      </x:c>
    </x:row>
    <x:row r="2090" ht="23" customHeight="1">
      <x:c r="A2090" s="2" t="str">
        <x:v>Q8C7X2-2</x:v>
      </x:c>
      <x:c r="B2090" s="2" t="str">
        <x:v>NED</x:v>
      </x:c>
      <x:c r="C2090" s="2"/>
      <x:c r="D2090" s="2"/>
      <x:c r="E2090" s="10"/>
      <x:c r="F2090" s="11"/>
      <x:c r="G2090" s="11" t="n">
        <x:v>0</x:v>
      </x:c>
      <x:c r="H2090" s="11" t="n">
        <x:v>0</x:v>
      </x:c>
      <x:c r="I2090" s="11"/>
      <x:c r="J2090" s="11"/>
      <x:c r="K2090" s="11" t="n">
        <x:v>0</x:v>
      </x:c>
      <x:c r="L2090" s="11" t="n">
        <x:f>IF(B2090="NED",1,IF(OR(B2090="ED",B2090="UN"),0,""))</x:f>
        <x:v>1</x:v>
      </x:c>
      <x:c r="M2090" s="11" t="n">
        <x:f>IF(AND(K2090=1,OR(B2090="ED",B2090="NED")),1,0)</x:f>
        <x:v>0</x:v>
      </x:c>
      <x:c r="N2090" s="11" t="n">
        <x:f>IF(K2090=1,1,0)</x:f>
        <x:v>0</x:v>
      </x:c>
      <x:c r="O2090" s="12" t="str">
        <x:v>Require exact native accession match</x:v>
      </x:c>
      <x:c r="P2090" s="11" t="n">
        <x:v>0</x:v>
      </x:c>
      <x:c r="Q2090" s="12"/>
      <x:c r="R2090" s="12"/>
      <x:c r="S2090" s="11" t="n">
        <x:v>1604</x:v>
      </x:c>
      <x:c r="T2090" s="11"/>
    </x:row>
    <x:row r="2091" ht="23" customHeight="1">
      <x:c r="A2091" s="2" t="str">
        <x:v>Q8C845</x:v>
      </x:c>
      <x:c r="B2091" s="2" t="str">
        <x:v>UN</x:v>
      </x:c>
      <x:c r="C2091" s="2"/>
      <x:c r="D2091" s="2"/>
      <x:c r="E2091" s="10"/>
      <x:c r="F2091" s="11"/>
      <x:c r="G2091" s="11" t="n">
        <x:v>0</x:v>
      </x:c>
      <x:c r="H2091" s="11" t="n">
        <x:v>0</x:v>
      </x:c>
      <x:c r="I2091" s="11" t="n">
        <x:v>0</x:v>
      </x:c>
      <x:c r="J2091" s="11" t="n">
        <x:v>0</x:v>
      </x:c>
      <x:c r="K2091" s="11" t="n">
        <x:v>0</x:v>
      </x:c>
      <x:c r="L2091" s="11" t="n">
        <x:f>IF(B2091="NED",1,IF(OR(B2091="ED",B2091="UN"),0,""))</x:f>
        <x:v>0</x:v>
      </x:c>
      <x:c r="M2091" s="11" t="n">
        <x:f>IF(AND(K2091=1,OR(B2091="ED",B2091="NED")),1,0)</x:f>
        <x:v>0</x:v>
      </x:c>
      <x:c r="N2091" s="11" t="n">
        <x:f>IF(K2091=1,1,0)</x:f>
        <x:v>0</x:v>
      </x:c>
      <x:c r="O2091" s="12" t="str">
        <x:v>Require exact native accession match</x:v>
      </x:c>
      <x:c r="P2091" s="11" t="n">
        <x:v>0</x:v>
      </x:c>
      <x:c r="Q2091" s="12"/>
      <x:c r="R2091" s="12"/>
      <x:c r="S2091" s="11" t="n">
        <x:v>3229</x:v>
      </x:c>
      <x:c r="T2091" s="11" t="n">
        <x:v>240</x:v>
      </x:c>
    </x:row>
    <x:row r="2092" ht="23" customHeight="1">
      <x:c r="A2092" s="2" t="str">
        <x:v>Q8C854</x:v>
      </x:c>
      <x:c r="B2092" s="2" t="str">
        <x:v>UN</x:v>
      </x:c>
      <x:c r="C2092" s="2" t="n">
        <x:v>1</x:v>
      </x:c>
      <x:c r="D2092" s="2" t="n">
        <x:v>1</x:v>
      </x:c>
      <x:c r="E2092" s="10" t="n">
        <x:v>61.05536379018613</x:v>
      </x:c>
      <x:c r="F2092" s="11" t="n">
        <x:v>591</x:v>
      </x:c>
      <x:c r="G2092" s="11" t="n">
        <x:v>0</x:v>
      </x:c>
      <x:c r="H2092" s="11" t="n">
        <x:v>0</x:v>
      </x:c>
      <x:c r="I2092" s="11" t="n">
        <x:v>0</x:v>
      </x:c>
      <x:c r="J2092" s="11" t="n">
        <x:v>0</x:v>
      </x:c>
      <x:c r="K2092" s="11" t="n">
        <x:v>0</x:v>
      </x:c>
      <x:c r="L2092" s="11" t="n">
        <x:f>IF(B2092="NED",1,IF(OR(B2092="ED",B2092="UN"),0,""))</x:f>
        <x:v>0</x:v>
      </x:c>
      <x:c r="M2092" s="11" t="n">
        <x:f>IF(AND(K2092=1,OR(B2092="ED",B2092="NED")),1,0)</x:f>
        <x:v>0</x:v>
      </x:c>
      <x:c r="N2092" s="11" t="n">
        <x:f>IF(K2092=1,1,0)</x:f>
        <x:v>0</x:v>
      </x:c>
      <x:c r="O2092" s="12" t="str">
        <x:v>Retain protein mean pLDDT &gt;=70</x:v>
      </x:c>
      <x:c r="P2092" s="11" t="n">
        <x:v>0</x:v>
      </x:c>
      <x:c r="Q2092" s="12" t="str">
        <x:v>AF-Q8C854-F1-model_v6</x:v>
      </x:c>
      <x:c r="R2092" s="12" t="str">
        <x:v>ok</x:v>
      </x:c>
      <x:c r="S2092" s="11" t="n">
        <x:v>1605</x:v>
      </x:c>
      <x:c r="T2092" s="11" t="n">
        <x:v>591</x:v>
      </x:c>
    </x:row>
    <x:row r="2093" ht="23" customHeight="1">
      <x:c r="A2093" s="2" t="str">
        <x:v>Q8C863</x:v>
      </x:c>
      <x:c r="B2093" s="2" t="str">
        <x:v>ED</x:v>
      </x:c>
      <x:c r="C2093" s="2" t="n">
        <x:v>1</x:v>
      </x:c>
      <x:c r="D2093" s="2" t="n">
        <x:v>1</x:v>
      </x:c>
      <x:c r="E2093" s="10"/>
      <x:c r="F2093" s="11" t="n">
        <x:v>864</x:v>
      </x:c>
      <x:c r="G2093" s="11" t="n">
        <x:v>0</x:v>
      </x:c>
      <x:c r="H2093" s="11" t="n">
        <x:v>0</x:v>
      </x:c>
      <x:c r="I2093" s="11" t="n">
        <x:v>1</x:v>
      </x:c>
      <x:c r="J2093" s="11" t="n">
        <x:v>0</x:v>
      </x:c>
      <x:c r="K2093" s="11" t="n">
        <x:v>0</x:v>
      </x:c>
      <x:c r="L2093" s="11" t="n">
        <x:f>IF(B2093="NED",1,IF(OR(B2093="ED",B2093="UN"),0,""))</x:f>
        <x:v>0</x:v>
      </x:c>
      <x:c r="M2093" s="11" t="n">
        <x:f>IF(AND(K2093=1,OR(B2093="ED",B2093="NED")),1,0)</x:f>
        <x:v>0</x:v>
      </x:c>
      <x:c r="N2093" s="11" t="n">
        <x:f>IF(K2093=1,1,0)</x:f>
        <x:v>0</x:v>
      </x:c>
      <x:c r="O2093" s="12" t="str">
        <x:v>Exclude UniProt Membrane keyword</x:v>
      </x:c>
      <x:c r="P2093" s="11" t="n">
        <x:v>0</x:v>
      </x:c>
      <x:c r="Q2093" s="12" t="str">
        <x:v>AF-Q8C863-F1-model_v6</x:v>
      </x:c>
      <x:c r="R2093" s="12" t="str">
        <x:v>ok</x:v>
      </x:c>
      <x:c r="S2093" s="11" t="n">
        <x:v>1606</x:v>
      </x:c>
      <x:c r="T2093" s="11" t="n">
        <x:v>864</x:v>
      </x:c>
    </x:row>
    <x:row r="2094" ht="23" customHeight="1">
      <x:c r="A2094" s="2" t="str">
        <x:v>Q8C878</x:v>
      </x:c>
      <x:c r="B2094" s="2" t="str">
        <x:v>NED</x:v>
      </x:c>
      <x:c r="C2094" s="2" t="n">
        <x:v>1</x:v>
      </x:c>
      <x:c r="D2094" s="2" t="n">
        <x:v>1</x:v>
      </x:c>
      <x:c r="E2094" s="10" t="n">
        <x:v>92.65562770562772</x:v>
      </x:c>
      <x:c r="F2094" s="11" t="n">
        <x:v>462</x:v>
      </x:c>
      <x:c r="G2094" s="11" t="n">
        <x:v>0</x:v>
      </x:c>
      <x:c r="H2094" s="11" t="n">
        <x:v>0</x:v>
      </x:c>
      <x:c r="I2094" s="11" t="n">
        <x:v>0</x:v>
      </x:c>
      <x:c r="J2094" s="11" t="n">
        <x:v>0</x:v>
      </x:c>
      <x:c r="K2094" s="11" t="n">
        <x:v>1</x:v>
      </x:c>
      <x:c r="L2094" s="11" t="n">
        <x:f>IF(B2094="NED",1,IF(OR(B2094="ED",B2094="UN"),0,""))</x:f>
        <x:v>1</x:v>
      </x:c>
      <x:c r="M2094" s="11" t="n">
        <x:f>IF(AND(K2094=1,OR(B2094="ED",B2094="NED")),1,0)</x:f>
        <x:v>1</x:v>
      </x:c>
      <x:c r="N2094" s="11" t="n">
        <x:f>IF(K2094=1,1,0)</x:f>
        <x:v>1</x:v>
      </x:c>
      <x:c r="O2094" s="12"/>
      <x:c r="P2094" s="11" t="n">
        <x:v>0</x:v>
      </x:c>
      <x:c r="Q2094" s="12" t="str">
        <x:v>AF-Q8C878-F1-model_v6</x:v>
      </x:c>
      <x:c r="R2094" s="12" t="str">
        <x:v>ok</x:v>
      </x:c>
      <x:c r="S2094" s="11" t="n">
        <x:v>1607</x:v>
      </x:c>
      <x:c r="T2094" s="11" t="n">
        <x:v>462</x:v>
      </x:c>
    </x:row>
    <x:row r="2095" ht="23" customHeight="1">
      <x:c r="A2095" s="2" t="str">
        <x:v>Q8C8U0</x:v>
      </x:c>
      <x:c r="B2095" s="2" t="str">
        <x:v>ED</x:v>
      </x:c>
      <x:c r="C2095" s="2" t="n">
        <x:v>0</x:v>
      </x:c>
      <x:c r="D2095" s="2" t="n">
        <x:v>0</x:v>
      </x:c>
      <x:c r="E2095" s="10" t="n">
        <x:v>68.39655314757482</x:v>
      </x:c>
      <x:c r="F2095" s="11" t="n">
        <x:v>969</x:v>
      </x:c>
      <x:c r="G2095" s="11" t="n">
        <x:v>0</x:v>
      </x:c>
      <x:c r="H2095" s="11" t="n">
        <x:v>0</x:v>
      </x:c>
      <x:c r="I2095" s="11" t="n">
        <x:v>0</x:v>
      </x:c>
      <x:c r="J2095" s="11" t="n">
        <x:v>0</x:v>
      </x:c>
      <x:c r="K2095" s="11" t="n">
        <x:v>0</x:v>
      </x:c>
      <x:c r="L2095" s="11" t="n">
        <x:f>IF(B2095="NED",1,IF(OR(B2095="ED",B2095="UN"),0,""))</x:f>
        <x:v>0</x:v>
      </x:c>
      <x:c r="M2095" s="11" t="n">
        <x:f>IF(AND(K2095=1,OR(B2095="ED",B2095="NED")),1,0)</x:f>
        <x:v>0</x:v>
      </x:c>
      <x:c r="N2095" s="11" t="n">
        <x:f>IF(K2095=1,1,0)</x:f>
        <x:v>0</x:v>
      </x:c>
      <x:c r="O2095" s="12" t="str">
        <x:v>Retain protein mean pLDDT &gt;=70</x:v>
      </x:c>
      <x:c r="P2095" s="11" t="n">
        <x:v>0</x:v>
      </x:c>
      <x:c r="Q2095" s="12" t="str">
        <x:v>AF-Q8C8U0-F1-model_v6</x:v>
      </x:c>
      <x:c r="R2095" s="12" t="str">
        <x:v>ok</x:v>
      </x:c>
      <x:c r="S2095" s="11" t="n">
        <x:v>1608</x:v>
      </x:c>
      <x:c r="T2095" s="11" t="n">
        <x:v>969</x:v>
      </x:c>
    </x:row>
    <x:row r="2096" ht="23" customHeight="1">
      <x:c r="A2096" s="2" t="str">
        <x:v>Q8C9B9</x:v>
      </x:c>
      <x:c r="B2096" s="2" t="str">
        <x:v>ED</x:v>
      </x:c>
      <x:c r="C2096" s="2" t="n">
        <x:v>1</x:v>
      </x:c>
      <x:c r="D2096" s="2" t="n">
        <x:v>1</x:v>
      </x:c>
      <x:c r="E2096" s="10"/>
      <x:c r="F2096" s="11" t="n">
        <x:v>2256</x:v>
      </x:c>
      <x:c r="G2096" s="11" t="n">
        <x:v>1</x:v>
      </x:c>
      <x:c r="H2096" s="11" t="n">
        <x:v>0</x:v>
      </x:c>
      <x:c r="I2096" s="11" t="n">
        <x:v>0</x:v>
      </x:c>
      <x:c r="J2096" s="11" t="n">
        <x:v>0</x:v>
      </x:c>
      <x:c r="K2096" s="11" t="n">
        <x:v>0</x:v>
      </x:c>
      <x:c r="L2096" s="11" t="n">
        <x:f>IF(B2096="NED",1,IF(OR(B2096="ED",B2096="UN"),0,""))</x:f>
        <x:v>0</x:v>
      </x:c>
      <x:c r="M2096" s="11" t="n">
        <x:f>IF(AND(K2096=1,OR(B2096="ED",B2096="NED")),1,0)</x:f>
        <x:v>0</x:v>
      </x:c>
      <x:c r="N2096" s="11" t="n">
        <x:f>IF(K2096=1,1,0)</x:f>
        <x:v>0</x:v>
      </x:c>
      <x:c r="O2096" s="12" t="str">
        <x:v>Exclude supplied knotted proteins</x:v>
      </x:c>
      <x:c r="P2096" s="11" t="n">
        <x:v>0</x:v>
      </x:c>
      <x:c r="Q2096" s="12" t="str">
        <x:v>AF-Q8C9B9-F1-model_v6</x:v>
      </x:c>
      <x:c r="R2096" s="12" t="str">
        <x:v>ok</x:v>
      </x:c>
      <x:c r="S2096" s="11" t="n">
        <x:v>1609</x:v>
      </x:c>
      <x:c r="T2096" s="11" t="n">
        <x:v>2256</x:v>
      </x:c>
    </x:row>
    <x:row r="2097" ht="23" customHeight="1">
      <x:c r="A2097" s="2" t="str">
        <x:v>Q8C9S4</x:v>
      </x:c>
      <x:c r="B2097" s="2" t="str">
        <x:v>ED</x:v>
      </x:c>
      <x:c r="C2097" s="2" t="n">
        <x:v>0</x:v>
      </x:c>
      <x:c r="D2097" s="2" t="n">
        <x:v>0</x:v>
      </x:c>
      <x:c r="E2097" s="10" t="n">
        <x:v>72.42627044711014</x:v>
      </x:c>
      <x:c r="F2097" s="11" t="n">
        <x:v>917</x:v>
      </x:c>
      <x:c r="G2097" s="11" t="n">
        <x:v>0</x:v>
      </x:c>
      <x:c r="H2097" s="11" t="n">
        <x:v>0</x:v>
      </x:c>
      <x:c r="I2097" s="11" t="n">
        <x:v>0</x:v>
      </x:c>
      <x:c r="J2097" s="11" t="n">
        <x:v>0</x:v>
      </x:c>
      <x:c r="K2097" s="11" t="n">
        <x:v>1</x:v>
      </x:c>
      <x:c r="L2097" s="11" t="n">
        <x:f>IF(B2097="NED",1,IF(OR(B2097="ED",B2097="UN"),0,""))</x:f>
        <x:v>0</x:v>
      </x:c>
      <x:c r="M2097" s="11" t="n">
        <x:f>IF(AND(K2097=1,OR(B2097="ED",B2097="NED")),1,0)</x:f>
        <x:v>1</x:v>
      </x:c>
      <x:c r="N2097" s="11" t="n">
        <x:f>IF(K2097=1,1,0)</x:f>
        <x:v>1</x:v>
      </x:c>
      <x:c r="O2097" s="12"/>
      <x:c r="P2097" s="11" t="n">
        <x:v>0</x:v>
      </x:c>
      <x:c r="Q2097" s="12" t="str">
        <x:v>AF-Q8C9S4-F1-model_v6</x:v>
      </x:c>
      <x:c r="R2097" s="12" t="str">
        <x:v>ok</x:v>
      </x:c>
      <x:c r="S2097" s="11" t="n">
        <x:v>1610</x:v>
      </x:c>
      <x:c r="T2097" s="11" t="n">
        <x:v>917</x:v>
      </x:c>
    </x:row>
    <x:row r="2098" ht="23" customHeight="1">
      <x:c r="A2098" s="2" t="str">
        <x:v>Q8CAQ8-2</x:v>
      </x:c>
      <x:c r="B2098" s="2" t="str">
        <x:v>NED</x:v>
      </x:c>
      <x:c r="C2098" s="2"/>
      <x:c r="D2098" s="2"/>
      <x:c r="E2098" s="10"/>
      <x:c r="F2098" s="11"/>
      <x:c r="G2098" s="11" t="n">
        <x:v>0</x:v>
      </x:c>
      <x:c r="H2098" s="11" t="n">
        <x:v>0</x:v>
      </x:c>
      <x:c r="I2098" s="11"/>
      <x:c r="J2098" s="11"/>
      <x:c r="K2098" s="11" t="n">
        <x:v>0</x:v>
      </x:c>
      <x:c r="L2098" s="11" t="n">
        <x:f>IF(B2098="NED",1,IF(OR(B2098="ED",B2098="UN"),0,""))</x:f>
        <x:v>1</x:v>
      </x:c>
      <x:c r="M2098" s="11" t="n">
        <x:f>IF(AND(K2098=1,OR(B2098="ED",B2098="NED")),1,0)</x:f>
        <x:v>0</x:v>
      </x:c>
      <x:c r="N2098" s="11" t="n">
        <x:f>IF(K2098=1,1,0)</x:f>
        <x:v>0</x:v>
      </x:c>
      <x:c r="O2098" s="12" t="str">
        <x:v>Require exact native accession match</x:v>
      </x:c>
      <x:c r="P2098" s="11" t="n">
        <x:v>0</x:v>
      </x:c>
      <x:c r="Q2098" s="12"/>
      <x:c r="R2098" s="12"/>
      <x:c r="S2098" s="11" t="n">
        <x:v>1611</x:v>
      </x:c>
      <x:c r="T2098" s="11"/>
    </x:row>
    <x:row r="2099" ht="23" customHeight="1">
      <x:c r="A2099" s="2" t="str">
        <x:v>Q8CAS9-2</x:v>
      </x:c>
      <x:c r="B2099" s="2" t="str">
        <x:v>UN</x:v>
      </x:c>
      <x:c r="C2099" s="2"/>
      <x:c r="D2099" s="2"/>
      <x:c r="E2099" s="10"/>
      <x:c r="F2099" s="11"/>
      <x:c r="G2099" s="11" t="n">
        <x:v>0</x:v>
      </x:c>
      <x:c r="H2099" s="11" t="n">
        <x:v>0</x:v>
      </x:c>
      <x:c r="I2099" s="11"/>
      <x:c r="J2099" s="11"/>
      <x:c r="K2099" s="11" t="n">
        <x:v>0</x:v>
      </x:c>
      <x:c r="L2099" s="11" t="n">
        <x:f>IF(B2099="NED",1,IF(OR(B2099="ED",B2099="UN"),0,""))</x:f>
        <x:v>0</x:v>
      </x:c>
      <x:c r="M2099" s="11" t="n">
        <x:f>IF(AND(K2099=1,OR(B2099="ED",B2099="NED")),1,0)</x:f>
        <x:v>0</x:v>
      </x:c>
      <x:c r="N2099" s="11" t="n">
        <x:f>IF(K2099=1,1,0)</x:f>
        <x:v>0</x:v>
      </x:c>
      <x:c r="O2099" s="12" t="str">
        <x:v>Require exact native accession match</x:v>
      </x:c>
      <x:c r="P2099" s="11" t="n">
        <x:v>0</x:v>
      </x:c>
      <x:c r="Q2099" s="12"/>
      <x:c r="R2099" s="12"/>
      <x:c r="S2099" s="11" t="n">
        <x:v>1612</x:v>
      </x:c>
      <x:c r="T2099" s="11"/>
    </x:row>
    <x:row r="2100" ht="23" customHeight="1">
      <x:c r="A2100" s="2" t="str">
        <x:v>Q8CAY6</x:v>
      </x:c>
      <x:c r="B2100" s="2" t="str">
        <x:v>UN</x:v>
      </x:c>
      <x:c r="C2100" s="2" t="n">
        <x:v>1</x:v>
      </x:c>
      <x:c r="D2100" s="2" t="n">
        <x:v>1</x:v>
      </x:c>
      <x:c r="E2100" s="10" t="n">
        <x:v>97.46649874055414</x:v>
      </x:c>
      <x:c r="F2100" s="11" t="n">
        <x:v>397</x:v>
      </x:c>
      <x:c r="G2100" s="11" t="n">
        <x:v>0</x:v>
      </x:c>
      <x:c r="H2100" s="11" t="n">
        <x:v>0</x:v>
      </x:c>
      <x:c r="I2100" s="11" t="n">
        <x:v>0</x:v>
      </x:c>
      <x:c r="J2100" s="11" t="n">
        <x:v>0</x:v>
      </x:c>
      <x:c r="K2100" s="11" t="n">
        <x:v>1</x:v>
      </x:c>
      <x:c r="L2100" s="11" t="n">
        <x:f>IF(B2100="NED",1,IF(OR(B2100="ED",B2100="UN"),0,""))</x:f>
        <x:v>0</x:v>
      </x:c>
      <x:c r="M2100" s="11" t="n">
        <x:f>IF(AND(K2100=1,OR(B2100="ED",B2100="NED")),1,0)</x:f>
        <x:v>0</x:v>
      </x:c>
      <x:c r="N2100" s="11" t="n">
        <x:f>IF(K2100=1,1,0)</x:f>
        <x:v>1</x:v>
      </x:c>
      <x:c r="O2100" s="12"/>
      <x:c r="P2100" s="11" t="n">
        <x:v>0</x:v>
      </x:c>
      <x:c r="Q2100" s="12" t="str">
        <x:v>AF-Q8CAY6-F1-model_v6</x:v>
      </x:c>
      <x:c r="R2100" s="12" t="str">
        <x:v>ok</x:v>
      </x:c>
      <x:c r="S2100" s="11" t="n">
        <x:v>1613</x:v>
      </x:c>
      <x:c r="T2100" s="11" t="n">
        <x:v>397</x:v>
      </x:c>
    </x:row>
    <x:row r="2101" ht="23" customHeight="1">
      <x:c r="A2101" s="2" t="str">
        <x:v>Q8CBY1-3</x:v>
      </x:c>
      <x:c r="B2101" s="2" t="str">
        <x:v>ED</x:v>
      </x:c>
      <x:c r="C2101" s="2"/>
      <x:c r="D2101" s="2"/>
      <x:c r="E2101" s="10"/>
      <x:c r="F2101" s="11"/>
      <x:c r="G2101" s="11" t="n">
        <x:v>0</x:v>
      </x:c>
      <x:c r="H2101" s="11" t="n">
        <x:v>0</x:v>
      </x:c>
      <x:c r="I2101" s="11"/>
      <x:c r="J2101" s="11"/>
      <x:c r="K2101" s="11" t="n">
        <x:v>0</x:v>
      </x:c>
      <x:c r="L2101" s="11" t="n">
        <x:f>IF(B2101="NED",1,IF(OR(B2101="ED",B2101="UN"),0,""))</x:f>
        <x:v>0</x:v>
      </x:c>
      <x:c r="M2101" s="11" t="n">
        <x:f>IF(AND(K2101=1,OR(B2101="ED",B2101="NED")),1,0)</x:f>
        <x:v>0</x:v>
      </x:c>
      <x:c r="N2101" s="11" t="n">
        <x:f>IF(K2101=1,1,0)</x:f>
        <x:v>0</x:v>
      </x:c>
      <x:c r="O2101" s="12" t="str">
        <x:v>Require exact native accession match</x:v>
      </x:c>
      <x:c r="P2101" s="11" t="n">
        <x:v>0</x:v>
      </x:c>
      <x:c r="Q2101" s="12"/>
      <x:c r="R2101" s="12"/>
      <x:c r="S2101" s="11" t="n">
        <x:v>1614</x:v>
      </x:c>
      <x:c r="T2101" s="11"/>
    </x:row>
    <x:row r="2102" ht="23" customHeight="1">
      <x:c r="A2102" s="2" t="str">
        <x:v>Q8CBY8-2</x:v>
      </x:c>
      <x:c r="B2102" s="2" t="str">
        <x:v>NED</x:v>
      </x:c>
      <x:c r="C2102" s="2"/>
      <x:c r="D2102" s="2"/>
      <x:c r="E2102" s="10"/>
      <x:c r="F2102" s="11"/>
      <x:c r="G2102" s="11" t="n">
        <x:v>0</x:v>
      </x:c>
      <x:c r="H2102" s="11" t="n">
        <x:v>0</x:v>
      </x:c>
      <x:c r="I2102" s="11"/>
      <x:c r="J2102" s="11"/>
      <x:c r="K2102" s="11" t="n">
        <x:v>0</x:v>
      </x:c>
      <x:c r="L2102" s="11" t="n">
        <x:f>IF(B2102="NED",1,IF(OR(B2102="ED",B2102="UN"),0,""))</x:f>
        <x:v>1</x:v>
      </x:c>
      <x:c r="M2102" s="11" t="n">
        <x:f>IF(AND(K2102=1,OR(B2102="ED",B2102="NED")),1,0)</x:f>
        <x:v>0</x:v>
      </x:c>
      <x:c r="N2102" s="11" t="n">
        <x:f>IF(K2102=1,1,0)</x:f>
        <x:v>0</x:v>
      </x:c>
      <x:c r="O2102" s="12" t="str">
        <x:v>Require exact native accession match</x:v>
      </x:c>
      <x:c r="P2102" s="11" t="n">
        <x:v>0</x:v>
      </x:c>
      <x:c r="Q2102" s="12"/>
      <x:c r="R2102" s="12"/>
      <x:c r="S2102" s="11" t="n">
        <x:v>1615</x:v>
      </x:c>
      <x:c r="T2102" s="11"/>
    </x:row>
    <x:row r="2103" ht="23" customHeight="1">
      <x:c r="A2103" s="2" t="str">
        <x:v>Q8CC88-2</x:v>
      </x:c>
      <x:c r="B2103" s="2" t="str">
        <x:v>UN</x:v>
      </x:c>
      <x:c r="C2103" s="2"/>
      <x:c r="D2103" s="2"/>
      <x:c r="E2103" s="10"/>
      <x:c r="F2103" s="11"/>
      <x:c r="G2103" s="11" t="n">
        <x:v>0</x:v>
      </x:c>
      <x:c r="H2103" s="11" t="n">
        <x:v>0</x:v>
      </x:c>
      <x:c r="I2103" s="11"/>
      <x:c r="J2103" s="11"/>
      <x:c r="K2103" s="11" t="n">
        <x:v>0</x:v>
      </x:c>
      <x:c r="L2103" s="11" t="n">
        <x:f>IF(B2103="NED",1,IF(OR(B2103="ED",B2103="UN"),0,""))</x:f>
        <x:v>0</x:v>
      </x:c>
      <x:c r="M2103" s="11" t="n">
        <x:f>IF(AND(K2103=1,OR(B2103="ED",B2103="NED")),1,0)</x:f>
        <x:v>0</x:v>
      </x:c>
      <x:c r="N2103" s="11" t="n">
        <x:f>IF(K2103=1,1,0)</x:f>
        <x:v>0</x:v>
      </x:c>
      <x:c r="O2103" s="12" t="str">
        <x:v>Require exact native accession match</x:v>
      </x:c>
      <x:c r="P2103" s="11" t="n">
        <x:v>0</x:v>
      </x:c>
      <x:c r="Q2103" s="12"/>
      <x:c r="R2103" s="12"/>
      <x:c r="S2103" s="11" t="n">
        <x:v>1616</x:v>
      </x:c>
      <x:c r="T2103" s="11"/>
    </x:row>
    <x:row r="2104" ht="23" customHeight="1">
      <x:c r="A2104" s="2" t="str">
        <x:v>Q8CCF0-3</x:v>
      </x:c>
      <x:c r="B2104" s="2" t="str">
        <x:v>ED</x:v>
      </x:c>
      <x:c r="C2104" s="2"/>
      <x:c r="D2104" s="2"/>
      <x:c r="E2104" s="10"/>
      <x:c r="F2104" s="11"/>
      <x:c r="G2104" s="11" t="n">
        <x:v>0</x:v>
      </x:c>
      <x:c r="H2104" s="11" t="n">
        <x:v>0</x:v>
      </x:c>
      <x:c r="I2104" s="11"/>
      <x:c r="J2104" s="11"/>
      <x:c r="K2104" s="11" t="n">
        <x:v>0</x:v>
      </x:c>
      <x:c r="L2104" s="11" t="n">
        <x:f>IF(B2104="NED",1,IF(OR(B2104="ED",B2104="UN"),0,""))</x:f>
        <x:v>0</x:v>
      </x:c>
      <x:c r="M2104" s="11" t="n">
        <x:f>IF(AND(K2104=1,OR(B2104="ED",B2104="NED")),1,0)</x:f>
        <x:v>0</x:v>
      </x:c>
      <x:c r="N2104" s="11" t="n">
        <x:f>IF(K2104=1,1,0)</x:f>
        <x:v>0</x:v>
      </x:c>
      <x:c r="O2104" s="12" t="str">
        <x:v>Require exact native accession match</x:v>
      </x:c>
      <x:c r="P2104" s="11" t="n">
        <x:v>0</x:v>
      </x:c>
      <x:c r="Q2104" s="12"/>
      <x:c r="R2104" s="12"/>
      <x:c r="S2104" s="11" t="n">
        <x:v>1617</x:v>
      </x:c>
      <x:c r="T2104" s="11"/>
    </x:row>
    <x:row r="2105" ht="23" customHeight="1">
      <x:c r="A2105" s="2" t="str">
        <x:v>Q8CCH2</x:v>
      </x:c>
      <x:c r="B2105" s="2" t="str">
        <x:v>UN</x:v>
      </x:c>
      <x:c r="C2105" s="2" t="n">
        <x:v>1</x:v>
      </x:c>
      <x:c r="D2105" s="2" t="n">
        <x:v>1</x:v>
      </x:c>
      <x:c r="E2105" s="10" t="n">
        <x:v>89.62688760806915</x:v>
      </x:c>
      <x:c r="F2105" s="11" t="n">
        <x:v>347</x:v>
      </x:c>
      <x:c r="G2105" s="11" t="n">
        <x:v>0</x:v>
      </x:c>
      <x:c r="H2105" s="11" t="n">
        <x:v>0</x:v>
      </x:c>
      <x:c r="I2105" s="11" t="n">
        <x:v>0</x:v>
      </x:c>
      <x:c r="J2105" s="11" t="n">
        <x:v>0</x:v>
      </x:c>
      <x:c r="K2105" s="11" t="n">
        <x:v>1</x:v>
      </x:c>
      <x:c r="L2105" s="11" t="n">
        <x:f>IF(B2105="NED",1,IF(OR(B2105="ED",B2105="UN"),0,""))</x:f>
        <x:v>0</x:v>
      </x:c>
      <x:c r="M2105" s="11" t="n">
        <x:f>IF(AND(K2105=1,OR(B2105="ED",B2105="NED")),1,0)</x:f>
        <x:v>0</x:v>
      </x:c>
      <x:c r="N2105" s="11" t="n">
        <x:f>IF(K2105=1,1,0)</x:f>
        <x:v>1</x:v>
      </x:c>
      <x:c r="O2105" s="12"/>
      <x:c r="P2105" s="11" t="n">
        <x:v>0</x:v>
      </x:c>
      <x:c r="Q2105" s="12" t="str">
        <x:v>AF-Q8CCH2-F1-model_v6</x:v>
      </x:c>
      <x:c r="R2105" s="12" t="str">
        <x:v>ok</x:v>
      </x:c>
      <x:c r="S2105" s="11" t="n">
        <x:v>1618</x:v>
      </x:c>
      <x:c r="T2105" s="11" t="n">
        <x:v>347</x:v>
      </x:c>
    </x:row>
    <x:row r="2106" ht="23" customHeight="1">
      <x:c r="A2106" s="2" t="str">
        <x:v>Q8CCH7</x:v>
      </x:c>
      <x:c r="B2106" s="2" t="str">
        <x:v>UN</x:v>
      </x:c>
      <x:c r="C2106" s="2" t="n">
        <x:v>1</x:v>
      </x:c>
      <x:c r="D2106" s="2" t="n">
        <x:v>1</x:v>
      </x:c>
      <x:c r="E2106" s="10" t="n">
        <x:v>51.55106863596872</x:v>
      </x:c>
      <x:c r="F2106" s="11" t="n">
        <x:v>1151</x:v>
      </x:c>
      <x:c r="G2106" s="11" t="n">
        <x:v>0</x:v>
      </x:c>
      <x:c r="H2106" s="11" t="n">
        <x:v>0</x:v>
      </x:c>
      <x:c r="I2106" s="11" t="n">
        <x:v>0</x:v>
      </x:c>
      <x:c r="J2106" s="11" t="n">
        <x:v>0</x:v>
      </x:c>
      <x:c r="K2106" s="11" t="n">
        <x:v>0</x:v>
      </x:c>
      <x:c r="L2106" s="11" t="n">
        <x:f>IF(B2106="NED",1,IF(OR(B2106="ED",B2106="UN"),0,""))</x:f>
        <x:v>0</x:v>
      </x:c>
      <x:c r="M2106" s="11" t="n">
        <x:f>IF(AND(K2106=1,OR(B2106="ED",B2106="NED")),1,0)</x:f>
        <x:v>0</x:v>
      </x:c>
      <x:c r="N2106" s="11" t="n">
        <x:f>IF(K2106=1,1,0)</x:f>
        <x:v>0</x:v>
      </x:c>
      <x:c r="O2106" s="12" t="str">
        <x:v>Retain protein mean pLDDT &gt;=70</x:v>
      </x:c>
      <x:c r="P2106" s="11" t="n">
        <x:v>0</x:v>
      </x:c>
      <x:c r="Q2106" s="12" t="str">
        <x:v>AF-Q8CCH7-F1-model_v6</x:v>
      </x:c>
      <x:c r="R2106" s="12" t="str">
        <x:v>ok</x:v>
      </x:c>
      <x:c r="S2106" s="11" t="n">
        <x:v>1619</x:v>
      </x:c>
      <x:c r="T2106" s="11" t="n">
        <x:v>1151</x:v>
      </x:c>
    </x:row>
    <x:row r="2107" ht="23" customHeight="1">
      <x:c r="A2107" s="2" t="str">
        <x:v>Q8CCJ3</x:v>
      </x:c>
      <x:c r="B2107" s="2" t="str">
        <x:v>UN</x:v>
      </x:c>
      <x:c r="C2107" s="2" t="n">
        <x:v>1</x:v>
      </x:c>
      <x:c r="D2107" s="2" t="n">
        <x:v>1</x:v>
      </x:c>
      <x:c r="E2107" s="10"/>
      <x:c r="F2107" s="11" t="n">
        <x:v>793</x:v>
      </x:c>
      <x:c r="G2107" s="11" t="n">
        <x:v>0</x:v>
      </x:c>
      <x:c r="H2107" s="11" t="n">
        <x:v>0</x:v>
      </x:c>
      <x:c r="I2107" s="11" t="n">
        <x:v>1</x:v>
      </x:c>
      <x:c r="J2107" s="11" t="n">
        <x:v>0</x:v>
      </x:c>
      <x:c r="K2107" s="11" t="n">
        <x:v>0</x:v>
      </x:c>
      <x:c r="L2107" s="11" t="n">
        <x:f>IF(B2107="NED",1,IF(OR(B2107="ED",B2107="UN"),0,""))</x:f>
        <x:v>0</x:v>
      </x:c>
      <x:c r="M2107" s="11" t="n">
        <x:f>IF(AND(K2107=1,OR(B2107="ED",B2107="NED")),1,0)</x:f>
        <x:v>0</x:v>
      </x:c>
      <x:c r="N2107" s="11" t="n">
        <x:f>IF(K2107=1,1,0)</x:f>
        <x:v>0</x:v>
      </x:c>
      <x:c r="O2107" s="12" t="str">
        <x:v>Exclude UniProt Membrane keyword</x:v>
      </x:c>
      <x:c r="P2107" s="11" t="n">
        <x:v>0</x:v>
      </x:c>
      <x:c r="Q2107" s="12" t="str">
        <x:v>AF-Q8CCJ3-F1-model_v6</x:v>
      </x:c>
      <x:c r="R2107" s="12" t="str">
        <x:v>ok</x:v>
      </x:c>
      <x:c r="S2107" s="11" t="n">
        <x:v>1620</x:v>
      </x:c>
      <x:c r="T2107" s="11" t="n">
        <x:v>793</x:v>
      </x:c>
    </x:row>
    <x:row r="2108" ht="23" customHeight="1">
      <x:c r="A2108" s="2" t="str">
        <x:v>Q8CCS6-2</x:v>
      </x:c>
      <x:c r="B2108" s="2" t="str">
        <x:v>UN</x:v>
      </x:c>
      <x:c r="C2108" s="2"/>
      <x:c r="D2108" s="2"/>
      <x:c r="E2108" s="10"/>
      <x:c r="F2108" s="11"/>
      <x:c r="G2108" s="11" t="n">
        <x:v>0</x:v>
      </x:c>
      <x:c r="H2108" s="11" t="n">
        <x:v>0</x:v>
      </x:c>
      <x:c r="I2108" s="11"/>
      <x:c r="J2108" s="11"/>
      <x:c r="K2108" s="11" t="n">
        <x:v>0</x:v>
      </x:c>
      <x:c r="L2108" s="11" t="n">
        <x:f>IF(B2108="NED",1,IF(OR(B2108="ED",B2108="UN"),0,""))</x:f>
        <x:v>0</x:v>
      </x:c>
      <x:c r="M2108" s="11" t="n">
        <x:f>IF(AND(K2108=1,OR(B2108="ED",B2108="NED")),1,0)</x:f>
        <x:v>0</x:v>
      </x:c>
      <x:c r="N2108" s="11" t="n">
        <x:f>IF(K2108=1,1,0)</x:f>
        <x:v>0</x:v>
      </x:c>
      <x:c r="O2108" s="12" t="str">
        <x:v>Require exact native accession match</x:v>
      </x:c>
      <x:c r="P2108" s="11" t="n">
        <x:v>0</x:v>
      </x:c>
      <x:c r="Q2108" s="12"/>
      <x:c r="R2108" s="12"/>
      <x:c r="S2108" s="11" t="n">
        <x:v>1621</x:v>
      </x:c>
      <x:c r="T2108" s="11"/>
    </x:row>
    <x:row r="2109" ht="23" customHeight="1">
      <x:c r="A2109" s="2" t="str">
        <x:v>Q8CD15</x:v>
      </x:c>
      <x:c r="B2109" s="2" t="str">
        <x:v>UN</x:v>
      </x:c>
      <x:c r="C2109" s="2" t="n">
        <x:v>1</x:v>
      </x:c>
      <x:c r="D2109" s="2" t="n">
        <x:v>1</x:v>
      </x:c>
      <x:c r="E2109" s="10" t="n">
        <x:v>88.69122580645161</x:v>
      </x:c>
      <x:c r="F2109" s="11" t="n">
        <x:v>465</x:v>
      </x:c>
      <x:c r="G2109" s="11" t="n">
        <x:v>0</x:v>
      </x:c>
      <x:c r="H2109" s="11" t="n">
        <x:v>0</x:v>
      </x:c>
      <x:c r="I2109" s="11" t="n">
        <x:v>0</x:v>
      </x:c>
      <x:c r="J2109" s="11" t="n">
        <x:v>0</x:v>
      </x:c>
      <x:c r="K2109" s="11" t="n">
        <x:v>1</x:v>
      </x:c>
      <x:c r="L2109" s="11" t="n">
        <x:f>IF(B2109="NED",1,IF(OR(B2109="ED",B2109="UN"),0,""))</x:f>
        <x:v>0</x:v>
      </x:c>
      <x:c r="M2109" s="11" t="n">
        <x:f>IF(AND(K2109=1,OR(B2109="ED",B2109="NED")),1,0)</x:f>
        <x:v>0</x:v>
      </x:c>
      <x:c r="N2109" s="11" t="n">
        <x:f>IF(K2109=1,1,0)</x:f>
        <x:v>1</x:v>
      </x:c>
      <x:c r="O2109" s="12"/>
      <x:c r="P2109" s="11" t="n">
        <x:v>0</x:v>
      </x:c>
      <x:c r="Q2109" s="12" t="str">
        <x:v>AF-Q8CD15-F1-model_v6</x:v>
      </x:c>
      <x:c r="R2109" s="12" t="str">
        <x:v>ok</x:v>
      </x:c>
      <x:c r="S2109" s="11" t="n">
        <x:v>1622</x:v>
      </x:c>
      <x:c r="T2109" s="11" t="n">
        <x:v>465</x:v>
      </x:c>
    </x:row>
    <x:row r="2110" ht="23" customHeight="1">
      <x:c r="A2110" s="2" t="str">
        <x:v>Q8CDG3</x:v>
      </x:c>
      <x:c r="B2110" s="2" t="str">
        <x:v>ED</x:v>
      </x:c>
      <x:c r="C2110" s="2" t="n">
        <x:v>1</x:v>
      </x:c>
      <x:c r="D2110" s="2" t="n">
        <x:v>1</x:v>
      </x:c>
      <x:c r="E2110" s="10" t="n">
        <x:v>69.74146721311475</x:v>
      </x:c>
      <x:c r="F2110" s="11" t="n">
        <x:v>1220</x:v>
      </x:c>
      <x:c r="G2110" s="11" t="n">
        <x:v>0</x:v>
      </x:c>
      <x:c r="H2110" s="11" t="n">
        <x:v>0</x:v>
      </x:c>
      <x:c r="I2110" s="11" t="n">
        <x:v>0</x:v>
      </x:c>
      <x:c r="J2110" s="11" t="n">
        <x:v>0</x:v>
      </x:c>
      <x:c r="K2110" s="11" t="n">
        <x:v>0</x:v>
      </x:c>
      <x:c r="L2110" s="11" t="n">
        <x:f>IF(B2110="NED",1,IF(OR(B2110="ED",B2110="UN"),0,""))</x:f>
        <x:v>0</x:v>
      </x:c>
      <x:c r="M2110" s="11" t="n">
        <x:f>IF(AND(K2110=1,OR(B2110="ED",B2110="NED")),1,0)</x:f>
        <x:v>0</x:v>
      </x:c>
      <x:c r="N2110" s="11" t="n">
        <x:f>IF(K2110=1,1,0)</x:f>
        <x:v>0</x:v>
      </x:c>
      <x:c r="O2110" s="12" t="str">
        <x:v>Retain protein mean pLDDT &gt;=70</x:v>
      </x:c>
      <x:c r="P2110" s="11" t="n">
        <x:v>0</x:v>
      </x:c>
      <x:c r="Q2110" s="12" t="str">
        <x:v>AF-Q8CDG3-F1-model_v6</x:v>
      </x:c>
      <x:c r="R2110" s="12" t="str">
        <x:v>ok</x:v>
      </x:c>
      <x:c r="S2110" s="11" t="n">
        <x:v>1623</x:v>
      </x:c>
      <x:c r="T2110" s="11" t="n">
        <x:v>1220</x:v>
      </x:c>
    </x:row>
    <x:row r="2111" ht="23" customHeight="1">
      <x:c r="A2111" s="2" t="str">
        <x:v>Q8CDJ8</x:v>
      </x:c>
      <x:c r="B2111" s="2" t="str">
        <x:v>ED</x:v>
      </x:c>
      <x:c r="C2111" s="2" t="n">
        <x:v>1</x:v>
      </x:c>
      <x:c r="D2111" s="2" t="n">
        <x:v>1</x:v>
      </x:c>
      <x:c r="E2111" s="10"/>
      <x:c r="F2111" s="11" t="n">
        <x:v>730</x:v>
      </x:c>
      <x:c r="G2111" s="11" t="n">
        <x:v>0</x:v>
      </x:c>
      <x:c r="H2111" s="11" t="n">
        <x:v>0</x:v>
      </x:c>
      <x:c r="I2111" s="11" t="n">
        <x:v>1</x:v>
      </x:c>
      <x:c r="J2111" s="11" t="n">
        <x:v>0</x:v>
      </x:c>
      <x:c r="K2111" s="11" t="n">
        <x:v>0</x:v>
      </x:c>
      <x:c r="L2111" s="11" t="n">
        <x:f>IF(B2111="NED",1,IF(OR(B2111="ED",B2111="UN"),0,""))</x:f>
        <x:v>0</x:v>
      </x:c>
      <x:c r="M2111" s="11" t="n">
        <x:f>IF(AND(K2111=1,OR(B2111="ED",B2111="NED")),1,0)</x:f>
        <x:v>0</x:v>
      </x:c>
      <x:c r="N2111" s="11" t="n">
        <x:f>IF(K2111=1,1,0)</x:f>
        <x:v>0</x:v>
      </x:c>
      <x:c r="O2111" s="12" t="str">
        <x:v>Exclude UniProt Membrane keyword</x:v>
      </x:c>
      <x:c r="P2111" s="11" t="n">
        <x:v>0</x:v>
      </x:c>
      <x:c r="Q2111" s="12" t="str">
        <x:v>AF-Q8CDJ8-F1-model_v6</x:v>
      </x:c>
      <x:c r="R2111" s="12" t="str">
        <x:v>ok</x:v>
      </x:c>
      <x:c r="S2111" s="11" t="n">
        <x:v>1624</x:v>
      </x:c>
      <x:c r="T2111" s="11" t="n">
        <x:v>730</x:v>
      </x:c>
    </x:row>
    <x:row r="2112" ht="23" customHeight="1">
      <x:c r="A2112" s="2" t="str">
        <x:v>Q8CDM8</x:v>
      </x:c>
      <x:c r="B2112" s="2" t="str">
        <x:v>ED</x:v>
      </x:c>
      <x:c r="C2112" s="2" t="n">
        <x:v>1</x:v>
      </x:c>
      <x:c r="D2112" s="2" t="n">
        <x:v>1</x:v>
      </x:c>
      <x:c r="E2112" s="10"/>
      <x:c r="F2112" s="11" t="n">
        <x:v>764</x:v>
      </x:c>
      <x:c r="G2112" s="11" t="n">
        <x:v>1</x:v>
      </x:c>
      <x:c r="H2112" s="11" t="n">
        <x:v>0</x:v>
      </x:c>
      <x:c r="I2112" s="11" t="n">
        <x:v>0</x:v>
      </x:c>
      <x:c r="J2112" s="11" t="n">
        <x:v>0</x:v>
      </x:c>
      <x:c r="K2112" s="11" t="n">
        <x:v>0</x:v>
      </x:c>
      <x:c r="L2112" s="11" t="n">
        <x:f>IF(B2112="NED",1,IF(OR(B2112="ED",B2112="UN"),0,""))</x:f>
        <x:v>0</x:v>
      </x:c>
      <x:c r="M2112" s="11" t="n">
        <x:f>IF(AND(K2112=1,OR(B2112="ED",B2112="NED")),1,0)</x:f>
        <x:v>0</x:v>
      </x:c>
      <x:c r="N2112" s="11" t="n">
        <x:f>IF(K2112=1,1,0)</x:f>
        <x:v>0</x:v>
      </x:c>
      <x:c r="O2112" s="12" t="str">
        <x:v>Exclude supplied knotted proteins</x:v>
      </x:c>
      <x:c r="P2112" s="11" t="n">
        <x:v>0</x:v>
      </x:c>
      <x:c r="Q2112" s="12" t="str">
        <x:v>AF-Q8CDM8-F1-model_v6</x:v>
      </x:c>
      <x:c r="R2112" s="12" t="str">
        <x:v>ok</x:v>
      </x:c>
      <x:c r="S2112" s="11" t="n">
        <x:v>1625</x:v>
      </x:c>
      <x:c r="T2112" s="11" t="n">
        <x:v>764</x:v>
      </x:c>
    </x:row>
    <x:row r="2113" ht="23" customHeight="1">
      <x:c r="A2113" s="2" t="str">
        <x:v>Q8CDN6</x:v>
      </x:c>
      <x:c r="B2113" s="2" t="str">
        <x:v>UN</x:v>
      </x:c>
      <x:c r="C2113" s="2" t="n">
        <x:v>1</x:v>
      </x:c>
      <x:c r="D2113" s="2" t="n">
        <x:v>1</x:v>
      </x:c>
      <x:c r="E2113" s="10" t="n">
        <x:v>91.52913494809688</x:v>
      </x:c>
      <x:c r="F2113" s="11" t="n">
        <x:v>289</x:v>
      </x:c>
      <x:c r="G2113" s="11" t="n">
        <x:v>0</x:v>
      </x:c>
      <x:c r="H2113" s="11" t="n">
        <x:v>0</x:v>
      </x:c>
      <x:c r="I2113" s="11" t="n">
        <x:v>0</x:v>
      </x:c>
      <x:c r="J2113" s="11" t="n">
        <x:v>0</x:v>
      </x:c>
      <x:c r="K2113" s="11" t="n">
        <x:v>1</x:v>
      </x:c>
      <x:c r="L2113" s="11" t="n">
        <x:f>IF(B2113="NED",1,IF(OR(B2113="ED",B2113="UN"),0,""))</x:f>
        <x:v>0</x:v>
      </x:c>
      <x:c r="M2113" s="11" t="n">
        <x:f>IF(AND(K2113=1,OR(B2113="ED",B2113="NED")),1,0)</x:f>
        <x:v>0</x:v>
      </x:c>
      <x:c r="N2113" s="11" t="n">
        <x:f>IF(K2113=1,1,0)</x:f>
        <x:v>1</x:v>
      </x:c>
      <x:c r="O2113" s="12"/>
      <x:c r="P2113" s="11" t="n">
        <x:v>0</x:v>
      </x:c>
      <x:c r="Q2113" s="12" t="str">
        <x:v>AF-Q8CDN6-F1-model_v6</x:v>
      </x:c>
      <x:c r="R2113" s="12" t="str">
        <x:v>ok</x:v>
      </x:c>
      <x:c r="S2113" s="11" t="n">
        <x:v>1626</x:v>
      </x:c>
      <x:c r="T2113" s="11" t="n">
        <x:v>289</x:v>
      </x:c>
    </x:row>
    <x:row r="2114" ht="23" customHeight="1">
      <x:c r="A2114" s="2" t="str">
        <x:v>Q8CE33</x:v>
      </x:c>
      <x:c r="B2114" s="2" t="str">
        <x:v>ED</x:v>
      </x:c>
      <x:c r="C2114" s="2" t="n">
        <x:v>1</x:v>
      </x:c>
      <x:c r="D2114" s="2" t="n">
        <x:v>1</x:v>
      </x:c>
      <x:c r="E2114" s="10" t="n">
        <x:v>81.76228490832158</x:v>
      </x:c>
      <x:c r="F2114" s="11" t="n">
        <x:v>709</x:v>
      </x:c>
      <x:c r="G2114" s="11" t="n">
        <x:v>0</x:v>
      </x:c>
      <x:c r="H2114" s="11" t="n">
        <x:v>0</x:v>
      </x:c>
      <x:c r="I2114" s="11" t="n">
        <x:v>0</x:v>
      </x:c>
      <x:c r="J2114" s="11" t="n">
        <x:v>0</x:v>
      </x:c>
      <x:c r="K2114" s="11" t="n">
        <x:v>1</x:v>
      </x:c>
      <x:c r="L2114" s="11" t="n">
        <x:f>IF(B2114="NED",1,IF(OR(B2114="ED",B2114="UN"),0,""))</x:f>
        <x:v>0</x:v>
      </x:c>
      <x:c r="M2114" s="11" t="n">
        <x:f>IF(AND(K2114=1,OR(B2114="ED",B2114="NED")),1,0)</x:f>
        <x:v>1</x:v>
      </x:c>
      <x:c r="N2114" s="11" t="n">
        <x:f>IF(K2114=1,1,0)</x:f>
        <x:v>1</x:v>
      </x:c>
      <x:c r="O2114" s="12"/>
      <x:c r="P2114" s="11" t="n">
        <x:v>0</x:v>
      </x:c>
      <x:c r="Q2114" s="12" t="str">
        <x:v>AF-Q8CE33-F1-model_v6</x:v>
      </x:c>
      <x:c r="R2114" s="12" t="str">
        <x:v>ok</x:v>
      </x:c>
      <x:c r="S2114" s="11" t="n">
        <x:v>1627</x:v>
      </x:c>
      <x:c r="T2114" s="11" t="n">
        <x:v>709</x:v>
      </x:c>
    </x:row>
    <x:row r="2115" ht="23" customHeight="1">
      <x:c r="A2115" s="2" t="str">
        <x:v>Q8CE46</x:v>
      </x:c>
      <x:c r="B2115" s="2" t="str">
        <x:v>ED</x:v>
      </x:c>
      <x:c r="C2115" s="2" t="n">
        <x:v>1</x:v>
      </x:c>
      <x:c r="D2115" s="2" t="n">
        <x:v>1</x:v>
      </x:c>
      <x:c r="E2115" s="10" t="n">
        <x:v>78.55653846153847</x:v>
      </x:c>
      <x:c r="F2115" s="11" t="n">
        <x:v>702</x:v>
      </x:c>
      <x:c r="G2115" s="11" t="n">
        <x:v>0</x:v>
      </x:c>
      <x:c r="H2115" s="11" t="n">
        <x:v>0</x:v>
      </x:c>
      <x:c r="I2115" s="11" t="n">
        <x:v>0</x:v>
      </x:c>
      <x:c r="J2115" s="11" t="n">
        <x:v>0</x:v>
      </x:c>
      <x:c r="K2115" s="11" t="n">
        <x:v>1</x:v>
      </x:c>
      <x:c r="L2115" s="11" t="n">
        <x:f>IF(B2115="NED",1,IF(OR(B2115="ED",B2115="UN"),0,""))</x:f>
        <x:v>0</x:v>
      </x:c>
      <x:c r="M2115" s="11" t="n">
        <x:f>IF(AND(K2115=1,OR(B2115="ED",B2115="NED")),1,0)</x:f>
        <x:v>1</x:v>
      </x:c>
      <x:c r="N2115" s="11" t="n">
        <x:f>IF(K2115=1,1,0)</x:f>
        <x:v>1</x:v>
      </x:c>
      <x:c r="O2115" s="12"/>
      <x:c r="P2115" s="11" t="n">
        <x:v>0</x:v>
      </x:c>
      <x:c r="Q2115" s="12" t="str">
        <x:v>AF-Q8CE46-F1-model_v6</x:v>
      </x:c>
      <x:c r="R2115" s="12" t="str">
        <x:v>ok</x:v>
      </x:c>
      <x:c r="S2115" s="11" t="n">
        <x:v>1628</x:v>
      </x:c>
      <x:c r="T2115" s="11" t="n">
        <x:v>702</x:v>
      </x:c>
    </x:row>
    <x:row r="2116" ht="23" customHeight="1">
      <x:c r="A2116" s="2" t="str">
        <x:v>Q8CEC0-3</x:v>
      </x:c>
      <x:c r="B2116" s="2" t="str">
        <x:v>UN</x:v>
      </x:c>
      <x:c r="C2116" s="2"/>
      <x:c r="D2116" s="2"/>
      <x:c r="E2116" s="10"/>
      <x:c r="F2116" s="11"/>
      <x:c r="G2116" s="11" t="n">
        <x:v>0</x:v>
      </x:c>
      <x:c r="H2116" s="11" t="n">
        <x:v>0</x:v>
      </x:c>
      <x:c r="I2116" s="11"/>
      <x:c r="J2116" s="11"/>
      <x:c r="K2116" s="11" t="n">
        <x:v>0</x:v>
      </x:c>
      <x:c r="L2116" s="11" t="n">
        <x:f>IF(B2116="NED",1,IF(OR(B2116="ED",B2116="UN"),0,""))</x:f>
        <x:v>0</x:v>
      </x:c>
      <x:c r="M2116" s="11" t="n">
        <x:f>IF(AND(K2116=1,OR(B2116="ED",B2116="NED")),1,0)</x:f>
        <x:v>0</x:v>
      </x:c>
      <x:c r="N2116" s="11" t="n">
        <x:f>IF(K2116=1,1,0)</x:f>
        <x:v>0</x:v>
      </x:c>
      <x:c r="O2116" s="12" t="str">
        <x:v>Require exact native accession match</x:v>
      </x:c>
      <x:c r="P2116" s="11" t="n">
        <x:v>0</x:v>
      </x:c>
      <x:c r="Q2116" s="12"/>
      <x:c r="R2116" s="12"/>
      <x:c r="S2116" s="11" t="n">
        <x:v>1629</x:v>
      </x:c>
      <x:c r="T2116" s="11"/>
    </x:row>
    <x:row r="2117" ht="23" customHeight="1">
      <x:c r="A2117" s="2" t="str">
        <x:v>Q8CFB8</x:v>
      </x:c>
      <x:c r="B2117" s="2" t="str">
        <x:v>UN</x:v>
      </x:c>
      <x:c r="C2117" s="2"/>
      <x:c r="D2117" s="2"/>
      <x:c r="E2117" s="10"/>
      <x:c r="F2117" s="11"/>
      <x:c r="G2117" s="11" t="n">
        <x:v>0</x:v>
      </x:c>
      <x:c r="H2117" s="11" t="n">
        <x:v>0</x:v>
      </x:c>
      <x:c r="I2117" s="11"/>
      <x:c r="J2117" s="11"/>
      <x:c r="K2117" s="11" t="n">
        <x:v>0</x:v>
      </x:c>
      <x:c r="L2117" s="11" t="n">
        <x:f>IF(B2117="NED",1,IF(OR(B2117="ED",B2117="UN"),0,""))</x:f>
        <x:v>0</x:v>
      </x:c>
      <x:c r="M2117" s="11" t="n">
        <x:f>IF(AND(K2117=1,OR(B2117="ED",B2117="NED")),1,0)</x:f>
        <x:v>0</x:v>
      </x:c>
      <x:c r="N2117" s="11" t="n">
        <x:f>IF(K2117=1,1,0)</x:f>
        <x:v>0</x:v>
      </x:c>
      <x:c r="O2117" s="12" t="str">
        <x:v>Require exact native accession match</x:v>
      </x:c>
      <x:c r="P2117" s="11" t="n">
        <x:v>0</x:v>
      </x:c>
      <x:c r="Q2117" s="12"/>
      <x:c r="R2117" s="12"/>
      <x:c r="S2117" s="11" t="n">
        <x:v>3230</x:v>
      </x:c>
      <x:c r="T2117" s="11"/>
    </x:row>
    <x:row r="2118" ht="23" customHeight="1">
      <x:c r="A2118" s="2" t="str">
        <x:v>Q8CFD4</x:v>
      </x:c>
      <x:c r="B2118" s="2" t="str">
        <x:v>ED</x:v>
      </x:c>
      <x:c r="C2118" s="2" t="n">
        <x:v>1</x:v>
      </x:c>
      <x:c r="D2118" s="2" t="n">
        <x:v>1</x:v>
      </x:c>
      <x:c r="E2118" s="10"/>
      <x:c r="F2118" s="11" t="n">
        <x:v>459</x:v>
      </x:c>
      <x:c r="G2118" s="11" t="n">
        <x:v>0</x:v>
      </x:c>
      <x:c r="H2118" s="11" t="n">
        <x:v>0</x:v>
      </x:c>
      <x:c r="I2118" s="11" t="n">
        <x:v>1</x:v>
      </x:c>
      <x:c r="J2118" s="11" t="n">
        <x:v>0</x:v>
      </x:c>
      <x:c r="K2118" s="11" t="n">
        <x:v>0</x:v>
      </x:c>
      <x:c r="L2118" s="11" t="n">
        <x:f>IF(B2118="NED",1,IF(OR(B2118="ED",B2118="UN"),0,""))</x:f>
        <x:v>0</x:v>
      </x:c>
      <x:c r="M2118" s="11" t="n">
        <x:f>IF(AND(K2118=1,OR(B2118="ED",B2118="NED")),1,0)</x:f>
        <x:v>0</x:v>
      </x:c>
      <x:c r="N2118" s="11" t="n">
        <x:f>IF(K2118=1,1,0)</x:f>
        <x:v>0</x:v>
      </x:c>
      <x:c r="O2118" s="12" t="str">
        <x:v>Exclude UniProt Membrane keyword</x:v>
      </x:c>
      <x:c r="P2118" s="11" t="n">
        <x:v>0</x:v>
      </x:c>
      <x:c r="Q2118" s="12" t="str">
        <x:v>AF-Q8CFD4-F1-model_v6</x:v>
      </x:c>
      <x:c r="R2118" s="12" t="str">
        <x:v>ok</x:v>
      </x:c>
      <x:c r="S2118" s="11" t="n">
        <x:v>1630</x:v>
      </x:c>
      <x:c r="T2118" s="11" t="n">
        <x:v>459</x:v>
      </x:c>
    </x:row>
    <x:row r="2119" ht="23" customHeight="1">
      <x:c r="A2119" s="2" t="str">
        <x:v>Q8CFI0-3</x:v>
      </x:c>
      <x:c r="B2119" s="2" t="str">
        <x:v>UN</x:v>
      </x:c>
      <x:c r="C2119" s="2"/>
      <x:c r="D2119" s="2"/>
      <x:c r="E2119" s="10"/>
      <x:c r="F2119" s="11"/>
      <x:c r="G2119" s="11" t="n">
        <x:v>0</x:v>
      </x:c>
      <x:c r="H2119" s="11" t="n">
        <x:v>0</x:v>
      </x:c>
      <x:c r="I2119" s="11"/>
      <x:c r="J2119" s="11"/>
      <x:c r="K2119" s="11" t="n">
        <x:v>0</x:v>
      </x:c>
      <x:c r="L2119" s="11" t="n">
        <x:f>IF(B2119="NED",1,IF(OR(B2119="ED",B2119="UN"),0,""))</x:f>
        <x:v>0</x:v>
      </x:c>
      <x:c r="M2119" s="11" t="n">
        <x:f>IF(AND(K2119=1,OR(B2119="ED",B2119="NED")),1,0)</x:f>
        <x:v>0</x:v>
      </x:c>
      <x:c r="N2119" s="11" t="n">
        <x:f>IF(K2119=1,1,0)</x:f>
        <x:v>0</x:v>
      </x:c>
      <x:c r="O2119" s="12" t="str">
        <x:v>Require exact native accession match</x:v>
      </x:c>
      <x:c r="P2119" s="11" t="n">
        <x:v>0</x:v>
      </x:c>
      <x:c r="Q2119" s="12"/>
      <x:c r="R2119" s="12"/>
      <x:c r="S2119" s="11" t="n">
        <x:v>1631</x:v>
      </x:c>
      <x:c r="T2119" s="11"/>
    </x:row>
    <x:row r="2120" ht="23" customHeight="1">
      <x:c r="A2120" s="2" t="str">
        <x:v>Q8CFI7</x:v>
      </x:c>
      <x:c r="B2120" s="2" t="str">
        <x:v>NED</x:v>
      </x:c>
      <x:c r="C2120" s="2" t="n">
        <x:v>1</x:v>
      </x:c>
      <x:c r="D2120" s="2" t="n">
        <x:v>1</x:v>
      </x:c>
      <x:c r="E2120" s="10" t="n">
        <x:v>90.11057069846676</x:v>
      </x:c>
      <x:c r="F2120" s="11" t="n">
        <x:v>1174</x:v>
      </x:c>
      <x:c r="G2120" s="11" t="n">
        <x:v>0</x:v>
      </x:c>
      <x:c r="H2120" s="11" t="n">
        <x:v>0</x:v>
      </x:c>
      <x:c r="I2120" s="11" t="n">
        <x:v>0</x:v>
      </x:c>
      <x:c r="J2120" s="11" t="n">
        <x:v>0</x:v>
      </x:c>
      <x:c r="K2120" s="11" t="n">
        <x:v>1</x:v>
      </x:c>
      <x:c r="L2120" s="11" t="n">
        <x:f>IF(B2120="NED",1,IF(OR(B2120="ED",B2120="UN"),0,""))</x:f>
        <x:v>1</x:v>
      </x:c>
      <x:c r="M2120" s="11" t="n">
        <x:f>IF(AND(K2120=1,OR(B2120="ED",B2120="NED")),1,0)</x:f>
        <x:v>1</x:v>
      </x:c>
      <x:c r="N2120" s="11" t="n">
        <x:f>IF(K2120=1,1,0)</x:f>
        <x:v>1</x:v>
      </x:c>
      <x:c r="O2120" s="12"/>
      <x:c r="P2120" s="11" t="n">
        <x:v>0</x:v>
      </x:c>
      <x:c r="Q2120" s="12" t="str">
        <x:v>AF-Q8CFI7-F1-model_v6</x:v>
      </x:c>
      <x:c r="R2120" s="12" t="str">
        <x:v>ok</x:v>
      </x:c>
      <x:c r="S2120" s="11" t="n">
        <x:v>1632</x:v>
      </x:c>
      <x:c r="T2120" s="11" t="n">
        <x:v>1174</x:v>
      </x:c>
    </x:row>
    <x:row r="2121" ht="23" customHeight="1">
      <x:c r="A2121" s="2" t="str">
        <x:v>Q8CFQ9</x:v>
      </x:c>
      <x:c r="B2121" s="2" t="str">
        <x:v>ED</x:v>
      </x:c>
      <x:c r="C2121" s="2"/>
      <x:c r="D2121" s="2"/>
      <x:c r="E2121" s="10"/>
      <x:c r="F2121" s="11"/>
      <x:c r="G2121" s="11" t="n">
        <x:v>0</x:v>
      </x:c>
      <x:c r="H2121" s="11" t="n">
        <x:v>0</x:v>
      </x:c>
      <x:c r="I2121" s="11" t="n">
        <x:v>0</x:v>
      </x:c>
      <x:c r="J2121" s="11" t="n">
        <x:v>0</x:v>
      </x:c>
      <x:c r="K2121" s="11" t="n">
        <x:v>0</x:v>
      </x:c>
      <x:c r="L2121" s="11" t="n">
        <x:f>IF(B2121="NED",1,IF(OR(B2121="ED",B2121="UN"),0,""))</x:f>
        <x:v>0</x:v>
      </x:c>
      <x:c r="M2121" s="11" t="n">
        <x:f>IF(AND(K2121=1,OR(B2121="ED",B2121="NED")),1,0)</x:f>
        <x:v>0</x:v>
      </x:c>
      <x:c r="N2121" s="11" t="n">
        <x:f>IF(K2121=1,1,0)</x:f>
        <x:v>0</x:v>
      </x:c>
      <x:c r="O2121" s="12" t="str">
        <x:v>Require exact native accession match</x:v>
      </x:c>
      <x:c r="P2121" s="11" t="n">
        <x:v>0</x:v>
      </x:c>
      <x:c r="Q2121" s="12"/>
      <x:c r="R2121" s="12"/>
      <x:c r="S2121" s="11" t="n">
        <x:v>3231</x:v>
      </x:c>
      <x:c r="T2121" s="11" t="n">
        <x:v>517</x:v>
      </x:c>
    </x:row>
    <x:row r="2122" ht="23" customHeight="1">
      <x:c r="A2122" s="2" t="str">
        <x:v>Q8CFV9</x:v>
      </x:c>
      <x:c r="B2122" s="2" t="str">
        <x:v>UN</x:v>
      </x:c>
      <x:c r="C2122" s="2" t="n">
        <x:v>1</x:v>
      </x:c>
      <x:c r="D2122" s="2" t="n">
        <x:v>1</x:v>
      </x:c>
      <x:c r="E2122" s="10" t="n">
        <x:v>90.52335483870968</x:v>
      </x:c>
      <x:c r="F2122" s="11" t="n">
        <x:v>155</x:v>
      </x:c>
      <x:c r="G2122" s="11" t="n">
        <x:v>0</x:v>
      </x:c>
      <x:c r="H2122" s="11" t="n">
        <x:v>0</x:v>
      </x:c>
      <x:c r="I2122" s="11" t="n">
        <x:v>0</x:v>
      </x:c>
      <x:c r="J2122" s="11" t="n">
        <x:v>0</x:v>
      </x:c>
      <x:c r="K2122" s="11" t="n">
        <x:v>1</x:v>
      </x:c>
      <x:c r="L2122" s="11" t="n">
        <x:f>IF(B2122="NED",1,IF(OR(B2122="ED",B2122="UN"),0,""))</x:f>
        <x:v>0</x:v>
      </x:c>
      <x:c r="M2122" s="11" t="n">
        <x:f>IF(AND(K2122=1,OR(B2122="ED",B2122="NED")),1,0)</x:f>
        <x:v>0</x:v>
      </x:c>
      <x:c r="N2122" s="11" t="n">
        <x:f>IF(K2122=1,1,0)</x:f>
        <x:v>1</x:v>
      </x:c>
      <x:c r="O2122" s="12"/>
      <x:c r="P2122" s="11" t="n">
        <x:v>0</x:v>
      </x:c>
      <x:c r="Q2122" s="12" t="str">
        <x:v>AF-Q8CFV9-F1-model_v6</x:v>
      </x:c>
      <x:c r="R2122" s="12" t="str">
        <x:v>ok</x:v>
      </x:c>
      <x:c r="S2122" s="11" t="n">
        <x:v>1633</x:v>
      </x:c>
      <x:c r="T2122" s="11" t="n">
        <x:v>155</x:v>
      </x:c>
    </x:row>
    <x:row r="2123" ht="23" customHeight="1">
      <x:c r="A2123" s="2" t="str">
        <x:v>Q8CFX1</x:v>
      </x:c>
      <x:c r="B2123" s="2" t="str">
        <x:v>UN</x:v>
      </x:c>
      <x:c r="C2123" s="2" t="n">
        <x:v>1</x:v>
      </x:c>
      <x:c r="D2123" s="2" t="n">
        <x:v>1</x:v>
      </x:c>
      <x:c r="E2123" s="10" t="n">
        <x:v>90.3859442332066</x:v>
      </x:c>
      <x:c r="F2123" s="11" t="n">
        <x:v>789</x:v>
      </x:c>
      <x:c r="G2123" s="11" t="n">
        <x:v>0</x:v>
      </x:c>
      <x:c r="H2123" s="11" t="n">
        <x:v>0</x:v>
      </x:c>
      <x:c r="I2123" s="11" t="n">
        <x:v>0</x:v>
      </x:c>
      <x:c r="J2123" s="11" t="n">
        <x:v>0</x:v>
      </x:c>
      <x:c r="K2123" s="11" t="n">
        <x:v>1</x:v>
      </x:c>
      <x:c r="L2123" s="11" t="n">
        <x:f>IF(B2123="NED",1,IF(OR(B2123="ED",B2123="UN"),0,""))</x:f>
        <x:v>0</x:v>
      </x:c>
      <x:c r="M2123" s="11" t="n">
        <x:f>IF(AND(K2123=1,OR(B2123="ED",B2123="NED")),1,0)</x:f>
        <x:v>0</x:v>
      </x:c>
      <x:c r="N2123" s="11" t="n">
        <x:f>IF(K2123=1,1,0)</x:f>
        <x:v>1</x:v>
      </x:c>
      <x:c r="O2123" s="12"/>
      <x:c r="P2123" s="11" t="n">
        <x:v>0</x:v>
      </x:c>
      <x:c r="Q2123" s="12" t="str">
        <x:v>AF-Q8CFX1-F1-model_v6</x:v>
      </x:c>
      <x:c r="R2123" s="12" t="str">
        <x:v>ok</x:v>
      </x:c>
      <x:c r="S2123" s="11" t="n">
        <x:v>1634</x:v>
      </x:c>
      <x:c r="T2123" s="11" t="n">
        <x:v>789</x:v>
      </x:c>
    </x:row>
    <x:row r="2124" ht="23" customHeight="1">
      <x:c r="A2124" s="2" t="str">
        <x:v>Q8CG46-2</x:v>
      </x:c>
      <x:c r="B2124" s="2" t="str">
        <x:v>UN</x:v>
      </x:c>
      <x:c r="C2124" s="2"/>
      <x:c r="D2124" s="2"/>
      <x:c r="E2124" s="10"/>
      <x:c r="F2124" s="11"/>
      <x:c r="G2124" s="11" t="n">
        <x:v>0</x:v>
      </x:c>
      <x:c r="H2124" s="11" t="n">
        <x:v>0</x:v>
      </x:c>
      <x:c r="I2124" s="11"/>
      <x:c r="J2124" s="11"/>
      <x:c r="K2124" s="11" t="n">
        <x:v>0</x:v>
      </x:c>
      <x:c r="L2124" s="11" t="n">
        <x:f>IF(B2124="NED",1,IF(OR(B2124="ED",B2124="UN"),0,""))</x:f>
        <x:v>0</x:v>
      </x:c>
      <x:c r="M2124" s="11" t="n">
        <x:f>IF(AND(K2124=1,OR(B2124="ED",B2124="NED")),1,0)</x:f>
        <x:v>0</x:v>
      </x:c>
      <x:c r="N2124" s="11" t="n">
        <x:f>IF(K2124=1,1,0)</x:f>
        <x:v>0</x:v>
      </x:c>
      <x:c r="O2124" s="12" t="str">
        <x:v>Require exact native accession match</x:v>
      </x:c>
      <x:c r="P2124" s="11" t="n">
        <x:v>0</x:v>
      </x:c>
      <x:c r="Q2124" s="12"/>
      <x:c r="R2124" s="12"/>
      <x:c r="S2124" s="11" t="n">
        <x:v>1635</x:v>
      </x:c>
      <x:c r="T2124" s="11"/>
    </x:row>
    <x:row r="2125" ht="23" customHeight="1">
      <x:c r="A2125" s="2" t="str">
        <x:v>Q8CG48</x:v>
      </x:c>
      <x:c r="B2125" s="2" t="str">
        <x:v>UN</x:v>
      </x:c>
      <x:c r="C2125" s="2" t="n">
        <x:v>1</x:v>
      </x:c>
      <x:c r="D2125" s="2" t="n">
        <x:v>1</x:v>
      </x:c>
      <x:c r="E2125" s="10" t="n">
        <x:v>83.38084802686818</x:v>
      </x:c>
      <x:c r="F2125" s="11" t="n">
        <x:v>1191</x:v>
      </x:c>
      <x:c r="G2125" s="11" t="n">
        <x:v>0</x:v>
      </x:c>
      <x:c r="H2125" s="11" t="n">
        <x:v>0</x:v>
      </x:c>
      <x:c r="I2125" s="11" t="n">
        <x:v>0</x:v>
      </x:c>
      <x:c r="J2125" s="11" t="n">
        <x:v>0</x:v>
      </x:c>
      <x:c r="K2125" s="11" t="n">
        <x:v>1</x:v>
      </x:c>
      <x:c r="L2125" s="11" t="n">
        <x:f>IF(B2125="NED",1,IF(OR(B2125="ED",B2125="UN"),0,""))</x:f>
        <x:v>0</x:v>
      </x:c>
      <x:c r="M2125" s="11" t="n">
        <x:f>IF(AND(K2125=1,OR(B2125="ED",B2125="NED")),1,0)</x:f>
        <x:v>0</x:v>
      </x:c>
      <x:c r="N2125" s="11" t="n">
        <x:f>IF(K2125=1,1,0)</x:f>
        <x:v>1</x:v>
      </x:c>
      <x:c r="O2125" s="12"/>
      <x:c r="P2125" s="11" t="n">
        <x:v>0</x:v>
      </x:c>
      <x:c r="Q2125" s="12" t="str">
        <x:v>AF-Q8CG48-F1-model_v6</x:v>
      </x:c>
      <x:c r="R2125" s="12" t="str">
        <x:v>ok</x:v>
      </x:c>
      <x:c r="S2125" s="11" t="n">
        <x:v>1636</x:v>
      </x:c>
      <x:c r="T2125" s="11" t="n">
        <x:v>1191</x:v>
      </x:c>
    </x:row>
    <x:row r="2126" ht="23" customHeight="1">
      <x:c r="A2126" s="2" t="str">
        <x:v>Q8CG76</x:v>
      </x:c>
      <x:c r="B2126" s="2" t="str">
        <x:v>ED</x:v>
      </x:c>
      <x:c r="C2126" s="2" t="n">
        <x:v>1</x:v>
      </x:c>
      <x:c r="D2126" s="2" t="n">
        <x:v>1</x:v>
      </x:c>
      <x:c r="E2126" s="10" t="n">
        <x:v>91.07299727520436</x:v>
      </x:c>
      <x:c r="F2126" s="11" t="n">
        <x:v>367</x:v>
      </x:c>
      <x:c r="G2126" s="11" t="n">
        <x:v>0</x:v>
      </x:c>
      <x:c r="H2126" s="11" t="n">
        <x:v>0</x:v>
      </x:c>
      <x:c r="I2126" s="11" t="n">
        <x:v>0</x:v>
      </x:c>
      <x:c r="J2126" s="11" t="n">
        <x:v>0</x:v>
      </x:c>
      <x:c r="K2126" s="11" t="n">
        <x:v>1</x:v>
      </x:c>
      <x:c r="L2126" s="11" t="n">
        <x:f>IF(B2126="NED",1,IF(OR(B2126="ED",B2126="UN"),0,""))</x:f>
        <x:v>0</x:v>
      </x:c>
      <x:c r="M2126" s="11" t="n">
        <x:f>IF(AND(K2126=1,OR(B2126="ED",B2126="NED")),1,0)</x:f>
        <x:v>1</x:v>
      </x:c>
      <x:c r="N2126" s="11" t="n">
        <x:f>IF(K2126=1,1,0)</x:f>
        <x:v>1</x:v>
      </x:c>
      <x:c r="O2126" s="12"/>
      <x:c r="P2126" s="11" t="n">
        <x:v>0</x:v>
      </x:c>
      <x:c r="Q2126" s="12" t="str">
        <x:v>AF-Q8CG76-F1-model_v6</x:v>
      </x:c>
      <x:c r="R2126" s="12" t="str">
        <x:v>ok</x:v>
      </x:c>
      <x:c r="S2126" s="11" t="n">
        <x:v>1637</x:v>
      </x:c>
      <x:c r="T2126" s="11" t="n">
        <x:v>367</x:v>
      </x:c>
    </x:row>
    <x:row r="2127" ht="23" customHeight="1">
      <x:c r="A2127" s="2" t="str">
        <x:v>Q8CGA0</x:v>
      </x:c>
      <x:c r="B2127" s="2" t="str">
        <x:v>UN</x:v>
      </x:c>
      <x:c r="C2127" s="2" t="n">
        <x:v>1</x:v>
      </x:c>
      <x:c r="D2127" s="2" t="n">
        <x:v>1</x:v>
      </x:c>
      <x:c r="E2127" s="10" t="n">
        <x:v>87.67615044247788</x:v>
      </x:c>
      <x:c r="F2127" s="11" t="n">
        <x:v>452</x:v>
      </x:c>
      <x:c r="G2127" s="11" t="n">
        <x:v>0</x:v>
      </x:c>
      <x:c r="H2127" s="11" t="n">
        <x:v>0</x:v>
      </x:c>
      <x:c r="I2127" s="11" t="n">
        <x:v>0</x:v>
      </x:c>
      <x:c r="J2127" s="11" t="n">
        <x:v>0</x:v>
      </x:c>
      <x:c r="K2127" s="11" t="n">
        <x:v>1</x:v>
      </x:c>
      <x:c r="L2127" s="11" t="n">
        <x:f>IF(B2127="NED",1,IF(OR(B2127="ED",B2127="UN"),0,""))</x:f>
        <x:v>0</x:v>
      </x:c>
      <x:c r="M2127" s="11" t="n">
        <x:f>IF(AND(K2127=1,OR(B2127="ED",B2127="NED")),1,0)</x:f>
        <x:v>0</x:v>
      </x:c>
      <x:c r="N2127" s="11" t="n">
        <x:f>IF(K2127=1,1,0)</x:f>
        <x:v>1</x:v>
      </x:c>
      <x:c r="O2127" s="12"/>
      <x:c r="P2127" s="11" t="n">
        <x:v>0</x:v>
      </x:c>
      <x:c r="Q2127" s="12" t="str">
        <x:v>AF-Q8CGA0-F1-model_v6</x:v>
      </x:c>
      <x:c r="R2127" s="12" t="str">
        <x:v>ok</x:v>
      </x:c>
      <x:c r="S2127" s="11" t="n">
        <x:v>1638</x:v>
      </x:c>
      <x:c r="T2127" s="11" t="n">
        <x:v>452</x:v>
      </x:c>
    </x:row>
    <x:row r="2128" ht="23" customHeight="1">
      <x:c r="A2128" s="2" t="str">
        <x:v>Q8CGB3</x:v>
      </x:c>
      <x:c r="B2128" s="2" t="str">
        <x:v>ED</x:v>
      </x:c>
      <x:c r="C2128" s="2" t="n">
        <x:v>0</x:v>
      </x:c>
      <x:c r="D2128" s="2" t="n">
        <x:v>0</x:v>
      </x:c>
      <x:c r="E2128" s="10" t="n">
        <x:v>73.41228206945428</x:v>
      </x:c>
      <x:c r="F2128" s="11" t="n">
        <x:v>1411</x:v>
      </x:c>
      <x:c r="G2128" s="11" t="n">
        <x:v>0</x:v>
      </x:c>
      <x:c r="H2128" s="11" t="n">
        <x:v>0</x:v>
      </x:c>
      <x:c r="I2128" s="11" t="n">
        <x:v>0</x:v>
      </x:c>
      <x:c r="J2128" s="11" t="n">
        <x:v>0</x:v>
      </x:c>
      <x:c r="K2128" s="11" t="n">
        <x:v>1</x:v>
      </x:c>
      <x:c r="L2128" s="11" t="n">
        <x:f>IF(B2128="NED",1,IF(OR(B2128="ED",B2128="UN"),0,""))</x:f>
        <x:v>0</x:v>
      </x:c>
      <x:c r="M2128" s="11" t="n">
        <x:f>IF(AND(K2128=1,OR(B2128="ED",B2128="NED")),1,0)</x:f>
        <x:v>1</x:v>
      </x:c>
      <x:c r="N2128" s="11" t="n">
        <x:f>IF(K2128=1,1,0)</x:f>
        <x:v>1</x:v>
      </x:c>
      <x:c r="O2128" s="12"/>
      <x:c r="P2128" s="11" t="n">
        <x:v>0</x:v>
      </x:c>
      <x:c r="Q2128" s="12" t="str">
        <x:v>AF-Q8CGB3-F1-model_v6</x:v>
      </x:c>
      <x:c r="R2128" s="12" t="str">
        <x:v>ok</x:v>
      </x:c>
      <x:c r="S2128" s="11" t="n">
        <x:v>1639</x:v>
      </x:c>
      <x:c r="T2128" s="11" t="n">
        <x:v>1411</x:v>
      </x:c>
    </x:row>
    <x:row r="2129" ht="23" customHeight="1">
      <x:c r="A2129" s="2" t="str">
        <x:v>Q8CGB6-2</x:v>
      </x:c>
      <x:c r="B2129" s="2" t="str">
        <x:v>ED</x:v>
      </x:c>
      <x:c r="C2129" s="2"/>
      <x:c r="D2129" s="2"/>
      <x:c r="E2129" s="10"/>
      <x:c r="F2129" s="11"/>
      <x:c r="G2129" s="11" t="n">
        <x:v>0</x:v>
      </x:c>
      <x:c r="H2129" s="11" t="n">
        <x:v>0</x:v>
      </x:c>
      <x:c r="I2129" s="11"/>
      <x:c r="J2129" s="11"/>
      <x:c r="K2129" s="11" t="n">
        <x:v>0</x:v>
      </x:c>
      <x:c r="L2129" s="11" t="n">
        <x:f>IF(B2129="NED",1,IF(OR(B2129="ED",B2129="UN"),0,""))</x:f>
        <x:v>0</x:v>
      </x:c>
      <x:c r="M2129" s="11" t="n">
        <x:f>IF(AND(K2129=1,OR(B2129="ED",B2129="NED")),1,0)</x:f>
        <x:v>0</x:v>
      </x:c>
      <x:c r="N2129" s="11" t="n">
        <x:f>IF(K2129=1,1,0)</x:f>
        <x:v>0</x:v>
      </x:c>
      <x:c r="O2129" s="12" t="str">
        <x:v>Require exact native accession match</x:v>
      </x:c>
      <x:c r="P2129" s="11" t="n">
        <x:v>0</x:v>
      </x:c>
      <x:c r="Q2129" s="12"/>
      <x:c r="R2129" s="12"/>
      <x:c r="S2129" s="11" t="n">
        <x:v>1640</x:v>
      </x:c>
      <x:c r="T2129" s="11"/>
    </x:row>
    <x:row r="2130" ht="23" customHeight="1">
      <x:c r="A2130" s="2" t="str">
        <x:v>Q8CGC4</x:v>
      </x:c>
      <x:c r="B2130" s="2" t="str">
        <x:v>UN</x:v>
      </x:c>
      <x:c r="C2130" s="2" t="n">
        <x:v>0</x:v>
      </x:c>
      <x:c r="D2130" s="2" t="n">
        <x:v>0</x:v>
      </x:c>
      <x:c r="E2130" s="10" t="n">
        <x:v>63.096</x:v>
      </x:c>
      <x:c r="F2130" s="11" t="n">
        <x:v>385</x:v>
      </x:c>
      <x:c r="G2130" s="11" t="n">
        <x:v>0</x:v>
      </x:c>
      <x:c r="H2130" s="11" t="n">
        <x:v>0</x:v>
      </x:c>
      <x:c r="I2130" s="11" t="n">
        <x:v>0</x:v>
      </x:c>
      <x:c r="J2130" s="11" t="n">
        <x:v>0</x:v>
      </x:c>
      <x:c r="K2130" s="11" t="n">
        <x:v>0</x:v>
      </x:c>
      <x:c r="L2130" s="11" t="n">
        <x:f>IF(B2130="NED",1,IF(OR(B2130="ED",B2130="UN"),0,""))</x:f>
        <x:v>0</x:v>
      </x:c>
      <x:c r="M2130" s="11" t="n">
        <x:f>IF(AND(K2130=1,OR(B2130="ED",B2130="NED")),1,0)</x:f>
        <x:v>0</x:v>
      </x:c>
      <x:c r="N2130" s="11" t="n">
        <x:f>IF(K2130=1,1,0)</x:f>
        <x:v>0</x:v>
      </x:c>
      <x:c r="O2130" s="12" t="str">
        <x:v>Retain protein mean pLDDT &gt;=70</x:v>
      </x:c>
      <x:c r="P2130" s="11" t="n">
        <x:v>0</x:v>
      </x:c>
      <x:c r="Q2130" s="12" t="str">
        <x:v>AF-Q8CGC4-F1-model_v6</x:v>
      </x:c>
      <x:c r="R2130" s="12" t="str">
        <x:v>ok</x:v>
      </x:c>
      <x:c r="S2130" s="11" t="n">
        <x:v>1641</x:v>
      </x:c>
      <x:c r="T2130" s="11" t="n">
        <x:v>385</x:v>
      </x:c>
    </x:row>
    <x:row r="2131" ht="23" customHeight="1">
      <x:c r="A2131" s="2" t="str">
        <x:v>Q8CGC6</x:v>
      </x:c>
      <x:c r="B2131" s="2" t="str">
        <x:v>UN</x:v>
      </x:c>
      <x:c r="C2131" s="2" t="n">
        <x:v>1</x:v>
      </x:c>
      <x:c r="D2131" s="2" t="n">
        <x:v>1</x:v>
      </x:c>
      <x:c r="E2131" s="10" t="n">
        <x:v>70.62218666666666</x:v>
      </x:c>
      <x:c r="F2131" s="11" t="n">
        <x:v>750</x:v>
      </x:c>
      <x:c r="G2131" s="11" t="n">
        <x:v>0</x:v>
      </x:c>
      <x:c r="H2131" s="11" t="n">
        <x:v>0</x:v>
      </x:c>
      <x:c r="I2131" s="11" t="n">
        <x:v>0</x:v>
      </x:c>
      <x:c r="J2131" s="11" t="n">
        <x:v>0</x:v>
      </x:c>
      <x:c r="K2131" s="11" t="n">
        <x:v>1</x:v>
      </x:c>
      <x:c r="L2131" s="11" t="n">
        <x:f>IF(B2131="NED",1,IF(OR(B2131="ED",B2131="UN"),0,""))</x:f>
        <x:v>0</x:v>
      </x:c>
      <x:c r="M2131" s="11" t="n">
        <x:f>IF(AND(K2131=1,OR(B2131="ED",B2131="NED")),1,0)</x:f>
        <x:v>0</x:v>
      </x:c>
      <x:c r="N2131" s="11" t="n">
        <x:f>IF(K2131=1,1,0)</x:f>
        <x:v>1</x:v>
      </x:c>
      <x:c r="O2131" s="12"/>
      <x:c r="P2131" s="11" t="n">
        <x:v>0</x:v>
      </x:c>
      <x:c r="Q2131" s="12" t="str">
        <x:v>AF-Q8CGC6-F1-model_v6</x:v>
      </x:c>
      <x:c r="R2131" s="12" t="str">
        <x:v>ok</x:v>
      </x:c>
      <x:c r="S2131" s="11" t="n">
        <x:v>1642</x:v>
      </x:c>
      <x:c r="T2131" s="11" t="n">
        <x:v>750</x:v>
      </x:c>
    </x:row>
    <x:row r="2132" ht="23" customHeight="1">
      <x:c r="A2132" s="2" t="str">
        <x:v>Q8CGC7</x:v>
      </x:c>
      <x:c r="B2132" s="2" t="str">
        <x:v>UN</x:v>
      </x:c>
      <x:c r="C2132" s="2"/>
      <x:c r="D2132" s="2"/>
      <x:c r="E2132" s="10"/>
      <x:c r="F2132" s="11" t="n">
        <x:v>1512</x:v>
      </x:c>
      <x:c r="G2132" s="11" t="n">
        <x:v>0</x:v>
      </x:c>
      <x:c r="H2132" s="11" t="n">
        <x:v>1</x:v>
      </x:c>
      <x:c r="I2132" s="11" t="n">
        <x:v>1</x:v>
      </x:c>
      <x:c r="J2132" s="11" t="n">
        <x:v>0</x:v>
      </x:c>
      <x:c r="K2132" s="11" t="n">
        <x:v>0</x:v>
      </x:c>
      <x:c r="L2132" s="11" t="n">
        <x:f>IF(B2132="NED",1,IF(OR(B2132="ED",B2132="UN"),0,""))</x:f>
        <x:v>0</x:v>
      </x:c>
      <x:c r="M2132" s="11" t="n">
        <x:f>IF(AND(K2132=1,OR(B2132="ED",B2132="NED")),1,0)</x:f>
        <x:v>0</x:v>
      </x:c>
      <x:c r="N2132" s="11" t="n">
        <x:f>IF(K2132=1,1,0)</x:f>
        <x:v>0</x:v>
      </x:c>
      <x:c r="O2132" s="12" t="str">
        <x:v>Require binary native NCLE status</x:v>
      </x:c>
      <x:c r="P2132" s="11" t="n">
        <x:v>0</x:v>
      </x:c>
      <x:c r="Q2132" s="12" t="str">
        <x:v>AF-Q8CGC7-F1-model_v6</x:v>
      </x:c>
      <x:c r="R2132" s="12" t="str">
        <x:v>ok</x:v>
      </x:c>
      <x:c r="S2132" s="11" t="n">
        <x:v>1643</x:v>
      </x:c>
      <x:c r="T2132" s="11" t="n">
        <x:v>1512</x:v>
      </x:c>
    </x:row>
    <x:row r="2133" ht="23" customHeight="1">
      <x:c r="A2133" s="2" t="str">
        <x:v>Q8CGF7-2</x:v>
      </x:c>
      <x:c r="B2133" s="2" t="str">
        <x:v>ED</x:v>
      </x:c>
      <x:c r="C2133" s="2"/>
      <x:c r="D2133" s="2"/>
      <x:c r="E2133" s="10"/>
      <x:c r="F2133" s="11"/>
      <x:c r="G2133" s="11" t="n">
        <x:v>0</x:v>
      </x:c>
      <x:c r="H2133" s="11" t="n">
        <x:v>0</x:v>
      </x:c>
      <x:c r="I2133" s="11"/>
      <x:c r="J2133" s="11"/>
      <x:c r="K2133" s="11" t="n">
        <x:v>0</x:v>
      </x:c>
      <x:c r="L2133" s="11" t="n">
        <x:f>IF(B2133="NED",1,IF(OR(B2133="ED",B2133="UN"),0,""))</x:f>
        <x:v>0</x:v>
      </x:c>
      <x:c r="M2133" s="11" t="n">
        <x:f>IF(AND(K2133=1,OR(B2133="ED",B2133="NED")),1,0)</x:f>
        <x:v>0</x:v>
      </x:c>
      <x:c r="N2133" s="11" t="n">
        <x:f>IF(K2133=1,1,0)</x:f>
        <x:v>0</x:v>
      </x:c>
      <x:c r="O2133" s="12" t="str">
        <x:v>Require exact native accession match</x:v>
      </x:c>
      <x:c r="P2133" s="11" t="n">
        <x:v>0</x:v>
      </x:c>
      <x:c r="Q2133" s="12"/>
      <x:c r="R2133" s="12"/>
      <x:c r="S2133" s="11" t="n">
        <x:v>1644</x:v>
      </x:c>
      <x:c r="T2133" s="11"/>
    </x:row>
    <x:row r="2134" ht="23" customHeight="1">
      <x:c r="A2134" s="2" t="str">
        <x:v>Q8CGK3</x:v>
      </x:c>
      <x:c r="B2134" s="2" t="str">
        <x:v>UN</x:v>
      </x:c>
      <x:c r="C2134" s="2" t="n">
        <x:v>1</x:v>
      </x:c>
      <x:c r="D2134" s="2" t="n">
        <x:v>1</x:v>
      </x:c>
      <x:c r="E2134" s="10" t="n">
        <x:v>77.0972708113804</x:v>
      </x:c>
      <x:c r="F2134" s="11" t="n">
        <x:v>949</x:v>
      </x:c>
      <x:c r="G2134" s="11" t="n">
        <x:v>0</x:v>
      </x:c>
      <x:c r="H2134" s="11" t="n">
        <x:v>0</x:v>
      </x:c>
      <x:c r="I2134" s="11" t="n">
        <x:v>0</x:v>
      </x:c>
      <x:c r="J2134" s="11" t="n">
        <x:v>0</x:v>
      </x:c>
      <x:c r="K2134" s="11" t="n">
        <x:v>1</x:v>
      </x:c>
      <x:c r="L2134" s="11" t="n">
        <x:f>IF(B2134="NED",1,IF(OR(B2134="ED",B2134="UN"),0,""))</x:f>
        <x:v>0</x:v>
      </x:c>
      <x:c r="M2134" s="11" t="n">
        <x:f>IF(AND(K2134=1,OR(B2134="ED",B2134="NED")),1,0)</x:f>
        <x:v>0</x:v>
      </x:c>
      <x:c r="N2134" s="11" t="n">
        <x:f>IF(K2134=1,1,0)</x:f>
        <x:v>1</x:v>
      </x:c>
      <x:c r="O2134" s="12"/>
      <x:c r="P2134" s="11" t="n">
        <x:v>0</x:v>
      </x:c>
      <x:c r="Q2134" s="12" t="str">
        <x:v>AF-Q8CGK3-F1-model_v6</x:v>
      </x:c>
      <x:c r="R2134" s="12" t="str">
        <x:v>ok</x:v>
      </x:c>
      <x:c r="S2134" s="11" t="n">
        <x:v>1645</x:v>
      </x:c>
      <x:c r="T2134" s="11" t="n">
        <x:v>949</x:v>
      </x:c>
    </x:row>
    <x:row r="2135" ht="23" customHeight="1">
      <x:c r="A2135" s="2" t="str">
        <x:v>Q8CGN4-2</x:v>
      </x:c>
      <x:c r="B2135" s="2" t="str">
        <x:v>UN</x:v>
      </x:c>
      <x:c r="C2135" s="2"/>
      <x:c r="D2135" s="2"/>
      <x:c r="E2135" s="10"/>
      <x:c r="F2135" s="11"/>
      <x:c r="G2135" s="11" t="n">
        <x:v>0</x:v>
      </x:c>
      <x:c r="H2135" s="11" t="n">
        <x:v>0</x:v>
      </x:c>
      <x:c r="I2135" s="11"/>
      <x:c r="J2135" s="11"/>
      <x:c r="K2135" s="11" t="n">
        <x:v>0</x:v>
      </x:c>
      <x:c r="L2135" s="11" t="n">
        <x:f>IF(B2135="NED",1,IF(OR(B2135="ED",B2135="UN"),0,""))</x:f>
        <x:v>0</x:v>
      </x:c>
      <x:c r="M2135" s="11" t="n">
        <x:f>IF(AND(K2135=1,OR(B2135="ED",B2135="NED")),1,0)</x:f>
        <x:v>0</x:v>
      </x:c>
      <x:c r="N2135" s="11" t="n">
        <x:f>IF(K2135=1,1,0)</x:f>
        <x:v>0</x:v>
      </x:c>
      <x:c r="O2135" s="12" t="str">
        <x:v>Require exact native accession match</x:v>
      </x:c>
      <x:c r="P2135" s="11" t="n">
        <x:v>0</x:v>
      </x:c>
      <x:c r="Q2135" s="12"/>
      <x:c r="R2135" s="12"/>
      <x:c r="S2135" s="11" t="n">
        <x:v>1646</x:v>
      </x:c>
      <x:c r="T2135" s="11"/>
    </x:row>
    <x:row r="2136" ht="23" customHeight="1">
      <x:c r="A2136" s="2" t="str">
        <x:v>Q8CGP6</x:v>
      </x:c>
      <x:c r="B2136" s="2" t="str">
        <x:v>NED</x:v>
      </x:c>
      <x:c r="C2136" s="2" t="n">
        <x:v>0</x:v>
      </x:c>
      <x:c r="D2136" s="2" t="n">
        <x:v>0</x:v>
      </x:c>
      <x:c r="E2136" s="10" t="n">
        <x:v>91.624453125</x:v>
      </x:c>
      <x:c r="F2136" s="11" t="n">
        <x:v>128</x:v>
      </x:c>
      <x:c r="G2136" s="11" t="n">
        <x:v>0</x:v>
      </x:c>
      <x:c r="H2136" s="11" t="n">
        <x:v>0</x:v>
      </x:c>
      <x:c r="I2136" s="11" t="n">
        <x:v>0</x:v>
      </x:c>
      <x:c r="J2136" s="11" t="n">
        <x:v>0</x:v>
      </x:c>
      <x:c r="K2136" s="11" t="n">
        <x:v>1</x:v>
      </x:c>
      <x:c r="L2136" s="11" t="n">
        <x:f>IF(B2136="NED",1,IF(OR(B2136="ED",B2136="UN"),0,""))</x:f>
        <x:v>1</x:v>
      </x:c>
      <x:c r="M2136" s="11" t="n">
        <x:f>IF(AND(K2136=1,OR(B2136="ED",B2136="NED")),1,0)</x:f>
        <x:v>1</x:v>
      </x:c>
      <x:c r="N2136" s="11" t="n">
        <x:f>IF(K2136=1,1,0)</x:f>
        <x:v>1</x:v>
      </x:c>
      <x:c r="O2136" s="12"/>
      <x:c r="P2136" s="11" t="n">
        <x:v>0</x:v>
      </x:c>
      <x:c r="Q2136" s="12" t="str">
        <x:v>AF-Q8CGP6-F1-model_v6</x:v>
      </x:c>
      <x:c r="R2136" s="12" t="str">
        <x:v>ok</x:v>
      </x:c>
      <x:c r="S2136" s="11" t="n">
        <x:v>1647</x:v>
      </x:c>
      <x:c r="T2136" s="11" t="n">
        <x:v>128</x:v>
      </x:c>
    </x:row>
    <x:row r="2137" ht="23" customHeight="1">
      <x:c r="A2137" s="2" t="str">
        <x:v>Q8CH18-3</x:v>
      </x:c>
      <x:c r="B2137" s="2" t="str">
        <x:v>UN</x:v>
      </x:c>
      <x:c r="C2137" s="2"/>
      <x:c r="D2137" s="2"/>
      <x:c r="E2137" s="10"/>
      <x:c r="F2137" s="11"/>
      <x:c r="G2137" s="11" t="n">
        <x:v>0</x:v>
      </x:c>
      <x:c r="H2137" s="11" t="n">
        <x:v>0</x:v>
      </x:c>
      <x:c r="I2137" s="11"/>
      <x:c r="J2137" s="11"/>
      <x:c r="K2137" s="11" t="n">
        <x:v>0</x:v>
      </x:c>
      <x:c r="L2137" s="11" t="n">
        <x:f>IF(B2137="NED",1,IF(OR(B2137="ED",B2137="UN"),0,""))</x:f>
        <x:v>0</x:v>
      </x:c>
      <x:c r="M2137" s="11" t="n">
        <x:f>IF(AND(K2137=1,OR(B2137="ED",B2137="NED")),1,0)</x:f>
        <x:v>0</x:v>
      </x:c>
      <x:c r="N2137" s="11" t="n">
        <x:f>IF(K2137=1,1,0)</x:f>
        <x:v>0</x:v>
      </x:c>
      <x:c r="O2137" s="12" t="str">
        <x:v>Require exact native accession match</x:v>
      </x:c>
      <x:c r="P2137" s="11" t="n">
        <x:v>0</x:v>
      </x:c>
      <x:c r="Q2137" s="12"/>
      <x:c r="R2137" s="12"/>
      <x:c r="S2137" s="11" t="n">
        <x:v>1648</x:v>
      </x:c>
      <x:c r="T2137" s="11"/>
    </x:row>
    <x:row r="2138" ht="23" customHeight="1">
      <x:c r="A2138" s="2" t="str">
        <x:v>Q8CH25-2</x:v>
      </x:c>
      <x:c r="B2138" s="2" t="str">
        <x:v>ED</x:v>
      </x:c>
      <x:c r="C2138" s="2"/>
      <x:c r="D2138" s="2"/>
      <x:c r="E2138" s="10"/>
      <x:c r="F2138" s="11"/>
      <x:c r="G2138" s="11" t="n">
        <x:v>0</x:v>
      </x:c>
      <x:c r="H2138" s="11" t="n">
        <x:v>0</x:v>
      </x:c>
      <x:c r="I2138" s="11"/>
      <x:c r="J2138" s="11"/>
      <x:c r="K2138" s="11" t="n">
        <x:v>0</x:v>
      </x:c>
      <x:c r="L2138" s="11" t="n">
        <x:f>IF(B2138="NED",1,IF(OR(B2138="ED",B2138="UN"),0,""))</x:f>
        <x:v>0</x:v>
      </x:c>
      <x:c r="M2138" s="11" t="n">
        <x:f>IF(AND(K2138=1,OR(B2138="ED",B2138="NED")),1,0)</x:f>
        <x:v>0</x:v>
      </x:c>
      <x:c r="N2138" s="11" t="n">
        <x:f>IF(K2138=1,1,0)</x:f>
        <x:v>0</x:v>
      </x:c>
      <x:c r="O2138" s="12" t="str">
        <x:v>Require exact native accession match</x:v>
      </x:c>
      <x:c r="P2138" s="11" t="n">
        <x:v>0</x:v>
      </x:c>
      <x:c r="Q2138" s="12"/>
      <x:c r="R2138" s="12"/>
      <x:c r="S2138" s="11" t="n">
        <x:v>1649</x:v>
      </x:c>
      <x:c r="T2138" s="11"/>
    </x:row>
    <x:row r="2139" ht="23" customHeight="1">
      <x:c r="A2139" s="2" t="str">
        <x:v>Q8CH72</x:v>
      </x:c>
      <x:c r="B2139" s="2" t="str">
        <x:v>UN</x:v>
      </x:c>
      <x:c r="C2139" s="2" t="n">
        <x:v>1</x:v>
      </x:c>
      <x:c r="D2139" s="2" t="n">
        <x:v>1</x:v>
      </x:c>
      <x:c r="E2139" s="10" t="n">
        <x:v>78.84697709923664</x:v>
      </x:c>
      <x:c r="F2139" s="11" t="n">
        <x:v>655</x:v>
      </x:c>
      <x:c r="G2139" s="11" t="n">
        <x:v>0</x:v>
      </x:c>
      <x:c r="H2139" s="11" t="n">
        <x:v>0</x:v>
      </x:c>
      <x:c r="I2139" s="11" t="n">
        <x:v>0</x:v>
      </x:c>
      <x:c r="J2139" s="11" t="n">
        <x:v>0</x:v>
      </x:c>
      <x:c r="K2139" s="11" t="n">
        <x:v>1</x:v>
      </x:c>
      <x:c r="L2139" s="11" t="n">
        <x:f>IF(B2139="NED",1,IF(OR(B2139="ED",B2139="UN"),0,""))</x:f>
        <x:v>0</x:v>
      </x:c>
      <x:c r="M2139" s="11" t="n">
        <x:f>IF(AND(K2139=1,OR(B2139="ED",B2139="NED")),1,0)</x:f>
        <x:v>0</x:v>
      </x:c>
      <x:c r="N2139" s="11" t="n">
        <x:f>IF(K2139=1,1,0)</x:f>
        <x:v>1</x:v>
      </x:c>
      <x:c r="O2139" s="12"/>
      <x:c r="P2139" s="11" t="n">
        <x:v>0</x:v>
      </x:c>
      <x:c r="Q2139" s="12" t="str">
        <x:v>AF-Q8CH72-F1-model_v6</x:v>
      </x:c>
      <x:c r="R2139" s="12" t="str">
        <x:v>ok</x:v>
      </x:c>
      <x:c r="S2139" s="11" t="n">
        <x:v>1650</x:v>
      </x:c>
      <x:c r="T2139" s="11" t="n">
        <x:v>655</x:v>
      </x:c>
    </x:row>
    <x:row r="2140" ht="23" customHeight="1">
      <x:c r="A2140" s="2" t="str">
        <x:v>Q8CH77</x:v>
      </x:c>
      <x:c r="B2140" s="2" t="str">
        <x:v>UN</x:v>
      </x:c>
      <x:c r="C2140" s="2" t="n">
        <x:v>1</x:v>
      </x:c>
      <x:c r="D2140" s="2" t="n">
        <x:v>1</x:v>
      </x:c>
      <x:c r="E2140" s="10" t="n">
        <x:v>48.94010133333334</x:v>
      </x:c>
      <x:c r="F2140" s="11" t="n">
        <x:v>1875</x:v>
      </x:c>
      <x:c r="G2140" s="11" t="n">
        <x:v>0</x:v>
      </x:c>
      <x:c r="H2140" s="11" t="n">
        <x:v>0</x:v>
      </x:c>
      <x:c r="I2140" s="11" t="n">
        <x:v>0</x:v>
      </x:c>
      <x:c r="J2140" s="11" t="n">
        <x:v>0</x:v>
      </x:c>
      <x:c r="K2140" s="11" t="n">
        <x:v>0</x:v>
      </x:c>
      <x:c r="L2140" s="11" t="n">
        <x:f>IF(B2140="NED",1,IF(OR(B2140="ED",B2140="UN"),0,""))</x:f>
        <x:v>0</x:v>
      </x:c>
      <x:c r="M2140" s="11" t="n">
        <x:f>IF(AND(K2140=1,OR(B2140="ED",B2140="NED")),1,0)</x:f>
        <x:v>0</x:v>
      </x:c>
      <x:c r="N2140" s="11" t="n">
        <x:f>IF(K2140=1,1,0)</x:f>
        <x:v>0</x:v>
      </x:c>
      <x:c r="O2140" s="12" t="str">
        <x:v>Retain protein mean pLDDT &gt;=70</x:v>
      </x:c>
      <x:c r="P2140" s="11" t="n">
        <x:v>0</x:v>
      </x:c>
      <x:c r="Q2140" s="12" t="str">
        <x:v>AF-Q8CH77-F1-model_v6</x:v>
      </x:c>
      <x:c r="R2140" s="12" t="str">
        <x:v>ok</x:v>
      </x:c>
      <x:c r="S2140" s="11" t="n">
        <x:v>1651</x:v>
      </x:c>
      <x:c r="T2140" s="11" t="n">
        <x:v>1875</x:v>
      </x:c>
    </x:row>
    <x:row r="2141" ht="23" customHeight="1">
      <x:c r="A2141" s="2" t="str">
        <x:v>Q8CHC4</x:v>
      </x:c>
      <x:c r="B2141" s="2" t="str">
        <x:v>UN</x:v>
      </x:c>
      <x:c r="C2141" s="2" t="n">
        <x:v>1</x:v>
      </x:c>
      <x:c r="D2141" s="2" t="n">
        <x:v>1</x:v>
      </x:c>
      <x:c r="E2141" s="10"/>
      <x:c r="F2141" s="11" t="n">
        <x:v>1574</x:v>
      </x:c>
      <x:c r="G2141" s="11" t="n">
        <x:v>0</x:v>
      </x:c>
      <x:c r="H2141" s="11" t="n">
        <x:v>0</x:v>
      </x:c>
      <x:c r="I2141" s="11" t="n">
        <x:v>1</x:v>
      </x:c>
      <x:c r="J2141" s="11" t="n">
        <x:v>0</x:v>
      </x:c>
      <x:c r="K2141" s="11" t="n">
        <x:v>0</x:v>
      </x:c>
      <x:c r="L2141" s="11" t="n">
        <x:f>IF(B2141="NED",1,IF(OR(B2141="ED",B2141="UN"),0,""))</x:f>
        <x:v>0</x:v>
      </x:c>
      <x:c r="M2141" s="11" t="n">
        <x:f>IF(AND(K2141=1,OR(B2141="ED",B2141="NED")),1,0)</x:f>
        <x:v>0</x:v>
      </x:c>
      <x:c r="N2141" s="11" t="n">
        <x:f>IF(K2141=1,1,0)</x:f>
        <x:v>0</x:v>
      </x:c>
      <x:c r="O2141" s="12" t="str">
        <x:v>Exclude UniProt Membrane keyword</x:v>
      </x:c>
      <x:c r="P2141" s="11" t="n">
        <x:v>0</x:v>
      </x:c>
      <x:c r="Q2141" s="12" t="str">
        <x:v>AF-Q8CHC4-F1-model_v6</x:v>
      </x:c>
      <x:c r="R2141" s="12" t="str">
        <x:v>ok</x:v>
      </x:c>
      <x:c r="S2141" s="11" t="n">
        <x:v>1652</x:v>
      </x:c>
      <x:c r="T2141" s="11" t="n">
        <x:v>1574</x:v>
      </x:c>
    </x:row>
    <x:row r="2142" ht="23" customHeight="1">
      <x:c r="A2142" s="2" t="str">
        <x:v>Q8CHH9</x:v>
      </x:c>
      <x:c r="B2142" s="2" t="str">
        <x:v>UN</x:v>
      </x:c>
      <x:c r="C2142" s="2" t="n">
        <x:v>1</x:v>
      </x:c>
      <x:c r="D2142" s="2" t="n">
        <x:v>1</x:v>
      </x:c>
      <x:c r="E2142" s="10"/>
      <x:c r="F2142" s="11" t="n">
        <x:v>429</x:v>
      </x:c>
      <x:c r="G2142" s="11" t="n">
        <x:v>0</x:v>
      </x:c>
      <x:c r="H2142" s="11" t="n">
        <x:v>0</x:v>
      </x:c>
      <x:c r="I2142" s="11" t="n">
        <x:v>1</x:v>
      </x:c>
      <x:c r="J2142" s="11" t="n">
        <x:v>0</x:v>
      </x:c>
      <x:c r="K2142" s="11" t="n">
        <x:v>0</x:v>
      </x:c>
      <x:c r="L2142" s="11" t="n">
        <x:f>IF(B2142="NED",1,IF(OR(B2142="ED",B2142="UN"),0,""))</x:f>
        <x:v>0</x:v>
      </x:c>
      <x:c r="M2142" s="11" t="n">
        <x:f>IF(AND(K2142=1,OR(B2142="ED",B2142="NED")),1,0)</x:f>
        <x:v>0</x:v>
      </x:c>
      <x:c r="N2142" s="11" t="n">
        <x:f>IF(K2142=1,1,0)</x:f>
        <x:v>0</x:v>
      </x:c>
      <x:c r="O2142" s="12" t="str">
        <x:v>Exclude UniProt Membrane keyword</x:v>
      </x:c>
      <x:c r="P2142" s="11" t="n">
        <x:v>0</x:v>
      </x:c>
      <x:c r="Q2142" s="12" t="str">
        <x:v>AF-Q8CHH9-F1-model_v6</x:v>
      </x:c>
      <x:c r="R2142" s="12" t="str">
        <x:v>ok</x:v>
      </x:c>
      <x:c r="S2142" s="11" t="n">
        <x:v>1653</x:v>
      </x:c>
      <x:c r="T2142" s="11" t="n">
        <x:v>429</x:v>
      </x:c>
    </x:row>
    <x:row r="2143" ht="23" customHeight="1">
      <x:c r="A2143" s="2" t="str">
        <x:v>Q8CHP8</x:v>
      </x:c>
      <x:c r="B2143" s="2" t="str">
        <x:v>UN</x:v>
      </x:c>
      <x:c r="C2143" s="2" t="n">
        <x:v>1</x:v>
      </x:c>
      <x:c r="D2143" s="2" t="n">
        <x:v>1</x:v>
      </x:c>
      <x:c r="E2143" s="10" t="n">
        <x:v>94.1411214953271</x:v>
      </x:c>
      <x:c r="F2143" s="11" t="n">
        <x:v>321</x:v>
      </x:c>
      <x:c r="G2143" s="11" t="n">
        <x:v>0</x:v>
      </x:c>
      <x:c r="H2143" s="11" t="n">
        <x:v>0</x:v>
      </x:c>
      <x:c r="I2143" s="11" t="n">
        <x:v>0</x:v>
      </x:c>
      <x:c r="J2143" s="11" t="n">
        <x:v>0</x:v>
      </x:c>
      <x:c r="K2143" s="11" t="n">
        <x:v>1</x:v>
      </x:c>
      <x:c r="L2143" s="11" t="n">
        <x:f>IF(B2143="NED",1,IF(OR(B2143="ED",B2143="UN"),0,""))</x:f>
        <x:v>0</x:v>
      </x:c>
      <x:c r="M2143" s="11" t="n">
        <x:f>IF(AND(K2143=1,OR(B2143="ED",B2143="NED")),1,0)</x:f>
        <x:v>0</x:v>
      </x:c>
      <x:c r="N2143" s="11" t="n">
        <x:f>IF(K2143=1,1,0)</x:f>
        <x:v>1</x:v>
      </x:c>
      <x:c r="O2143" s="12"/>
      <x:c r="P2143" s="11" t="n">
        <x:v>0</x:v>
      </x:c>
      <x:c r="Q2143" s="12" t="str">
        <x:v>AF-Q8CHP8-F1-model_v6</x:v>
      </x:c>
      <x:c r="R2143" s="12" t="str">
        <x:v>ok</x:v>
      </x:c>
      <x:c r="S2143" s="11" t="n">
        <x:v>1654</x:v>
      </x:c>
      <x:c r="T2143" s="11" t="n">
        <x:v>321</x:v>
      </x:c>
    </x:row>
    <x:row r="2144" ht="23" customHeight="1">
      <x:c r="A2144" s="2" t="str">
        <x:v>Q8CHR1</x:v>
      </x:c>
      <x:c r="B2144" s="2" t="str">
        <x:v>UN</x:v>
      </x:c>
      <x:c r="C2144" s="2"/>
      <x:c r="D2144" s="2"/>
      <x:c r="E2144" s="10"/>
      <x:c r="F2144" s="11"/>
      <x:c r="G2144" s="11" t="n">
        <x:v>0</x:v>
      </x:c>
      <x:c r="H2144" s="11" t="n">
        <x:v>0</x:v>
      </x:c>
      <x:c r="I2144" s="11" t="n">
        <x:v>0</x:v>
      </x:c>
      <x:c r="J2144" s="11" t="n">
        <x:v>0</x:v>
      </x:c>
      <x:c r="K2144" s="11" t="n">
        <x:v>0</x:v>
      </x:c>
      <x:c r="L2144" s="11" t="n">
        <x:f>IF(B2144="NED",1,IF(OR(B2144="ED",B2144="UN"),0,""))</x:f>
        <x:v>0</x:v>
      </x:c>
      <x:c r="M2144" s="11" t="n">
        <x:f>IF(AND(K2144=1,OR(B2144="ED",B2144="NED")),1,0)</x:f>
        <x:v>0</x:v>
      </x:c>
      <x:c r="N2144" s="11" t="n">
        <x:f>IF(K2144=1,1,0)</x:f>
        <x:v>0</x:v>
      </x:c>
      <x:c r="O2144" s="12" t="str">
        <x:v>Require exact native accession match</x:v>
      </x:c>
      <x:c r="P2144" s="11" t="n">
        <x:v>0</x:v>
      </x:c>
      <x:c r="Q2144" s="12"/>
      <x:c r="R2144" s="12"/>
      <x:c r="S2144" s="11" t="n">
        <x:v>3232</x:v>
      </x:c>
      <x:c r="T2144" s="11" t="n">
        <x:v>1271</x:v>
      </x:c>
    </x:row>
    <x:row r="2145" ht="23" customHeight="1">
      <x:c r="A2145" s="2" t="str">
        <x:v>Q8CHT0</x:v>
      </x:c>
      <x:c r="B2145" s="2" t="str">
        <x:v>ED</x:v>
      </x:c>
      <x:c r="C2145" s="2" t="n">
        <x:v>1</x:v>
      </x:c>
      <x:c r="D2145" s="2" t="n">
        <x:v>1</x:v>
      </x:c>
      <x:c r="E2145" s="10" t="n">
        <x:v>96.44327402135232</x:v>
      </x:c>
      <x:c r="F2145" s="11" t="n">
        <x:v>562</x:v>
      </x:c>
      <x:c r="G2145" s="11" t="n">
        <x:v>0</x:v>
      </x:c>
      <x:c r="H2145" s="11" t="n">
        <x:v>0</x:v>
      </x:c>
      <x:c r="I2145" s="11" t="n">
        <x:v>0</x:v>
      </x:c>
      <x:c r="J2145" s="11" t="n">
        <x:v>0</x:v>
      </x:c>
      <x:c r="K2145" s="11" t="n">
        <x:v>1</x:v>
      </x:c>
      <x:c r="L2145" s="11" t="n">
        <x:f>IF(B2145="NED",1,IF(OR(B2145="ED",B2145="UN"),0,""))</x:f>
        <x:v>0</x:v>
      </x:c>
      <x:c r="M2145" s="11" t="n">
        <x:f>IF(AND(K2145=1,OR(B2145="ED",B2145="NED")),1,0)</x:f>
        <x:v>1</x:v>
      </x:c>
      <x:c r="N2145" s="11" t="n">
        <x:f>IF(K2145=1,1,0)</x:f>
        <x:v>1</x:v>
      </x:c>
      <x:c r="O2145" s="12"/>
      <x:c r="P2145" s="11" t="n">
        <x:v>0</x:v>
      </x:c>
      <x:c r="Q2145" s="12" t="str">
        <x:v>AF-Q8CHT0-F1-model_v6</x:v>
      </x:c>
      <x:c r="R2145" s="12" t="str">
        <x:v>ok</x:v>
      </x:c>
      <x:c r="S2145" s="11" t="n">
        <x:v>1655</x:v>
      </x:c>
      <x:c r="T2145" s="11" t="n">
        <x:v>562</x:v>
      </x:c>
    </x:row>
    <x:row r="2146" ht="23" customHeight="1">
      <x:c r="A2146" s="2" t="str">
        <x:v>Q8CHT3</x:v>
      </x:c>
      <x:c r="B2146" s="2" t="str">
        <x:v>UN</x:v>
      </x:c>
      <x:c r="C2146" s="2" t="n">
        <x:v>1</x:v>
      </x:c>
      <x:c r="D2146" s="2"/>
      <x:c r="E2146" s="10"/>
      <x:c r="F2146" s="11" t="n">
        <x:v>1018</x:v>
      </x:c>
      <x:c r="G2146" s="11" t="n">
        <x:v>0</x:v>
      </x:c>
      <x:c r="H2146" s="11" t="n">
        <x:v>0</x:v>
      </x:c>
      <x:c r="I2146" s="11" t="n">
        <x:v>1</x:v>
      </x:c>
      <x:c r="J2146" s="11" t="n">
        <x:v>0</x:v>
      </x:c>
      <x:c r="K2146" s="11" t="n">
        <x:v>0</x:v>
      </x:c>
      <x:c r="L2146" s="11" t="n">
        <x:f>IF(B2146="NED",1,IF(OR(B2146="ED",B2146="UN"),0,""))</x:f>
        <x:v>0</x:v>
      </x:c>
      <x:c r="M2146" s="11" t="n">
        <x:f>IF(AND(K2146=1,OR(B2146="ED",B2146="NED")),1,0)</x:f>
        <x:v>0</x:v>
      </x:c>
      <x:c r="N2146" s="11" t="n">
        <x:f>IF(K2146=1,1,0)</x:f>
        <x:v>0</x:v>
      </x:c>
      <x:c r="O2146" s="12" t="str">
        <x:v>Exclude UniProt Membrane keyword</x:v>
      </x:c>
      <x:c r="P2146" s="11" t="n">
        <x:v>0</x:v>
      </x:c>
      <x:c r="Q2146" s="12" t="str">
        <x:v>AF-Q8CHT3-F1-model_v6</x:v>
      </x:c>
      <x:c r="R2146" s="12" t="str">
        <x:v>ok</x:v>
      </x:c>
      <x:c r="S2146" s="11" t="n">
        <x:v>1656</x:v>
      </x:c>
      <x:c r="T2146" s="11" t="n">
        <x:v>1018</x:v>
      </x:c>
    </x:row>
    <x:row r="2147" ht="23" customHeight="1">
      <x:c r="A2147" s="2" t="str">
        <x:v>Q8CHW4</x:v>
      </x:c>
      <x:c r="B2147" s="2" t="str">
        <x:v>UN</x:v>
      </x:c>
      <x:c r="C2147" s="2" t="n">
        <x:v>1</x:v>
      </x:c>
      <x:c r="D2147" s="2" t="n">
        <x:v>1</x:v>
      </x:c>
      <x:c r="E2147" s="10" t="n">
        <x:v>78.19740585774059</x:v>
      </x:c>
      <x:c r="F2147" s="11" t="n">
        <x:v>717</x:v>
      </x:c>
      <x:c r="G2147" s="11" t="n">
        <x:v>0</x:v>
      </x:c>
      <x:c r="H2147" s="11" t="n">
        <x:v>0</x:v>
      </x:c>
      <x:c r="I2147" s="11" t="n">
        <x:v>0</x:v>
      </x:c>
      <x:c r="J2147" s="11" t="n">
        <x:v>0</x:v>
      </x:c>
      <x:c r="K2147" s="11" t="n">
        <x:v>1</x:v>
      </x:c>
      <x:c r="L2147" s="11" t="n">
        <x:f>IF(B2147="NED",1,IF(OR(B2147="ED",B2147="UN"),0,""))</x:f>
        <x:v>0</x:v>
      </x:c>
      <x:c r="M2147" s="11" t="n">
        <x:f>IF(AND(K2147=1,OR(B2147="ED",B2147="NED")),1,0)</x:f>
        <x:v>0</x:v>
      </x:c>
      <x:c r="N2147" s="11" t="n">
        <x:f>IF(K2147=1,1,0)</x:f>
        <x:v>1</x:v>
      </x:c>
      <x:c r="O2147" s="12"/>
      <x:c r="P2147" s="11" t="n">
        <x:v>0</x:v>
      </x:c>
      <x:c r="Q2147" s="12" t="str">
        <x:v>AF-Q8CHW4-F1-model_v6</x:v>
      </x:c>
      <x:c r="R2147" s="12" t="str">
        <x:v>ok</x:v>
      </x:c>
      <x:c r="S2147" s="11" t="n">
        <x:v>1657</x:v>
      </x:c>
      <x:c r="T2147" s="11" t="n">
        <x:v>717</x:v>
      </x:c>
    </x:row>
    <x:row r="2148" ht="23" customHeight="1">
      <x:c r="A2148" s="2" t="str">
        <x:v>Q8CHY6</x:v>
      </x:c>
      <x:c r="B2148" s="2" t="str">
        <x:v>UN</x:v>
      </x:c>
      <x:c r="C2148" s="2" t="n">
        <x:v>0</x:v>
      </x:c>
      <x:c r="D2148" s="2" t="n">
        <x:v>0</x:v>
      </x:c>
      <x:c r="E2148" s="10" t="n">
        <x:v>56.549650238473774</x:v>
      </x:c>
      <x:c r="F2148" s="11" t="n">
        <x:v>629</x:v>
      </x:c>
      <x:c r="G2148" s="11" t="n">
        <x:v>0</x:v>
      </x:c>
      <x:c r="H2148" s="11" t="n">
        <x:v>0</x:v>
      </x:c>
      <x:c r="I2148" s="11" t="n">
        <x:v>0</x:v>
      </x:c>
      <x:c r="J2148" s="11" t="n">
        <x:v>0</x:v>
      </x:c>
      <x:c r="K2148" s="11" t="n">
        <x:v>0</x:v>
      </x:c>
      <x:c r="L2148" s="11" t="n">
        <x:f>IF(B2148="NED",1,IF(OR(B2148="ED",B2148="UN"),0,""))</x:f>
        <x:v>0</x:v>
      </x:c>
      <x:c r="M2148" s="11" t="n">
        <x:f>IF(AND(K2148=1,OR(B2148="ED",B2148="NED")),1,0)</x:f>
        <x:v>0</x:v>
      </x:c>
      <x:c r="N2148" s="11" t="n">
        <x:f>IF(K2148=1,1,0)</x:f>
        <x:v>0</x:v>
      </x:c>
      <x:c r="O2148" s="12" t="str">
        <x:v>Retain protein mean pLDDT &gt;=70</x:v>
      </x:c>
      <x:c r="P2148" s="11" t="n">
        <x:v>0</x:v>
      </x:c>
      <x:c r="Q2148" s="12" t="str">
        <x:v>AF-Q8CHY6-F1-model_v6</x:v>
      </x:c>
      <x:c r="R2148" s="12" t="str">
        <x:v>ok</x:v>
      </x:c>
      <x:c r="S2148" s="11" t="n">
        <x:v>1658</x:v>
      </x:c>
      <x:c r="T2148" s="11" t="n">
        <x:v>629</x:v>
      </x:c>
    </x:row>
    <x:row r="2149" ht="23" customHeight="1">
      <x:c r="A2149" s="2" t="str">
        <x:v>Q8CI08</x:v>
      </x:c>
      <x:c r="B2149" s="2" t="str">
        <x:v>ED</x:v>
      </x:c>
      <x:c r="C2149" s="2" t="n">
        <x:v>0</x:v>
      </x:c>
      <x:c r="D2149" s="2" t="n">
        <x:v>0</x:v>
      </x:c>
      <x:c r="E2149" s="10" t="n">
        <x:v>53.41924268502582</x:v>
      </x:c>
      <x:c r="F2149" s="11" t="n">
        <x:v>581</x:v>
      </x:c>
      <x:c r="G2149" s="11" t="n">
        <x:v>0</x:v>
      </x:c>
      <x:c r="H2149" s="11" t="n">
        <x:v>0</x:v>
      </x:c>
      <x:c r="I2149" s="11" t="n">
        <x:v>0</x:v>
      </x:c>
      <x:c r="J2149" s="11" t="n">
        <x:v>0</x:v>
      </x:c>
      <x:c r="K2149" s="11" t="n">
        <x:v>0</x:v>
      </x:c>
      <x:c r="L2149" s="11" t="n">
        <x:f>IF(B2149="NED",1,IF(OR(B2149="ED",B2149="UN"),0,""))</x:f>
        <x:v>0</x:v>
      </x:c>
      <x:c r="M2149" s="11" t="n">
        <x:f>IF(AND(K2149=1,OR(B2149="ED",B2149="NED")),1,0)</x:f>
        <x:v>0</x:v>
      </x:c>
      <x:c r="N2149" s="11" t="n">
        <x:f>IF(K2149=1,1,0)</x:f>
        <x:v>0</x:v>
      </x:c>
      <x:c r="O2149" s="12" t="str">
        <x:v>Retain protein mean pLDDT &gt;=70</x:v>
      </x:c>
      <x:c r="P2149" s="11" t="n">
        <x:v>0</x:v>
      </x:c>
      <x:c r="Q2149" s="12" t="str">
        <x:v>AF-Q8CI08-F1-model_v6</x:v>
      </x:c>
      <x:c r="R2149" s="12" t="str">
        <x:v>ok</x:v>
      </x:c>
      <x:c r="S2149" s="11" t="n">
        <x:v>1659</x:v>
      </x:c>
      <x:c r="T2149" s="11" t="n">
        <x:v>581</x:v>
      </x:c>
    </x:row>
    <x:row r="2150" ht="23" customHeight="1">
      <x:c r="A2150" s="2" t="str">
        <x:v>Q8CI11</x:v>
      </x:c>
      <x:c r="B2150" s="2" t="str">
        <x:v>UN</x:v>
      </x:c>
      <x:c r="C2150" s="2" t="n">
        <x:v>1</x:v>
      </x:c>
      <x:c r="D2150" s="2" t="n">
        <x:v>1</x:v>
      </x:c>
      <x:c r="E2150" s="10" t="n">
        <x:v>75.82780669144981</x:v>
      </x:c>
      <x:c r="F2150" s="11" t="n">
        <x:v>538</x:v>
      </x:c>
      <x:c r="G2150" s="11" t="n">
        <x:v>0</x:v>
      </x:c>
      <x:c r="H2150" s="11" t="n">
        <x:v>0</x:v>
      </x:c>
      <x:c r="I2150" s="11" t="n">
        <x:v>0</x:v>
      </x:c>
      <x:c r="J2150" s="11" t="n">
        <x:v>0</x:v>
      </x:c>
      <x:c r="K2150" s="11" t="n">
        <x:v>1</x:v>
      </x:c>
      <x:c r="L2150" s="11" t="n">
        <x:f>IF(B2150="NED",1,IF(OR(B2150="ED",B2150="UN"),0,""))</x:f>
        <x:v>0</x:v>
      </x:c>
      <x:c r="M2150" s="11" t="n">
        <x:f>IF(AND(K2150=1,OR(B2150="ED",B2150="NED")),1,0)</x:f>
        <x:v>0</x:v>
      </x:c>
      <x:c r="N2150" s="11" t="n">
        <x:f>IF(K2150=1,1,0)</x:f>
        <x:v>1</x:v>
      </x:c>
      <x:c r="O2150" s="12"/>
      <x:c r="P2150" s="11" t="n">
        <x:v>0</x:v>
      </x:c>
      <x:c r="Q2150" s="12" t="str">
        <x:v>AF-Q8CI11-F1-model_v6</x:v>
      </x:c>
      <x:c r="R2150" s="12" t="str">
        <x:v>ok</x:v>
      </x:c>
      <x:c r="S2150" s="11" t="n">
        <x:v>1660</x:v>
      </x:c>
      <x:c r="T2150" s="11" t="n">
        <x:v>538</x:v>
      </x:c>
    </x:row>
    <x:row r="2151" ht="23" customHeight="1">
      <x:c r="A2151" s="2" t="str">
        <x:v>Q8CI33-2</x:v>
      </x:c>
      <x:c r="B2151" s="2" t="str">
        <x:v>ED</x:v>
      </x:c>
      <x:c r="C2151" s="2"/>
      <x:c r="D2151" s="2"/>
      <x:c r="E2151" s="10"/>
      <x:c r="F2151" s="11"/>
      <x:c r="G2151" s="11" t="n">
        <x:v>0</x:v>
      </x:c>
      <x:c r="H2151" s="11" t="n">
        <x:v>0</x:v>
      </x:c>
      <x:c r="I2151" s="11"/>
      <x:c r="J2151" s="11"/>
      <x:c r="K2151" s="11" t="n">
        <x:v>0</x:v>
      </x:c>
      <x:c r="L2151" s="11" t="n">
        <x:f>IF(B2151="NED",1,IF(OR(B2151="ED",B2151="UN"),0,""))</x:f>
        <x:v>0</x:v>
      </x:c>
      <x:c r="M2151" s="11" t="n">
        <x:f>IF(AND(K2151=1,OR(B2151="ED",B2151="NED")),1,0)</x:f>
        <x:v>0</x:v>
      </x:c>
      <x:c r="N2151" s="11" t="n">
        <x:f>IF(K2151=1,1,0)</x:f>
        <x:v>0</x:v>
      </x:c>
      <x:c r="O2151" s="12" t="str">
        <x:v>Require exact native accession match</x:v>
      </x:c>
      <x:c r="P2151" s="11" t="n">
        <x:v>0</x:v>
      </x:c>
      <x:c r="Q2151" s="12"/>
      <x:c r="R2151" s="12"/>
      <x:c r="S2151" s="11" t="n">
        <x:v>1661</x:v>
      </x:c>
      <x:c r="T2151" s="11"/>
    </x:row>
    <x:row r="2152" ht="23" customHeight="1">
      <x:c r="A2152" s="2" t="str">
        <x:v>Q8CI51</x:v>
      </x:c>
      <x:c r="B2152" s="2" t="str">
        <x:v>ED</x:v>
      </x:c>
      <x:c r="C2152" s="2" t="n">
        <x:v>1</x:v>
      </x:c>
      <x:c r="D2152" s="2" t="n">
        <x:v>1</x:v>
      </x:c>
      <x:c r="E2152" s="10" t="n">
        <x:v>64.71137055837563</x:v>
      </x:c>
      <x:c r="F2152" s="11" t="n">
        <x:v>591</x:v>
      </x:c>
      <x:c r="G2152" s="11" t="n">
        <x:v>0</x:v>
      </x:c>
      <x:c r="H2152" s="11" t="n">
        <x:v>0</x:v>
      </x:c>
      <x:c r="I2152" s="11" t="n">
        <x:v>0</x:v>
      </x:c>
      <x:c r="J2152" s="11" t="n">
        <x:v>0</x:v>
      </x:c>
      <x:c r="K2152" s="11" t="n">
        <x:v>0</x:v>
      </x:c>
      <x:c r="L2152" s="11" t="n">
        <x:f>IF(B2152="NED",1,IF(OR(B2152="ED",B2152="UN"),0,""))</x:f>
        <x:v>0</x:v>
      </x:c>
      <x:c r="M2152" s="11" t="n">
        <x:f>IF(AND(K2152=1,OR(B2152="ED",B2152="NED")),1,0)</x:f>
        <x:v>0</x:v>
      </x:c>
      <x:c r="N2152" s="11" t="n">
        <x:f>IF(K2152=1,1,0)</x:f>
        <x:v>0</x:v>
      </x:c>
      <x:c r="O2152" s="12" t="str">
        <x:v>Retain protein mean pLDDT &gt;=70</x:v>
      </x:c>
      <x:c r="P2152" s="11" t="n">
        <x:v>0</x:v>
      </x:c>
      <x:c r="Q2152" s="12" t="str">
        <x:v>AF-Q8CI51-F1-model_v6</x:v>
      </x:c>
      <x:c r="R2152" s="12" t="str">
        <x:v>ok</x:v>
      </x:c>
      <x:c r="S2152" s="11" t="n">
        <x:v>1662</x:v>
      </x:c>
      <x:c r="T2152" s="11" t="n">
        <x:v>591</x:v>
      </x:c>
    </x:row>
    <x:row r="2153" ht="23" customHeight="1">
      <x:c r="A2153" s="2" t="str">
        <x:v>Q8CI59</x:v>
      </x:c>
      <x:c r="B2153" s="2" t="str">
        <x:v>UN</x:v>
      </x:c>
      <x:c r="C2153" s="2" t="n">
        <x:v>1</x:v>
      </x:c>
      <x:c r="D2153" s="2" t="n">
        <x:v>1</x:v>
      </x:c>
      <x:c r="E2153" s="10"/>
      <x:c r="F2153" s="11" t="n">
        <x:v>488</x:v>
      </x:c>
      <x:c r="G2153" s="11" t="n">
        <x:v>0</x:v>
      </x:c>
      <x:c r="H2153" s="11" t="n">
        <x:v>0</x:v>
      </x:c>
      <x:c r="I2153" s="11" t="n">
        <x:v>1</x:v>
      </x:c>
      <x:c r="J2153" s="11" t="n">
        <x:v>0</x:v>
      </x:c>
      <x:c r="K2153" s="11" t="n">
        <x:v>0</x:v>
      </x:c>
      <x:c r="L2153" s="11" t="n">
        <x:f>IF(B2153="NED",1,IF(OR(B2153="ED",B2153="UN"),0,""))</x:f>
        <x:v>0</x:v>
      </x:c>
      <x:c r="M2153" s="11" t="n">
        <x:f>IF(AND(K2153=1,OR(B2153="ED",B2153="NED")),1,0)</x:f>
        <x:v>0</x:v>
      </x:c>
      <x:c r="N2153" s="11" t="n">
        <x:f>IF(K2153=1,1,0)</x:f>
        <x:v>0</x:v>
      </x:c>
      <x:c r="O2153" s="12" t="str">
        <x:v>Exclude UniProt Membrane keyword</x:v>
      </x:c>
      <x:c r="P2153" s="11" t="n">
        <x:v>0</x:v>
      </x:c>
      <x:c r="Q2153" s="12" t="str">
        <x:v>AF-Q8CI59-F1-model_v6</x:v>
      </x:c>
      <x:c r="R2153" s="12" t="str">
        <x:v>ok</x:v>
      </x:c>
      <x:c r="S2153" s="11" t="n">
        <x:v>1663</x:v>
      </x:c>
      <x:c r="T2153" s="11" t="n">
        <x:v>488</x:v>
      </x:c>
    </x:row>
    <x:row r="2154" ht="23" customHeight="1">
      <x:c r="A2154" s="2" t="str">
        <x:v>Q8CI70</x:v>
      </x:c>
      <x:c r="B2154" s="2" t="str">
        <x:v>ED</x:v>
      </x:c>
      <x:c r="C2154" s="2" t="n">
        <x:v>0</x:v>
      </x:c>
      <x:c r="D2154" s="2" t="n">
        <x:v>0</x:v>
      </x:c>
      <x:c r="E2154" s="10" t="n">
        <x:v>93.57494565217392</x:v>
      </x:c>
      <x:c r="F2154" s="11" t="n">
        <x:v>184</x:v>
      </x:c>
      <x:c r="G2154" s="11" t="n">
        <x:v>0</x:v>
      </x:c>
      <x:c r="H2154" s="11" t="n">
        <x:v>0</x:v>
      </x:c>
      <x:c r="I2154" s="11" t="n">
        <x:v>0</x:v>
      </x:c>
      <x:c r="J2154" s="11" t="n">
        <x:v>0</x:v>
      </x:c>
      <x:c r="K2154" s="11" t="n">
        <x:v>1</x:v>
      </x:c>
      <x:c r="L2154" s="11" t="n">
        <x:f>IF(B2154="NED",1,IF(OR(B2154="ED",B2154="UN"),0,""))</x:f>
        <x:v>0</x:v>
      </x:c>
      <x:c r="M2154" s="11" t="n">
        <x:f>IF(AND(K2154=1,OR(B2154="ED",B2154="NED")),1,0)</x:f>
        <x:v>1</x:v>
      </x:c>
      <x:c r="N2154" s="11" t="n">
        <x:f>IF(K2154=1,1,0)</x:f>
        <x:v>1</x:v>
      </x:c>
      <x:c r="O2154" s="12"/>
      <x:c r="P2154" s="11" t="n">
        <x:v>0</x:v>
      </x:c>
      <x:c r="Q2154" s="12" t="str">
        <x:v>AF-Q8CI70-F1-model_v6</x:v>
      </x:c>
      <x:c r="R2154" s="12" t="str">
        <x:v>ok</x:v>
      </x:c>
      <x:c r="S2154" s="11" t="n">
        <x:v>1664</x:v>
      </x:c>
      <x:c r="T2154" s="11" t="n">
        <x:v>184</x:v>
      </x:c>
    </x:row>
    <x:row r="2155" ht="23" customHeight="1">
      <x:c r="A2155" s="2" t="str">
        <x:v>Q8CI71</x:v>
      </x:c>
      <x:c r="B2155" s="2" t="str">
        <x:v>UN</x:v>
      </x:c>
      <x:c r="C2155" s="2" t="n">
        <x:v>1</x:v>
      </x:c>
      <x:c r="D2155" s="2" t="n">
        <x:v>1</x:v>
      </x:c>
      <x:c r="E2155" s="10"/>
      <x:c r="F2155" s="11" t="n">
        <x:v>964</x:v>
      </x:c>
      <x:c r="G2155" s="11" t="n">
        <x:v>0</x:v>
      </x:c>
      <x:c r="H2155" s="11" t="n">
        <x:v>0</x:v>
      </x:c>
      <x:c r="I2155" s="11" t="n">
        <x:v>1</x:v>
      </x:c>
      <x:c r="J2155" s="11" t="n">
        <x:v>0</x:v>
      </x:c>
      <x:c r="K2155" s="11" t="n">
        <x:v>0</x:v>
      </x:c>
      <x:c r="L2155" s="11" t="n">
        <x:f>IF(B2155="NED",1,IF(OR(B2155="ED",B2155="UN"),0,""))</x:f>
        <x:v>0</x:v>
      </x:c>
      <x:c r="M2155" s="11" t="n">
        <x:f>IF(AND(K2155=1,OR(B2155="ED",B2155="NED")),1,0)</x:f>
        <x:v>0</x:v>
      </x:c>
      <x:c r="N2155" s="11" t="n">
        <x:f>IF(K2155=1,1,0)</x:f>
        <x:v>0</x:v>
      </x:c>
      <x:c r="O2155" s="12" t="str">
        <x:v>Exclude UniProt Membrane keyword</x:v>
      </x:c>
      <x:c r="P2155" s="11" t="n">
        <x:v>0</x:v>
      </x:c>
      <x:c r="Q2155" s="12" t="str">
        <x:v>AF-Q8CI71-F1-model_v6</x:v>
      </x:c>
      <x:c r="R2155" s="12" t="str">
        <x:v>ok</x:v>
      </x:c>
      <x:c r="S2155" s="11" t="n">
        <x:v>1665</x:v>
      </x:c>
      <x:c r="T2155" s="11" t="n">
        <x:v>964</x:v>
      </x:c>
    </x:row>
    <x:row r="2156" ht="23" customHeight="1">
      <x:c r="A2156" s="2" t="str">
        <x:v>Q8CI94</x:v>
      </x:c>
      <x:c r="B2156" s="2" t="str">
        <x:v>NED</x:v>
      </x:c>
      <x:c r="C2156" s="2" t="n">
        <x:v>1</x:v>
      </x:c>
      <x:c r="D2156" s="2" t="n">
        <x:v>1</x:v>
      </x:c>
      <x:c r="E2156" s="10" t="n">
        <x:v>93.66372479240808</x:v>
      </x:c>
      <x:c r="F2156" s="11" t="n">
        <x:v>843</x:v>
      </x:c>
      <x:c r="G2156" s="11" t="n">
        <x:v>0</x:v>
      </x:c>
      <x:c r="H2156" s="11" t="n">
        <x:v>0</x:v>
      </x:c>
      <x:c r="I2156" s="11" t="n">
        <x:v>0</x:v>
      </x:c>
      <x:c r="J2156" s="11" t="n">
        <x:v>0</x:v>
      </x:c>
      <x:c r="K2156" s="11" t="n">
        <x:v>1</x:v>
      </x:c>
      <x:c r="L2156" s="11" t="n">
        <x:f>IF(B2156="NED",1,IF(OR(B2156="ED",B2156="UN"),0,""))</x:f>
        <x:v>1</x:v>
      </x:c>
      <x:c r="M2156" s="11" t="n">
        <x:f>IF(AND(K2156=1,OR(B2156="ED",B2156="NED")),1,0)</x:f>
        <x:v>1</x:v>
      </x:c>
      <x:c r="N2156" s="11" t="n">
        <x:f>IF(K2156=1,1,0)</x:f>
        <x:v>1</x:v>
      </x:c>
      <x:c r="O2156" s="12"/>
      <x:c r="P2156" s="11" t="n">
        <x:v>0</x:v>
      </x:c>
      <x:c r="Q2156" s="12" t="str">
        <x:v>AF-Q8CI94-F1-model_v6</x:v>
      </x:c>
      <x:c r="R2156" s="12" t="str">
        <x:v>ok</x:v>
      </x:c>
      <x:c r="S2156" s="11" t="n">
        <x:v>1666</x:v>
      </x:c>
      <x:c r="T2156" s="11" t="n">
        <x:v>843</x:v>
      </x:c>
    </x:row>
    <x:row r="2157" ht="23" customHeight="1">
      <x:c r="A2157" s="2" t="str">
        <x:v>Q8CI95</x:v>
      </x:c>
      <x:c r="B2157" s="2" t="str">
        <x:v>ED</x:v>
      </x:c>
      <x:c r="C2157" s="2" t="n">
        <x:v>1</x:v>
      </x:c>
      <x:c r="D2157" s="2" t="n">
        <x:v>1</x:v>
      </x:c>
      <x:c r="E2157" s="10"/>
      <x:c r="F2157" s="11" t="n">
        <x:v>751</x:v>
      </x:c>
      <x:c r="G2157" s="11" t="n">
        <x:v>0</x:v>
      </x:c>
      <x:c r="H2157" s="11" t="n">
        <x:v>0</x:v>
      </x:c>
      <x:c r="I2157" s="11" t="n">
        <x:v>1</x:v>
      </x:c>
      <x:c r="J2157" s="11" t="n">
        <x:v>0</x:v>
      </x:c>
      <x:c r="K2157" s="11" t="n">
        <x:v>0</x:v>
      </x:c>
      <x:c r="L2157" s="11" t="n">
        <x:f>IF(B2157="NED",1,IF(OR(B2157="ED",B2157="UN"),0,""))</x:f>
        <x:v>0</x:v>
      </x:c>
      <x:c r="M2157" s="11" t="n">
        <x:f>IF(AND(K2157=1,OR(B2157="ED",B2157="NED")),1,0)</x:f>
        <x:v>0</x:v>
      </x:c>
      <x:c r="N2157" s="11" t="n">
        <x:f>IF(K2157=1,1,0)</x:f>
        <x:v>0</x:v>
      </x:c>
      <x:c r="O2157" s="12" t="str">
        <x:v>Exclude UniProt Membrane keyword</x:v>
      </x:c>
      <x:c r="P2157" s="11" t="n">
        <x:v>0</x:v>
      </x:c>
      <x:c r="Q2157" s="12" t="str">
        <x:v>AF-Q8CI95-F1-model_v6</x:v>
      </x:c>
      <x:c r="R2157" s="12" t="str">
        <x:v>ok</x:v>
      </x:c>
      <x:c r="S2157" s="11" t="n">
        <x:v>1667</x:v>
      </x:c>
      <x:c r="T2157" s="11" t="n">
        <x:v>751</x:v>
      </x:c>
    </x:row>
    <x:row r="2158" ht="23" customHeight="1">
      <x:c r="A2158" s="2" t="str">
        <x:v>Q8CIB5</x:v>
      </x:c>
      <x:c r="B2158" s="2" t="str">
        <x:v>ED</x:v>
      </x:c>
      <x:c r="C2158" s="2" t="n">
        <x:v>1</x:v>
      </x:c>
      <x:c r="D2158" s="2" t="n">
        <x:v>1</x:v>
      </x:c>
      <x:c r="E2158" s="10"/>
      <x:c r="F2158" s="11" t="n">
        <x:v>680</x:v>
      </x:c>
      <x:c r="G2158" s="11" t="n">
        <x:v>0</x:v>
      </x:c>
      <x:c r="H2158" s="11" t="n">
        <x:v>0</x:v>
      </x:c>
      <x:c r="I2158" s="11" t="n">
        <x:v>1</x:v>
      </x:c>
      <x:c r="J2158" s="11" t="n">
        <x:v>0</x:v>
      </x:c>
      <x:c r="K2158" s="11" t="n">
        <x:v>0</x:v>
      </x:c>
      <x:c r="L2158" s="11" t="n">
        <x:f>IF(B2158="NED",1,IF(OR(B2158="ED",B2158="UN"),0,""))</x:f>
        <x:v>0</x:v>
      </x:c>
      <x:c r="M2158" s="11" t="n">
        <x:f>IF(AND(K2158=1,OR(B2158="ED",B2158="NED")),1,0)</x:f>
        <x:v>0</x:v>
      </x:c>
      <x:c r="N2158" s="11" t="n">
        <x:f>IF(K2158=1,1,0)</x:f>
        <x:v>0</x:v>
      </x:c>
      <x:c r="O2158" s="12" t="str">
        <x:v>Exclude UniProt Membrane keyword</x:v>
      </x:c>
      <x:c r="P2158" s="11" t="n">
        <x:v>0</x:v>
      </x:c>
      <x:c r="Q2158" s="12" t="str">
        <x:v>AF-Q8CIB5-F1-model_v6</x:v>
      </x:c>
      <x:c r="R2158" s="12" t="str">
        <x:v>ok</x:v>
      </x:c>
      <x:c r="S2158" s="11" t="n">
        <x:v>1668</x:v>
      </x:c>
      <x:c r="T2158" s="11" t="n">
        <x:v>680</x:v>
      </x:c>
    </x:row>
    <x:row r="2159" ht="23" customHeight="1">
      <x:c r="A2159" s="2" t="str">
        <x:v>Q8CIC2</x:v>
      </x:c>
      <x:c r="B2159" s="2" t="str">
        <x:v>ED</x:v>
      </x:c>
      <x:c r="C2159" s="2" t="n">
        <x:v>0</x:v>
      </x:c>
      <x:c r="D2159" s="2" t="n">
        <x:v>0</x:v>
      </x:c>
      <x:c r="E2159" s="10"/>
      <x:c r="F2159" s="11" t="n">
        <x:v>420</x:v>
      </x:c>
      <x:c r="G2159" s="11" t="n">
        <x:v>0</x:v>
      </x:c>
      <x:c r="H2159" s="11" t="n">
        <x:v>0</x:v>
      </x:c>
      <x:c r="I2159" s="11" t="n">
        <x:v>1</x:v>
      </x:c>
      <x:c r="J2159" s="11" t="n">
        <x:v>0</x:v>
      </x:c>
      <x:c r="K2159" s="11" t="n">
        <x:v>0</x:v>
      </x:c>
      <x:c r="L2159" s="11" t="n">
        <x:f>IF(B2159="NED",1,IF(OR(B2159="ED",B2159="UN"),0,""))</x:f>
        <x:v>0</x:v>
      </x:c>
      <x:c r="M2159" s="11" t="n">
        <x:f>IF(AND(K2159=1,OR(B2159="ED",B2159="NED")),1,0)</x:f>
        <x:v>0</x:v>
      </x:c>
      <x:c r="N2159" s="11" t="n">
        <x:f>IF(K2159=1,1,0)</x:f>
        <x:v>0</x:v>
      </x:c>
      <x:c r="O2159" s="12" t="str">
        <x:v>Exclude UniProt Membrane keyword</x:v>
      </x:c>
      <x:c r="P2159" s="11" t="n">
        <x:v>0</x:v>
      </x:c>
      <x:c r="Q2159" s="12" t="str">
        <x:v>AF-Q8CIC2-F1-model_v6</x:v>
      </x:c>
      <x:c r="R2159" s="12" t="str">
        <x:v>ok</x:v>
      </x:c>
      <x:c r="S2159" s="11" t="n">
        <x:v>1669</x:v>
      </x:c>
      <x:c r="T2159" s="11" t="n">
        <x:v>420</x:v>
      </x:c>
    </x:row>
    <x:row r="2160" ht="23" customHeight="1">
      <x:c r="A2160" s="2" t="str">
        <x:v>Q8CIE4</x:v>
      </x:c>
      <x:c r="B2160" s="2" t="str">
        <x:v>UN</x:v>
      </x:c>
      <x:c r="C2160" s="2" t="n">
        <x:v>1</x:v>
      </x:c>
      <x:c r="D2160" s="2" t="n">
        <x:v>1</x:v>
      </x:c>
      <x:c r="E2160" s="10" t="n">
        <x:v>69.26265624999999</x:v>
      </x:c>
      <x:c r="F2160" s="11" t="n">
        <x:v>960</x:v>
      </x:c>
      <x:c r="G2160" s="11" t="n">
        <x:v>0</x:v>
      </x:c>
      <x:c r="H2160" s="11" t="n">
        <x:v>0</x:v>
      </x:c>
      <x:c r="I2160" s="11" t="n">
        <x:v>0</x:v>
      </x:c>
      <x:c r="J2160" s="11" t="n">
        <x:v>0</x:v>
      </x:c>
      <x:c r="K2160" s="11" t="n">
        <x:v>0</x:v>
      </x:c>
      <x:c r="L2160" s="11" t="n">
        <x:f>IF(B2160="NED",1,IF(OR(B2160="ED",B2160="UN"),0,""))</x:f>
        <x:v>0</x:v>
      </x:c>
      <x:c r="M2160" s="11" t="n">
        <x:f>IF(AND(K2160=1,OR(B2160="ED",B2160="NED")),1,0)</x:f>
        <x:v>0</x:v>
      </x:c>
      <x:c r="N2160" s="11" t="n">
        <x:f>IF(K2160=1,1,0)</x:f>
        <x:v>0</x:v>
      </x:c>
      <x:c r="O2160" s="12" t="str">
        <x:v>Retain protein mean pLDDT &gt;=70</x:v>
      </x:c>
      <x:c r="P2160" s="11" t="n">
        <x:v>0</x:v>
      </x:c>
      <x:c r="Q2160" s="12" t="str">
        <x:v>AF-Q8CIE4-F1-model_v6</x:v>
      </x:c>
      <x:c r="R2160" s="12" t="str">
        <x:v>ok</x:v>
      </x:c>
      <x:c r="S2160" s="11" t="n">
        <x:v>3233</x:v>
      </x:c>
      <x:c r="T2160" s="11" t="n">
        <x:v>960</x:v>
      </x:c>
    </x:row>
    <x:row r="2161" ht="23" customHeight="1">
      <x:c r="A2161" s="2" t="str">
        <x:v>Q8CIE6</x:v>
      </x:c>
      <x:c r="B2161" s="2" t="str">
        <x:v>UN</x:v>
      </x:c>
      <x:c r="C2161" s="2" t="n">
        <x:v>1</x:v>
      </x:c>
      <x:c r="D2161" s="2" t="n">
        <x:v>1</x:v>
      </x:c>
      <x:c r="E2161" s="10"/>
      <x:c r="F2161" s="11" t="n">
        <x:v>1224</x:v>
      </x:c>
      <x:c r="G2161" s="11" t="n">
        <x:v>0</x:v>
      </x:c>
      <x:c r="H2161" s="11" t="n">
        <x:v>0</x:v>
      </x:c>
      <x:c r="I2161" s="11" t="n">
        <x:v>1</x:v>
      </x:c>
      <x:c r="J2161" s="11" t="n">
        <x:v>1</x:v>
      </x:c>
      <x:c r="K2161" s="11" t="n">
        <x:v>0</x:v>
      </x:c>
      <x:c r="L2161" s="11" t="n">
        <x:f>IF(B2161="NED",1,IF(OR(B2161="ED",B2161="UN"),0,""))</x:f>
        <x:v>0</x:v>
      </x:c>
      <x:c r="M2161" s="11" t="n">
        <x:f>IF(AND(K2161=1,OR(B2161="ED",B2161="NED")),1,0)</x:f>
        <x:v>0</x:v>
      </x:c>
      <x:c r="N2161" s="11" t="n">
        <x:f>IF(K2161=1,1,0)</x:f>
        <x:v>0</x:v>
      </x:c>
      <x:c r="O2161" s="12" t="str">
        <x:v>Exclude UniProt Membrane keyword</x:v>
      </x:c>
      <x:c r="P2161" s="11" t="n">
        <x:v>0</x:v>
      </x:c>
      <x:c r="Q2161" s="12" t="str">
        <x:v>AF-Q8CIE6-F1-model_v6</x:v>
      </x:c>
      <x:c r="R2161" s="12" t="str">
        <x:v>ok</x:v>
      </x:c>
      <x:c r="S2161" s="11" t="n">
        <x:v>1670</x:v>
      </x:c>
      <x:c r="T2161" s="11" t="n">
        <x:v>1224</x:v>
      </x:c>
    </x:row>
    <x:row r="2162" ht="23" customHeight="1">
      <x:c r="A2162" s="2" t="str">
        <x:v>Q8CIG8</x:v>
      </x:c>
      <x:c r="B2162" s="2" t="str">
        <x:v>ED</x:v>
      </x:c>
      <x:c r="C2162" s="2" t="n">
        <x:v>1</x:v>
      </x:c>
      <x:c r="D2162" s="2" t="n">
        <x:v>1</x:v>
      </x:c>
      <x:c r="E2162" s="10" t="n">
        <x:v>95.9549136577708</x:v>
      </x:c>
      <x:c r="F2162" s="11" t="n">
        <x:v>637</x:v>
      </x:c>
      <x:c r="G2162" s="11" t="n">
        <x:v>0</x:v>
      </x:c>
      <x:c r="H2162" s="11" t="n">
        <x:v>0</x:v>
      </x:c>
      <x:c r="I2162" s="11" t="n">
        <x:v>0</x:v>
      </x:c>
      <x:c r="J2162" s="11" t="n">
        <x:v>0</x:v>
      </x:c>
      <x:c r="K2162" s="11" t="n">
        <x:v>1</x:v>
      </x:c>
      <x:c r="L2162" s="11" t="n">
        <x:f>IF(B2162="NED",1,IF(OR(B2162="ED",B2162="UN"),0,""))</x:f>
        <x:v>0</x:v>
      </x:c>
      <x:c r="M2162" s="11" t="n">
        <x:f>IF(AND(K2162=1,OR(B2162="ED",B2162="NED")),1,0)</x:f>
        <x:v>1</x:v>
      </x:c>
      <x:c r="N2162" s="11" t="n">
        <x:f>IF(K2162=1,1,0)</x:f>
        <x:v>1</x:v>
      </x:c>
      <x:c r="O2162" s="12"/>
      <x:c r="P2162" s="11" t="n">
        <x:v>0</x:v>
      </x:c>
      <x:c r="Q2162" s="12" t="str">
        <x:v>AF-Q8CIG8-F1-model_v6</x:v>
      </x:c>
      <x:c r="R2162" s="12" t="str">
        <x:v>ok</x:v>
      </x:c>
      <x:c r="S2162" s="11" t="n">
        <x:v>1671</x:v>
      </x:c>
      <x:c r="T2162" s="11" t="n">
        <x:v>637</x:v>
      </x:c>
    </x:row>
    <x:row r="2163" ht="23" customHeight="1">
      <x:c r="A2163" s="2" t="str">
        <x:v>Q8CIH9</x:v>
      </x:c>
      <x:c r="B2163" s="2" t="str">
        <x:v>UN</x:v>
      </x:c>
      <x:c r="C2163" s="2" t="n">
        <x:v>1</x:v>
      </x:c>
      <x:c r="D2163" s="2" t="n">
        <x:v>1</x:v>
      </x:c>
      <x:c r="E2163" s="10" t="n">
        <x:v>86.92742746615087</x:v>
      </x:c>
      <x:c r="F2163" s="11" t="n">
        <x:v>517</x:v>
      </x:c>
      <x:c r="G2163" s="11" t="n">
        <x:v>0</x:v>
      </x:c>
      <x:c r="H2163" s="11" t="n">
        <x:v>0</x:v>
      </x:c>
      <x:c r="I2163" s="11" t="n">
        <x:v>0</x:v>
      </x:c>
      <x:c r="J2163" s="11" t="n">
        <x:v>0</x:v>
      </x:c>
      <x:c r="K2163" s="11" t="n">
        <x:v>1</x:v>
      </x:c>
      <x:c r="L2163" s="11" t="n">
        <x:f>IF(B2163="NED",1,IF(OR(B2163="ED",B2163="UN"),0,""))</x:f>
        <x:v>0</x:v>
      </x:c>
      <x:c r="M2163" s="11" t="n">
        <x:f>IF(AND(K2163=1,OR(B2163="ED",B2163="NED")),1,0)</x:f>
        <x:v>0</x:v>
      </x:c>
      <x:c r="N2163" s="11" t="n">
        <x:f>IF(K2163=1,1,0)</x:f>
        <x:v>1</x:v>
      </x:c>
      <x:c r="O2163" s="12"/>
      <x:c r="P2163" s="11" t="n">
        <x:v>0</x:v>
      </x:c>
      <x:c r="Q2163" s="12" t="str">
        <x:v>AF-Q8CIH9-F1-model_v6</x:v>
      </x:c>
      <x:c r="R2163" s="12" t="str">
        <x:v>ok</x:v>
      </x:c>
      <x:c r="S2163" s="11" t="n">
        <x:v>3234</x:v>
      </x:c>
      <x:c r="T2163" s="11" t="n">
        <x:v>517</x:v>
      </x:c>
    </x:row>
    <x:row r="2164" ht="23" customHeight="1">
      <x:c r="A2164" s="2" t="str">
        <x:v>Q8CII2</x:v>
      </x:c>
      <x:c r="B2164" s="2" t="str">
        <x:v>ED</x:v>
      </x:c>
      <x:c r="C2164" s="2" t="n">
        <x:v>1</x:v>
      </x:c>
      <x:c r="D2164" s="2" t="n">
        <x:v>1</x:v>
      </x:c>
      <x:c r="E2164" s="10" t="n">
        <x:v>84.36154761904761</x:v>
      </x:c>
      <x:c r="F2164" s="11" t="n">
        <x:v>336</x:v>
      </x:c>
      <x:c r="G2164" s="11" t="n">
        <x:v>0</x:v>
      </x:c>
      <x:c r="H2164" s="11" t="n">
        <x:v>0</x:v>
      </x:c>
      <x:c r="I2164" s="11" t="n">
        <x:v>0</x:v>
      </x:c>
      <x:c r="J2164" s="11" t="n">
        <x:v>0</x:v>
      </x:c>
      <x:c r="K2164" s="11" t="n">
        <x:v>1</x:v>
      </x:c>
      <x:c r="L2164" s="11" t="n">
        <x:f>IF(B2164="NED",1,IF(OR(B2164="ED",B2164="UN"),0,""))</x:f>
        <x:v>0</x:v>
      </x:c>
      <x:c r="M2164" s="11" t="n">
        <x:f>IF(AND(K2164=1,OR(B2164="ED",B2164="NED")),1,0)</x:f>
        <x:v>1</x:v>
      </x:c>
      <x:c r="N2164" s="11" t="n">
        <x:f>IF(K2164=1,1,0)</x:f>
        <x:v>1</x:v>
      </x:c>
      <x:c r="O2164" s="12"/>
      <x:c r="P2164" s="11" t="n">
        <x:v>0</x:v>
      </x:c>
      <x:c r="Q2164" s="12" t="str">
        <x:v>AF-Q8CII2-F1-model_v6</x:v>
      </x:c>
      <x:c r="R2164" s="12" t="str">
        <x:v>ok</x:v>
      </x:c>
      <x:c r="S2164" s="11" t="n">
        <x:v>1672</x:v>
      </x:c>
      <x:c r="T2164" s="11" t="n">
        <x:v>336</x:v>
      </x:c>
    </x:row>
    <x:row r="2165" ht="23" customHeight="1">
      <x:c r="A2165" s="2" t="str">
        <x:v>Q8CIM8</x:v>
      </x:c>
      <x:c r="B2165" s="2" t="str">
        <x:v>UN</x:v>
      </x:c>
      <x:c r="C2165" s="2" t="n">
        <x:v>1</x:v>
      </x:c>
      <x:c r="D2165" s="2" t="n">
        <x:v>1</x:v>
      </x:c>
      <x:c r="E2165" s="10" t="n">
        <x:v>83.92414937759337</x:v>
      </x:c>
      <x:c r="F2165" s="11" t="n">
        <x:v>964</x:v>
      </x:c>
      <x:c r="G2165" s="11" t="n">
        <x:v>0</x:v>
      </x:c>
      <x:c r="H2165" s="11" t="n">
        <x:v>0</x:v>
      </x:c>
      <x:c r="I2165" s="11" t="n">
        <x:v>0</x:v>
      </x:c>
      <x:c r="J2165" s="11" t="n">
        <x:v>0</x:v>
      </x:c>
      <x:c r="K2165" s="11" t="n">
        <x:v>1</x:v>
      </x:c>
      <x:c r="L2165" s="11" t="n">
        <x:f>IF(B2165="NED",1,IF(OR(B2165="ED",B2165="UN"),0,""))</x:f>
        <x:v>0</x:v>
      </x:c>
      <x:c r="M2165" s="11" t="n">
        <x:f>IF(AND(K2165=1,OR(B2165="ED",B2165="NED")),1,0)</x:f>
        <x:v>0</x:v>
      </x:c>
      <x:c r="N2165" s="11" t="n">
        <x:f>IF(K2165=1,1,0)</x:f>
        <x:v>1</x:v>
      </x:c>
      <x:c r="O2165" s="12"/>
      <x:c r="P2165" s="11" t="n">
        <x:v>0</x:v>
      </x:c>
      <x:c r="Q2165" s="12" t="str">
        <x:v>AF-Q8CIM8-F1-model_v6</x:v>
      </x:c>
      <x:c r="R2165" s="12" t="str">
        <x:v>ok</x:v>
      </x:c>
      <x:c r="S2165" s="11" t="n">
        <x:v>1673</x:v>
      </x:c>
      <x:c r="T2165" s="11" t="n">
        <x:v>964</x:v>
      </x:c>
    </x:row>
    <x:row r="2166" ht="23" customHeight="1">
      <x:c r="A2166" s="2" t="str">
        <x:v>Q8CIN4</x:v>
      </x:c>
      <x:c r="B2166" s="2" t="str">
        <x:v>ED</x:v>
      </x:c>
      <x:c r="C2166" s="2" t="n">
        <x:v>1</x:v>
      </x:c>
      <x:c r="D2166" s="2" t="n">
        <x:v>1</x:v>
      </x:c>
      <x:c r="E2166" s="10"/>
      <x:c r="F2166" s="11" t="n">
        <x:v>524</x:v>
      </x:c>
      <x:c r="G2166" s="11" t="n">
        <x:v>0</x:v>
      </x:c>
      <x:c r="H2166" s="11" t="n">
        <x:v>0</x:v>
      </x:c>
      <x:c r="I2166" s="11" t="n">
        <x:v>1</x:v>
      </x:c>
      <x:c r="J2166" s="11" t="n">
        <x:v>0</x:v>
      </x:c>
      <x:c r="K2166" s="11" t="n">
        <x:v>0</x:v>
      </x:c>
      <x:c r="L2166" s="11" t="n">
        <x:f>IF(B2166="NED",1,IF(OR(B2166="ED",B2166="UN"),0,""))</x:f>
        <x:v>0</x:v>
      </x:c>
      <x:c r="M2166" s="11" t="n">
        <x:f>IF(AND(K2166=1,OR(B2166="ED",B2166="NED")),1,0)</x:f>
        <x:v>0</x:v>
      </x:c>
      <x:c r="N2166" s="11" t="n">
        <x:f>IF(K2166=1,1,0)</x:f>
        <x:v>0</x:v>
      </x:c>
      <x:c r="O2166" s="12" t="str">
        <x:v>Exclude UniProt Membrane keyword</x:v>
      </x:c>
      <x:c r="P2166" s="11" t="n">
        <x:v>0</x:v>
      </x:c>
      <x:c r="Q2166" s="12" t="str">
        <x:v>AF-Q8CIN4-F1-model_v6</x:v>
      </x:c>
      <x:c r="R2166" s="12" t="str">
        <x:v>ok</x:v>
      </x:c>
      <x:c r="S2166" s="11" t="n">
        <x:v>1674</x:v>
      </x:c>
      <x:c r="T2166" s="11" t="n">
        <x:v>524</x:v>
      </x:c>
    </x:row>
    <x:row r="2167" ht="23" customHeight="1">
      <x:c r="A2167" s="2" t="str">
        <x:v>Q8CJ26</x:v>
      </x:c>
      <x:c r="B2167" s="2" t="str">
        <x:v>ED</x:v>
      </x:c>
      <x:c r="C2167" s="2" t="n">
        <x:v>0</x:v>
      </x:c>
      <x:c r="D2167" s="2" t="n">
        <x:v>0</x:v>
      </x:c>
      <x:c r="E2167" s="10"/>
      <x:c r="F2167" s="11" t="n">
        <x:v>228</x:v>
      </x:c>
      <x:c r="G2167" s="11" t="n">
        <x:v>0</x:v>
      </x:c>
      <x:c r="H2167" s="11" t="n">
        <x:v>0</x:v>
      </x:c>
      <x:c r="I2167" s="11" t="n">
        <x:v>1</x:v>
      </x:c>
      <x:c r="J2167" s="11" t="n">
        <x:v>0</x:v>
      </x:c>
      <x:c r="K2167" s="11" t="n">
        <x:v>0</x:v>
      </x:c>
      <x:c r="L2167" s="11" t="n">
        <x:f>IF(B2167="NED",1,IF(OR(B2167="ED",B2167="UN"),0,""))</x:f>
        <x:v>0</x:v>
      </x:c>
      <x:c r="M2167" s="11" t="n">
        <x:f>IF(AND(K2167=1,OR(B2167="ED",B2167="NED")),1,0)</x:f>
        <x:v>0</x:v>
      </x:c>
      <x:c r="N2167" s="11" t="n">
        <x:f>IF(K2167=1,1,0)</x:f>
        <x:v>0</x:v>
      </x:c>
      <x:c r="O2167" s="12" t="str">
        <x:v>Exclude UniProt Membrane keyword</x:v>
      </x:c>
      <x:c r="P2167" s="11" t="n">
        <x:v>0</x:v>
      </x:c>
      <x:c r="Q2167" s="12" t="str">
        <x:v>AF-Q8CJ26-F1-model_v6</x:v>
      </x:c>
      <x:c r="R2167" s="12" t="str">
        <x:v>ok</x:v>
      </x:c>
      <x:c r="S2167" s="11" t="n">
        <x:v>1675</x:v>
      </x:c>
      <x:c r="T2167" s="11" t="n">
        <x:v>228</x:v>
      </x:c>
    </x:row>
    <x:row r="2168" ht="23" customHeight="1">
      <x:c r="A2168" s="2" t="str">
        <x:v>Q8CJ53-4</x:v>
      </x:c>
      <x:c r="B2168" s="2" t="str">
        <x:v>UN</x:v>
      </x:c>
      <x:c r="C2168" s="2"/>
      <x:c r="D2168" s="2"/>
      <x:c r="E2168" s="10"/>
      <x:c r="F2168" s="11"/>
      <x:c r="G2168" s="11" t="n">
        <x:v>0</x:v>
      </x:c>
      <x:c r="H2168" s="11" t="n">
        <x:v>0</x:v>
      </x:c>
      <x:c r="I2168" s="11"/>
      <x:c r="J2168" s="11"/>
      <x:c r="K2168" s="11" t="n">
        <x:v>0</x:v>
      </x:c>
      <x:c r="L2168" s="11" t="n">
        <x:f>IF(B2168="NED",1,IF(OR(B2168="ED",B2168="UN"),0,""))</x:f>
        <x:v>0</x:v>
      </x:c>
      <x:c r="M2168" s="11" t="n">
        <x:f>IF(AND(K2168=1,OR(B2168="ED",B2168="NED")),1,0)</x:f>
        <x:v>0</x:v>
      </x:c>
      <x:c r="N2168" s="11" t="n">
        <x:f>IF(K2168=1,1,0)</x:f>
        <x:v>0</x:v>
      </x:c>
      <x:c r="O2168" s="12" t="str">
        <x:v>Require exact native accession match</x:v>
      </x:c>
      <x:c r="P2168" s="11" t="n">
        <x:v>0</x:v>
      </x:c>
      <x:c r="Q2168" s="12"/>
      <x:c r="R2168" s="12"/>
      <x:c r="S2168" s="11" t="n">
        <x:v>1676</x:v>
      </x:c>
      <x:c r="T2168" s="11"/>
    </x:row>
    <x:row r="2169" ht="23" customHeight="1">
      <x:c r="A2169" s="2" t="str">
        <x:v>Q8CJF7</x:v>
      </x:c>
      <x:c r="B2169" s="2" t="str">
        <x:v>NED</x:v>
      </x:c>
      <x:c r="C2169" s="2" t="n">
        <x:v>1</x:v>
      </x:c>
      <x:c r="D2169" s="2" t="n">
        <x:v>1</x:v>
      </x:c>
      <x:c r="E2169" s="10"/>
      <x:c r="F2169" s="11" t="n">
        <x:v>2243</x:v>
      </x:c>
      <x:c r="G2169" s="11" t="n">
        <x:v>1</x:v>
      </x:c>
      <x:c r="H2169" s="11" t="n">
        <x:v>0</x:v>
      </x:c>
      <x:c r="I2169" s="11" t="n">
        <x:v>0</x:v>
      </x:c>
      <x:c r="J2169" s="11" t="n">
        <x:v>0</x:v>
      </x:c>
      <x:c r="K2169" s="11" t="n">
        <x:v>0</x:v>
      </x:c>
      <x:c r="L2169" s="11" t="n">
        <x:f>IF(B2169="NED",1,IF(OR(B2169="ED",B2169="UN"),0,""))</x:f>
        <x:v>1</x:v>
      </x:c>
      <x:c r="M2169" s="11" t="n">
        <x:f>IF(AND(K2169=1,OR(B2169="ED",B2169="NED")),1,0)</x:f>
        <x:v>0</x:v>
      </x:c>
      <x:c r="N2169" s="11" t="n">
        <x:f>IF(K2169=1,1,0)</x:f>
        <x:v>0</x:v>
      </x:c>
      <x:c r="O2169" s="12" t="str">
        <x:v>Exclude supplied knotted proteins</x:v>
      </x:c>
      <x:c r="P2169" s="11" t="n">
        <x:v>0</x:v>
      </x:c>
      <x:c r="Q2169" s="12" t="str">
        <x:v>AF-Q8CJF7-F1-model_v6</x:v>
      </x:c>
      <x:c r="R2169" s="12" t="str">
        <x:v>ok</x:v>
      </x:c>
      <x:c r="S2169" s="11" t="n">
        <x:v>1677</x:v>
      </x:c>
      <x:c r="T2169" s="11" t="n">
        <x:v>2243</x:v>
      </x:c>
    </x:row>
    <x:row r="2170" ht="23" customHeight="1">
      <x:c r="A2170" s="2" t="str">
        <x:v>Q8CJG0</x:v>
      </x:c>
      <x:c r="B2170" s="2" t="str">
        <x:v>UN</x:v>
      </x:c>
      <x:c r="C2170" s="2" t="n">
        <x:v>1</x:v>
      </x:c>
      <x:c r="D2170" s="2" t="n">
        <x:v>1</x:v>
      </x:c>
      <x:c r="E2170" s="10" t="n">
        <x:v>92.19431395348838</x:v>
      </x:c>
      <x:c r="F2170" s="11" t="n">
        <x:v>860</x:v>
      </x:c>
      <x:c r="G2170" s="11" t="n">
        <x:v>0</x:v>
      </x:c>
      <x:c r="H2170" s="11" t="n">
        <x:v>0</x:v>
      </x:c>
      <x:c r="I2170" s="11" t="n">
        <x:v>0</x:v>
      </x:c>
      <x:c r="J2170" s="11" t="n">
        <x:v>0</x:v>
      </x:c>
      <x:c r="K2170" s="11" t="n">
        <x:v>1</x:v>
      </x:c>
      <x:c r="L2170" s="11" t="n">
        <x:f>IF(B2170="NED",1,IF(OR(B2170="ED",B2170="UN"),0,""))</x:f>
        <x:v>0</x:v>
      </x:c>
      <x:c r="M2170" s="11" t="n">
        <x:f>IF(AND(K2170=1,OR(B2170="ED",B2170="NED")),1,0)</x:f>
        <x:v>0</x:v>
      </x:c>
      <x:c r="N2170" s="11" t="n">
        <x:f>IF(K2170=1,1,0)</x:f>
        <x:v>1</x:v>
      </x:c>
      <x:c r="O2170" s="12"/>
      <x:c r="P2170" s="11" t="n">
        <x:v>0</x:v>
      </x:c>
      <x:c r="Q2170" s="12" t="str">
        <x:v>AF-Q8CJG0-F1-model_v6</x:v>
      </x:c>
      <x:c r="R2170" s="12" t="str">
        <x:v>ok</x:v>
      </x:c>
      <x:c r="S2170" s="11" t="n">
        <x:v>1678</x:v>
      </x:c>
      <x:c r="T2170" s="11" t="n">
        <x:v>860</x:v>
      </x:c>
    </x:row>
    <x:row r="2171" ht="23" customHeight="1">
      <x:c r="A2171" s="2" t="str">
        <x:v>Q8JZK9</x:v>
      </x:c>
      <x:c r="B2171" s="2" t="str">
        <x:v>UN</x:v>
      </x:c>
      <x:c r="C2171" s="2" t="n">
        <x:v>1</x:v>
      </x:c>
      <x:c r="D2171" s="2" t="n">
        <x:v>1</x:v>
      </x:c>
      <x:c r="E2171" s="10" t="n">
        <x:v>90.8751346153846</x:v>
      </x:c>
      <x:c r="F2171" s="11" t="n">
        <x:v>520</x:v>
      </x:c>
      <x:c r="G2171" s="11" t="n">
        <x:v>0</x:v>
      </x:c>
      <x:c r="H2171" s="11" t="n">
        <x:v>0</x:v>
      </x:c>
      <x:c r="I2171" s="11" t="n">
        <x:v>0</x:v>
      </x:c>
      <x:c r="J2171" s="11" t="n">
        <x:v>0</x:v>
      </x:c>
      <x:c r="K2171" s="11" t="n">
        <x:v>1</x:v>
      </x:c>
      <x:c r="L2171" s="11" t="n">
        <x:f>IF(B2171="NED",1,IF(OR(B2171="ED",B2171="UN"),0,""))</x:f>
        <x:v>0</x:v>
      </x:c>
      <x:c r="M2171" s="11" t="n">
        <x:f>IF(AND(K2171=1,OR(B2171="ED",B2171="NED")),1,0)</x:f>
        <x:v>0</x:v>
      </x:c>
      <x:c r="N2171" s="11" t="n">
        <x:f>IF(K2171=1,1,0)</x:f>
        <x:v>1</x:v>
      </x:c>
      <x:c r="O2171" s="12"/>
      <x:c r="P2171" s="11" t="n">
        <x:v>0</x:v>
      </x:c>
      <x:c r="Q2171" s="12" t="str">
        <x:v>AF-Q8JZK9-F1-model_v6</x:v>
      </x:c>
      <x:c r="R2171" s="12" t="str">
        <x:v>ok</x:v>
      </x:c>
      <x:c r="S2171" s="11" t="n">
        <x:v>1679</x:v>
      </x:c>
      <x:c r="T2171" s="11" t="n">
        <x:v>520</x:v>
      </x:c>
    </x:row>
    <x:row r="2172" ht="23" customHeight="1">
      <x:c r="A2172" s="2" t="str">
        <x:v>Q8JZM7</x:v>
      </x:c>
      <x:c r="B2172" s="2" t="str">
        <x:v>ED</x:v>
      </x:c>
      <x:c r="C2172" s="2" t="n">
        <x:v>1</x:v>
      </x:c>
      <x:c r="D2172" s="2" t="n">
        <x:v>1</x:v>
      </x:c>
      <x:c r="E2172" s="10" t="n">
        <x:v>72.65064030131826</x:v>
      </x:c>
      <x:c r="F2172" s="11" t="n">
        <x:v>531</x:v>
      </x:c>
      <x:c r="G2172" s="11" t="n">
        <x:v>0</x:v>
      </x:c>
      <x:c r="H2172" s="11" t="n">
        <x:v>0</x:v>
      </x:c>
      <x:c r="I2172" s="11" t="n">
        <x:v>0</x:v>
      </x:c>
      <x:c r="J2172" s="11" t="n">
        <x:v>0</x:v>
      </x:c>
      <x:c r="K2172" s="11" t="n">
        <x:v>1</x:v>
      </x:c>
      <x:c r="L2172" s="11" t="n">
        <x:f>IF(B2172="NED",1,IF(OR(B2172="ED",B2172="UN"),0,""))</x:f>
        <x:v>0</x:v>
      </x:c>
      <x:c r="M2172" s="11" t="n">
        <x:f>IF(AND(K2172=1,OR(B2172="ED",B2172="NED")),1,0)</x:f>
        <x:v>1</x:v>
      </x:c>
      <x:c r="N2172" s="11" t="n">
        <x:f>IF(K2172=1,1,0)</x:f>
        <x:v>1</x:v>
      </x:c>
      <x:c r="O2172" s="12"/>
      <x:c r="P2172" s="11" t="n">
        <x:v>0</x:v>
      </x:c>
      <x:c r="Q2172" s="12" t="str">
        <x:v>AF-Q8JZM7-F1-model_v6</x:v>
      </x:c>
      <x:c r="R2172" s="12" t="str">
        <x:v>ok</x:v>
      </x:c>
      <x:c r="S2172" s="11" t="n">
        <x:v>1680</x:v>
      </x:c>
      <x:c r="T2172" s="11" t="n">
        <x:v>531</x:v>
      </x:c>
    </x:row>
    <x:row r="2173" ht="23" customHeight="1">
      <x:c r="A2173" s="2" t="str">
        <x:v>Q8JZN5</x:v>
      </x:c>
      <x:c r="B2173" s="2" t="str">
        <x:v>UN</x:v>
      </x:c>
      <x:c r="C2173" s="2" t="n">
        <x:v>1</x:v>
      </x:c>
      <x:c r="D2173" s="2" t="n">
        <x:v>1</x:v>
      </x:c>
      <x:c r="E2173" s="10"/>
      <x:c r="F2173" s="11" t="n">
        <x:v>625</x:v>
      </x:c>
      <x:c r="G2173" s="11" t="n">
        <x:v>0</x:v>
      </x:c>
      <x:c r="H2173" s="11" t="n">
        <x:v>0</x:v>
      </x:c>
      <x:c r="I2173" s="11" t="n">
        <x:v>1</x:v>
      </x:c>
      <x:c r="J2173" s="11" t="n">
        <x:v>0</x:v>
      </x:c>
      <x:c r="K2173" s="11" t="n">
        <x:v>0</x:v>
      </x:c>
      <x:c r="L2173" s="11" t="n">
        <x:f>IF(B2173="NED",1,IF(OR(B2173="ED",B2173="UN"),0,""))</x:f>
        <x:v>0</x:v>
      </x:c>
      <x:c r="M2173" s="11" t="n">
        <x:f>IF(AND(K2173=1,OR(B2173="ED",B2173="NED")),1,0)</x:f>
        <x:v>0</x:v>
      </x:c>
      <x:c r="N2173" s="11" t="n">
        <x:f>IF(K2173=1,1,0)</x:f>
        <x:v>0</x:v>
      </x:c>
      <x:c r="O2173" s="12" t="str">
        <x:v>Exclude UniProt Membrane keyword</x:v>
      </x:c>
      <x:c r="P2173" s="11" t="n">
        <x:v>0</x:v>
      </x:c>
      <x:c r="Q2173" s="12" t="str">
        <x:v>AF-Q8JZN5-F1-model_v6</x:v>
      </x:c>
      <x:c r="R2173" s="12" t="str">
        <x:v>ok</x:v>
      </x:c>
      <x:c r="S2173" s="11" t="n">
        <x:v>1681</x:v>
      </x:c>
      <x:c r="T2173" s="11" t="n">
        <x:v>625</x:v>
      </x:c>
    </x:row>
    <x:row r="2174" ht="23" customHeight="1">
      <x:c r="A2174" s="2" t="str">
        <x:v>Q8JZN7</x:v>
      </x:c>
      <x:c r="B2174" s="2" t="str">
        <x:v>UN</x:v>
      </x:c>
      <x:c r="C2174" s="2" t="n">
        <x:v>1</x:v>
      </x:c>
      <x:c r="D2174" s="2" t="n">
        <x:v>1</x:v>
      </x:c>
      <x:c r="E2174" s="10"/>
      <x:c r="F2174" s="11" t="n">
        <x:v>620</x:v>
      </x:c>
      <x:c r="G2174" s="11" t="n">
        <x:v>0</x:v>
      </x:c>
      <x:c r="H2174" s="11" t="n">
        <x:v>0</x:v>
      </x:c>
      <x:c r="I2174" s="11" t="n">
        <x:v>1</x:v>
      </x:c>
      <x:c r="J2174" s="11" t="n">
        <x:v>0</x:v>
      </x:c>
      <x:c r="K2174" s="11" t="n">
        <x:v>0</x:v>
      </x:c>
      <x:c r="L2174" s="11" t="n">
        <x:f>IF(B2174="NED",1,IF(OR(B2174="ED",B2174="UN"),0,""))</x:f>
        <x:v>0</x:v>
      </x:c>
      <x:c r="M2174" s="11" t="n">
        <x:f>IF(AND(K2174=1,OR(B2174="ED",B2174="NED")),1,0)</x:f>
        <x:v>0</x:v>
      </x:c>
      <x:c r="N2174" s="11" t="n">
        <x:f>IF(K2174=1,1,0)</x:f>
        <x:v>0</x:v>
      </x:c>
      <x:c r="O2174" s="12" t="str">
        <x:v>Exclude UniProt Membrane keyword</x:v>
      </x:c>
      <x:c r="P2174" s="11" t="n">
        <x:v>0</x:v>
      </x:c>
      <x:c r="Q2174" s="12" t="str">
        <x:v>AF-Q8JZN7-F1-model_v6</x:v>
      </x:c>
      <x:c r="R2174" s="12" t="str">
        <x:v>ok</x:v>
      </x:c>
      <x:c r="S2174" s="11" t="n">
        <x:v>1682</x:v>
      </x:c>
      <x:c r="T2174" s="11" t="n">
        <x:v>620</x:v>
      </x:c>
    </x:row>
    <x:row r="2175" ht="23" customHeight="1">
      <x:c r="A2175" s="2" t="str">
        <x:v>Q8JZR0</x:v>
      </x:c>
      <x:c r="B2175" s="2" t="str">
        <x:v>UN</x:v>
      </x:c>
      <x:c r="C2175" s="2" t="n">
        <x:v>1</x:v>
      </x:c>
      <x:c r="D2175" s="2" t="n">
        <x:v>1</x:v>
      </x:c>
      <x:c r="E2175" s="10"/>
      <x:c r="F2175" s="11" t="n">
        <x:v>683</x:v>
      </x:c>
      <x:c r="G2175" s="11" t="n">
        <x:v>0</x:v>
      </x:c>
      <x:c r="H2175" s="11" t="n">
        <x:v>0</x:v>
      </x:c>
      <x:c r="I2175" s="11" t="n">
        <x:v>1</x:v>
      </x:c>
      <x:c r="J2175" s="11" t="n">
        <x:v>0</x:v>
      </x:c>
      <x:c r="K2175" s="11" t="n">
        <x:v>0</x:v>
      </x:c>
      <x:c r="L2175" s="11" t="n">
        <x:f>IF(B2175="NED",1,IF(OR(B2175="ED",B2175="UN"),0,""))</x:f>
        <x:v>0</x:v>
      </x:c>
      <x:c r="M2175" s="11" t="n">
        <x:f>IF(AND(K2175=1,OR(B2175="ED",B2175="NED")),1,0)</x:f>
        <x:v>0</x:v>
      </x:c>
      <x:c r="N2175" s="11" t="n">
        <x:f>IF(K2175=1,1,0)</x:f>
        <x:v>0</x:v>
      </x:c>
      <x:c r="O2175" s="12" t="str">
        <x:v>Exclude UniProt Membrane keyword</x:v>
      </x:c>
      <x:c r="P2175" s="11" t="n">
        <x:v>0</x:v>
      </x:c>
      <x:c r="Q2175" s="12" t="str">
        <x:v>AF-Q8JZR0-F1-model_v6</x:v>
      </x:c>
      <x:c r="R2175" s="12" t="str">
        <x:v>ok</x:v>
      </x:c>
      <x:c r="S2175" s="11" t="n">
        <x:v>1683</x:v>
      </x:c>
      <x:c r="T2175" s="11" t="n">
        <x:v>683</x:v>
      </x:c>
    </x:row>
    <x:row r="2176" ht="23" customHeight="1">
      <x:c r="A2176" s="2" t="str">
        <x:v>Q8JZS9</x:v>
      </x:c>
      <x:c r="B2176" s="2" t="str">
        <x:v>UN</x:v>
      </x:c>
      <x:c r="C2176" s="2" t="n">
        <x:v>1</x:v>
      </x:c>
      <x:c r="D2176" s="2" t="n">
        <x:v>1</x:v>
      </x:c>
      <x:c r="E2176" s="10" t="n">
        <x:v>76.81497630331754</x:v>
      </x:c>
      <x:c r="F2176" s="11" t="n">
        <x:v>211</x:v>
      </x:c>
      <x:c r="G2176" s="11" t="n">
        <x:v>0</x:v>
      </x:c>
      <x:c r="H2176" s="11" t="n">
        <x:v>0</x:v>
      </x:c>
      <x:c r="I2176" s="11" t="n">
        <x:v>0</x:v>
      </x:c>
      <x:c r="J2176" s="11" t="n">
        <x:v>0</x:v>
      </x:c>
      <x:c r="K2176" s="11" t="n">
        <x:v>1</x:v>
      </x:c>
      <x:c r="L2176" s="11" t="n">
        <x:f>IF(B2176="NED",1,IF(OR(B2176="ED",B2176="UN"),0,""))</x:f>
        <x:v>0</x:v>
      </x:c>
      <x:c r="M2176" s="11" t="n">
        <x:f>IF(AND(K2176=1,OR(B2176="ED",B2176="NED")),1,0)</x:f>
        <x:v>0</x:v>
      </x:c>
      <x:c r="N2176" s="11" t="n">
        <x:f>IF(K2176=1,1,0)</x:f>
        <x:v>1</x:v>
      </x:c>
      <x:c r="O2176" s="12"/>
      <x:c r="P2176" s="11" t="n">
        <x:v>0</x:v>
      </x:c>
      <x:c r="Q2176" s="12" t="str">
        <x:v>AF-Q8JZS9-F1-model_v6</x:v>
      </x:c>
      <x:c r="R2176" s="12" t="str">
        <x:v>ok</x:v>
      </x:c>
      <x:c r="S2176" s="11" t="n">
        <x:v>1684</x:v>
      </x:c>
      <x:c r="T2176" s="11" t="n">
        <x:v>211</x:v>
      </x:c>
    </x:row>
    <x:row r="2177" ht="23" customHeight="1">
      <x:c r="A2177" s="2" t="str">
        <x:v>Q8JZU2</x:v>
      </x:c>
      <x:c r="B2177" s="2" t="str">
        <x:v>UN</x:v>
      </x:c>
      <x:c r="C2177" s="2" t="n">
        <x:v>0</x:v>
      </x:c>
      <x:c r="D2177" s="2" t="n">
        <x:v>0</x:v>
      </x:c>
      <x:c r="E2177" s="10"/>
      <x:c r="F2177" s="11" t="n">
        <x:v>311</x:v>
      </x:c>
      <x:c r="G2177" s="11" t="n">
        <x:v>0</x:v>
      </x:c>
      <x:c r="H2177" s="11" t="n">
        <x:v>0</x:v>
      </x:c>
      <x:c r="I2177" s="11" t="n">
        <x:v>1</x:v>
      </x:c>
      <x:c r="J2177" s="11" t="n">
        <x:v>0</x:v>
      </x:c>
      <x:c r="K2177" s="11" t="n">
        <x:v>0</x:v>
      </x:c>
      <x:c r="L2177" s="11" t="n">
        <x:f>IF(B2177="NED",1,IF(OR(B2177="ED",B2177="UN"),0,""))</x:f>
        <x:v>0</x:v>
      </x:c>
      <x:c r="M2177" s="11" t="n">
        <x:f>IF(AND(K2177=1,OR(B2177="ED",B2177="NED")),1,0)</x:f>
        <x:v>0</x:v>
      </x:c>
      <x:c r="N2177" s="11" t="n">
        <x:f>IF(K2177=1,1,0)</x:f>
        <x:v>0</x:v>
      </x:c>
      <x:c r="O2177" s="12" t="str">
        <x:v>Exclude UniProt Membrane keyword</x:v>
      </x:c>
      <x:c r="P2177" s="11" t="n">
        <x:v>0</x:v>
      </x:c>
      <x:c r="Q2177" s="12" t="str">
        <x:v>AF-Q8JZU2-F1-model_v6</x:v>
      </x:c>
      <x:c r="R2177" s="12" t="str">
        <x:v>ok</x:v>
      </x:c>
      <x:c r="S2177" s="11" t="n">
        <x:v>1685</x:v>
      </x:c>
      <x:c r="T2177" s="11" t="n">
        <x:v>311</x:v>
      </x:c>
    </x:row>
    <x:row r="2178" ht="23" customHeight="1">
      <x:c r="A2178" s="2" t="str">
        <x:v>Q8JZV7</x:v>
      </x:c>
      <x:c r="B2178" s="2" t="str">
        <x:v>UN</x:v>
      </x:c>
      <x:c r="C2178" s="2" t="n">
        <x:v>1</x:v>
      </x:c>
      <x:c r="D2178" s="2" t="n">
        <x:v>1</x:v>
      </x:c>
      <x:c r="E2178" s="10" t="n">
        <x:v>94.8501466992665</x:v>
      </x:c>
      <x:c r="F2178" s="11" t="n">
        <x:v>409</x:v>
      </x:c>
      <x:c r="G2178" s="11" t="n">
        <x:v>0</x:v>
      </x:c>
      <x:c r="H2178" s="11" t="n">
        <x:v>0</x:v>
      </x:c>
      <x:c r="I2178" s="11" t="n">
        <x:v>0</x:v>
      </x:c>
      <x:c r="J2178" s="11" t="n">
        <x:v>0</x:v>
      </x:c>
      <x:c r="K2178" s="11" t="n">
        <x:v>1</x:v>
      </x:c>
      <x:c r="L2178" s="11" t="n">
        <x:f>IF(B2178="NED",1,IF(OR(B2178="ED",B2178="UN"),0,""))</x:f>
        <x:v>0</x:v>
      </x:c>
      <x:c r="M2178" s="11" t="n">
        <x:f>IF(AND(K2178=1,OR(B2178="ED",B2178="NED")),1,0)</x:f>
        <x:v>0</x:v>
      </x:c>
      <x:c r="N2178" s="11" t="n">
        <x:f>IF(K2178=1,1,0)</x:f>
        <x:v>1</x:v>
      </x:c>
      <x:c r="O2178" s="12"/>
      <x:c r="P2178" s="11" t="n">
        <x:v>0</x:v>
      </x:c>
      <x:c r="Q2178" s="12" t="str">
        <x:v>AF-Q8JZV7-F1-model_v6</x:v>
      </x:c>
      <x:c r="R2178" s="12" t="str">
        <x:v>ok</x:v>
      </x:c>
      <x:c r="S2178" s="11" t="n">
        <x:v>1686</x:v>
      </x:c>
      <x:c r="T2178" s="11" t="n">
        <x:v>409</x:v>
      </x:c>
    </x:row>
    <x:row r="2179" ht="23" customHeight="1">
      <x:c r="A2179" s="2" t="str">
        <x:v>Q8K009</x:v>
      </x:c>
      <x:c r="B2179" s="2" t="str">
        <x:v>NED</x:v>
      </x:c>
      <x:c r="C2179" s="2" t="n">
        <x:v>1</x:v>
      </x:c>
      <x:c r="D2179" s="2" t="n">
        <x:v>1</x:v>
      </x:c>
      <x:c r="E2179" s="10" t="n">
        <x:v>92.7053954496208</x:v>
      </x:c>
      <x:c r="F2179" s="11" t="n">
        <x:v>923</x:v>
      </x:c>
      <x:c r="G2179" s="11" t="n">
        <x:v>0</x:v>
      </x:c>
      <x:c r="H2179" s="11" t="n">
        <x:v>0</x:v>
      </x:c>
      <x:c r="I2179" s="11" t="n">
        <x:v>0</x:v>
      </x:c>
      <x:c r="J2179" s="11" t="n">
        <x:v>0</x:v>
      </x:c>
      <x:c r="K2179" s="11" t="n">
        <x:v>1</x:v>
      </x:c>
      <x:c r="L2179" s="11" t="n">
        <x:f>IF(B2179="NED",1,IF(OR(B2179="ED",B2179="UN"),0,""))</x:f>
        <x:v>1</x:v>
      </x:c>
      <x:c r="M2179" s="11" t="n">
        <x:f>IF(AND(K2179=1,OR(B2179="ED",B2179="NED")),1,0)</x:f>
        <x:v>1</x:v>
      </x:c>
      <x:c r="N2179" s="11" t="n">
        <x:f>IF(K2179=1,1,0)</x:f>
        <x:v>1</x:v>
      </x:c>
      <x:c r="O2179" s="12"/>
      <x:c r="P2179" s="11" t="n">
        <x:v>0</x:v>
      </x:c>
      <x:c r="Q2179" s="12" t="str">
        <x:v>AF-Q8K009-F1-model_v6</x:v>
      </x:c>
      <x:c r="R2179" s="12" t="str">
        <x:v>ok</x:v>
      </x:c>
      <x:c r="S2179" s="11" t="n">
        <x:v>1687</x:v>
      </x:c>
      <x:c r="T2179" s="11" t="n">
        <x:v>923</x:v>
      </x:c>
    </x:row>
    <x:row r="2180" ht="23" customHeight="1">
      <x:c r="A2180" s="2" t="str">
        <x:v>Q8K019-2</x:v>
      </x:c>
      <x:c r="B2180" s="2" t="str">
        <x:v>UN</x:v>
      </x:c>
      <x:c r="C2180" s="2"/>
      <x:c r="D2180" s="2"/>
      <x:c r="E2180" s="10"/>
      <x:c r="F2180" s="11"/>
      <x:c r="G2180" s="11" t="n">
        <x:v>0</x:v>
      </x:c>
      <x:c r="H2180" s="11" t="n">
        <x:v>0</x:v>
      </x:c>
      <x:c r="I2180" s="11"/>
      <x:c r="J2180" s="11"/>
      <x:c r="K2180" s="11" t="n">
        <x:v>0</x:v>
      </x:c>
      <x:c r="L2180" s="11" t="n">
        <x:f>IF(B2180="NED",1,IF(OR(B2180="ED",B2180="UN"),0,""))</x:f>
        <x:v>0</x:v>
      </x:c>
      <x:c r="M2180" s="11" t="n">
        <x:f>IF(AND(K2180=1,OR(B2180="ED",B2180="NED")),1,0)</x:f>
        <x:v>0</x:v>
      </x:c>
      <x:c r="N2180" s="11" t="n">
        <x:f>IF(K2180=1,1,0)</x:f>
        <x:v>0</x:v>
      </x:c>
      <x:c r="O2180" s="12" t="str">
        <x:v>Require exact native accession match</x:v>
      </x:c>
      <x:c r="P2180" s="11" t="n">
        <x:v>0</x:v>
      </x:c>
      <x:c r="Q2180" s="12"/>
      <x:c r="R2180" s="12"/>
      <x:c r="S2180" s="11" t="n">
        <x:v>1688</x:v>
      </x:c>
      <x:c r="T2180" s="11"/>
    </x:row>
    <x:row r="2181" ht="23" customHeight="1">
      <x:c r="A2181" s="2" t="str">
        <x:v>Q8K021</x:v>
      </x:c>
      <x:c r="B2181" s="2" t="str">
        <x:v>NED</x:v>
      </x:c>
      <x:c r="C2181" s="2" t="n">
        <x:v>0</x:v>
      </x:c>
      <x:c r="D2181" s="2" t="n">
        <x:v>0</x:v>
      </x:c>
      <x:c r="E2181" s="10"/>
      <x:c r="F2181" s="11" t="n">
        <x:v>338</x:v>
      </x:c>
      <x:c r="G2181" s="11" t="n">
        <x:v>0</x:v>
      </x:c>
      <x:c r="H2181" s="11" t="n">
        <x:v>0</x:v>
      </x:c>
      <x:c r="I2181" s="11" t="n">
        <x:v>1</x:v>
      </x:c>
      <x:c r="J2181" s="11" t="n">
        <x:v>0</x:v>
      </x:c>
      <x:c r="K2181" s="11" t="n">
        <x:v>0</x:v>
      </x:c>
      <x:c r="L2181" s="11" t="n">
        <x:f>IF(B2181="NED",1,IF(OR(B2181="ED",B2181="UN"),0,""))</x:f>
        <x:v>1</x:v>
      </x:c>
      <x:c r="M2181" s="11" t="n">
        <x:f>IF(AND(K2181=1,OR(B2181="ED",B2181="NED")),1,0)</x:f>
        <x:v>0</x:v>
      </x:c>
      <x:c r="N2181" s="11" t="n">
        <x:f>IF(K2181=1,1,0)</x:f>
        <x:v>0</x:v>
      </x:c>
      <x:c r="O2181" s="12" t="str">
        <x:v>Exclude UniProt Membrane keyword</x:v>
      </x:c>
      <x:c r="P2181" s="11" t="n">
        <x:v>0</x:v>
      </x:c>
      <x:c r="Q2181" s="12" t="str">
        <x:v>AF-Q8K021-F1-model_v6</x:v>
      </x:c>
      <x:c r="R2181" s="12" t="str">
        <x:v>ok</x:v>
      </x:c>
      <x:c r="S2181" s="11" t="n">
        <x:v>1689</x:v>
      </x:c>
      <x:c r="T2181" s="11" t="n">
        <x:v>338</x:v>
      </x:c>
    </x:row>
    <x:row r="2182" ht="23" customHeight="1">
      <x:c r="A2182" s="2" t="str">
        <x:v>Q8K094</x:v>
      </x:c>
      <x:c r="B2182" s="2" t="str">
        <x:v>NED</x:v>
      </x:c>
      <x:c r="C2182" s="2" t="n">
        <x:v>1</x:v>
      </x:c>
      <x:c r="D2182" s="2" t="n">
        <x:v>1</x:v>
      </x:c>
      <x:c r="E2182" s="10"/>
      <x:c r="F2182" s="11" t="n">
        <x:v>408</x:v>
      </x:c>
      <x:c r="G2182" s="11" t="n">
        <x:v>0</x:v>
      </x:c>
      <x:c r="H2182" s="11" t="n">
        <x:v>0</x:v>
      </x:c>
      <x:c r="I2182" s="11" t="n">
        <x:v>1</x:v>
      </x:c>
      <x:c r="J2182" s="11" t="n">
        <x:v>0</x:v>
      </x:c>
      <x:c r="K2182" s="11" t="n">
        <x:v>0</x:v>
      </x:c>
      <x:c r="L2182" s="11" t="n">
        <x:f>IF(B2182="NED",1,IF(OR(B2182="ED",B2182="UN"),0,""))</x:f>
        <x:v>1</x:v>
      </x:c>
      <x:c r="M2182" s="11" t="n">
        <x:f>IF(AND(K2182=1,OR(B2182="ED",B2182="NED")),1,0)</x:f>
        <x:v>0</x:v>
      </x:c>
      <x:c r="N2182" s="11" t="n">
        <x:f>IF(K2182=1,1,0)</x:f>
        <x:v>0</x:v>
      </x:c>
      <x:c r="O2182" s="12" t="str">
        <x:v>Exclude UniProt Membrane keyword</x:v>
      </x:c>
      <x:c r="P2182" s="11" t="n">
        <x:v>0</x:v>
      </x:c>
      <x:c r="Q2182" s="12" t="str">
        <x:v>AF-Q8K094-F1-model_v6</x:v>
      </x:c>
      <x:c r="R2182" s="12" t="str">
        <x:v>ok</x:v>
      </x:c>
      <x:c r="S2182" s="11" t="n">
        <x:v>3235</x:v>
      </x:c>
      <x:c r="T2182" s="11" t="n">
        <x:v>408</x:v>
      </x:c>
    </x:row>
    <x:row r="2183" ht="23" customHeight="1">
      <x:c r="A2183" s="2" t="str">
        <x:v>Q8K0C1</x:v>
      </x:c>
      <x:c r="B2183" s="2" t="str">
        <x:v>ED</x:v>
      </x:c>
      <x:c r="C2183" s="2" t="n">
        <x:v>0</x:v>
      </x:c>
      <x:c r="D2183" s="2" t="n">
        <x:v>0</x:v>
      </x:c>
      <x:c r="E2183" s="10" t="n">
        <x:v>91.71645898234684</x:v>
      </x:c>
      <x:c r="F2183" s="11" t="n">
        <x:v>963</x:v>
      </x:c>
      <x:c r="G2183" s="11" t="n">
        <x:v>0</x:v>
      </x:c>
      <x:c r="H2183" s="11" t="n">
        <x:v>0</x:v>
      </x:c>
      <x:c r="I2183" s="11" t="n">
        <x:v>0</x:v>
      </x:c>
      <x:c r="J2183" s="11" t="n">
        <x:v>0</x:v>
      </x:c>
      <x:c r="K2183" s="11" t="n">
        <x:v>1</x:v>
      </x:c>
      <x:c r="L2183" s="11" t="n">
        <x:f>IF(B2183="NED",1,IF(OR(B2183="ED",B2183="UN"),0,""))</x:f>
        <x:v>0</x:v>
      </x:c>
      <x:c r="M2183" s="11" t="n">
        <x:f>IF(AND(K2183=1,OR(B2183="ED",B2183="NED")),1,0)</x:f>
        <x:v>1</x:v>
      </x:c>
      <x:c r="N2183" s="11" t="n">
        <x:f>IF(K2183=1,1,0)</x:f>
        <x:v>1</x:v>
      </x:c>
      <x:c r="O2183" s="12"/>
      <x:c r="P2183" s="11" t="n">
        <x:v>0</x:v>
      </x:c>
      <x:c r="Q2183" s="12" t="str">
        <x:v>AF-Q8K0C1-F1-model_v6</x:v>
      </x:c>
      <x:c r="R2183" s="12" t="str">
        <x:v>ok</x:v>
      </x:c>
      <x:c r="S2183" s="11" t="n">
        <x:v>1690</x:v>
      </x:c>
      <x:c r="T2183" s="11" t="n">
        <x:v>963</x:v>
      </x:c>
    </x:row>
    <x:row r="2184" ht="23" customHeight="1">
      <x:c r="A2184" s="2" t="str">
        <x:v>Q8K0C4</x:v>
      </x:c>
      <x:c r="B2184" s="2" t="str">
        <x:v>NED</x:v>
      </x:c>
      <x:c r="C2184" s="2" t="n">
        <x:v>1</x:v>
      </x:c>
      <x:c r="D2184" s="2" t="n">
        <x:v>1</x:v>
      </x:c>
      <x:c r="E2184" s="10"/>
      <x:c r="F2184" s="11" t="n">
        <x:v>503</x:v>
      </x:c>
      <x:c r="G2184" s="11" t="n">
        <x:v>0</x:v>
      </x:c>
      <x:c r="H2184" s="11" t="n">
        <x:v>0</x:v>
      </x:c>
      <x:c r="I2184" s="11" t="n">
        <x:v>1</x:v>
      </x:c>
      <x:c r="J2184" s="11" t="n">
        <x:v>0</x:v>
      </x:c>
      <x:c r="K2184" s="11" t="n">
        <x:v>0</x:v>
      </x:c>
      <x:c r="L2184" s="11" t="n">
        <x:f>IF(B2184="NED",1,IF(OR(B2184="ED",B2184="UN"),0,""))</x:f>
        <x:v>1</x:v>
      </x:c>
      <x:c r="M2184" s="11" t="n">
        <x:f>IF(AND(K2184=1,OR(B2184="ED",B2184="NED")),1,0)</x:f>
        <x:v>0</x:v>
      </x:c>
      <x:c r="N2184" s="11" t="n">
        <x:f>IF(K2184=1,1,0)</x:f>
        <x:v>0</x:v>
      </x:c>
      <x:c r="O2184" s="12" t="str">
        <x:v>Exclude UniProt Membrane keyword</x:v>
      </x:c>
      <x:c r="P2184" s="11" t="n">
        <x:v>0</x:v>
      </x:c>
      <x:c r="Q2184" s="12" t="str">
        <x:v>AF-Q8K0C4-F1-model_v6</x:v>
      </x:c>
      <x:c r="R2184" s="12" t="str">
        <x:v>ok</x:v>
      </x:c>
      <x:c r="S2184" s="11" t="n">
        <x:v>1691</x:v>
      </x:c>
      <x:c r="T2184" s="11" t="n">
        <x:v>503</x:v>
      </x:c>
    </x:row>
    <x:row r="2185" ht="23" customHeight="1">
      <x:c r="A2185" s="2" t="str">
        <x:v>Q8K0C9</x:v>
      </x:c>
      <x:c r="B2185" s="2" t="str">
        <x:v>UN</x:v>
      </x:c>
      <x:c r="C2185" s="2" t="n">
        <x:v>1</x:v>
      </x:c>
      <x:c r="D2185" s="2" t="n">
        <x:v>1</x:v>
      </x:c>
      <x:c r="E2185" s="10" t="n">
        <x:v>94.20989247311827</x:v>
      </x:c>
      <x:c r="F2185" s="11" t="n">
        <x:v>372</x:v>
      </x:c>
      <x:c r="G2185" s="11" t="n">
        <x:v>0</x:v>
      </x:c>
      <x:c r="H2185" s="11" t="n">
        <x:v>0</x:v>
      </x:c>
      <x:c r="I2185" s="11" t="n">
        <x:v>0</x:v>
      </x:c>
      <x:c r="J2185" s="11" t="n">
        <x:v>0</x:v>
      </x:c>
      <x:c r="K2185" s="11" t="n">
        <x:v>1</x:v>
      </x:c>
      <x:c r="L2185" s="11" t="n">
        <x:f>IF(B2185="NED",1,IF(OR(B2185="ED",B2185="UN"),0,""))</x:f>
        <x:v>0</x:v>
      </x:c>
      <x:c r="M2185" s="11" t="n">
        <x:f>IF(AND(K2185=1,OR(B2185="ED",B2185="NED")),1,0)</x:f>
        <x:v>0</x:v>
      </x:c>
      <x:c r="N2185" s="11" t="n">
        <x:f>IF(K2185=1,1,0)</x:f>
        <x:v>1</x:v>
      </x:c>
      <x:c r="O2185" s="12"/>
      <x:c r="P2185" s="11" t="n">
        <x:v>0</x:v>
      </x:c>
      <x:c r="Q2185" s="12" t="str">
        <x:v>AF-Q8K0C9-F1-model_v6</x:v>
      </x:c>
      <x:c r="R2185" s="12" t="str">
        <x:v>ok</x:v>
      </x:c>
      <x:c r="S2185" s="11" t="n">
        <x:v>1692</x:v>
      </x:c>
      <x:c r="T2185" s="11" t="n">
        <x:v>372</x:v>
      </x:c>
    </x:row>
    <x:row r="2186" ht="23" customHeight="1">
      <x:c r="A2186" s="2" t="str">
        <x:v>Q8K0D0</x:v>
      </x:c>
      <x:c r="B2186" s="2" t="str">
        <x:v>ED</x:v>
      </x:c>
      <x:c r="C2186" s="2" t="n">
        <x:v>1</x:v>
      </x:c>
      <x:c r="D2186" s="2" t="n">
        <x:v>1</x:v>
      </x:c>
      <x:c r="E2186" s="10" t="n">
        <x:v>70.11395793499044</x:v>
      </x:c>
      <x:c r="F2186" s="11" t="n">
        <x:v>523</x:v>
      </x:c>
      <x:c r="G2186" s="11" t="n">
        <x:v>0</x:v>
      </x:c>
      <x:c r="H2186" s="11" t="n">
        <x:v>0</x:v>
      </x:c>
      <x:c r="I2186" s="11" t="n">
        <x:v>0</x:v>
      </x:c>
      <x:c r="J2186" s="11" t="n">
        <x:v>0</x:v>
      </x:c>
      <x:c r="K2186" s="11" t="n">
        <x:v>1</x:v>
      </x:c>
      <x:c r="L2186" s="11" t="n">
        <x:f>IF(B2186="NED",1,IF(OR(B2186="ED",B2186="UN"),0,""))</x:f>
        <x:v>0</x:v>
      </x:c>
      <x:c r="M2186" s="11" t="n">
        <x:f>IF(AND(K2186=1,OR(B2186="ED",B2186="NED")),1,0)</x:f>
        <x:v>1</x:v>
      </x:c>
      <x:c r="N2186" s="11" t="n">
        <x:f>IF(K2186=1,1,0)</x:f>
        <x:v>1</x:v>
      </x:c>
      <x:c r="O2186" s="12"/>
      <x:c r="P2186" s="11" t="n">
        <x:v>0</x:v>
      </x:c>
      <x:c r="Q2186" s="12" t="str">
        <x:v>AF-Q8K0D0-F1-model_v6</x:v>
      </x:c>
      <x:c r="R2186" s="12" t="str">
        <x:v>ok</x:v>
      </x:c>
      <x:c r="S2186" s="11" t="n">
        <x:v>1693</x:v>
      </x:c>
      <x:c r="T2186" s="11" t="n">
        <x:v>523</x:v>
      </x:c>
    </x:row>
    <x:row r="2187" ht="23" customHeight="1">
      <x:c r="A2187" s="2" t="str">
        <x:v>Q8K0D5</x:v>
      </x:c>
      <x:c r="B2187" s="2" t="str">
        <x:v>NED</x:v>
      </x:c>
      <x:c r="C2187" s="2" t="n">
        <x:v>1</x:v>
      </x:c>
      <x:c r="D2187" s="2" t="n">
        <x:v>1</x:v>
      </x:c>
      <x:c r="E2187" s="10" t="n">
        <x:v>84.95954727030626</x:v>
      </x:c>
      <x:c r="F2187" s="11" t="n">
        <x:v>751</x:v>
      </x:c>
      <x:c r="G2187" s="11" t="n">
        <x:v>0</x:v>
      </x:c>
      <x:c r="H2187" s="11" t="n">
        <x:v>0</x:v>
      </x:c>
      <x:c r="I2187" s="11" t="n">
        <x:v>0</x:v>
      </x:c>
      <x:c r="J2187" s="11" t="n">
        <x:v>0</x:v>
      </x:c>
      <x:c r="K2187" s="11" t="n">
        <x:v>1</x:v>
      </x:c>
      <x:c r="L2187" s="11" t="n">
        <x:f>IF(B2187="NED",1,IF(OR(B2187="ED",B2187="UN"),0,""))</x:f>
        <x:v>1</x:v>
      </x:c>
      <x:c r="M2187" s="11" t="n">
        <x:f>IF(AND(K2187=1,OR(B2187="ED",B2187="NED")),1,0)</x:f>
        <x:v>1</x:v>
      </x:c>
      <x:c r="N2187" s="11" t="n">
        <x:f>IF(K2187=1,1,0)</x:f>
        <x:v>1</x:v>
      </x:c>
      <x:c r="O2187" s="12"/>
      <x:c r="P2187" s="11" t="n">
        <x:v>0</x:v>
      </x:c>
      <x:c r="Q2187" s="12" t="str">
        <x:v>AF-Q8K0D5-F1-model_v6</x:v>
      </x:c>
      <x:c r="R2187" s="12" t="str">
        <x:v>ok</x:v>
      </x:c>
      <x:c r="S2187" s="11" t="n">
        <x:v>1694</x:v>
      </x:c>
      <x:c r="T2187" s="11" t="n">
        <x:v>751</x:v>
      </x:c>
    </x:row>
    <x:row r="2188" ht="23" customHeight="1">
      <x:c r="A2188" s="2" t="str">
        <x:v>Q8K0Z7</x:v>
      </x:c>
      <x:c r="B2188" s="2" t="str">
        <x:v>ED</x:v>
      </x:c>
      <x:c r="C2188" s="2" t="n">
        <x:v>1</x:v>
      </x:c>
      <x:c r="D2188" s="2" t="n">
        <x:v>1</x:v>
      </x:c>
      <x:c r="E2188" s="10" t="n">
        <x:v>84.09833333333333</x:v>
      </x:c>
      <x:c r="F2188" s="11" t="n">
        <x:v>294</x:v>
      </x:c>
      <x:c r="G2188" s="11" t="n">
        <x:v>0</x:v>
      </x:c>
      <x:c r="H2188" s="11" t="n">
        <x:v>0</x:v>
      </x:c>
      <x:c r="I2188" s="11" t="n">
        <x:v>0</x:v>
      </x:c>
      <x:c r="J2188" s="11" t="n">
        <x:v>0</x:v>
      </x:c>
      <x:c r="K2188" s="11" t="n">
        <x:v>1</x:v>
      </x:c>
      <x:c r="L2188" s="11" t="n">
        <x:f>IF(B2188="NED",1,IF(OR(B2188="ED",B2188="UN"),0,""))</x:f>
        <x:v>0</x:v>
      </x:c>
      <x:c r="M2188" s="11" t="n">
        <x:f>IF(AND(K2188=1,OR(B2188="ED",B2188="NED")),1,0)</x:f>
        <x:v>1</x:v>
      </x:c>
      <x:c r="N2188" s="11" t="n">
        <x:f>IF(K2188=1,1,0)</x:f>
        <x:v>1</x:v>
      </x:c>
      <x:c r="O2188" s="12"/>
      <x:c r="P2188" s="11" t="n">
        <x:v>0</x:v>
      </x:c>
      <x:c r="Q2188" s="12" t="str">
        <x:v>AF-Q8K0Z7-F1-model_v6</x:v>
      </x:c>
      <x:c r="R2188" s="12" t="str">
        <x:v>ok</x:v>
      </x:c>
      <x:c r="S2188" s="11" t="n">
        <x:v>1695</x:v>
      </x:c>
      <x:c r="T2188" s="11" t="n">
        <x:v>294</x:v>
      </x:c>
    </x:row>
    <x:row r="2189" ht="23" customHeight="1">
      <x:c r="A2189" s="2" t="str">
        <x:v>Q8K124</x:v>
      </x:c>
      <x:c r="B2189" s="2" t="str">
        <x:v>UN</x:v>
      </x:c>
      <x:c r="C2189" s="2" t="n">
        <x:v>1</x:v>
      </x:c>
      <x:c r="D2189" s="2" t="n">
        <x:v>1</x:v>
      </x:c>
      <x:c r="E2189" s="10" t="n">
        <x:v>61.89464646464646</x:v>
      </x:c>
      <x:c r="F2189" s="11" t="n">
        <x:v>495</x:v>
      </x:c>
      <x:c r="G2189" s="11" t="n">
        <x:v>0</x:v>
      </x:c>
      <x:c r="H2189" s="11" t="n">
        <x:v>0</x:v>
      </x:c>
      <x:c r="I2189" s="11" t="n">
        <x:v>0</x:v>
      </x:c>
      <x:c r="J2189" s="11" t="n">
        <x:v>0</x:v>
      </x:c>
      <x:c r="K2189" s="11" t="n">
        <x:v>0</x:v>
      </x:c>
      <x:c r="L2189" s="11" t="n">
        <x:f>IF(B2189="NED",1,IF(OR(B2189="ED",B2189="UN"),0,""))</x:f>
        <x:v>0</x:v>
      </x:c>
      <x:c r="M2189" s="11" t="n">
        <x:f>IF(AND(K2189=1,OR(B2189="ED",B2189="NED")),1,0)</x:f>
        <x:v>0</x:v>
      </x:c>
      <x:c r="N2189" s="11" t="n">
        <x:f>IF(K2189=1,1,0)</x:f>
        <x:v>0</x:v>
      </x:c>
      <x:c r="O2189" s="12" t="str">
        <x:v>Retain protein mean pLDDT &gt;=70</x:v>
      </x:c>
      <x:c r="P2189" s="11" t="n">
        <x:v>0</x:v>
      </x:c>
      <x:c r="Q2189" s="12" t="str">
        <x:v>AF-Q8K124-F1-model_v6</x:v>
      </x:c>
      <x:c r="R2189" s="12" t="str">
        <x:v>ok</x:v>
      </x:c>
      <x:c r="S2189" s="11" t="n">
        <x:v>1696</x:v>
      </x:c>
      <x:c r="T2189" s="11" t="n">
        <x:v>495</x:v>
      </x:c>
    </x:row>
    <x:row r="2190" ht="23" customHeight="1">
      <x:c r="A2190" s="2" t="str">
        <x:v>Q8K1A6</x:v>
      </x:c>
      <x:c r="B2190" s="2" t="str">
        <x:v>UN</x:v>
      </x:c>
      <x:c r="C2190" s="2" t="n">
        <x:v>1</x:v>
      </x:c>
      <x:c r="D2190" s="2" t="n">
        <x:v>1</x:v>
      </x:c>
      <x:c r="E2190" s="10" t="n">
        <x:v>73.01738069989395</x:v>
      </x:c>
      <x:c r="F2190" s="11" t="n">
        <x:v>943</x:v>
      </x:c>
      <x:c r="G2190" s="11" t="n">
        <x:v>0</x:v>
      </x:c>
      <x:c r="H2190" s="11" t="n">
        <x:v>0</x:v>
      </x:c>
      <x:c r="I2190" s="11" t="n">
        <x:v>0</x:v>
      </x:c>
      <x:c r="J2190" s="11" t="n">
        <x:v>0</x:v>
      </x:c>
      <x:c r="K2190" s="11" t="n">
        <x:v>1</x:v>
      </x:c>
      <x:c r="L2190" s="11" t="n">
        <x:f>IF(B2190="NED",1,IF(OR(B2190="ED",B2190="UN"),0,""))</x:f>
        <x:v>0</x:v>
      </x:c>
      <x:c r="M2190" s="11" t="n">
        <x:f>IF(AND(K2190=1,OR(B2190="ED",B2190="NED")),1,0)</x:f>
        <x:v>0</x:v>
      </x:c>
      <x:c r="N2190" s="11" t="n">
        <x:f>IF(K2190=1,1,0)</x:f>
        <x:v>1</x:v>
      </x:c>
      <x:c r="O2190" s="12"/>
      <x:c r="P2190" s="11" t="n">
        <x:v>0</x:v>
      </x:c>
      <x:c r="Q2190" s="12" t="str">
        <x:v>AF-Q8K1A6-F1-model_v6</x:v>
      </x:c>
      <x:c r="R2190" s="12" t="str">
        <x:v>ok</x:v>
      </x:c>
      <x:c r="S2190" s="11" t="n">
        <x:v>1697</x:v>
      </x:c>
      <x:c r="T2190" s="11" t="n">
        <x:v>943</x:v>
      </x:c>
    </x:row>
    <x:row r="2191" ht="23" customHeight="1">
      <x:c r="A2191" s="2" t="str">
        <x:v>Q8K1J5</x:v>
      </x:c>
      <x:c r="B2191" s="2" t="str">
        <x:v>ED</x:v>
      </x:c>
      <x:c r="C2191" s="2" t="n">
        <x:v>0</x:v>
      </x:c>
      <x:c r="D2191" s="2" t="n">
        <x:v>0</x:v>
      </x:c>
      <x:c r="E2191" s="10" t="n">
        <x:v>65.9571875</x:v>
      </x:c>
      <x:c r="F2191" s="11" t="n">
        <x:v>448</x:v>
      </x:c>
      <x:c r="G2191" s="11" t="n">
        <x:v>0</x:v>
      </x:c>
      <x:c r="H2191" s="11" t="n">
        <x:v>0</x:v>
      </x:c>
      <x:c r="I2191" s="11" t="n">
        <x:v>0</x:v>
      </x:c>
      <x:c r="J2191" s="11" t="n">
        <x:v>0</x:v>
      </x:c>
      <x:c r="K2191" s="11" t="n">
        <x:v>0</x:v>
      </x:c>
      <x:c r="L2191" s="11" t="n">
        <x:f>IF(B2191="NED",1,IF(OR(B2191="ED",B2191="UN"),0,""))</x:f>
        <x:v>0</x:v>
      </x:c>
      <x:c r="M2191" s="11" t="n">
        <x:f>IF(AND(K2191=1,OR(B2191="ED",B2191="NED")),1,0)</x:f>
        <x:v>0</x:v>
      </x:c>
      <x:c r="N2191" s="11" t="n">
        <x:f>IF(K2191=1,1,0)</x:f>
        <x:v>0</x:v>
      </x:c>
      <x:c r="O2191" s="12" t="str">
        <x:v>Retain protein mean pLDDT &gt;=70</x:v>
      </x:c>
      <x:c r="P2191" s="11" t="n">
        <x:v>0</x:v>
      </x:c>
      <x:c r="Q2191" s="12" t="str">
        <x:v>AF-Q8K1J5-F1-model_v6</x:v>
      </x:c>
      <x:c r="R2191" s="12" t="str">
        <x:v>ok</x:v>
      </x:c>
      <x:c r="S2191" s="11" t="n">
        <x:v>1698</x:v>
      </x:c>
      <x:c r="T2191" s="11" t="n">
        <x:v>448</x:v>
      </x:c>
    </x:row>
    <x:row r="2192" ht="23" customHeight="1">
      <x:c r="A2192" s="2" t="str">
        <x:v>Q8K1J6</x:v>
      </x:c>
      <x:c r="B2192" s="2" t="str">
        <x:v>UN</x:v>
      </x:c>
      <x:c r="C2192" s="2" t="n">
        <x:v>1</x:v>
      </x:c>
      <x:c r="D2192" s="2"/>
      <x:c r="E2192" s="10" t="n">
        <x:v>90.69571428571427</x:v>
      </x:c>
      <x:c r="F2192" s="11" t="n">
        <x:v>434</x:v>
      </x:c>
      <x:c r="G2192" s="11" t="n">
        <x:v>0</x:v>
      </x:c>
      <x:c r="H2192" s="11" t="n">
        <x:v>0</x:v>
      </x:c>
      <x:c r="I2192" s="11" t="n">
        <x:v>0</x:v>
      </x:c>
      <x:c r="J2192" s="11" t="n">
        <x:v>0</x:v>
      </x:c>
      <x:c r="K2192" s="11" t="n">
        <x:v>1</x:v>
      </x:c>
      <x:c r="L2192" s="11" t="n">
        <x:f>IF(B2192="NED",1,IF(OR(B2192="ED",B2192="UN"),0,""))</x:f>
        <x:v>0</x:v>
      </x:c>
      <x:c r="M2192" s="11" t="n">
        <x:f>IF(AND(K2192=1,OR(B2192="ED",B2192="NED")),1,0)</x:f>
        <x:v>0</x:v>
      </x:c>
      <x:c r="N2192" s="11" t="n">
        <x:f>IF(K2192=1,1,0)</x:f>
        <x:v>1</x:v>
      </x:c>
      <x:c r="O2192" s="12"/>
      <x:c r="P2192" s="11" t="n">
        <x:v>0</x:v>
      </x:c>
      <x:c r="Q2192" s="12" t="str">
        <x:v>AF-Q8K1J6-F1-model_v6</x:v>
      </x:c>
      <x:c r="R2192" s="12" t="str">
        <x:v>ok</x:v>
      </x:c>
      <x:c r="S2192" s="11" t="n">
        <x:v>1699</x:v>
      </x:c>
      <x:c r="T2192" s="11" t="n">
        <x:v>434</x:v>
      </x:c>
    </x:row>
    <x:row r="2193" ht="23" customHeight="1">
      <x:c r="A2193" s="2" t="str">
        <x:v>Q8K1K4</x:v>
      </x:c>
      <x:c r="B2193" s="2" t="str">
        <x:v>UN</x:v>
      </x:c>
      <x:c r="C2193" s="2" t="n">
        <x:v>0</x:v>
      </x:c>
      <x:c r="D2193" s="2" t="n">
        <x:v>0</x:v>
      </x:c>
      <x:c r="E2193" s="10" t="n">
        <x:v>70.95544235924933</x:v>
      </x:c>
      <x:c r="F2193" s="11" t="n">
        <x:v>746</x:v>
      </x:c>
      <x:c r="G2193" s="11" t="n">
        <x:v>0</x:v>
      </x:c>
      <x:c r="H2193" s="11" t="n">
        <x:v>0</x:v>
      </x:c>
      <x:c r="I2193" s="11" t="n">
        <x:v>0</x:v>
      </x:c>
      <x:c r="J2193" s="11" t="n">
        <x:v>0</x:v>
      </x:c>
      <x:c r="K2193" s="11" t="n">
        <x:v>1</x:v>
      </x:c>
      <x:c r="L2193" s="11" t="n">
        <x:f>IF(B2193="NED",1,IF(OR(B2193="ED",B2193="UN"),0,""))</x:f>
        <x:v>0</x:v>
      </x:c>
      <x:c r="M2193" s="11" t="n">
        <x:f>IF(AND(K2193=1,OR(B2193="ED",B2193="NED")),1,0)</x:f>
        <x:v>0</x:v>
      </x:c>
      <x:c r="N2193" s="11" t="n">
        <x:f>IF(K2193=1,1,0)</x:f>
        <x:v>1</x:v>
      </x:c>
      <x:c r="O2193" s="12"/>
      <x:c r="P2193" s="11" t="n">
        <x:v>0</x:v>
      </x:c>
      <x:c r="Q2193" s="12" t="str">
        <x:v>AF-Q8K1K4-F1-model_v6</x:v>
      </x:c>
      <x:c r="R2193" s="12" t="str">
        <x:v>ok</x:v>
      </x:c>
      <x:c r="S2193" s="11" t="n">
        <x:v>1700</x:v>
      </x:c>
      <x:c r="T2193" s="11" t="n">
        <x:v>746</x:v>
      </x:c>
    </x:row>
    <x:row r="2194" ht="23" customHeight="1">
      <x:c r="A2194" s="2" t="str">
        <x:v>Q8K1M3</x:v>
      </x:c>
      <x:c r="B2194" s="2" t="str">
        <x:v>ED</x:v>
      </x:c>
      <x:c r="C2194" s="2"/>
      <x:c r="D2194" s="2"/>
      <x:c r="E2194" s="10"/>
      <x:c r="F2194" s="11"/>
      <x:c r="G2194" s="11" t="n">
        <x:v>0</x:v>
      </x:c>
      <x:c r="H2194" s="11" t="n">
        <x:v>0</x:v>
      </x:c>
      <x:c r="I2194" s="11" t="n">
        <x:v>1</x:v>
      </x:c>
      <x:c r="J2194" s="11" t="n">
        <x:v>0</x:v>
      </x:c>
      <x:c r="K2194" s="11" t="n">
        <x:v>0</x:v>
      </x:c>
      <x:c r="L2194" s="11" t="n">
        <x:f>IF(B2194="NED",1,IF(OR(B2194="ED",B2194="UN"),0,""))</x:f>
        <x:v>0</x:v>
      </x:c>
      <x:c r="M2194" s="11" t="n">
        <x:f>IF(AND(K2194=1,OR(B2194="ED",B2194="NED")),1,0)</x:f>
        <x:v>0</x:v>
      </x:c>
      <x:c r="N2194" s="11" t="n">
        <x:f>IF(K2194=1,1,0)</x:f>
        <x:v>0</x:v>
      </x:c>
      <x:c r="O2194" s="12" t="str">
        <x:v>Require exact native accession match</x:v>
      </x:c>
      <x:c r="P2194" s="11" t="n">
        <x:v>0</x:v>
      </x:c>
      <x:c r="Q2194" s="12"/>
      <x:c r="R2194" s="12"/>
      <x:c r="S2194" s="11" t="n">
        <x:v>3236</x:v>
      </x:c>
      <x:c r="T2194" s="11" t="n">
        <x:v>402</x:v>
      </x:c>
    </x:row>
    <x:row r="2195" ht="23" customHeight="1">
      <x:c r="A2195" s="2" t="str">
        <x:v>Q8K1M6-3</x:v>
      </x:c>
      <x:c r="B2195" s="2" t="str">
        <x:v>ED</x:v>
      </x:c>
      <x:c r="C2195" s="2"/>
      <x:c r="D2195" s="2"/>
      <x:c r="E2195" s="10"/>
      <x:c r="F2195" s="11"/>
      <x:c r="G2195" s="11" t="n">
        <x:v>0</x:v>
      </x:c>
      <x:c r="H2195" s="11" t="n">
        <x:v>0</x:v>
      </x:c>
      <x:c r="I2195" s="11"/>
      <x:c r="J2195" s="11"/>
      <x:c r="K2195" s="11" t="n">
        <x:v>0</x:v>
      </x:c>
      <x:c r="L2195" s="11" t="n">
        <x:f>IF(B2195="NED",1,IF(OR(B2195="ED",B2195="UN"),0,""))</x:f>
        <x:v>0</x:v>
      </x:c>
      <x:c r="M2195" s="11" t="n">
        <x:f>IF(AND(K2195=1,OR(B2195="ED",B2195="NED")),1,0)</x:f>
        <x:v>0</x:v>
      </x:c>
      <x:c r="N2195" s="11" t="n">
        <x:f>IF(K2195=1,1,0)</x:f>
        <x:v>0</x:v>
      </x:c>
      <x:c r="O2195" s="12" t="str">
        <x:v>Require exact native accession match</x:v>
      </x:c>
      <x:c r="P2195" s="11" t="n">
        <x:v>0</x:v>
      </x:c>
      <x:c r="Q2195" s="12"/>
      <x:c r="R2195" s="12"/>
      <x:c r="S2195" s="11" t="n">
        <x:v>1701</x:v>
      </x:c>
      <x:c r="T2195" s="11"/>
    </x:row>
    <x:row r="2196" ht="23" customHeight="1">
      <x:c r="A2196" s="2" t="str">
        <x:v>Q8K1N2</x:v>
      </x:c>
      <x:c r="B2196" s="2" t="str">
        <x:v>UN</x:v>
      </x:c>
      <x:c r="C2196" s="2" t="n">
        <x:v>1</x:v>
      </x:c>
      <x:c r="D2196" s="2" t="n">
        <x:v>1</x:v>
      </x:c>
      <x:c r="E2196" s="10"/>
      <x:c r="F2196" s="11" t="n">
        <x:v>1249</x:v>
      </x:c>
      <x:c r="G2196" s="11" t="n">
        <x:v>0</x:v>
      </x:c>
      <x:c r="H2196" s="11" t="n">
        <x:v>0</x:v>
      </x:c>
      <x:c r="I2196" s="11" t="n">
        <x:v>1</x:v>
      </x:c>
      <x:c r="J2196" s="11" t="n">
        <x:v>0</x:v>
      </x:c>
      <x:c r="K2196" s="11" t="n">
        <x:v>0</x:v>
      </x:c>
      <x:c r="L2196" s="11" t="n">
        <x:f>IF(B2196="NED",1,IF(OR(B2196="ED",B2196="UN"),0,""))</x:f>
        <x:v>0</x:v>
      </x:c>
      <x:c r="M2196" s="11" t="n">
        <x:f>IF(AND(K2196=1,OR(B2196="ED",B2196="NED")),1,0)</x:f>
        <x:v>0</x:v>
      </x:c>
      <x:c r="N2196" s="11" t="n">
        <x:f>IF(K2196=1,1,0)</x:f>
        <x:v>0</x:v>
      </x:c>
      <x:c r="O2196" s="12" t="str">
        <x:v>Exclude UniProt Membrane keyword</x:v>
      </x:c>
      <x:c r="P2196" s="11" t="n">
        <x:v>0</x:v>
      </x:c>
      <x:c r="Q2196" s="12" t="str">
        <x:v>AF-Q8K1N2-F1-model_v6</x:v>
      </x:c>
      <x:c r="R2196" s="12" t="str">
        <x:v>ok</x:v>
      </x:c>
      <x:c r="S2196" s="11" t="n">
        <x:v>1702</x:v>
      </x:c>
      <x:c r="T2196" s="11" t="n">
        <x:v>1249</x:v>
      </x:c>
    </x:row>
    <x:row r="2197" ht="23" customHeight="1">
      <x:c r="A2197" s="2" t="str">
        <x:v>Q8K1R3</x:v>
      </x:c>
      <x:c r="B2197" s="2" t="str">
        <x:v>UN</x:v>
      </x:c>
      <x:c r="C2197" s="2" t="n">
        <x:v>1</x:v>
      </x:c>
      <x:c r="D2197" s="2" t="n">
        <x:v>1</x:v>
      </x:c>
      <x:c r="E2197" s="10"/>
      <x:c r="F2197" s="11" t="n">
        <x:v>783</x:v>
      </x:c>
      <x:c r="G2197" s="11" t="n">
        <x:v>0</x:v>
      </x:c>
      <x:c r="H2197" s="11" t="n">
        <x:v>0</x:v>
      </x:c>
      <x:c r="I2197" s="11" t="n">
        <x:v>1</x:v>
      </x:c>
      <x:c r="J2197" s="11" t="n">
        <x:v>0</x:v>
      </x:c>
      <x:c r="K2197" s="11" t="n">
        <x:v>0</x:v>
      </x:c>
      <x:c r="L2197" s="11" t="n">
        <x:f>IF(B2197="NED",1,IF(OR(B2197="ED",B2197="UN"),0,""))</x:f>
        <x:v>0</x:v>
      </x:c>
      <x:c r="M2197" s="11" t="n">
        <x:f>IF(AND(K2197=1,OR(B2197="ED",B2197="NED")),1,0)</x:f>
        <x:v>0</x:v>
      </x:c>
      <x:c r="N2197" s="11" t="n">
        <x:f>IF(K2197=1,1,0)</x:f>
        <x:v>0</x:v>
      </x:c>
      <x:c r="O2197" s="12" t="str">
        <x:v>Exclude UniProt Membrane keyword</x:v>
      </x:c>
      <x:c r="P2197" s="11" t="n">
        <x:v>0</x:v>
      </x:c>
      <x:c r="Q2197" s="12" t="str">
        <x:v>AF-Q8K1R3-F1-model_v6</x:v>
      </x:c>
      <x:c r="R2197" s="12" t="str">
        <x:v>ok</x:v>
      </x:c>
      <x:c r="S2197" s="11" t="n">
        <x:v>1703</x:v>
      </x:c>
      <x:c r="T2197" s="11" t="n">
        <x:v>783</x:v>
      </x:c>
    </x:row>
    <x:row r="2198" ht="23" customHeight="1">
      <x:c r="A2198" s="2" t="str">
        <x:v>Q8K1R7</x:v>
      </x:c>
      <x:c r="B2198" s="2" t="str">
        <x:v>UN</x:v>
      </x:c>
      <x:c r="C2198" s="2" t="n">
        <x:v>1</x:v>
      </x:c>
      <x:c r="D2198" s="2" t="n">
        <x:v>1</x:v>
      </x:c>
      <x:c r="E2198" s="10" t="n">
        <x:v>73.61792682926828</x:v>
      </x:c>
      <x:c r="F2198" s="11" t="n">
        <x:v>984</x:v>
      </x:c>
      <x:c r="G2198" s="11" t="n">
        <x:v>0</x:v>
      </x:c>
      <x:c r="H2198" s="11" t="n">
        <x:v>0</x:v>
      </x:c>
      <x:c r="I2198" s="11" t="n">
        <x:v>0</x:v>
      </x:c>
      <x:c r="J2198" s="11" t="n">
        <x:v>0</x:v>
      </x:c>
      <x:c r="K2198" s="11" t="n">
        <x:v>1</x:v>
      </x:c>
      <x:c r="L2198" s="11" t="n">
        <x:f>IF(B2198="NED",1,IF(OR(B2198="ED",B2198="UN"),0,""))</x:f>
        <x:v>0</x:v>
      </x:c>
      <x:c r="M2198" s="11" t="n">
        <x:f>IF(AND(K2198=1,OR(B2198="ED",B2198="NED")),1,0)</x:f>
        <x:v>0</x:v>
      </x:c>
      <x:c r="N2198" s="11" t="n">
        <x:f>IF(K2198=1,1,0)</x:f>
        <x:v>1</x:v>
      </x:c>
      <x:c r="O2198" s="12"/>
      <x:c r="P2198" s="11" t="n">
        <x:v>0</x:v>
      </x:c>
      <x:c r="Q2198" s="12" t="str">
        <x:v>AF-Q8K1R7-F1-model_v6</x:v>
      </x:c>
      <x:c r="R2198" s="12" t="str">
        <x:v>ok</x:v>
      </x:c>
      <x:c r="S2198" s="11" t="n">
        <x:v>1704</x:v>
      </x:c>
      <x:c r="T2198" s="11" t="n">
        <x:v>984</x:v>
      </x:c>
    </x:row>
    <x:row r="2199" ht="23" customHeight="1">
      <x:c r="A2199" s="2" t="str">
        <x:v>Q8K1S3-2</x:v>
      </x:c>
      <x:c r="B2199" s="2" t="str">
        <x:v>UN</x:v>
      </x:c>
      <x:c r="C2199" s="2"/>
      <x:c r="D2199" s="2"/>
      <x:c r="E2199" s="10"/>
      <x:c r="F2199" s="11"/>
      <x:c r="G2199" s="11" t="n">
        <x:v>0</x:v>
      </x:c>
      <x:c r="H2199" s="11" t="n">
        <x:v>0</x:v>
      </x:c>
      <x:c r="I2199" s="11"/>
      <x:c r="J2199" s="11"/>
      <x:c r="K2199" s="11" t="n">
        <x:v>0</x:v>
      </x:c>
      <x:c r="L2199" s="11" t="n">
        <x:f>IF(B2199="NED",1,IF(OR(B2199="ED",B2199="UN"),0,""))</x:f>
        <x:v>0</x:v>
      </x:c>
      <x:c r="M2199" s="11" t="n">
        <x:f>IF(AND(K2199=1,OR(B2199="ED",B2199="NED")),1,0)</x:f>
        <x:v>0</x:v>
      </x:c>
      <x:c r="N2199" s="11" t="n">
        <x:f>IF(K2199=1,1,0)</x:f>
        <x:v>0</x:v>
      </x:c>
      <x:c r="O2199" s="12" t="str">
        <x:v>Require exact native accession match</x:v>
      </x:c>
      <x:c r="P2199" s="11" t="n">
        <x:v>0</x:v>
      </x:c>
      <x:c r="Q2199" s="12"/>
      <x:c r="R2199" s="12"/>
      <x:c r="S2199" s="11" t="n">
        <x:v>1705</x:v>
      </x:c>
      <x:c r="T2199" s="11"/>
    </x:row>
    <x:row r="2200" ht="23" customHeight="1">
      <x:c r="A2200" s="2" t="str">
        <x:v>Q8K1X1</x:v>
      </x:c>
      <x:c r="B2200" s="2" t="str">
        <x:v>ED</x:v>
      </x:c>
      <x:c r="C2200" s="2" t="n">
        <x:v>1</x:v>
      </x:c>
      <x:c r="D2200" s="2" t="n">
        <x:v>1</x:v>
      </x:c>
      <x:c r="E2200" s="10" t="n">
        <x:v>83.4650695012265</x:v>
      </x:c>
      <x:c r="F2200" s="11" t="n">
        <x:v>1223</x:v>
      </x:c>
      <x:c r="G2200" s="11" t="n">
        <x:v>0</x:v>
      </x:c>
      <x:c r="H2200" s="11" t="n">
        <x:v>0</x:v>
      </x:c>
      <x:c r="I2200" s="11" t="n">
        <x:v>0</x:v>
      </x:c>
      <x:c r="J2200" s="11" t="n">
        <x:v>0</x:v>
      </x:c>
      <x:c r="K2200" s="11" t="n">
        <x:v>1</x:v>
      </x:c>
      <x:c r="L2200" s="11" t="n">
        <x:f>IF(B2200="NED",1,IF(OR(B2200="ED",B2200="UN"),0,""))</x:f>
        <x:v>0</x:v>
      </x:c>
      <x:c r="M2200" s="11" t="n">
        <x:f>IF(AND(K2200=1,OR(B2200="ED",B2200="NED")),1,0)</x:f>
        <x:v>1</x:v>
      </x:c>
      <x:c r="N2200" s="11" t="n">
        <x:f>IF(K2200=1,1,0)</x:f>
        <x:v>1</x:v>
      </x:c>
      <x:c r="O2200" s="12"/>
      <x:c r="P2200" s="11" t="n">
        <x:v>0</x:v>
      </x:c>
      <x:c r="Q2200" s="12" t="str">
        <x:v>AF-Q8K1X1-F1-model_v6</x:v>
      </x:c>
      <x:c r="R2200" s="12" t="str">
        <x:v>ok</x:v>
      </x:c>
      <x:c r="S2200" s="11" t="n">
        <x:v>1706</x:v>
      </x:c>
      <x:c r="T2200" s="11" t="n">
        <x:v>1223</x:v>
      </x:c>
    </x:row>
    <x:row r="2201" ht="23" customHeight="1">
      <x:c r="A2201" s="2" t="str">
        <x:v>Q8K202-3</x:v>
      </x:c>
      <x:c r="B2201" s="2" t="str">
        <x:v>UN</x:v>
      </x:c>
      <x:c r="C2201" s="2"/>
      <x:c r="D2201" s="2"/>
      <x:c r="E2201" s="10"/>
      <x:c r="F2201" s="11"/>
      <x:c r="G2201" s="11" t="n">
        <x:v>0</x:v>
      </x:c>
      <x:c r="H2201" s="11" t="n">
        <x:v>0</x:v>
      </x:c>
      <x:c r="I2201" s="11"/>
      <x:c r="J2201" s="11"/>
      <x:c r="K2201" s="11" t="n">
        <x:v>0</x:v>
      </x:c>
      <x:c r="L2201" s="11" t="n">
        <x:f>IF(B2201="NED",1,IF(OR(B2201="ED",B2201="UN"),0,""))</x:f>
        <x:v>0</x:v>
      </x:c>
      <x:c r="M2201" s="11" t="n">
        <x:f>IF(AND(K2201=1,OR(B2201="ED",B2201="NED")),1,0)</x:f>
        <x:v>0</x:v>
      </x:c>
      <x:c r="N2201" s="11" t="n">
        <x:f>IF(K2201=1,1,0)</x:f>
        <x:v>0</x:v>
      </x:c>
      <x:c r="O2201" s="12" t="str">
        <x:v>Require exact native accession match</x:v>
      </x:c>
      <x:c r="P2201" s="11" t="n">
        <x:v>0</x:v>
      </x:c>
      <x:c r="Q2201" s="12"/>
      <x:c r="R2201" s="12"/>
      <x:c r="S2201" s="11" t="n">
        <x:v>1707</x:v>
      </x:c>
      <x:c r="T2201" s="11"/>
    </x:row>
    <x:row r="2202" ht="23" customHeight="1">
      <x:c r="A2202" s="2" t="str">
        <x:v>Q8K212</x:v>
      </x:c>
      <x:c r="B2202" s="2" t="str">
        <x:v>UN</x:v>
      </x:c>
      <x:c r="C2202" s="2" t="n">
        <x:v>1</x:v>
      </x:c>
      <x:c r="D2202" s="2" t="n">
        <x:v>1</x:v>
      </x:c>
      <x:c r="E2202" s="10" t="n">
        <x:v>64.58885535900104</x:v>
      </x:c>
      <x:c r="F2202" s="11" t="n">
        <x:v>961</x:v>
      </x:c>
      <x:c r="G2202" s="11" t="n">
        <x:v>0</x:v>
      </x:c>
      <x:c r="H2202" s="11" t="n">
        <x:v>0</x:v>
      </x:c>
      <x:c r="I2202" s="11" t="n">
        <x:v>0</x:v>
      </x:c>
      <x:c r="J2202" s="11" t="n">
        <x:v>0</x:v>
      </x:c>
      <x:c r="K2202" s="11" t="n">
        <x:v>0</x:v>
      </x:c>
      <x:c r="L2202" s="11" t="n">
        <x:f>IF(B2202="NED",1,IF(OR(B2202="ED",B2202="UN"),0,""))</x:f>
        <x:v>0</x:v>
      </x:c>
      <x:c r="M2202" s="11" t="n">
        <x:f>IF(AND(K2202=1,OR(B2202="ED",B2202="NED")),1,0)</x:f>
        <x:v>0</x:v>
      </x:c>
      <x:c r="N2202" s="11" t="n">
        <x:f>IF(K2202=1,1,0)</x:f>
        <x:v>0</x:v>
      </x:c>
      <x:c r="O2202" s="12" t="str">
        <x:v>Retain protein mean pLDDT &gt;=70</x:v>
      </x:c>
      <x:c r="P2202" s="11" t="n">
        <x:v>0</x:v>
      </x:c>
      <x:c r="Q2202" s="12" t="str">
        <x:v>AF-Q8K212-F1-model_v6</x:v>
      </x:c>
      <x:c r="R2202" s="12" t="str">
        <x:v>ok</x:v>
      </x:c>
      <x:c r="S2202" s="11" t="n">
        <x:v>1708</x:v>
      </x:c>
      <x:c r="T2202" s="11" t="n">
        <x:v>961</x:v>
      </x:c>
    </x:row>
    <x:row r="2203" ht="23" customHeight="1">
      <x:c r="A2203" s="2" t="str">
        <x:v>Q8K224</x:v>
      </x:c>
      <x:c r="B2203" s="2" t="str">
        <x:v>UN</x:v>
      </x:c>
      <x:c r="C2203" s="2" t="n">
        <x:v>1</x:v>
      </x:c>
      <x:c r="D2203" s="2" t="n">
        <x:v>1</x:v>
      </x:c>
      <x:c r="E2203" s="10" t="n">
        <x:v>79.031513671875</x:v>
      </x:c>
      <x:c r="F2203" s="11" t="n">
        <x:v>1024</x:v>
      </x:c>
      <x:c r="G2203" s="11" t="n">
        <x:v>0</x:v>
      </x:c>
      <x:c r="H2203" s="11" t="n">
        <x:v>0</x:v>
      </x:c>
      <x:c r="I2203" s="11" t="n">
        <x:v>0</x:v>
      </x:c>
      <x:c r="J2203" s="11" t="n">
        <x:v>0</x:v>
      </x:c>
      <x:c r="K2203" s="11" t="n">
        <x:v>1</x:v>
      </x:c>
      <x:c r="L2203" s="11" t="n">
        <x:f>IF(B2203="NED",1,IF(OR(B2203="ED",B2203="UN"),0,""))</x:f>
        <x:v>0</x:v>
      </x:c>
      <x:c r="M2203" s="11" t="n">
        <x:f>IF(AND(K2203=1,OR(B2203="ED",B2203="NED")),1,0)</x:f>
        <x:v>0</x:v>
      </x:c>
      <x:c r="N2203" s="11" t="n">
        <x:f>IF(K2203=1,1,0)</x:f>
        <x:v>1</x:v>
      </x:c>
      <x:c r="O2203" s="12"/>
      <x:c r="P2203" s="11" t="n">
        <x:v>0</x:v>
      </x:c>
      <x:c r="Q2203" s="12" t="str">
        <x:v>AF-Q8K224-F1-model_v6</x:v>
      </x:c>
      <x:c r="R2203" s="12" t="str">
        <x:v>ok</x:v>
      </x:c>
      <x:c r="S2203" s="11" t="n">
        <x:v>1709</x:v>
      </x:c>
      <x:c r="T2203" s="11" t="n">
        <x:v>1024</x:v>
      </x:c>
    </x:row>
    <x:row r="2204" ht="23" customHeight="1">
      <x:c r="A2204" s="2" t="str">
        <x:v>Q8K268</x:v>
      </x:c>
      <x:c r="B2204" s="2" t="str">
        <x:v>UN</x:v>
      </x:c>
      <x:c r="C2204" s="2" t="n">
        <x:v>1</x:v>
      </x:c>
      <x:c r="D2204" s="2" t="n">
        <x:v>1</x:v>
      </x:c>
      <x:c r="E2204" s="10" t="n">
        <x:v>81.36344146685472</x:v>
      </x:c>
      <x:c r="F2204" s="11" t="n">
        <x:v>709</x:v>
      </x:c>
      <x:c r="G2204" s="11" t="n">
        <x:v>0</x:v>
      </x:c>
      <x:c r="H2204" s="11" t="n">
        <x:v>0</x:v>
      </x:c>
      <x:c r="I2204" s="11" t="n">
        <x:v>0</x:v>
      </x:c>
      <x:c r="J2204" s="11" t="n">
        <x:v>0</x:v>
      </x:c>
      <x:c r="K2204" s="11" t="n">
        <x:v>1</x:v>
      </x:c>
      <x:c r="L2204" s="11" t="n">
        <x:f>IF(B2204="NED",1,IF(OR(B2204="ED",B2204="UN"),0,""))</x:f>
        <x:v>0</x:v>
      </x:c>
      <x:c r="M2204" s="11" t="n">
        <x:f>IF(AND(K2204=1,OR(B2204="ED",B2204="NED")),1,0)</x:f>
        <x:v>0</x:v>
      </x:c>
      <x:c r="N2204" s="11" t="n">
        <x:f>IF(K2204=1,1,0)</x:f>
        <x:v>1</x:v>
      </x:c>
      <x:c r="O2204" s="12"/>
      <x:c r="P2204" s="11" t="n">
        <x:v>0</x:v>
      </x:c>
      <x:c r="Q2204" s="12" t="str">
        <x:v>AF-Q8K268-F1-model_v6</x:v>
      </x:c>
      <x:c r="R2204" s="12" t="str">
        <x:v>ok</x:v>
      </x:c>
      <x:c r="S2204" s="11" t="n">
        <x:v>1710</x:v>
      </x:c>
      <x:c r="T2204" s="11" t="n">
        <x:v>709</x:v>
      </x:c>
    </x:row>
    <x:row r="2205" ht="23" customHeight="1">
      <x:c r="A2205" s="2" t="str">
        <x:v>Q8K284</x:v>
      </x:c>
      <x:c r="B2205" s="2" t="str">
        <x:v>UN</x:v>
      </x:c>
      <x:c r="C2205" s="2" t="n">
        <x:v>1</x:v>
      </x:c>
      <x:c r="D2205" s="2" t="n">
        <x:v>1</x:v>
      </x:c>
      <x:c r="E2205" s="10" t="n">
        <x:v>63.58393622084722</x:v>
      </x:c>
      <x:c r="F2205" s="11" t="n">
        <x:v>2101</x:v>
      </x:c>
      <x:c r="G2205" s="11" t="n">
        <x:v>0</x:v>
      </x:c>
      <x:c r="H2205" s="11" t="n">
        <x:v>0</x:v>
      </x:c>
      <x:c r="I2205" s="11" t="n">
        <x:v>0</x:v>
      </x:c>
      <x:c r="J2205" s="11" t="n">
        <x:v>0</x:v>
      </x:c>
      <x:c r="K2205" s="11" t="n">
        <x:v>0</x:v>
      </x:c>
      <x:c r="L2205" s="11" t="n">
        <x:f>IF(B2205="NED",1,IF(OR(B2205="ED",B2205="UN"),0,""))</x:f>
        <x:v>0</x:v>
      </x:c>
      <x:c r="M2205" s="11" t="n">
        <x:f>IF(AND(K2205=1,OR(B2205="ED",B2205="NED")),1,0)</x:f>
        <x:v>0</x:v>
      </x:c>
      <x:c r="N2205" s="11" t="n">
        <x:f>IF(K2205=1,1,0)</x:f>
        <x:v>0</x:v>
      </x:c>
      <x:c r="O2205" s="12" t="str">
        <x:v>Retain protein mean pLDDT &gt;=70</x:v>
      </x:c>
      <x:c r="P2205" s="11" t="n">
        <x:v>0</x:v>
      </x:c>
      <x:c r="Q2205" s="12" t="str">
        <x:v>AF-Q8K284-F1-model_v6</x:v>
      </x:c>
      <x:c r="R2205" s="12" t="str">
        <x:v>ok</x:v>
      </x:c>
      <x:c r="S2205" s="11" t="n">
        <x:v>1711</x:v>
      </x:c>
      <x:c r="T2205" s="11" t="n">
        <x:v>2101</x:v>
      </x:c>
    </x:row>
    <x:row r="2206" ht="23" customHeight="1">
      <x:c r="A2206" s="2" t="str">
        <x:v>Q8K297</x:v>
      </x:c>
      <x:c r="B2206" s="2" t="str">
        <x:v>NED</x:v>
      </x:c>
      <x:c r="C2206" s="2" t="n">
        <x:v>1</x:v>
      </x:c>
      <x:c r="D2206" s="2" t="n">
        <x:v>1</x:v>
      </x:c>
      <x:c r="E2206" s="10" t="n">
        <x:v>87.63392220421393</x:v>
      </x:c>
      <x:c r="F2206" s="11" t="n">
        <x:v>617</x:v>
      </x:c>
      <x:c r="G2206" s="11" t="n">
        <x:v>0</x:v>
      </x:c>
      <x:c r="H2206" s="11" t="n">
        <x:v>0</x:v>
      </x:c>
      <x:c r="I2206" s="11" t="n">
        <x:v>0</x:v>
      </x:c>
      <x:c r="J2206" s="11" t="n">
        <x:v>0</x:v>
      </x:c>
      <x:c r="K2206" s="11" t="n">
        <x:v>1</x:v>
      </x:c>
      <x:c r="L2206" s="11" t="n">
        <x:f>IF(B2206="NED",1,IF(OR(B2206="ED",B2206="UN"),0,""))</x:f>
        <x:v>1</x:v>
      </x:c>
      <x:c r="M2206" s="11" t="n">
        <x:f>IF(AND(K2206=1,OR(B2206="ED",B2206="NED")),1,0)</x:f>
        <x:v>1</x:v>
      </x:c>
      <x:c r="N2206" s="11" t="n">
        <x:f>IF(K2206=1,1,0)</x:f>
        <x:v>1</x:v>
      </x:c>
      <x:c r="O2206" s="12"/>
      <x:c r="P2206" s="11" t="n">
        <x:v>0</x:v>
      </x:c>
      <x:c r="Q2206" s="12" t="str">
        <x:v>AF-Q8K297-F1-model_v6</x:v>
      </x:c>
      <x:c r="R2206" s="12" t="str">
        <x:v>ok</x:v>
      </x:c>
      <x:c r="S2206" s="11" t="n">
        <x:v>1712</x:v>
      </x:c>
      <x:c r="T2206" s="11" t="n">
        <x:v>617</x:v>
      </x:c>
    </x:row>
    <x:row r="2207" ht="23" customHeight="1">
      <x:c r="A2207" s="2" t="str">
        <x:v>Q8K298</x:v>
      </x:c>
      <x:c r="B2207" s="2" t="str">
        <x:v>ED</x:v>
      </x:c>
      <x:c r="C2207" s="2" t="n">
        <x:v>1</x:v>
      </x:c>
      <x:c r="D2207" s="2" t="n">
        <x:v>1</x:v>
      </x:c>
      <x:c r="E2207" s="10" t="n">
        <x:v>58.78386262265835</x:v>
      </x:c>
      <x:c r="F2207" s="11" t="n">
        <x:v>1121</x:v>
      </x:c>
      <x:c r="G2207" s="11" t="n">
        <x:v>0</x:v>
      </x:c>
      <x:c r="H2207" s="11" t="n">
        <x:v>0</x:v>
      </x:c>
      <x:c r="I2207" s="11" t="n">
        <x:v>0</x:v>
      </x:c>
      <x:c r="J2207" s="11" t="n">
        <x:v>0</x:v>
      </x:c>
      <x:c r="K2207" s="11" t="n">
        <x:v>0</x:v>
      </x:c>
      <x:c r="L2207" s="11" t="n">
        <x:f>IF(B2207="NED",1,IF(OR(B2207="ED",B2207="UN"),0,""))</x:f>
        <x:v>0</x:v>
      </x:c>
      <x:c r="M2207" s="11" t="n">
        <x:f>IF(AND(K2207=1,OR(B2207="ED",B2207="NED")),1,0)</x:f>
        <x:v>0</x:v>
      </x:c>
      <x:c r="N2207" s="11" t="n">
        <x:f>IF(K2207=1,1,0)</x:f>
        <x:v>0</x:v>
      </x:c>
      <x:c r="O2207" s="12" t="str">
        <x:v>Retain protein mean pLDDT &gt;=70</x:v>
      </x:c>
      <x:c r="P2207" s="11" t="n">
        <x:v>0</x:v>
      </x:c>
      <x:c r="Q2207" s="12" t="str">
        <x:v>AF-Q8K298-F1-model_v6</x:v>
      </x:c>
      <x:c r="R2207" s="12" t="str">
        <x:v>ok</x:v>
      </x:c>
      <x:c r="S2207" s="11" t="n">
        <x:v>1713</x:v>
      </x:c>
      <x:c r="T2207" s="11" t="n">
        <x:v>1121</x:v>
      </x:c>
    </x:row>
    <x:row r="2208" ht="23" customHeight="1">
      <x:c r="A2208" s="2" t="str">
        <x:v>Q8K2A7</x:v>
      </x:c>
      <x:c r="B2208" s="2" t="str">
        <x:v>UN</x:v>
      </x:c>
      <x:c r="C2208" s="2" t="n">
        <x:v>1</x:v>
      </x:c>
      <x:c r="D2208" s="2" t="n">
        <x:v>1</x:v>
      </x:c>
      <x:c r="E2208" s="10" t="n">
        <x:v>82.48738028169014</x:v>
      </x:c>
      <x:c r="F2208" s="11" t="n">
        <x:v>710</x:v>
      </x:c>
      <x:c r="G2208" s="11" t="n">
        <x:v>0</x:v>
      </x:c>
      <x:c r="H2208" s="11" t="n">
        <x:v>0</x:v>
      </x:c>
      <x:c r="I2208" s="11" t="n">
        <x:v>0</x:v>
      </x:c>
      <x:c r="J2208" s="11" t="n">
        <x:v>0</x:v>
      </x:c>
      <x:c r="K2208" s="11" t="n">
        <x:v>1</x:v>
      </x:c>
      <x:c r="L2208" s="11" t="n">
        <x:f>IF(B2208="NED",1,IF(OR(B2208="ED",B2208="UN"),0,""))</x:f>
        <x:v>0</x:v>
      </x:c>
      <x:c r="M2208" s="11" t="n">
        <x:f>IF(AND(K2208=1,OR(B2208="ED",B2208="NED")),1,0)</x:f>
        <x:v>0</x:v>
      </x:c>
      <x:c r="N2208" s="11" t="n">
        <x:f>IF(K2208=1,1,0)</x:f>
        <x:v>1</x:v>
      </x:c>
      <x:c r="O2208" s="12"/>
      <x:c r="P2208" s="11" t="n">
        <x:v>0</x:v>
      </x:c>
      <x:c r="Q2208" s="12" t="str">
        <x:v>AF-Q8K2A7-F1-model_v6</x:v>
      </x:c>
      <x:c r="R2208" s="12" t="str">
        <x:v>ok</x:v>
      </x:c>
      <x:c r="S2208" s="11" t="n">
        <x:v>1714</x:v>
      </x:c>
      <x:c r="T2208" s="11" t="n">
        <x:v>710</x:v>
      </x:c>
    </x:row>
    <x:row r="2209" ht="23" customHeight="1">
      <x:c r="A2209" s="2" t="str">
        <x:v>Q8K2C7-2</x:v>
      </x:c>
      <x:c r="B2209" s="2" t="str">
        <x:v>UN</x:v>
      </x:c>
      <x:c r="C2209" s="2"/>
      <x:c r="D2209" s="2"/>
      <x:c r="E2209" s="10"/>
      <x:c r="F2209" s="11"/>
      <x:c r="G2209" s="11" t="n">
        <x:v>0</x:v>
      </x:c>
      <x:c r="H2209" s="11" t="n">
        <x:v>0</x:v>
      </x:c>
      <x:c r="I2209" s="11"/>
      <x:c r="J2209" s="11"/>
      <x:c r="K2209" s="11" t="n">
        <x:v>0</x:v>
      </x:c>
      <x:c r="L2209" s="11" t="n">
        <x:f>IF(B2209="NED",1,IF(OR(B2209="ED",B2209="UN"),0,""))</x:f>
        <x:v>0</x:v>
      </x:c>
      <x:c r="M2209" s="11" t="n">
        <x:f>IF(AND(K2209=1,OR(B2209="ED",B2209="NED")),1,0)</x:f>
        <x:v>0</x:v>
      </x:c>
      <x:c r="N2209" s="11" t="n">
        <x:f>IF(K2209=1,1,0)</x:f>
        <x:v>0</x:v>
      </x:c>
      <x:c r="O2209" s="12" t="str">
        <x:v>Require exact native accession match</x:v>
      </x:c>
      <x:c r="P2209" s="11" t="n">
        <x:v>0</x:v>
      </x:c>
      <x:c r="Q2209" s="12"/>
      <x:c r="R2209" s="12"/>
      <x:c r="S2209" s="11" t="n">
        <x:v>1715</x:v>
      </x:c>
      <x:c r="T2209" s="11"/>
    </x:row>
    <x:row r="2210" ht="23" customHeight="1">
      <x:c r="A2210" s="2" t="str">
        <x:v>Q8K2D3</x:v>
      </x:c>
      <x:c r="B2210" s="2" t="str">
        <x:v>ED</x:v>
      </x:c>
      <x:c r="C2210" s="2" t="n">
        <x:v>1</x:v>
      </x:c>
      <x:c r="D2210" s="2" t="n">
        <x:v>1</x:v>
      </x:c>
      <x:c r="E2210" s="10" t="n">
        <x:v>77.24127952755906</x:v>
      </x:c>
      <x:c r="F2210" s="11" t="n">
        <x:v>508</x:v>
      </x:c>
      <x:c r="G2210" s="11" t="n">
        <x:v>0</x:v>
      </x:c>
      <x:c r="H2210" s="11" t="n">
        <x:v>0</x:v>
      </x:c>
      <x:c r="I2210" s="11" t="n">
        <x:v>0</x:v>
      </x:c>
      <x:c r="J2210" s="11" t="n">
        <x:v>0</x:v>
      </x:c>
      <x:c r="K2210" s="11" t="n">
        <x:v>1</x:v>
      </x:c>
      <x:c r="L2210" s="11" t="n">
        <x:f>IF(B2210="NED",1,IF(OR(B2210="ED",B2210="UN"),0,""))</x:f>
        <x:v>0</x:v>
      </x:c>
      <x:c r="M2210" s="11" t="n">
        <x:f>IF(AND(K2210=1,OR(B2210="ED",B2210="NED")),1,0)</x:f>
        <x:v>1</x:v>
      </x:c>
      <x:c r="N2210" s="11" t="n">
        <x:f>IF(K2210=1,1,0)</x:f>
        <x:v>1</x:v>
      </x:c>
      <x:c r="O2210" s="12"/>
      <x:c r="P2210" s="11" t="n">
        <x:v>0</x:v>
      </x:c>
      <x:c r="Q2210" s="12" t="str">
        <x:v>AF-Q8K2D3-F1-model_v6</x:v>
      </x:c>
      <x:c r="R2210" s="12" t="str">
        <x:v>ok</x:v>
      </x:c>
      <x:c r="S2210" s="11" t="n">
        <x:v>1716</x:v>
      </x:c>
      <x:c r="T2210" s="11" t="n">
        <x:v>508</x:v>
      </x:c>
    </x:row>
    <x:row r="2211" ht="23" customHeight="1">
      <x:c r="A2211" s="2" t="str">
        <x:v>Q8K2F8</x:v>
      </x:c>
      <x:c r="B2211" s="2" t="str">
        <x:v>ED</x:v>
      </x:c>
      <x:c r="C2211" s="2" t="n">
        <x:v>0</x:v>
      </x:c>
      <x:c r="D2211" s="2" t="n">
        <x:v>0</x:v>
      </x:c>
      <x:c r="E2211" s="10" t="n">
        <x:v>59.73181818181818</x:v>
      </x:c>
      <x:c r="F2211" s="11" t="n">
        <x:v>462</x:v>
      </x:c>
      <x:c r="G2211" s="11" t="n">
        <x:v>0</x:v>
      </x:c>
      <x:c r="H2211" s="11" t="n">
        <x:v>0</x:v>
      </x:c>
      <x:c r="I2211" s="11" t="n">
        <x:v>0</x:v>
      </x:c>
      <x:c r="J2211" s="11" t="n">
        <x:v>0</x:v>
      </x:c>
      <x:c r="K2211" s="11" t="n">
        <x:v>0</x:v>
      </x:c>
      <x:c r="L2211" s="11" t="n">
        <x:f>IF(B2211="NED",1,IF(OR(B2211="ED",B2211="UN"),0,""))</x:f>
        <x:v>0</x:v>
      </x:c>
      <x:c r="M2211" s="11" t="n">
        <x:f>IF(AND(K2211=1,OR(B2211="ED",B2211="NED")),1,0)</x:f>
        <x:v>0</x:v>
      </x:c>
      <x:c r="N2211" s="11" t="n">
        <x:f>IF(K2211=1,1,0)</x:f>
        <x:v>0</x:v>
      </x:c>
      <x:c r="O2211" s="12" t="str">
        <x:v>Retain protein mean pLDDT &gt;=70</x:v>
      </x:c>
      <x:c r="P2211" s="11" t="n">
        <x:v>0</x:v>
      </x:c>
      <x:c r="Q2211" s="12" t="str">
        <x:v>AF-Q8K2F8-F1-model_v6</x:v>
      </x:c>
      <x:c r="R2211" s="12" t="str">
        <x:v>ok</x:v>
      </x:c>
      <x:c r="S2211" s="11" t="n">
        <x:v>1717</x:v>
      </x:c>
      <x:c r="T2211" s="11" t="n">
        <x:v>462</x:v>
      </x:c>
    </x:row>
    <x:row r="2212" ht="23" customHeight="1">
      <x:c r="A2212" s="2" t="str">
        <x:v>Q8K2I1</x:v>
      </x:c>
      <x:c r="B2212" s="2" t="str">
        <x:v>ED</x:v>
      </x:c>
      <x:c r="C2212" s="2" t="n">
        <x:v>1</x:v>
      </x:c>
      <x:c r="D2212" s="2" t="n">
        <x:v>1</x:v>
      </x:c>
      <x:c r="E2212" s="10" t="n">
        <x:v>94.476590389016</x:v>
      </x:c>
      <x:c r="F2212" s="11" t="n">
        <x:v>437</x:v>
      </x:c>
      <x:c r="G2212" s="11" t="n">
        <x:v>0</x:v>
      </x:c>
      <x:c r="H2212" s="11" t="n">
        <x:v>0</x:v>
      </x:c>
      <x:c r="I2212" s="11" t="n">
        <x:v>0</x:v>
      </x:c>
      <x:c r="J2212" s="11" t="n">
        <x:v>0</x:v>
      </x:c>
      <x:c r="K2212" s="11" t="n">
        <x:v>1</x:v>
      </x:c>
      <x:c r="L2212" s="11" t="n">
        <x:f>IF(B2212="NED",1,IF(OR(B2212="ED",B2212="UN"),0,""))</x:f>
        <x:v>0</x:v>
      </x:c>
      <x:c r="M2212" s="11" t="n">
        <x:f>IF(AND(K2212=1,OR(B2212="ED",B2212="NED")),1,0)</x:f>
        <x:v>1</x:v>
      </x:c>
      <x:c r="N2212" s="11" t="n">
        <x:f>IF(K2212=1,1,0)</x:f>
        <x:v>1</x:v>
      </x:c>
      <x:c r="O2212" s="12"/>
      <x:c r="P2212" s="11" t="n">
        <x:v>0</x:v>
      </x:c>
      <x:c r="Q2212" s="12" t="str">
        <x:v>AF-Q8K2I1-F1-model_v6</x:v>
      </x:c>
      <x:c r="R2212" s="12" t="str">
        <x:v>ok</x:v>
      </x:c>
      <x:c r="S2212" s="11" t="n">
        <x:v>1718</x:v>
      </x:c>
      <x:c r="T2212" s="11" t="n">
        <x:v>437</x:v>
      </x:c>
    </x:row>
    <x:row r="2213" ht="23" customHeight="1">
      <x:c r="A2213" s="2" t="str">
        <x:v>Q8K2J0</x:v>
      </x:c>
      <x:c r="B2213" s="2" t="str">
        <x:v>UN</x:v>
      </x:c>
      <x:c r="C2213" s="2" t="n">
        <x:v>1</x:v>
      </x:c>
      <x:c r="D2213" s="2" t="n">
        <x:v>1</x:v>
      </x:c>
      <x:c r="E2213" s="10"/>
      <x:c r="F2213" s="11" t="n">
        <x:v>785</x:v>
      </x:c>
      <x:c r="G2213" s="11" t="n">
        <x:v>0</x:v>
      </x:c>
      <x:c r="H2213" s="11" t="n">
        <x:v>0</x:v>
      </x:c>
      <x:c r="I2213" s="11" t="n">
        <x:v>1</x:v>
      </x:c>
      <x:c r="J2213" s="11" t="n">
        <x:v>0</x:v>
      </x:c>
      <x:c r="K2213" s="11" t="n">
        <x:v>0</x:v>
      </x:c>
      <x:c r="L2213" s="11" t="n">
        <x:f>IF(B2213="NED",1,IF(OR(B2213="ED",B2213="UN"),0,""))</x:f>
        <x:v>0</x:v>
      </x:c>
      <x:c r="M2213" s="11" t="n">
        <x:f>IF(AND(K2213=1,OR(B2213="ED",B2213="NED")),1,0)</x:f>
        <x:v>0</x:v>
      </x:c>
      <x:c r="N2213" s="11" t="n">
        <x:f>IF(K2213=1,1,0)</x:f>
        <x:v>0</x:v>
      </x:c>
      <x:c r="O2213" s="12" t="str">
        <x:v>Exclude UniProt Membrane keyword</x:v>
      </x:c>
      <x:c r="P2213" s="11" t="n">
        <x:v>0</x:v>
      </x:c>
      <x:c r="Q2213" s="12" t="str">
        <x:v>AF-Q8K2J0-F1-model_v6</x:v>
      </x:c>
      <x:c r="R2213" s="12" t="str">
        <x:v>ok</x:v>
      </x:c>
      <x:c r="S2213" s="11" t="n">
        <x:v>1719</x:v>
      </x:c>
      <x:c r="T2213" s="11" t="n">
        <x:v>785</x:v>
      </x:c>
    </x:row>
    <x:row r="2214" ht="23" customHeight="1">
      <x:c r="A2214" s="2" t="str">
        <x:v>Q8K2M0-2</x:v>
      </x:c>
      <x:c r="B2214" s="2" t="str">
        <x:v>NED</x:v>
      </x:c>
      <x:c r="C2214" s="2"/>
      <x:c r="D2214" s="2"/>
      <x:c r="E2214" s="10"/>
      <x:c r="F2214" s="11"/>
      <x:c r="G2214" s="11" t="n">
        <x:v>0</x:v>
      </x:c>
      <x:c r="H2214" s="11" t="n">
        <x:v>0</x:v>
      </x:c>
      <x:c r="I2214" s="11"/>
      <x:c r="J2214" s="11"/>
      <x:c r="K2214" s="11" t="n">
        <x:v>0</x:v>
      </x:c>
      <x:c r="L2214" s="11" t="n">
        <x:f>IF(B2214="NED",1,IF(OR(B2214="ED",B2214="UN"),0,""))</x:f>
        <x:v>1</x:v>
      </x:c>
      <x:c r="M2214" s="11" t="n">
        <x:f>IF(AND(K2214=1,OR(B2214="ED",B2214="NED")),1,0)</x:f>
        <x:v>0</x:v>
      </x:c>
      <x:c r="N2214" s="11" t="n">
        <x:f>IF(K2214=1,1,0)</x:f>
        <x:v>0</x:v>
      </x:c>
      <x:c r="O2214" s="12" t="str">
        <x:v>Require exact native accession match</x:v>
      </x:c>
      <x:c r="P2214" s="11" t="n">
        <x:v>0</x:v>
      </x:c>
      <x:c r="Q2214" s="12"/>
      <x:c r="R2214" s="12"/>
      <x:c r="S2214" s="11" t="n">
        <x:v>1720</x:v>
      </x:c>
      <x:c r="T2214" s="11"/>
    </x:row>
    <x:row r="2215" ht="23" customHeight="1">
      <x:c r="A2215" s="2" t="str">
        <x:v>Q8K2Q0</x:v>
      </x:c>
      <x:c r="B2215" s="2" t="str">
        <x:v>UN</x:v>
      </x:c>
      <x:c r="C2215" s="2" t="n">
        <x:v>0</x:v>
      </x:c>
      <x:c r="D2215" s="2" t="n">
        <x:v>0</x:v>
      </x:c>
      <x:c r="E2215" s="10" t="n">
        <x:v>85.71464646464646</x:v>
      </x:c>
      <x:c r="F2215" s="11" t="n">
        <x:v>198</x:v>
      </x:c>
      <x:c r="G2215" s="11" t="n">
        <x:v>0</x:v>
      </x:c>
      <x:c r="H2215" s="11" t="n">
        <x:v>0</x:v>
      </x:c>
      <x:c r="I2215" s="11" t="n">
        <x:v>0</x:v>
      </x:c>
      <x:c r="J2215" s="11" t="n">
        <x:v>0</x:v>
      </x:c>
      <x:c r="K2215" s="11" t="n">
        <x:v>1</x:v>
      </x:c>
      <x:c r="L2215" s="11" t="n">
        <x:f>IF(B2215="NED",1,IF(OR(B2215="ED",B2215="UN"),0,""))</x:f>
        <x:v>0</x:v>
      </x:c>
      <x:c r="M2215" s="11" t="n">
        <x:f>IF(AND(K2215=1,OR(B2215="ED",B2215="NED")),1,0)</x:f>
        <x:v>0</x:v>
      </x:c>
      <x:c r="N2215" s="11" t="n">
        <x:f>IF(K2215=1,1,0)</x:f>
        <x:v>1</x:v>
      </x:c>
      <x:c r="O2215" s="12"/>
      <x:c r="P2215" s="11" t="n">
        <x:v>0</x:v>
      </x:c>
      <x:c r="Q2215" s="12" t="str">
        <x:v>AF-Q8K2Q0-F1-model_v6</x:v>
      </x:c>
      <x:c r="R2215" s="12" t="str">
        <x:v>ok</x:v>
      </x:c>
      <x:c r="S2215" s="11" t="n">
        <x:v>1721</x:v>
      </x:c>
      <x:c r="T2215" s="11" t="n">
        <x:v>198</x:v>
      </x:c>
    </x:row>
    <x:row r="2216" ht="23" customHeight="1">
      <x:c r="A2216" s="2" t="str">
        <x:v>Q8K2Q7</x:v>
      </x:c>
      <x:c r="B2216" s="2" t="str">
        <x:v>ED</x:v>
      </x:c>
      <x:c r="C2216" s="2" t="n">
        <x:v>1</x:v>
      </x:c>
      <x:c r="D2216" s="2" t="n">
        <x:v>1</x:v>
      </x:c>
      <x:c r="E2216" s="10"/>
      <x:c r="F2216" s="11" t="n">
        <x:v>411</x:v>
      </x:c>
      <x:c r="G2216" s="11" t="n">
        <x:v>0</x:v>
      </x:c>
      <x:c r="H2216" s="11" t="n">
        <x:v>0</x:v>
      </x:c>
      <x:c r="I2216" s="11" t="n">
        <x:v>1</x:v>
      </x:c>
      <x:c r="J2216" s="11" t="n">
        <x:v>0</x:v>
      </x:c>
      <x:c r="K2216" s="11" t="n">
        <x:v>0</x:v>
      </x:c>
      <x:c r="L2216" s="11" t="n">
        <x:f>IF(B2216="NED",1,IF(OR(B2216="ED",B2216="UN"),0,""))</x:f>
        <x:v>0</x:v>
      </x:c>
      <x:c r="M2216" s="11" t="n">
        <x:f>IF(AND(K2216=1,OR(B2216="ED",B2216="NED")),1,0)</x:f>
        <x:v>0</x:v>
      </x:c>
      <x:c r="N2216" s="11" t="n">
        <x:f>IF(K2216=1,1,0)</x:f>
        <x:v>0</x:v>
      </x:c>
      <x:c r="O2216" s="12" t="str">
        <x:v>Exclude UniProt Membrane keyword</x:v>
      </x:c>
      <x:c r="P2216" s="11" t="n">
        <x:v>0</x:v>
      </x:c>
      <x:c r="Q2216" s="12" t="str">
        <x:v>AF-Q8K2Q7-F1-model_v6</x:v>
      </x:c>
      <x:c r="R2216" s="12" t="str">
        <x:v>ok</x:v>
      </x:c>
      <x:c r="S2216" s="11" t="n">
        <x:v>1722</x:v>
      </x:c>
      <x:c r="T2216" s="11" t="n">
        <x:v>411</x:v>
      </x:c>
    </x:row>
    <x:row r="2217" ht="23" customHeight="1">
      <x:c r="A2217" s="2" t="str">
        <x:v>Q8K2T8</x:v>
      </x:c>
      <x:c r="B2217" s="2" t="str">
        <x:v>UN</x:v>
      </x:c>
      <x:c r="C2217" s="2" t="n">
        <x:v>1</x:v>
      </x:c>
      <x:c r="D2217" s="2" t="n">
        <x:v>1</x:v>
      </x:c>
      <x:c r="E2217" s="10" t="n">
        <x:v>65.26708411214953</x:v>
      </x:c>
      <x:c r="F2217" s="11" t="n">
        <x:v>535</x:v>
      </x:c>
      <x:c r="G2217" s="11" t="n">
        <x:v>0</x:v>
      </x:c>
      <x:c r="H2217" s="11" t="n">
        <x:v>0</x:v>
      </x:c>
      <x:c r="I2217" s="11" t="n">
        <x:v>0</x:v>
      </x:c>
      <x:c r="J2217" s="11" t="n">
        <x:v>0</x:v>
      </x:c>
      <x:c r="K2217" s="11" t="n">
        <x:v>0</x:v>
      </x:c>
      <x:c r="L2217" s="11" t="n">
        <x:f>IF(B2217="NED",1,IF(OR(B2217="ED",B2217="UN"),0,""))</x:f>
        <x:v>0</x:v>
      </x:c>
      <x:c r="M2217" s="11" t="n">
        <x:f>IF(AND(K2217=1,OR(B2217="ED",B2217="NED")),1,0)</x:f>
        <x:v>0</x:v>
      </x:c>
      <x:c r="N2217" s="11" t="n">
        <x:f>IF(K2217=1,1,0)</x:f>
        <x:v>0</x:v>
      </x:c>
      <x:c r="O2217" s="12" t="str">
        <x:v>Retain protein mean pLDDT &gt;=70</x:v>
      </x:c>
      <x:c r="P2217" s="11" t="n">
        <x:v>0</x:v>
      </x:c>
      <x:c r="Q2217" s="12" t="str">
        <x:v>AF-Q8K2T8-F1-model_v6</x:v>
      </x:c>
      <x:c r="R2217" s="12" t="str">
        <x:v>ok</x:v>
      </x:c>
      <x:c r="S2217" s="11" t="n">
        <x:v>1723</x:v>
      </x:c>
      <x:c r="T2217" s="11" t="n">
        <x:v>535</x:v>
      </x:c>
    </x:row>
    <x:row r="2218" ht="23" customHeight="1">
      <x:c r="A2218" s="2" t="str">
        <x:v>Q8K2V6</x:v>
      </x:c>
      <x:c r="B2218" s="2" t="str">
        <x:v>ED</x:v>
      </x:c>
      <x:c r="C2218" s="2" t="n">
        <x:v>0</x:v>
      </x:c>
      <x:c r="D2218" s="2" t="n">
        <x:v>0</x:v>
      </x:c>
      <x:c r="E2218" s="10" t="n">
        <x:v>93.3296923076923</x:v>
      </x:c>
      <x:c r="F2218" s="11" t="n">
        <x:v>975</x:v>
      </x:c>
      <x:c r="G2218" s="11" t="n">
        <x:v>0</x:v>
      </x:c>
      <x:c r="H2218" s="11" t="n">
        <x:v>0</x:v>
      </x:c>
      <x:c r="I2218" s="11" t="n">
        <x:v>0</x:v>
      </x:c>
      <x:c r="J2218" s="11" t="n">
        <x:v>0</x:v>
      </x:c>
      <x:c r="K2218" s="11" t="n">
        <x:v>1</x:v>
      </x:c>
      <x:c r="L2218" s="11" t="n">
        <x:f>IF(B2218="NED",1,IF(OR(B2218="ED",B2218="UN"),0,""))</x:f>
        <x:v>0</x:v>
      </x:c>
      <x:c r="M2218" s="11" t="n">
        <x:f>IF(AND(K2218=1,OR(B2218="ED",B2218="NED")),1,0)</x:f>
        <x:v>1</x:v>
      </x:c>
      <x:c r="N2218" s="11" t="n">
        <x:f>IF(K2218=1,1,0)</x:f>
        <x:v>1</x:v>
      </x:c>
      <x:c r="O2218" s="12"/>
      <x:c r="P2218" s="11" t="n">
        <x:v>0</x:v>
      </x:c>
      <x:c r="Q2218" s="12" t="str">
        <x:v>AF-Q8K2V6-F1-model_v6</x:v>
      </x:c>
      <x:c r="R2218" s="12" t="str">
        <x:v>ok</x:v>
      </x:c>
      <x:c r="S2218" s="11" t="n">
        <x:v>1724</x:v>
      </x:c>
      <x:c r="T2218" s="11" t="n">
        <x:v>975</x:v>
      </x:c>
    </x:row>
    <x:row r="2219" ht="23" customHeight="1">
      <x:c r="A2219" s="2" t="str">
        <x:v>Q8K2Y9-2</x:v>
      </x:c>
      <x:c r="B2219" s="2" t="str">
        <x:v>ED</x:v>
      </x:c>
      <x:c r="C2219" s="2"/>
      <x:c r="D2219" s="2"/>
      <x:c r="E2219" s="10"/>
      <x:c r="F2219" s="11"/>
      <x:c r="G2219" s="11" t="n">
        <x:v>0</x:v>
      </x:c>
      <x:c r="H2219" s="11" t="n">
        <x:v>0</x:v>
      </x:c>
      <x:c r="I2219" s="11"/>
      <x:c r="J2219" s="11"/>
      <x:c r="K2219" s="11" t="n">
        <x:v>0</x:v>
      </x:c>
      <x:c r="L2219" s="11" t="n">
        <x:f>IF(B2219="NED",1,IF(OR(B2219="ED",B2219="UN"),0,""))</x:f>
        <x:v>0</x:v>
      </x:c>
      <x:c r="M2219" s="11" t="n">
        <x:f>IF(AND(K2219=1,OR(B2219="ED",B2219="NED")),1,0)</x:f>
        <x:v>0</x:v>
      </x:c>
      <x:c r="N2219" s="11" t="n">
        <x:f>IF(K2219=1,1,0)</x:f>
        <x:v>0</x:v>
      </x:c>
      <x:c r="O2219" s="12" t="str">
        <x:v>Require exact native accession match</x:v>
      </x:c>
      <x:c r="P2219" s="11" t="n">
        <x:v>0</x:v>
      </x:c>
      <x:c r="Q2219" s="12"/>
      <x:c r="R2219" s="12"/>
      <x:c r="S2219" s="11" t="n">
        <x:v>1725</x:v>
      </x:c>
      <x:c r="T2219" s="11"/>
    </x:row>
    <x:row r="2220" ht="23" customHeight="1">
      <x:c r="A2220" s="2" t="str">
        <x:v>Q8K2Z4</x:v>
      </x:c>
      <x:c r="B2220" s="2" t="str">
        <x:v>NED</x:v>
      </x:c>
      <x:c r="C2220" s="2" t="n">
        <x:v>1</x:v>
      </x:c>
      <x:c r="D2220" s="2"/>
      <x:c r="E2220" s="10" t="n">
        <x:v>80.48438218390804</x:v>
      </x:c>
      <x:c r="F2220" s="11" t="n">
        <x:v>1392</x:v>
      </x:c>
      <x:c r="G2220" s="11" t="n">
        <x:v>0</x:v>
      </x:c>
      <x:c r="H2220" s="11" t="n">
        <x:v>0</x:v>
      </x:c>
      <x:c r="I2220" s="11" t="n">
        <x:v>0</x:v>
      </x:c>
      <x:c r="J2220" s="11" t="n">
        <x:v>0</x:v>
      </x:c>
      <x:c r="K2220" s="11" t="n">
        <x:v>1</x:v>
      </x:c>
      <x:c r="L2220" s="11" t="n">
        <x:f>IF(B2220="NED",1,IF(OR(B2220="ED",B2220="UN"),0,""))</x:f>
        <x:v>1</x:v>
      </x:c>
      <x:c r="M2220" s="11" t="n">
        <x:f>IF(AND(K2220=1,OR(B2220="ED",B2220="NED")),1,0)</x:f>
        <x:v>1</x:v>
      </x:c>
      <x:c r="N2220" s="11" t="n">
        <x:f>IF(K2220=1,1,0)</x:f>
        <x:v>1</x:v>
      </x:c>
      <x:c r="O2220" s="12"/>
      <x:c r="P2220" s="11" t="n">
        <x:v>0</x:v>
      </x:c>
      <x:c r="Q2220" s="12" t="str">
        <x:v>AF-Q8K2Z4-F1-model_v6</x:v>
      </x:c>
      <x:c r="R2220" s="12" t="str">
        <x:v>ok</x:v>
      </x:c>
      <x:c r="S2220" s="11" t="n">
        <x:v>1726</x:v>
      </x:c>
      <x:c r="T2220" s="11" t="n">
        <x:v>1392</x:v>
      </x:c>
    </x:row>
    <x:row r="2221" ht="23" customHeight="1">
      <x:c r="A2221" s="2" t="str">
        <x:v>Q8K301</x:v>
      </x:c>
      <x:c r="B2221" s="2" t="str">
        <x:v>UN</x:v>
      </x:c>
      <x:c r="C2221" s="2" t="n">
        <x:v>1</x:v>
      </x:c>
      <x:c r="D2221" s="2" t="n">
        <x:v>1</x:v>
      </x:c>
      <x:c r="E2221" s="10" t="n">
        <x:v>77.27510033444817</x:v>
      </x:c>
      <x:c r="F2221" s="11" t="n">
        <x:v>598</x:v>
      </x:c>
      <x:c r="G2221" s="11" t="n">
        <x:v>0</x:v>
      </x:c>
      <x:c r="H2221" s="11" t="n">
        <x:v>0</x:v>
      </x:c>
      <x:c r="I2221" s="11" t="n">
        <x:v>0</x:v>
      </x:c>
      <x:c r="J2221" s="11" t="n">
        <x:v>0</x:v>
      </x:c>
      <x:c r="K2221" s="11" t="n">
        <x:v>1</x:v>
      </x:c>
      <x:c r="L2221" s="11" t="n">
        <x:f>IF(B2221="NED",1,IF(OR(B2221="ED",B2221="UN"),0,""))</x:f>
        <x:v>0</x:v>
      </x:c>
      <x:c r="M2221" s="11" t="n">
        <x:f>IF(AND(K2221=1,OR(B2221="ED",B2221="NED")),1,0)</x:f>
        <x:v>0</x:v>
      </x:c>
      <x:c r="N2221" s="11" t="n">
        <x:f>IF(K2221=1,1,0)</x:f>
        <x:v>1</x:v>
      </x:c>
      <x:c r="O2221" s="12"/>
      <x:c r="P2221" s="11" t="n">
        <x:v>0</x:v>
      </x:c>
      <x:c r="Q2221" s="12" t="str">
        <x:v>AF-Q8K301-F1-model_v6</x:v>
      </x:c>
      <x:c r="R2221" s="12" t="str">
        <x:v>ok</x:v>
      </x:c>
      <x:c r="S2221" s="11" t="n">
        <x:v>1727</x:v>
      </x:c>
      <x:c r="T2221" s="11" t="n">
        <x:v>598</x:v>
      </x:c>
    </x:row>
    <x:row r="2222" ht="23" customHeight="1">
      <x:c r="A2222" s="2" t="str">
        <x:v>Q8K305</x:v>
      </x:c>
      <x:c r="B2222" s="2" t="str">
        <x:v>UN</x:v>
      </x:c>
      <x:c r="C2222" s="2" t="n">
        <x:v>0</x:v>
      </x:c>
      <x:c r="D2222" s="2" t="n">
        <x:v>0</x:v>
      </x:c>
      <x:c r="E2222" s="10" t="n">
        <x:v>77.2817793594306</x:v>
      </x:c>
      <x:c r="F2222" s="11" t="n">
        <x:v>281</x:v>
      </x:c>
      <x:c r="G2222" s="11" t="n">
        <x:v>0</x:v>
      </x:c>
      <x:c r="H2222" s="11" t="n">
        <x:v>0</x:v>
      </x:c>
      <x:c r="I2222" s="11" t="n">
        <x:v>0</x:v>
      </x:c>
      <x:c r="J2222" s="11" t="n">
        <x:v>0</x:v>
      </x:c>
      <x:c r="K2222" s="11" t="n">
        <x:v>1</x:v>
      </x:c>
      <x:c r="L2222" s="11" t="n">
        <x:f>IF(B2222="NED",1,IF(OR(B2222="ED",B2222="UN"),0,""))</x:f>
        <x:v>0</x:v>
      </x:c>
      <x:c r="M2222" s="11" t="n">
        <x:f>IF(AND(K2222=1,OR(B2222="ED",B2222="NED")),1,0)</x:f>
        <x:v>0</x:v>
      </x:c>
      <x:c r="N2222" s="11" t="n">
        <x:f>IF(K2222=1,1,0)</x:f>
        <x:v>1</x:v>
      </x:c>
      <x:c r="O2222" s="12"/>
      <x:c r="P2222" s="11" t="n">
        <x:v>0</x:v>
      </x:c>
      <x:c r="Q2222" s="12" t="str">
        <x:v>AF-Q8K305-F1-model_v6</x:v>
      </x:c>
      <x:c r="R2222" s="12" t="str">
        <x:v>ok</x:v>
      </x:c>
      <x:c r="S2222" s="11" t="n">
        <x:v>1728</x:v>
      </x:c>
      <x:c r="T2222" s="11" t="n">
        <x:v>281</x:v>
      </x:c>
    </x:row>
    <x:row r="2223" ht="23" customHeight="1">
      <x:c r="A2223" s="2" t="str">
        <x:v>Q8K310</x:v>
      </x:c>
      <x:c r="B2223" s="2" t="str">
        <x:v>ED</x:v>
      </x:c>
      <x:c r="C2223" s="2" t="n">
        <x:v>1</x:v>
      </x:c>
      <x:c r="D2223" s="2" t="n">
        <x:v>1</x:v>
      </x:c>
      <x:c r="E2223" s="10" t="n">
        <x:v>56.85631205673759</x:v>
      </x:c>
      <x:c r="F2223" s="11" t="n">
        <x:v>846</x:v>
      </x:c>
      <x:c r="G2223" s="11" t="n">
        <x:v>0</x:v>
      </x:c>
      <x:c r="H2223" s="11" t="n">
        <x:v>0</x:v>
      </x:c>
      <x:c r="I2223" s="11" t="n">
        <x:v>0</x:v>
      </x:c>
      <x:c r="J2223" s="11" t="n">
        <x:v>0</x:v>
      </x:c>
      <x:c r="K2223" s="11" t="n">
        <x:v>0</x:v>
      </x:c>
      <x:c r="L2223" s="11" t="n">
        <x:f>IF(B2223="NED",1,IF(OR(B2223="ED",B2223="UN"),0,""))</x:f>
        <x:v>0</x:v>
      </x:c>
      <x:c r="M2223" s="11" t="n">
        <x:f>IF(AND(K2223=1,OR(B2223="ED",B2223="NED")),1,0)</x:f>
        <x:v>0</x:v>
      </x:c>
      <x:c r="N2223" s="11" t="n">
        <x:f>IF(K2223=1,1,0)</x:f>
        <x:v>0</x:v>
      </x:c>
      <x:c r="O2223" s="12" t="str">
        <x:v>Retain protein mean pLDDT &gt;=70</x:v>
      </x:c>
      <x:c r="P2223" s="11" t="n">
        <x:v>0</x:v>
      </x:c>
      <x:c r="Q2223" s="12" t="str">
        <x:v>AF-Q8K310-F1-model_v6</x:v>
      </x:c>
      <x:c r="R2223" s="12" t="str">
        <x:v>ok</x:v>
      </x:c>
      <x:c r="S2223" s="11" t="n">
        <x:v>1729</x:v>
      </x:c>
      <x:c r="T2223" s="11" t="n">
        <x:v>846</x:v>
      </x:c>
    </x:row>
    <x:row r="2224" ht="23" customHeight="1">
      <x:c r="A2224" s="2" t="str">
        <x:v>Q8K327</x:v>
      </x:c>
      <x:c r="B2224" s="2" t="str">
        <x:v>UN</x:v>
      </x:c>
      <x:c r="C2224" s="2" t="n">
        <x:v>1</x:v>
      </x:c>
      <x:c r="D2224" s="2"/>
      <x:c r="E2224" s="10"/>
      <x:c r="F2224" s="11" t="n">
        <x:v>802</x:v>
      </x:c>
      <x:c r="G2224" s="11" t="n">
        <x:v>1</x:v>
      </x:c>
      <x:c r="H2224" s="11" t="n">
        <x:v>0</x:v>
      </x:c>
      <x:c r="I2224" s="11" t="n">
        <x:v>0</x:v>
      </x:c>
      <x:c r="J2224" s="11" t="n">
        <x:v>0</x:v>
      </x:c>
      <x:c r="K2224" s="11" t="n">
        <x:v>0</x:v>
      </x:c>
      <x:c r="L2224" s="11" t="n">
        <x:f>IF(B2224="NED",1,IF(OR(B2224="ED",B2224="UN"),0,""))</x:f>
        <x:v>0</x:v>
      </x:c>
      <x:c r="M2224" s="11" t="n">
        <x:f>IF(AND(K2224=1,OR(B2224="ED",B2224="NED")),1,0)</x:f>
        <x:v>0</x:v>
      </x:c>
      <x:c r="N2224" s="11" t="n">
        <x:f>IF(K2224=1,1,0)</x:f>
        <x:v>0</x:v>
      </x:c>
      <x:c r="O2224" s="12" t="str">
        <x:v>Exclude supplied knotted proteins</x:v>
      </x:c>
      <x:c r="P2224" s="11" t="n">
        <x:v>0</x:v>
      </x:c>
      <x:c r="Q2224" s="12" t="str">
        <x:v>AF-Q8K327-F1-model_v6</x:v>
      </x:c>
      <x:c r="R2224" s="12" t="str">
        <x:v>ok</x:v>
      </x:c>
      <x:c r="S2224" s="11" t="n">
        <x:v>1730</x:v>
      </x:c>
      <x:c r="T2224" s="11" t="n">
        <x:v>802</x:v>
      </x:c>
    </x:row>
    <x:row r="2225" ht="23" customHeight="1">
      <x:c r="A2225" s="2" t="str">
        <x:v>Q8K339</x:v>
      </x:c>
      <x:c r="B2225" s="2" t="str">
        <x:v>UN</x:v>
      </x:c>
      <x:c r="C2225" s="2" t="n">
        <x:v>1</x:v>
      </x:c>
      <x:c r="D2225" s="2" t="n">
        <x:v>1</x:v>
      </x:c>
      <x:c r="E2225" s="10" t="n">
        <x:v>77.67820971867008</x:v>
      </x:c>
      <x:c r="F2225" s="11" t="n">
        <x:v>391</x:v>
      </x:c>
      <x:c r="G2225" s="11" t="n">
        <x:v>0</x:v>
      </x:c>
      <x:c r="H2225" s="11" t="n">
        <x:v>0</x:v>
      </x:c>
      <x:c r="I2225" s="11" t="n">
        <x:v>0</x:v>
      </x:c>
      <x:c r="J2225" s="11" t="n">
        <x:v>0</x:v>
      </x:c>
      <x:c r="K2225" s="11" t="n">
        <x:v>1</x:v>
      </x:c>
      <x:c r="L2225" s="11" t="n">
        <x:f>IF(B2225="NED",1,IF(OR(B2225="ED",B2225="UN"),0,""))</x:f>
        <x:v>0</x:v>
      </x:c>
      <x:c r="M2225" s="11" t="n">
        <x:f>IF(AND(K2225=1,OR(B2225="ED",B2225="NED")),1,0)</x:f>
        <x:v>0</x:v>
      </x:c>
      <x:c r="N2225" s="11" t="n">
        <x:f>IF(K2225=1,1,0)</x:f>
        <x:v>1</x:v>
      </x:c>
      <x:c r="O2225" s="12"/>
      <x:c r="P2225" s="11" t="n">
        <x:v>0</x:v>
      </x:c>
      <x:c r="Q2225" s="12" t="str">
        <x:v>AF-Q8K339-F1-model_v6</x:v>
      </x:c>
      <x:c r="R2225" s="12" t="str">
        <x:v>ok</x:v>
      </x:c>
      <x:c r="S2225" s="11" t="n">
        <x:v>1731</x:v>
      </x:c>
      <x:c r="T2225" s="11" t="n">
        <x:v>391</x:v>
      </x:c>
    </x:row>
    <x:row r="2226" ht="23" customHeight="1">
      <x:c r="A2226" s="2" t="str">
        <x:v>Q8K354</x:v>
      </x:c>
      <x:c r="B2226" s="2" t="str">
        <x:v>ED</x:v>
      </x:c>
      <x:c r="C2226" s="2" t="n">
        <x:v>1</x:v>
      </x:c>
      <x:c r="D2226" s="2" t="n">
        <x:v>1</x:v>
      </x:c>
      <x:c r="E2226" s="10" t="n">
        <x:v>96.88281588447654</x:v>
      </x:c>
      <x:c r="F2226" s="11" t="n">
        <x:v>277</x:v>
      </x:c>
      <x:c r="G2226" s="11" t="n">
        <x:v>0</x:v>
      </x:c>
      <x:c r="H2226" s="11" t="n">
        <x:v>0</x:v>
      </x:c>
      <x:c r="I2226" s="11" t="n">
        <x:v>0</x:v>
      </x:c>
      <x:c r="J2226" s="11" t="n">
        <x:v>0</x:v>
      </x:c>
      <x:c r="K2226" s="11" t="n">
        <x:v>1</x:v>
      </x:c>
      <x:c r="L2226" s="11" t="n">
        <x:f>IF(B2226="NED",1,IF(OR(B2226="ED",B2226="UN"),0,""))</x:f>
        <x:v>0</x:v>
      </x:c>
      <x:c r="M2226" s="11" t="n">
        <x:f>IF(AND(K2226=1,OR(B2226="ED",B2226="NED")),1,0)</x:f>
        <x:v>1</x:v>
      </x:c>
      <x:c r="N2226" s="11" t="n">
        <x:f>IF(K2226=1,1,0)</x:f>
        <x:v>1</x:v>
      </x:c>
      <x:c r="O2226" s="12"/>
      <x:c r="P2226" s="11" t="n">
        <x:v>0</x:v>
      </x:c>
      <x:c r="Q2226" s="12" t="str">
        <x:v>AF-Q8K354-F1-model_v6</x:v>
      </x:c>
      <x:c r="R2226" s="12" t="str">
        <x:v>ok</x:v>
      </x:c>
      <x:c r="S2226" s="11" t="n">
        <x:v>1732</x:v>
      </x:c>
      <x:c r="T2226" s="11" t="n">
        <x:v>277</x:v>
      </x:c>
    </x:row>
    <x:row r="2227" ht="23" customHeight="1">
      <x:c r="A2227" s="2" t="str">
        <x:v>Q8K363</x:v>
      </x:c>
      <x:c r="B2227" s="2" t="str">
        <x:v>ED</x:v>
      </x:c>
      <x:c r="C2227" s="2" t="n">
        <x:v>1</x:v>
      </x:c>
      <x:c r="D2227" s="2" t="n">
        <x:v>1</x:v>
      </x:c>
      <x:c r="E2227" s="10" t="n">
        <x:v>72.85425757575757</x:v>
      </x:c>
      <x:c r="F2227" s="11" t="n">
        <x:v>660</x:v>
      </x:c>
      <x:c r="G2227" s="11" t="n">
        <x:v>0</x:v>
      </x:c>
      <x:c r="H2227" s="11" t="n">
        <x:v>0</x:v>
      </x:c>
      <x:c r="I2227" s="11" t="n">
        <x:v>0</x:v>
      </x:c>
      <x:c r="J2227" s="11" t="n">
        <x:v>0</x:v>
      </x:c>
      <x:c r="K2227" s="11" t="n">
        <x:v>1</x:v>
      </x:c>
      <x:c r="L2227" s="11" t="n">
        <x:f>IF(B2227="NED",1,IF(OR(B2227="ED",B2227="UN"),0,""))</x:f>
        <x:v>0</x:v>
      </x:c>
      <x:c r="M2227" s="11" t="n">
        <x:f>IF(AND(K2227=1,OR(B2227="ED",B2227="NED")),1,0)</x:f>
        <x:v>1</x:v>
      </x:c>
      <x:c r="N2227" s="11" t="n">
        <x:f>IF(K2227=1,1,0)</x:f>
        <x:v>1</x:v>
      </x:c>
      <x:c r="O2227" s="12"/>
      <x:c r="P2227" s="11" t="n">
        <x:v>0</x:v>
      </x:c>
      <x:c r="Q2227" s="12" t="str">
        <x:v>AF-Q8K363-F1-model_v6</x:v>
      </x:c>
      <x:c r="R2227" s="12" t="str">
        <x:v>ok</x:v>
      </x:c>
      <x:c r="S2227" s="11" t="n">
        <x:v>1733</x:v>
      </x:c>
      <x:c r="T2227" s="11" t="n">
        <x:v>660</x:v>
      </x:c>
    </x:row>
    <x:row r="2228" ht="23" customHeight="1">
      <x:c r="A2228" s="2" t="str">
        <x:v>Q8K387-2</x:v>
      </x:c>
      <x:c r="B2228" s="2" t="str">
        <x:v>UN</x:v>
      </x:c>
      <x:c r="C2228" s="2"/>
      <x:c r="D2228" s="2"/>
      <x:c r="E2228" s="10"/>
      <x:c r="F2228" s="11"/>
      <x:c r="G2228" s="11" t="n">
        <x:v>0</x:v>
      </x:c>
      <x:c r="H2228" s="11" t="n">
        <x:v>0</x:v>
      </x:c>
      <x:c r="I2228" s="11"/>
      <x:c r="J2228" s="11"/>
      <x:c r="K2228" s="11" t="n">
        <x:v>0</x:v>
      </x:c>
      <x:c r="L2228" s="11" t="n">
        <x:f>IF(B2228="NED",1,IF(OR(B2228="ED",B2228="UN"),0,""))</x:f>
        <x:v>0</x:v>
      </x:c>
      <x:c r="M2228" s="11" t="n">
        <x:f>IF(AND(K2228=1,OR(B2228="ED",B2228="NED")),1,0)</x:f>
        <x:v>0</x:v>
      </x:c>
      <x:c r="N2228" s="11" t="n">
        <x:f>IF(K2228=1,1,0)</x:f>
        <x:v>0</x:v>
      </x:c>
      <x:c r="O2228" s="12" t="str">
        <x:v>Require exact native accession match</x:v>
      </x:c>
      <x:c r="P2228" s="11" t="n">
        <x:v>0</x:v>
      </x:c>
      <x:c r="Q2228" s="12"/>
      <x:c r="R2228" s="12"/>
      <x:c r="S2228" s="11" t="n">
        <x:v>1734</x:v>
      </x:c>
      <x:c r="T2228" s="11"/>
    </x:row>
    <x:row r="2229" ht="23" customHeight="1">
      <x:c r="A2229" s="2" t="str">
        <x:v>Q8K389</x:v>
      </x:c>
      <x:c r="B2229" s="2" t="str">
        <x:v>UN</x:v>
      </x:c>
      <x:c r="C2229" s="2" t="n">
        <x:v>1</x:v>
      </x:c>
      <x:c r="D2229" s="2" t="n">
        <x:v>1</x:v>
      </x:c>
      <x:c r="E2229" s="10" t="n">
        <x:v>58.34870472008782</x:v>
      </x:c>
      <x:c r="F2229" s="11" t="n">
        <x:v>1822</x:v>
      </x:c>
      <x:c r="G2229" s="11" t="n">
        <x:v>0</x:v>
      </x:c>
      <x:c r="H2229" s="11" t="n">
        <x:v>0</x:v>
      </x:c>
      <x:c r="I2229" s="11" t="n">
        <x:v>0</x:v>
      </x:c>
      <x:c r="J2229" s="11" t="n">
        <x:v>0</x:v>
      </x:c>
      <x:c r="K2229" s="11" t="n">
        <x:v>0</x:v>
      </x:c>
      <x:c r="L2229" s="11" t="n">
        <x:f>IF(B2229="NED",1,IF(OR(B2229="ED",B2229="UN"),0,""))</x:f>
        <x:v>0</x:v>
      </x:c>
      <x:c r="M2229" s="11" t="n">
        <x:f>IF(AND(K2229=1,OR(B2229="ED",B2229="NED")),1,0)</x:f>
        <x:v>0</x:v>
      </x:c>
      <x:c r="N2229" s="11" t="n">
        <x:f>IF(K2229=1,1,0)</x:f>
        <x:v>0</x:v>
      </x:c>
      <x:c r="O2229" s="12" t="str">
        <x:v>Retain protein mean pLDDT &gt;=70</x:v>
      </x:c>
      <x:c r="P2229" s="11" t="n">
        <x:v>0</x:v>
      </x:c>
      <x:c r="Q2229" s="12" t="str">
        <x:v>AF-Q8K389-F1-model_v6</x:v>
      </x:c>
      <x:c r="R2229" s="12" t="str">
        <x:v>ok</x:v>
      </x:c>
      <x:c r="S2229" s="11" t="n">
        <x:v>1735</x:v>
      </x:c>
      <x:c r="T2229" s="11" t="n">
        <x:v>1822</x:v>
      </x:c>
    </x:row>
    <x:row r="2230" ht="23" customHeight="1">
      <x:c r="A2230" s="2" t="str">
        <x:v>Q8K3A9</x:v>
      </x:c>
      <x:c r="B2230" s="2" t="str">
        <x:v>ED</x:v>
      </x:c>
      <x:c r="C2230" s="2" t="n">
        <x:v>1</x:v>
      </x:c>
      <x:c r="D2230" s="2" t="n">
        <x:v>1</x:v>
      </x:c>
      <x:c r="E2230" s="10" t="n">
        <x:v>62.78594594594595</x:v>
      </x:c>
      <x:c r="F2230" s="11" t="n">
        <x:v>666</x:v>
      </x:c>
      <x:c r="G2230" s="11" t="n">
        <x:v>0</x:v>
      </x:c>
      <x:c r="H2230" s="11" t="n">
        <x:v>0</x:v>
      </x:c>
      <x:c r="I2230" s="11" t="n">
        <x:v>0</x:v>
      </x:c>
      <x:c r="J2230" s="11" t="n">
        <x:v>0</x:v>
      </x:c>
      <x:c r="K2230" s="11" t="n">
        <x:v>0</x:v>
      </x:c>
      <x:c r="L2230" s="11" t="n">
        <x:f>IF(B2230="NED",1,IF(OR(B2230="ED",B2230="UN"),0,""))</x:f>
        <x:v>0</x:v>
      </x:c>
      <x:c r="M2230" s="11" t="n">
        <x:f>IF(AND(K2230=1,OR(B2230="ED",B2230="NED")),1,0)</x:f>
        <x:v>0</x:v>
      </x:c>
      <x:c r="N2230" s="11" t="n">
        <x:f>IF(K2230=1,1,0)</x:f>
        <x:v>0</x:v>
      </x:c>
      <x:c r="O2230" s="12" t="str">
        <x:v>Retain protein mean pLDDT &gt;=70</x:v>
      </x:c>
      <x:c r="P2230" s="11" t="n">
        <x:v>0</x:v>
      </x:c>
      <x:c r="Q2230" s="12" t="str">
        <x:v>AF-Q8K3A9-F1-model_v6</x:v>
      </x:c>
      <x:c r="R2230" s="12" t="str">
        <x:v>ok</x:v>
      </x:c>
      <x:c r="S2230" s="11" t="n">
        <x:v>1736</x:v>
      </x:c>
      <x:c r="T2230" s="11" t="n">
        <x:v>666</x:v>
      </x:c>
    </x:row>
    <x:row r="2231" ht="23" customHeight="1">
      <x:c r="A2231" s="2" t="str">
        <x:v>Q8K3C3</x:v>
      </x:c>
      <x:c r="B2231" s="2" t="str">
        <x:v>UN</x:v>
      </x:c>
      <x:c r="C2231" s="2" t="n">
        <x:v>0</x:v>
      </x:c>
      <x:c r="D2231" s="2" t="n">
        <x:v>0</x:v>
      </x:c>
      <x:c r="E2231" s="10" t="n">
        <x:v>81.13368421052631</x:v>
      </x:c>
      <x:c r="F2231" s="11" t="n">
        <x:v>190</x:v>
      </x:c>
      <x:c r="G2231" s="11" t="n">
        <x:v>0</x:v>
      </x:c>
      <x:c r="H2231" s="11" t="n">
        <x:v>0</x:v>
      </x:c>
      <x:c r="I2231" s="11" t="n">
        <x:v>0</x:v>
      </x:c>
      <x:c r="J2231" s="11" t="n">
        <x:v>0</x:v>
      </x:c>
      <x:c r="K2231" s="11" t="n">
        <x:v>1</x:v>
      </x:c>
      <x:c r="L2231" s="11" t="n">
        <x:f>IF(B2231="NED",1,IF(OR(B2231="ED",B2231="UN"),0,""))</x:f>
        <x:v>0</x:v>
      </x:c>
      <x:c r="M2231" s="11" t="n">
        <x:f>IF(AND(K2231=1,OR(B2231="ED",B2231="NED")),1,0)</x:f>
        <x:v>0</x:v>
      </x:c>
      <x:c r="N2231" s="11" t="n">
        <x:f>IF(K2231=1,1,0)</x:f>
        <x:v>1</x:v>
      </x:c>
      <x:c r="O2231" s="12"/>
      <x:c r="P2231" s="11" t="n">
        <x:v>0</x:v>
      </x:c>
      <x:c r="Q2231" s="12" t="str">
        <x:v>AF-Q8K3C3-F1-model_v6</x:v>
      </x:c>
      <x:c r="R2231" s="12" t="str">
        <x:v>ok</x:v>
      </x:c>
      <x:c r="S2231" s="11" t="n">
        <x:v>1737</x:v>
      </x:c>
      <x:c r="T2231" s="11" t="n">
        <x:v>190</x:v>
      </x:c>
    </x:row>
    <x:row r="2232" ht="23" customHeight="1">
      <x:c r="A2232" s="2" t="str">
        <x:v>Q8K3D3-2</x:v>
      </x:c>
      <x:c r="B2232" s="2" t="str">
        <x:v>ED</x:v>
      </x:c>
      <x:c r="C2232" s="2"/>
      <x:c r="D2232" s="2"/>
      <x:c r="E2232" s="10"/>
      <x:c r="F2232" s="11"/>
      <x:c r="G2232" s="11" t="n">
        <x:v>0</x:v>
      </x:c>
      <x:c r="H2232" s="11" t="n">
        <x:v>0</x:v>
      </x:c>
      <x:c r="I2232" s="11"/>
      <x:c r="J2232" s="11"/>
      <x:c r="K2232" s="11" t="n">
        <x:v>0</x:v>
      </x:c>
      <x:c r="L2232" s="11" t="n">
        <x:f>IF(B2232="NED",1,IF(OR(B2232="ED",B2232="UN"),0,""))</x:f>
        <x:v>0</x:v>
      </x:c>
      <x:c r="M2232" s="11" t="n">
        <x:f>IF(AND(K2232=1,OR(B2232="ED",B2232="NED")),1,0)</x:f>
        <x:v>0</x:v>
      </x:c>
      <x:c r="N2232" s="11" t="n">
        <x:f>IF(K2232=1,1,0)</x:f>
        <x:v>0</x:v>
      </x:c>
      <x:c r="O2232" s="12" t="str">
        <x:v>Require exact native accession match</x:v>
      </x:c>
      <x:c r="P2232" s="11" t="n">
        <x:v>0</x:v>
      </x:c>
      <x:c r="Q2232" s="12"/>
      <x:c r="R2232" s="12"/>
      <x:c r="S2232" s="11" t="n">
        <x:v>1738</x:v>
      </x:c>
      <x:c r="T2232" s="11"/>
    </x:row>
    <x:row r="2233" ht="23" customHeight="1">
      <x:c r="A2233" s="2" t="str">
        <x:v>Q8K3J1</x:v>
      </x:c>
      <x:c r="B2233" s="2" t="str">
        <x:v>UN</x:v>
      </x:c>
      <x:c r="C2233" s="2" t="n">
        <x:v>1</x:v>
      </x:c>
      <x:c r="D2233" s="2" t="n">
        <x:v>1</x:v>
      </x:c>
      <x:c r="E2233" s="10"/>
      <x:c r="F2233" s="11" t="n">
        <x:v>212</x:v>
      </x:c>
      <x:c r="G2233" s="11" t="n">
        <x:v>0</x:v>
      </x:c>
      <x:c r="H2233" s="11" t="n">
        <x:v>0</x:v>
      </x:c>
      <x:c r="I2233" s="11" t="n">
        <x:v>1</x:v>
      </x:c>
      <x:c r="J2233" s="11" t="n">
        <x:v>0</x:v>
      </x:c>
      <x:c r="K2233" s="11" t="n">
        <x:v>0</x:v>
      </x:c>
      <x:c r="L2233" s="11" t="n">
        <x:f>IF(B2233="NED",1,IF(OR(B2233="ED",B2233="UN"),0,""))</x:f>
        <x:v>0</x:v>
      </x:c>
      <x:c r="M2233" s="11" t="n">
        <x:f>IF(AND(K2233=1,OR(B2233="ED",B2233="NED")),1,0)</x:f>
        <x:v>0</x:v>
      </x:c>
      <x:c r="N2233" s="11" t="n">
        <x:f>IF(K2233=1,1,0)</x:f>
        <x:v>0</x:v>
      </x:c>
      <x:c r="O2233" s="12" t="str">
        <x:v>Exclude UniProt Membrane keyword</x:v>
      </x:c>
      <x:c r="P2233" s="11" t="n">
        <x:v>0</x:v>
      </x:c>
      <x:c r="Q2233" s="12" t="str">
        <x:v>AF-Q8K3J1-F1-model_v6</x:v>
      </x:c>
      <x:c r="R2233" s="12" t="str">
        <x:v>ok</x:v>
      </x:c>
      <x:c r="S2233" s="11" t="n">
        <x:v>1739</x:v>
      </x:c>
      <x:c r="T2233" s="11" t="n">
        <x:v>212</x:v>
      </x:c>
    </x:row>
    <x:row r="2234" ht="23" customHeight="1">
      <x:c r="A2234" s="2" t="str">
        <x:v>Q8K3K8</x:v>
      </x:c>
      <x:c r="B2234" s="2" t="str">
        <x:v>ED</x:v>
      </x:c>
      <x:c r="C2234" s="2" t="n">
        <x:v>0</x:v>
      </x:c>
      <x:c r="D2234" s="2" t="n">
        <x:v>0</x:v>
      </x:c>
      <x:c r="E2234" s="10" t="n">
        <x:v>77.05864726027397</x:v>
      </x:c>
      <x:c r="F2234" s="11" t="n">
        <x:v>584</x:v>
      </x:c>
      <x:c r="G2234" s="11" t="n">
        <x:v>0</x:v>
      </x:c>
      <x:c r="H2234" s="11" t="n">
        <x:v>0</x:v>
      </x:c>
      <x:c r="I2234" s="11" t="n">
        <x:v>0</x:v>
      </x:c>
      <x:c r="J2234" s="11" t="n">
        <x:v>0</x:v>
      </x:c>
      <x:c r="K2234" s="11" t="n">
        <x:v>1</x:v>
      </x:c>
      <x:c r="L2234" s="11" t="n">
        <x:f>IF(B2234="NED",1,IF(OR(B2234="ED",B2234="UN"),0,""))</x:f>
        <x:v>0</x:v>
      </x:c>
      <x:c r="M2234" s="11" t="n">
        <x:f>IF(AND(K2234=1,OR(B2234="ED",B2234="NED")),1,0)</x:f>
        <x:v>1</x:v>
      </x:c>
      <x:c r="N2234" s="11" t="n">
        <x:f>IF(K2234=1,1,0)</x:f>
        <x:v>1</x:v>
      </x:c>
      <x:c r="O2234" s="12"/>
      <x:c r="P2234" s="11" t="n">
        <x:v>0</x:v>
      </x:c>
      <x:c r="Q2234" s="12" t="str">
        <x:v>AF-Q8K3K8-F1-model_v6</x:v>
      </x:c>
      <x:c r="R2234" s="12" t="str">
        <x:v>ok</x:v>
      </x:c>
      <x:c r="S2234" s="11" t="n">
        <x:v>1740</x:v>
      </x:c>
      <x:c r="T2234" s="11" t="n">
        <x:v>584</x:v>
      </x:c>
    </x:row>
    <x:row r="2235" ht="23" customHeight="1">
      <x:c r="A2235" s="2" t="str">
        <x:v>Q8K3W0</x:v>
      </x:c>
      <x:c r="B2235" s="2" t="str">
        <x:v>UN</x:v>
      </x:c>
      <x:c r="C2235" s="2" t="n">
        <x:v>0</x:v>
      </x:c>
      <x:c r="D2235" s="2" t="n">
        <x:v>0</x:v>
      </x:c>
      <x:c r="E2235" s="10" t="n">
        <x:v>92.13255874673628</x:v>
      </x:c>
      <x:c r="F2235" s="11" t="n">
        <x:v>383</x:v>
      </x:c>
      <x:c r="G2235" s="11" t="n">
        <x:v>0</x:v>
      </x:c>
      <x:c r="H2235" s="11" t="n">
        <x:v>0</x:v>
      </x:c>
      <x:c r="I2235" s="11" t="n">
        <x:v>0</x:v>
      </x:c>
      <x:c r="J2235" s="11" t="n">
        <x:v>0</x:v>
      </x:c>
      <x:c r="K2235" s="11" t="n">
        <x:v>1</x:v>
      </x:c>
      <x:c r="L2235" s="11" t="n">
        <x:f>IF(B2235="NED",1,IF(OR(B2235="ED",B2235="UN"),0,""))</x:f>
        <x:v>0</x:v>
      </x:c>
      <x:c r="M2235" s="11" t="n">
        <x:f>IF(AND(K2235=1,OR(B2235="ED",B2235="NED")),1,0)</x:f>
        <x:v>0</x:v>
      </x:c>
      <x:c r="N2235" s="11" t="n">
        <x:f>IF(K2235=1,1,0)</x:f>
        <x:v>1</x:v>
      </x:c>
      <x:c r="O2235" s="12"/>
      <x:c r="P2235" s="11" t="n">
        <x:v>0</x:v>
      </x:c>
      <x:c r="Q2235" s="12" t="str">
        <x:v>AF-Q8K3W0-F1-model_v6</x:v>
      </x:c>
      <x:c r="R2235" s="12" t="str">
        <x:v>ok</x:v>
      </x:c>
      <x:c r="S2235" s="11" t="n">
        <x:v>1741</x:v>
      </x:c>
      <x:c r="T2235" s="11" t="n">
        <x:v>383</x:v>
      </x:c>
    </x:row>
    <x:row r="2236" ht="23" customHeight="1">
      <x:c r="A2236" s="2" t="str">
        <x:v>Q8K3W3</x:v>
      </x:c>
      <x:c r="B2236" s="2" t="str">
        <x:v>ED</x:v>
      </x:c>
      <x:c r="C2236" s="2" t="n">
        <x:v>1</x:v>
      </x:c>
      <x:c r="D2236" s="2"/>
      <x:c r="E2236" s="10" t="n">
        <x:v>52.50832378223495</x:v>
      </x:c>
      <x:c r="F2236" s="11" t="n">
        <x:v>698</x:v>
      </x:c>
      <x:c r="G2236" s="11" t="n">
        <x:v>0</x:v>
      </x:c>
      <x:c r="H2236" s="11" t="n">
        <x:v>0</x:v>
      </x:c>
      <x:c r="I2236" s="11" t="n">
        <x:v>0</x:v>
      </x:c>
      <x:c r="J2236" s="11" t="n">
        <x:v>0</x:v>
      </x:c>
      <x:c r="K2236" s="11" t="n">
        <x:v>0</x:v>
      </x:c>
      <x:c r="L2236" s="11" t="n">
        <x:f>IF(B2236="NED",1,IF(OR(B2236="ED",B2236="UN"),0,""))</x:f>
        <x:v>0</x:v>
      </x:c>
      <x:c r="M2236" s="11" t="n">
        <x:f>IF(AND(K2236=1,OR(B2236="ED",B2236="NED")),1,0)</x:f>
        <x:v>0</x:v>
      </x:c>
      <x:c r="N2236" s="11" t="n">
        <x:f>IF(K2236=1,1,0)</x:f>
        <x:v>0</x:v>
      </x:c>
      <x:c r="O2236" s="12" t="str">
        <x:v>Retain protein mean pLDDT &gt;=70</x:v>
      </x:c>
      <x:c r="P2236" s="11" t="n">
        <x:v>0</x:v>
      </x:c>
      <x:c r="Q2236" s="12" t="str">
        <x:v>AF-Q8K3W3-F1-model_v6</x:v>
      </x:c>
      <x:c r="R2236" s="12" t="str">
        <x:v>ok</x:v>
      </x:c>
      <x:c r="S2236" s="11" t="n">
        <x:v>1742</x:v>
      </x:c>
      <x:c r="T2236" s="11" t="n">
        <x:v>698</x:v>
      </x:c>
    </x:row>
    <x:row r="2237" ht="23" customHeight="1">
      <x:c r="A2237" s="2" t="str">
        <x:v>Q8K3X4</x:v>
      </x:c>
      <x:c r="B2237" s="2" t="str">
        <x:v>ED</x:v>
      </x:c>
      <x:c r="C2237" s="2" t="n">
        <x:v>1</x:v>
      </x:c>
      <x:c r="D2237" s="2" t="n">
        <x:v>1</x:v>
      </x:c>
      <x:c r="E2237" s="10" t="n">
        <x:v>60.618335483870965</x:v>
      </x:c>
      <x:c r="F2237" s="11" t="n">
        <x:v>775</x:v>
      </x:c>
      <x:c r="G2237" s="11" t="n">
        <x:v>0</x:v>
      </x:c>
      <x:c r="H2237" s="11" t="n">
        <x:v>0</x:v>
      </x:c>
      <x:c r="I2237" s="11" t="n">
        <x:v>0</x:v>
      </x:c>
      <x:c r="J2237" s="11" t="n">
        <x:v>0</x:v>
      </x:c>
      <x:c r="K2237" s="11" t="n">
        <x:v>0</x:v>
      </x:c>
      <x:c r="L2237" s="11" t="n">
        <x:f>IF(B2237="NED",1,IF(OR(B2237="ED",B2237="UN"),0,""))</x:f>
        <x:v>0</x:v>
      </x:c>
      <x:c r="M2237" s="11" t="n">
        <x:f>IF(AND(K2237=1,OR(B2237="ED",B2237="NED")),1,0)</x:f>
        <x:v>0</x:v>
      </x:c>
      <x:c r="N2237" s="11" t="n">
        <x:f>IF(K2237=1,1,0)</x:f>
        <x:v>0</x:v>
      </x:c>
      <x:c r="O2237" s="12" t="str">
        <x:v>Retain protein mean pLDDT &gt;=70</x:v>
      </x:c>
      <x:c r="P2237" s="11" t="n">
        <x:v>0</x:v>
      </x:c>
      <x:c r="Q2237" s="12" t="str">
        <x:v>AF-Q8K3X4-F1-model_v6</x:v>
      </x:c>
      <x:c r="R2237" s="12" t="str">
        <x:v>ok</x:v>
      </x:c>
      <x:c r="S2237" s="11" t="n">
        <x:v>1743</x:v>
      </x:c>
      <x:c r="T2237" s="11" t="n">
        <x:v>775</x:v>
      </x:c>
    </x:row>
    <x:row r="2238" ht="23" customHeight="1">
      <x:c r="A2238" s="2" t="str">
        <x:v>Q8K411-2</x:v>
      </x:c>
      <x:c r="B2238" s="2" t="str">
        <x:v>NED</x:v>
      </x:c>
      <x:c r="C2238" s="2"/>
      <x:c r="D2238" s="2"/>
      <x:c r="E2238" s="10"/>
      <x:c r="F2238" s="11"/>
      <x:c r="G2238" s="11" t="n">
        <x:v>0</x:v>
      </x:c>
      <x:c r="H2238" s="11" t="n">
        <x:v>0</x:v>
      </x:c>
      <x:c r="I2238" s="11"/>
      <x:c r="J2238" s="11"/>
      <x:c r="K2238" s="11" t="n">
        <x:v>0</x:v>
      </x:c>
      <x:c r="L2238" s="11" t="n">
        <x:f>IF(B2238="NED",1,IF(OR(B2238="ED",B2238="UN"),0,""))</x:f>
        <x:v>1</x:v>
      </x:c>
      <x:c r="M2238" s="11" t="n">
        <x:f>IF(AND(K2238=1,OR(B2238="ED",B2238="NED")),1,0)</x:f>
        <x:v>0</x:v>
      </x:c>
      <x:c r="N2238" s="11" t="n">
        <x:f>IF(K2238=1,1,0)</x:f>
        <x:v>0</x:v>
      </x:c>
      <x:c r="O2238" s="12" t="str">
        <x:v>Require exact native accession match</x:v>
      </x:c>
      <x:c r="P2238" s="11" t="n">
        <x:v>0</x:v>
      </x:c>
      <x:c r="Q2238" s="12"/>
      <x:c r="R2238" s="12"/>
      <x:c r="S2238" s="11" t="n">
        <x:v>1744</x:v>
      </x:c>
      <x:c r="T2238" s="11"/>
    </x:row>
    <x:row r="2239" ht="23" customHeight="1">
      <x:c r="A2239" s="2" t="str">
        <x:v>Q8K4E0</x:v>
      </x:c>
      <x:c r="B2239" s="2" t="str">
        <x:v>ED</x:v>
      </x:c>
      <x:c r="C2239" s="2"/>
      <x:c r="D2239" s="2"/>
      <x:c r="E2239" s="10"/>
      <x:c r="F2239" s="11"/>
      <x:c r="G2239" s="11" t="n">
        <x:v>0</x:v>
      </x:c>
      <x:c r="H2239" s="11" t="n">
        <x:v>0</x:v>
      </x:c>
      <x:c r="I2239" s="11" t="n">
        <x:v>0</x:v>
      </x:c>
      <x:c r="J2239" s="11" t="n">
        <x:v>0</x:v>
      </x:c>
      <x:c r="K2239" s="11" t="n">
        <x:v>0</x:v>
      </x:c>
      <x:c r="L2239" s="11" t="n">
        <x:f>IF(B2239="NED",1,IF(OR(B2239="ED",B2239="UN"),0,""))</x:f>
        <x:v>0</x:v>
      </x:c>
      <x:c r="M2239" s="11" t="n">
        <x:f>IF(AND(K2239=1,OR(B2239="ED",B2239="NED")),1,0)</x:f>
        <x:v>0</x:v>
      </x:c>
      <x:c r="N2239" s="11" t="n">
        <x:f>IF(K2239=1,1,0)</x:f>
        <x:v>0</x:v>
      </x:c>
      <x:c r="O2239" s="12" t="str">
        <x:v>Require exact native accession match</x:v>
      </x:c>
      <x:c r="P2239" s="11" t="n">
        <x:v>0</x:v>
      </x:c>
      <x:c r="Q2239" s="12"/>
      <x:c r="R2239" s="12"/>
      <x:c r="S2239" s="11" t="n">
        <x:v>1745</x:v>
      </x:c>
      <x:c r="T2239" s="11" t="n">
        <x:v>3251</x:v>
      </x:c>
    </x:row>
    <x:row r="2240" ht="23" customHeight="1">
      <x:c r="A2240" s="2" t="str">
        <x:v>Q8K4F6</x:v>
      </x:c>
      <x:c r="B2240" s="2" t="str">
        <x:v>UN</x:v>
      </x:c>
      <x:c r="C2240" s="2" t="n">
        <x:v>1</x:v>
      </x:c>
      <x:c r="D2240" s="2" t="n">
        <x:v>1</x:v>
      </x:c>
      <x:c r="E2240" s="10" t="n">
        <x:v>87.05253763440861</x:v>
      </x:c>
      <x:c r="F2240" s="11" t="n">
        <x:v>465</x:v>
      </x:c>
      <x:c r="G2240" s="11" t="n">
        <x:v>0</x:v>
      </x:c>
      <x:c r="H2240" s="11" t="n">
        <x:v>0</x:v>
      </x:c>
      <x:c r="I2240" s="11" t="n">
        <x:v>0</x:v>
      </x:c>
      <x:c r="J2240" s="11" t="n">
        <x:v>0</x:v>
      </x:c>
      <x:c r="K2240" s="11" t="n">
        <x:v>1</x:v>
      </x:c>
      <x:c r="L2240" s="11" t="n">
        <x:f>IF(B2240="NED",1,IF(OR(B2240="ED",B2240="UN"),0,""))</x:f>
        <x:v>0</x:v>
      </x:c>
      <x:c r="M2240" s="11" t="n">
        <x:f>IF(AND(K2240=1,OR(B2240="ED",B2240="NED")),1,0)</x:f>
        <x:v>0</x:v>
      </x:c>
      <x:c r="N2240" s="11" t="n">
        <x:f>IF(K2240=1,1,0)</x:f>
        <x:v>1</x:v>
      </x:c>
      <x:c r="O2240" s="12"/>
      <x:c r="P2240" s="11" t="n">
        <x:v>0</x:v>
      </x:c>
      <x:c r="Q2240" s="12" t="str">
        <x:v>AF-Q8K4F6-F1-model_v6</x:v>
      </x:c>
      <x:c r="R2240" s="12" t="str">
        <x:v>ok</x:v>
      </x:c>
      <x:c r="S2240" s="11" t="n">
        <x:v>1746</x:v>
      </x:c>
      <x:c r="T2240" s="11" t="n">
        <x:v>465</x:v>
      </x:c>
    </x:row>
    <x:row r="2241" ht="23" customHeight="1">
      <x:c r="A2241" s="2" t="str">
        <x:v>Q8K4L0</x:v>
      </x:c>
      <x:c r="B2241" s="2" t="str">
        <x:v>ED</x:v>
      </x:c>
      <x:c r="C2241" s="2" t="n">
        <x:v>1</x:v>
      </x:c>
      <x:c r="D2241" s="2" t="n">
        <x:v>1</x:v>
      </x:c>
      <x:c r="E2241" s="10" t="n">
        <x:v>70.74411899313502</x:v>
      </x:c>
      <x:c r="F2241" s="11" t="n">
        <x:v>874</x:v>
      </x:c>
      <x:c r="G2241" s="11" t="n">
        <x:v>0</x:v>
      </x:c>
      <x:c r="H2241" s="11" t="n">
        <x:v>0</x:v>
      </x:c>
      <x:c r="I2241" s="11" t="n">
        <x:v>0</x:v>
      </x:c>
      <x:c r="J2241" s="11" t="n">
        <x:v>0</x:v>
      </x:c>
      <x:c r="K2241" s="11" t="n">
        <x:v>1</x:v>
      </x:c>
      <x:c r="L2241" s="11" t="n">
        <x:f>IF(B2241="NED",1,IF(OR(B2241="ED",B2241="UN"),0,""))</x:f>
        <x:v>0</x:v>
      </x:c>
      <x:c r="M2241" s="11" t="n">
        <x:f>IF(AND(K2241=1,OR(B2241="ED",B2241="NED")),1,0)</x:f>
        <x:v>1</x:v>
      </x:c>
      <x:c r="N2241" s="11" t="n">
        <x:f>IF(K2241=1,1,0)</x:f>
        <x:v>1</x:v>
      </x:c>
      <x:c r="O2241" s="12"/>
      <x:c r="P2241" s="11" t="n">
        <x:v>0</x:v>
      </x:c>
      <x:c r="Q2241" s="12" t="str">
        <x:v>AF-Q8K4L0-F1-model_v6</x:v>
      </x:c>
      <x:c r="R2241" s="12" t="str">
        <x:v>ok</x:v>
      </x:c>
      <x:c r="S2241" s="11" t="n">
        <x:v>1747</x:v>
      </x:c>
      <x:c r="T2241" s="11" t="n">
        <x:v>874</x:v>
      </x:c>
    </x:row>
    <x:row r="2242" ht="23" customHeight="1">
      <x:c r="A2242" s="2" t="str">
        <x:v>Q8K4Q0</x:v>
      </x:c>
      <x:c r="B2242" s="2" t="str">
        <x:v>UN</x:v>
      </x:c>
      <x:c r="C2242" s="2" t="n">
        <x:v>1</x:v>
      </x:c>
      <x:c r="D2242" s="2" t="n">
        <x:v>1</x:v>
      </x:c>
      <x:c r="E2242" s="10" t="n">
        <x:v>82.07352059925093</x:v>
      </x:c>
      <x:c r="F2242" s="11" t="n">
        <x:v>1335</x:v>
      </x:c>
      <x:c r="G2242" s="11" t="n">
        <x:v>0</x:v>
      </x:c>
      <x:c r="H2242" s="11" t="n">
        <x:v>0</x:v>
      </x:c>
      <x:c r="I2242" s="11" t="n">
        <x:v>0</x:v>
      </x:c>
      <x:c r="J2242" s="11" t="n">
        <x:v>0</x:v>
      </x:c>
      <x:c r="K2242" s="11" t="n">
        <x:v>1</x:v>
      </x:c>
      <x:c r="L2242" s="11" t="n">
        <x:f>IF(B2242="NED",1,IF(OR(B2242="ED",B2242="UN"),0,""))</x:f>
        <x:v>0</x:v>
      </x:c>
      <x:c r="M2242" s="11" t="n">
        <x:f>IF(AND(K2242=1,OR(B2242="ED",B2242="NED")),1,0)</x:f>
        <x:v>0</x:v>
      </x:c>
      <x:c r="N2242" s="11" t="n">
        <x:f>IF(K2242=1,1,0)</x:f>
        <x:v>1</x:v>
      </x:c>
      <x:c r="O2242" s="12"/>
      <x:c r="P2242" s="11" t="n">
        <x:v>0</x:v>
      </x:c>
      <x:c r="Q2242" s="12" t="str">
        <x:v>AF-Q8K4Q0-F1-model_v6</x:v>
      </x:c>
      <x:c r="R2242" s="12" t="str">
        <x:v>ok</x:v>
      </x:c>
      <x:c r="S2242" s="11" t="n">
        <x:v>1748</x:v>
      </x:c>
      <x:c r="T2242" s="11" t="n">
        <x:v>1335</x:v>
      </x:c>
    </x:row>
    <x:row r="2243" ht="23" customHeight="1">
      <x:c r="A2243" s="2" t="str">
        <x:v>Q8K4R9</x:v>
      </x:c>
      <x:c r="B2243" s="2" t="str">
        <x:v>ED</x:v>
      </x:c>
      <x:c r="C2243" s="2" t="n">
        <x:v>1</x:v>
      </x:c>
      <x:c r="D2243" s="2"/>
      <x:c r="E2243" s="10" t="n">
        <x:v>57.02257425742574</x:v>
      </x:c>
      <x:c r="F2243" s="11" t="n">
        <x:v>808</x:v>
      </x:c>
      <x:c r="G2243" s="11" t="n">
        <x:v>0</x:v>
      </x:c>
      <x:c r="H2243" s="11" t="n">
        <x:v>0</x:v>
      </x:c>
      <x:c r="I2243" s="11" t="n">
        <x:v>0</x:v>
      </x:c>
      <x:c r="J2243" s="11" t="n">
        <x:v>0</x:v>
      </x:c>
      <x:c r="K2243" s="11" t="n">
        <x:v>0</x:v>
      </x:c>
      <x:c r="L2243" s="11" t="n">
        <x:f>IF(B2243="NED",1,IF(OR(B2243="ED",B2243="UN"),0,""))</x:f>
        <x:v>0</x:v>
      </x:c>
      <x:c r="M2243" s="11" t="n">
        <x:f>IF(AND(K2243=1,OR(B2243="ED",B2243="NED")),1,0)</x:f>
        <x:v>0</x:v>
      </x:c>
      <x:c r="N2243" s="11" t="n">
        <x:f>IF(K2243=1,1,0)</x:f>
        <x:v>0</x:v>
      </x:c>
      <x:c r="O2243" s="12" t="str">
        <x:v>Retain protein mean pLDDT &gt;=70</x:v>
      </x:c>
      <x:c r="P2243" s="11" t="n">
        <x:v>0</x:v>
      </x:c>
      <x:c r="Q2243" s="12" t="str">
        <x:v>AF-Q8K4R9-F1-model_v6</x:v>
      </x:c>
      <x:c r="R2243" s="12" t="str">
        <x:v>ok</x:v>
      </x:c>
      <x:c r="S2243" s="11" t="n">
        <x:v>1749</x:v>
      </x:c>
      <x:c r="T2243" s="11" t="n">
        <x:v>808</x:v>
      </x:c>
    </x:row>
    <x:row r="2244" ht="23" customHeight="1">
      <x:c r="A2244" s="2" t="str">
        <x:v>Q8K4Z3</x:v>
      </x:c>
      <x:c r="B2244" s="2" t="str">
        <x:v>ED</x:v>
      </x:c>
      <x:c r="C2244" s="2" t="n">
        <x:v>1</x:v>
      </x:c>
      <x:c r="D2244" s="2" t="n">
        <x:v>1</x:v>
      </x:c>
      <x:c r="E2244" s="10"/>
      <x:c r="F2244" s="11" t="n">
        <x:v>282</x:v>
      </x:c>
      <x:c r="G2244" s="11" t="n">
        <x:v>0</x:v>
      </x:c>
      <x:c r="H2244" s="11" t="n">
        <x:v>0</x:v>
      </x:c>
      <x:c r="I2244" s="11" t="n">
        <x:v>0</x:v>
      </x:c>
      <x:c r="J2244" s="11" t="n">
        <x:v>1</x:v>
      </x:c>
      <x:c r="K2244" s="11" t="n">
        <x:v>0</x:v>
      </x:c>
      <x:c r="L2244" s="11" t="n">
        <x:f>IF(B2244="NED",1,IF(OR(B2244="ED",B2244="UN"),0,""))</x:f>
        <x:v>0</x:v>
      </x:c>
      <x:c r="M2244" s="11" t="n">
        <x:f>IF(AND(K2244=1,OR(B2244="ED",B2244="NED")),1,0)</x:f>
        <x:v>0</x:v>
      </x:c>
      <x:c r="N2244" s="11" t="n">
        <x:f>IF(K2244=1,1,0)</x:f>
        <x:v>0</x:v>
      </x:c>
      <x:c r="O2244" s="12" t="str">
        <x:v>Exclude UniProt Secreted keyword</x:v>
      </x:c>
      <x:c r="P2244" s="11" t="n">
        <x:v>0</x:v>
      </x:c>
      <x:c r="Q2244" s="12" t="str">
        <x:v>AF-Q8K4Z3-F1-model_v6</x:v>
      </x:c>
      <x:c r="R2244" s="12" t="str">
        <x:v>ok</x:v>
      </x:c>
      <x:c r="S2244" s="11" t="n">
        <x:v>1750</x:v>
      </x:c>
      <x:c r="T2244" s="11" t="n">
        <x:v>282</x:v>
      </x:c>
    </x:row>
    <x:row r="2245" ht="23" customHeight="1">
      <x:c r="A2245" s="2" t="str">
        <x:v>Q8K4Z5</x:v>
      </x:c>
      <x:c r="B2245" s="2" t="str">
        <x:v>UN</x:v>
      </x:c>
      <x:c r="C2245" s="2" t="n">
        <x:v>1</x:v>
      </x:c>
      <x:c r="D2245" s="2" t="n">
        <x:v>1</x:v>
      </x:c>
      <x:c r="E2245" s="10" t="n">
        <x:v>67.18300884955752</x:v>
      </x:c>
      <x:c r="F2245" s="11" t="n">
        <x:v>791</x:v>
      </x:c>
      <x:c r="G2245" s="11" t="n">
        <x:v>0</x:v>
      </x:c>
      <x:c r="H2245" s="11" t="n">
        <x:v>0</x:v>
      </x:c>
      <x:c r="I2245" s="11" t="n">
        <x:v>0</x:v>
      </x:c>
      <x:c r="J2245" s="11" t="n">
        <x:v>0</x:v>
      </x:c>
      <x:c r="K2245" s="11" t="n">
        <x:v>0</x:v>
      </x:c>
      <x:c r="L2245" s="11" t="n">
        <x:f>IF(B2245="NED",1,IF(OR(B2245="ED",B2245="UN"),0,""))</x:f>
        <x:v>0</x:v>
      </x:c>
      <x:c r="M2245" s="11" t="n">
        <x:f>IF(AND(K2245=1,OR(B2245="ED",B2245="NED")),1,0)</x:f>
        <x:v>0</x:v>
      </x:c>
      <x:c r="N2245" s="11" t="n">
        <x:f>IF(K2245=1,1,0)</x:f>
        <x:v>0</x:v>
      </x:c>
      <x:c r="O2245" s="12" t="str">
        <x:v>Retain protein mean pLDDT &gt;=70</x:v>
      </x:c>
      <x:c r="P2245" s="11" t="n">
        <x:v>0</x:v>
      </x:c>
      <x:c r="Q2245" s="12" t="str">
        <x:v>AF-Q8K4Z5-F1-model_v6</x:v>
      </x:c>
      <x:c r="R2245" s="12" t="str">
        <x:v>ok</x:v>
      </x:c>
      <x:c r="S2245" s="11" t="n">
        <x:v>1751</x:v>
      </x:c>
      <x:c r="T2245" s="11" t="n">
        <x:v>791</x:v>
      </x:c>
    </x:row>
    <x:row r="2246" ht="23" customHeight="1">
      <x:c r="A2246" s="2" t="str">
        <x:v>Q8N7N5</x:v>
      </x:c>
      <x:c r="B2246" s="2" t="str">
        <x:v>UN</x:v>
      </x:c>
      <x:c r="C2246" s="2" t="n">
        <x:v>1</x:v>
      </x:c>
      <x:c r="D2246" s="2" t="n">
        <x:v>1</x:v>
      </x:c>
      <x:c r="E2246" s="10" t="n">
        <x:v>74.93768189509306</x:v>
      </x:c>
      <x:c r="F2246" s="11" t="n">
        <x:v>591</x:v>
      </x:c>
      <x:c r="G2246" s="11" t="n">
        <x:v>0</x:v>
      </x:c>
      <x:c r="H2246" s="11" t="n">
        <x:v>0</x:v>
      </x:c>
      <x:c r="I2246" s="11" t="n">
        <x:v>0</x:v>
      </x:c>
      <x:c r="J2246" s="11" t="n">
        <x:v>0</x:v>
      </x:c>
      <x:c r="K2246" s="11" t="n">
        <x:v>1</x:v>
      </x:c>
      <x:c r="L2246" s="11" t="n">
        <x:f>IF(B2246="NED",1,IF(OR(B2246="ED",B2246="UN"),0,""))</x:f>
        <x:v>0</x:v>
      </x:c>
      <x:c r="M2246" s="11" t="n">
        <x:f>IF(AND(K2246=1,OR(B2246="ED",B2246="NED")),1,0)</x:f>
        <x:v>0</x:v>
      </x:c>
      <x:c r="N2246" s="11" t="n">
        <x:f>IF(K2246=1,1,0)</x:f>
        <x:v>1</x:v>
      </x:c>
      <x:c r="O2246" s="12"/>
      <x:c r="P2246" s="11" t="n">
        <x:v>0</x:v>
      </x:c>
      <x:c r="Q2246" s="12" t="str">
        <x:v>AF-Q8N7N5-F1-model_v6</x:v>
      </x:c>
      <x:c r="R2246" s="12" t="str">
        <x:v>ok</x:v>
      </x:c>
      <x:c r="S2246" s="11" t="n">
        <x:v>1752</x:v>
      </x:c>
      <x:c r="T2246" s="11" t="n">
        <x:v>591</x:v>
      </x:c>
    </x:row>
    <x:row r="2247" ht="23" customHeight="1">
      <x:c r="A2247" s="2" t="str">
        <x:v>Q8QZS1</x:v>
      </x:c>
      <x:c r="B2247" s="2" t="str">
        <x:v>ED</x:v>
      </x:c>
      <x:c r="C2247" s="2" t="n">
        <x:v>0</x:v>
      </x:c>
      <x:c r="D2247" s="2" t="n">
        <x:v>0</x:v>
      </x:c>
      <x:c r="E2247" s="10" t="n">
        <x:v>92.262</x:v>
      </x:c>
      <x:c r="F2247" s="11" t="n">
        <x:v>385</x:v>
      </x:c>
      <x:c r="G2247" s="11" t="n">
        <x:v>0</x:v>
      </x:c>
      <x:c r="H2247" s="11" t="n">
        <x:v>0</x:v>
      </x:c>
      <x:c r="I2247" s="11" t="n">
        <x:v>0</x:v>
      </x:c>
      <x:c r="J2247" s="11" t="n">
        <x:v>0</x:v>
      </x:c>
      <x:c r="K2247" s="11" t="n">
        <x:v>1</x:v>
      </x:c>
      <x:c r="L2247" s="11" t="n">
        <x:f>IF(B2247="NED",1,IF(OR(B2247="ED",B2247="UN"),0,""))</x:f>
        <x:v>0</x:v>
      </x:c>
      <x:c r="M2247" s="11" t="n">
        <x:f>IF(AND(K2247=1,OR(B2247="ED",B2247="NED")),1,0)</x:f>
        <x:v>1</x:v>
      </x:c>
      <x:c r="N2247" s="11" t="n">
        <x:f>IF(K2247=1,1,0)</x:f>
        <x:v>1</x:v>
      </x:c>
      <x:c r="O2247" s="12"/>
      <x:c r="P2247" s="11" t="n">
        <x:v>0</x:v>
      </x:c>
      <x:c r="Q2247" s="12" t="str">
        <x:v>AF-Q8QZS1-F1-model_v6</x:v>
      </x:c>
      <x:c r="R2247" s="12" t="str">
        <x:v>ok</x:v>
      </x:c>
      <x:c r="S2247" s="11" t="n">
        <x:v>1753</x:v>
      </x:c>
      <x:c r="T2247" s="11" t="n">
        <x:v>385</x:v>
      </x:c>
    </x:row>
    <x:row r="2248" ht="23" customHeight="1">
      <x:c r="A2248" s="2" t="str">
        <x:v>Q8QZS3</x:v>
      </x:c>
      <x:c r="B2248" s="2" t="str">
        <x:v>ED</x:v>
      </x:c>
      <x:c r="C2248" s="2" t="n">
        <x:v>1</x:v>
      </x:c>
      <x:c r="D2248" s="2" t="n">
        <x:v>1</x:v>
      </x:c>
      <x:c r="E2248" s="10"/>
      <x:c r="F2248" s="11" t="n">
        <x:v>579</x:v>
      </x:c>
      <x:c r="G2248" s="11" t="n">
        <x:v>0</x:v>
      </x:c>
      <x:c r="H2248" s="11" t="n">
        <x:v>0</x:v>
      </x:c>
      <x:c r="I2248" s="11" t="n">
        <x:v>1</x:v>
      </x:c>
      <x:c r="J2248" s="11" t="n">
        <x:v>0</x:v>
      </x:c>
      <x:c r="K2248" s="11" t="n">
        <x:v>0</x:v>
      </x:c>
      <x:c r="L2248" s="11" t="n">
        <x:f>IF(B2248="NED",1,IF(OR(B2248="ED",B2248="UN"),0,""))</x:f>
        <x:v>0</x:v>
      </x:c>
      <x:c r="M2248" s="11" t="n">
        <x:f>IF(AND(K2248=1,OR(B2248="ED",B2248="NED")),1,0)</x:f>
        <x:v>0</x:v>
      </x:c>
      <x:c r="N2248" s="11" t="n">
        <x:f>IF(K2248=1,1,0)</x:f>
        <x:v>0</x:v>
      </x:c>
      <x:c r="O2248" s="12" t="str">
        <x:v>Exclude UniProt Membrane keyword</x:v>
      </x:c>
      <x:c r="P2248" s="11" t="n">
        <x:v>0</x:v>
      </x:c>
      <x:c r="Q2248" s="12" t="str">
        <x:v>AF-Q8QZS3-F1-model_v6</x:v>
      </x:c>
      <x:c r="R2248" s="12" t="str">
        <x:v>ok</x:v>
      </x:c>
      <x:c r="S2248" s="11" t="n">
        <x:v>1754</x:v>
      </x:c>
      <x:c r="T2248" s="11" t="n">
        <x:v>579</x:v>
      </x:c>
    </x:row>
    <x:row r="2249" ht="23" customHeight="1">
      <x:c r="A2249" s="2" t="str">
        <x:v>Q8QZV7</x:v>
      </x:c>
      <x:c r="B2249" s="2" t="str">
        <x:v>UN</x:v>
      </x:c>
      <x:c r="C2249" s="2" t="n">
        <x:v>1</x:v>
      </x:c>
      <x:c r="D2249" s="2" t="n">
        <x:v>1</x:v>
      </x:c>
      <x:c r="E2249" s="10" t="n">
        <x:v>79.43842896174863</x:v>
      </x:c>
      <x:c r="F2249" s="11" t="n">
        <x:v>732</x:v>
      </x:c>
      <x:c r="G2249" s="11" t="n">
        <x:v>0</x:v>
      </x:c>
      <x:c r="H2249" s="11" t="n">
        <x:v>0</x:v>
      </x:c>
      <x:c r="I2249" s="11" t="n">
        <x:v>0</x:v>
      </x:c>
      <x:c r="J2249" s="11" t="n">
        <x:v>0</x:v>
      </x:c>
      <x:c r="K2249" s="11" t="n">
        <x:v>1</x:v>
      </x:c>
      <x:c r="L2249" s="11" t="n">
        <x:f>IF(B2249="NED",1,IF(OR(B2249="ED",B2249="UN"),0,""))</x:f>
        <x:v>0</x:v>
      </x:c>
      <x:c r="M2249" s="11" t="n">
        <x:f>IF(AND(K2249=1,OR(B2249="ED",B2249="NED")),1,0)</x:f>
        <x:v>0</x:v>
      </x:c>
      <x:c r="N2249" s="11" t="n">
        <x:f>IF(K2249=1,1,0)</x:f>
        <x:v>1</x:v>
      </x:c>
      <x:c r="O2249" s="12"/>
      <x:c r="P2249" s="11" t="n">
        <x:v>0</x:v>
      </x:c>
      <x:c r="Q2249" s="12" t="str">
        <x:v>AF-Q8QZV7-F1-model_v6</x:v>
      </x:c>
      <x:c r="R2249" s="12" t="str">
        <x:v>ok</x:v>
      </x:c>
      <x:c r="S2249" s="11" t="n">
        <x:v>1755</x:v>
      </x:c>
      <x:c r="T2249" s="11" t="n">
        <x:v>732</x:v>
      </x:c>
    </x:row>
    <x:row r="2250" ht="23" customHeight="1">
      <x:c r="A2250" s="2" t="str">
        <x:v>Q8QZY1</x:v>
      </x:c>
      <x:c r="B2250" s="2" t="str">
        <x:v>NED</x:v>
      </x:c>
      <x:c r="C2250" s="2" t="n">
        <x:v>0</x:v>
      </x:c>
      <x:c r="D2250" s="2" t="n">
        <x:v>0</x:v>
      </x:c>
      <x:c r="E2250" s="10" t="n">
        <x:v>68.56554964539008</x:v>
      </x:c>
      <x:c r="F2250" s="11" t="n">
        <x:v>564</x:v>
      </x:c>
      <x:c r="G2250" s="11" t="n">
        <x:v>0</x:v>
      </x:c>
      <x:c r="H2250" s="11" t="n">
        <x:v>0</x:v>
      </x:c>
      <x:c r="I2250" s="11" t="n">
        <x:v>0</x:v>
      </x:c>
      <x:c r="J2250" s="11" t="n">
        <x:v>0</x:v>
      </x:c>
      <x:c r="K2250" s="11" t="n">
        <x:v>0</x:v>
      </x:c>
      <x:c r="L2250" s="11" t="n">
        <x:f>IF(B2250="NED",1,IF(OR(B2250="ED",B2250="UN"),0,""))</x:f>
        <x:v>1</x:v>
      </x:c>
      <x:c r="M2250" s="11" t="n">
        <x:f>IF(AND(K2250=1,OR(B2250="ED",B2250="NED")),1,0)</x:f>
        <x:v>0</x:v>
      </x:c>
      <x:c r="N2250" s="11" t="n">
        <x:f>IF(K2250=1,1,0)</x:f>
        <x:v>0</x:v>
      </x:c>
      <x:c r="O2250" s="12" t="str">
        <x:v>Retain protein mean pLDDT &gt;=70</x:v>
      </x:c>
      <x:c r="P2250" s="11" t="n">
        <x:v>0</x:v>
      </x:c>
      <x:c r="Q2250" s="12" t="str">
        <x:v>AF-Q8QZY1-F1-model_v6</x:v>
      </x:c>
      <x:c r="R2250" s="12" t="str">
        <x:v>ok</x:v>
      </x:c>
      <x:c r="S2250" s="11" t="n">
        <x:v>1756</x:v>
      </x:c>
      <x:c r="T2250" s="11" t="n">
        <x:v>564</x:v>
      </x:c>
    </x:row>
    <x:row r="2251" ht="23" customHeight="1">
      <x:c r="A2251" s="2" t="str">
        <x:v>Q8QZY9</x:v>
      </x:c>
      <x:c r="B2251" s="2" t="str">
        <x:v>UN</x:v>
      </x:c>
      <x:c r="C2251" s="2" t="n">
        <x:v>1</x:v>
      </x:c>
      <x:c r="D2251" s="2" t="n">
        <x:v>1</x:v>
      </x:c>
      <x:c r="E2251" s="10" t="n">
        <x:v>73.46396226415095</x:v>
      </x:c>
      <x:c r="F2251" s="11" t="n">
        <x:v>424</x:v>
      </x:c>
      <x:c r="G2251" s="11" t="n">
        <x:v>0</x:v>
      </x:c>
      <x:c r="H2251" s="11" t="n">
        <x:v>0</x:v>
      </x:c>
      <x:c r="I2251" s="11" t="n">
        <x:v>0</x:v>
      </x:c>
      <x:c r="J2251" s="11" t="n">
        <x:v>0</x:v>
      </x:c>
      <x:c r="K2251" s="11" t="n">
        <x:v>1</x:v>
      </x:c>
      <x:c r="L2251" s="11" t="n">
        <x:f>IF(B2251="NED",1,IF(OR(B2251="ED",B2251="UN"),0,""))</x:f>
        <x:v>0</x:v>
      </x:c>
      <x:c r="M2251" s="11" t="n">
        <x:f>IF(AND(K2251=1,OR(B2251="ED",B2251="NED")),1,0)</x:f>
        <x:v>0</x:v>
      </x:c>
      <x:c r="N2251" s="11" t="n">
        <x:f>IF(K2251=1,1,0)</x:f>
        <x:v>1</x:v>
      </x:c>
      <x:c r="O2251" s="12"/>
      <x:c r="P2251" s="11" t="n">
        <x:v>0</x:v>
      </x:c>
      <x:c r="Q2251" s="12" t="str">
        <x:v>AF-Q8QZY9-F1-model_v6</x:v>
      </x:c>
      <x:c r="R2251" s="12" t="str">
        <x:v>ok</x:v>
      </x:c>
      <x:c r="S2251" s="11" t="n">
        <x:v>1757</x:v>
      </x:c>
      <x:c r="T2251" s="11" t="n">
        <x:v>424</x:v>
      </x:c>
    </x:row>
    <x:row r="2252" ht="23" customHeight="1">
      <x:c r="A2252" s="2" t="str">
        <x:v>Q8R010</x:v>
      </x:c>
      <x:c r="B2252" s="2" t="str">
        <x:v>UN</x:v>
      </x:c>
      <x:c r="C2252" s="2" t="n">
        <x:v>1</x:v>
      </x:c>
      <x:c r="D2252" s="2" t="n">
        <x:v>1</x:v>
      </x:c>
      <x:c r="E2252" s="10" t="n">
        <x:v>80.240625</x:v>
      </x:c>
      <x:c r="F2252" s="11" t="n">
        <x:v>320</x:v>
      </x:c>
      <x:c r="G2252" s="11" t="n">
        <x:v>0</x:v>
      </x:c>
      <x:c r="H2252" s="11" t="n">
        <x:v>0</x:v>
      </x:c>
      <x:c r="I2252" s="11" t="n">
        <x:v>0</x:v>
      </x:c>
      <x:c r="J2252" s="11" t="n">
        <x:v>0</x:v>
      </x:c>
      <x:c r="K2252" s="11" t="n">
        <x:v>1</x:v>
      </x:c>
      <x:c r="L2252" s="11" t="n">
        <x:f>IF(B2252="NED",1,IF(OR(B2252="ED",B2252="UN"),0,""))</x:f>
        <x:v>0</x:v>
      </x:c>
      <x:c r="M2252" s="11" t="n">
        <x:f>IF(AND(K2252=1,OR(B2252="ED",B2252="NED")),1,0)</x:f>
        <x:v>0</x:v>
      </x:c>
      <x:c r="N2252" s="11" t="n">
        <x:f>IF(K2252=1,1,0)</x:f>
        <x:v>1</x:v>
      </x:c>
      <x:c r="O2252" s="12"/>
      <x:c r="P2252" s="11" t="n">
        <x:v>0</x:v>
      </x:c>
      <x:c r="Q2252" s="12" t="str">
        <x:v>AF-Q8R010-F1-model_v6</x:v>
      </x:c>
      <x:c r="R2252" s="12" t="str">
        <x:v>ok</x:v>
      </x:c>
      <x:c r="S2252" s="11" t="n">
        <x:v>1758</x:v>
      </x:c>
      <x:c r="T2252" s="11" t="n">
        <x:v>320</x:v>
      </x:c>
    </x:row>
    <x:row r="2253" ht="23" customHeight="1">
      <x:c r="A2253" s="2" t="str">
        <x:v>Q8R016</x:v>
      </x:c>
      <x:c r="B2253" s="2" t="str">
        <x:v>UN</x:v>
      </x:c>
      <x:c r="C2253" s="2" t="n">
        <x:v>1</x:v>
      </x:c>
      <x:c r="D2253" s="2" t="n">
        <x:v>1</x:v>
      </x:c>
      <x:c r="E2253" s="10" t="n">
        <x:v>97.85874725274726</x:v>
      </x:c>
      <x:c r="F2253" s="11" t="n">
        <x:v>455</x:v>
      </x:c>
      <x:c r="G2253" s="11" t="n">
        <x:v>0</x:v>
      </x:c>
      <x:c r="H2253" s="11" t="n">
        <x:v>0</x:v>
      </x:c>
      <x:c r="I2253" s="11" t="n">
        <x:v>0</x:v>
      </x:c>
      <x:c r="J2253" s="11" t="n">
        <x:v>0</x:v>
      </x:c>
      <x:c r="K2253" s="11" t="n">
        <x:v>1</x:v>
      </x:c>
      <x:c r="L2253" s="11" t="n">
        <x:f>IF(B2253="NED",1,IF(OR(B2253="ED",B2253="UN"),0,""))</x:f>
        <x:v>0</x:v>
      </x:c>
      <x:c r="M2253" s="11" t="n">
        <x:f>IF(AND(K2253=1,OR(B2253="ED",B2253="NED")),1,0)</x:f>
        <x:v>0</x:v>
      </x:c>
      <x:c r="N2253" s="11" t="n">
        <x:f>IF(K2253=1,1,0)</x:f>
        <x:v>1</x:v>
      </x:c>
      <x:c r="O2253" s="12"/>
      <x:c r="P2253" s="11" t="n">
        <x:v>0</x:v>
      </x:c>
      <x:c r="Q2253" s="12" t="str">
        <x:v>AF-Q8R016-F1-model_v6</x:v>
      </x:c>
      <x:c r="R2253" s="12" t="str">
        <x:v>ok</x:v>
      </x:c>
      <x:c r="S2253" s="11" t="n">
        <x:v>1759</x:v>
      </x:c>
      <x:c r="T2253" s="11" t="n">
        <x:v>455</x:v>
      </x:c>
    </x:row>
    <x:row r="2254" ht="23" customHeight="1">
      <x:c r="A2254" s="2" t="str">
        <x:v>Q8R050-2</x:v>
      </x:c>
      <x:c r="B2254" s="2" t="str">
        <x:v>ED</x:v>
      </x:c>
      <x:c r="C2254" s="2"/>
      <x:c r="D2254" s="2"/>
      <x:c r="E2254" s="10"/>
      <x:c r="F2254" s="11"/>
      <x:c r="G2254" s="11" t="n">
        <x:v>0</x:v>
      </x:c>
      <x:c r="H2254" s="11" t="n">
        <x:v>0</x:v>
      </x:c>
      <x:c r="I2254" s="11"/>
      <x:c r="J2254" s="11"/>
      <x:c r="K2254" s="11" t="n">
        <x:v>0</x:v>
      </x:c>
      <x:c r="L2254" s="11" t="n">
        <x:f>IF(B2254="NED",1,IF(OR(B2254="ED",B2254="UN"),0,""))</x:f>
        <x:v>0</x:v>
      </x:c>
      <x:c r="M2254" s="11" t="n">
        <x:f>IF(AND(K2254=1,OR(B2254="ED",B2254="NED")),1,0)</x:f>
        <x:v>0</x:v>
      </x:c>
      <x:c r="N2254" s="11" t="n">
        <x:f>IF(K2254=1,1,0)</x:f>
        <x:v>0</x:v>
      </x:c>
      <x:c r="O2254" s="12" t="str">
        <x:v>Require exact native accession match</x:v>
      </x:c>
      <x:c r="P2254" s="11" t="n">
        <x:v>0</x:v>
      </x:c>
      <x:c r="Q2254" s="12"/>
      <x:c r="R2254" s="12"/>
      <x:c r="S2254" s="11" t="n">
        <x:v>1760</x:v>
      </x:c>
      <x:c r="T2254" s="11"/>
    </x:row>
    <x:row r="2255" ht="23" customHeight="1">
      <x:c r="A2255" s="2" t="str">
        <x:v>Q8R060</x:v>
      </x:c>
      <x:c r="B2255" s="2" t="str">
        <x:v>ED</x:v>
      </x:c>
      <x:c r="C2255" s="2" t="n">
        <x:v>1</x:v>
      </x:c>
      <x:c r="D2255" s="2" t="n">
        <x:v>1</x:v>
      </x:c>
      <x:c r="E2255" s="10" t="n">
        <x:v>79.90460101867572</x:v>
      </x:c>
      <x:c r="F2255" s="11" t="n">
        <x:v>589</x:v>
      </x:c>
      <x:c r="G2255" s="11" t="n">
        <x:v>0</x:v>
      </x:c>
      <x:c r="H2255" s="11" t="n">
        <x:v>0</x:v>
      </x:c>
      <x:c r="I2255" s="11" t="n">
        <x:v>0</x:v>
      </x:c>
      <x:c r="J2255" s="11" t="n">
        <x:v>0</x:v>
      </x:c>
      <x:c r="K2255" s="11" t="n">
        <x:v>1</x:v>
      </x:c>
      <x:c r="L2255" s="11" t="n">
        <x:f>IF(B2255="NED",1,IF(OR(B2255="ED",B2255="UN"),0,""))</x:f>
        <x:v>0</x:v>
      </x:c>
      <x:c r="M2255" s="11" t="n">
        <x:f>IF(AND(K2255=1,OR(B2255="ED",B2255="NED")),1,0)</x:f>
        <x:v>1</x:v>
      </x:c>
      <x:c r="N2255" s="11" t="n">
        <x:f>IF(K2255=1,1,0)</x:f>
        <x:v>1</x:v>
      </x:c>
      <x:c r="O2255" s="12"/>
      <x:c r="P2255" s="11" t="n">
        <x:v>0</x:v>
      </x:c>
      <x:c r="Q2255" s="12" t="str">
        <x:v>AF-Q8R060-F1-model_v6</x:v>
      </x:c>
      <x:c r="R2255" s="12" t="str">
        <x:v>ok</x:v>
      </x:c>
      <x:c r="S2255" s="11" t="n">
        <x:v>1761</x:v>
      </x:c>
      <x:c r="T2255" s="11" t="n">
        <x:v>589</x:v>
      </x:c>
    </x:row>
    <x:row r="2256" ht="23" customHeight="1">
      <x:c r="A2256" s="2" t="str">
        <x:v>Q8R080</x:v>
      </x:c>
      <x:c r="B2256" s="2" t="str">
        <x:v>ED</x:v>
      </x:c>
      <x:c r="C2256" s="2" t="n">
        <x:v>1</x:v>
      </x:c>
      <x:c r="D2256" s="2"/>
      <x:c r="E2256" s="10" t="n">
        <x:v>51.43785425101214</x:v>
      </x:c>
      <x:c r="F2256" s="11" t="n">
        <x:v>741</x:v>
      </x:c>
      <x:c r="G2256" s="11" t="n">
        <x:v>0</x:v>
      </x:c>
      <x:c r="H2256" s="11" t="n">
        <x:v>0</x:v>
      </x:c>
      <x:c r="I2256" s="11" t="n">
        <x:v>0</x:v>
      </x:c>
      <x:c r="J2256" s="11" t="n">
        <x:v>0</x:v>
      </x:c>
      <x:c r="K2256" s="11" t="n">
        <x:v>0</x:v>
      </x:c>
      <x:c r="L2256" s="11" t="n">
        <x:f>IF(B2256="NED",1,IF(OR(B2256="ED",B2256="UN"),0,""))</x:f>
        <x:v>0</x:v>
      </x:c>
      <x:c r="M2256" s="11" t="n">
        <x:f>IF(AND(K2256=1,OR(B2256="ED",B2256="NED")),1,0)</x:f>
        <x:v>0</x:v>
      </x:c>
      <x:c r="N2256" s="11" t="n">
        <x:f>IF(K2256=1,1,0)</x:f>
        <x:v>0</x:v>
      </x:c>
      <x:c r="O2256" s="12" t="str">
        <x:v>Retain protein mean pLDDT &gt;=70</x:v>
      </x:c>
      <x:c r="P2256" s="11" t="n">
        <x:v>0</x:v>
      </x:c>
      <x:c r="Q2256" s="12" t="str">
        <x:v>AF-Q8R080-F1-model_v6</x:v>
      </x:c>
      <x:c r="R2256" s="12" t="str">
        <x:v>ok</x:v>
      </x:c>
      <x:c r="S2256" s="11" t="n">
        <x:v>1762</x:v>
      </x:c>
      <x:c r="T2256" s="11" t="n">
        <x:v>741</x:v>
      </x:c>
    </x:row>
    <x:row r="2257" ht="23" customHeight="1">
      <x:c r="A2257" s="2" t="str">
        <x:v>Q8R089</x:v>
      </x:c>
      <x:c r="B2257" s="2" t="str">
        <x:v>UN</x:v>
      </x:c>
      <x:c r="C2257" s="2" t="n">
        <x:v>0</x:v>
      </x:c>
      <x:c r="D2257" s="2" t="n">
        <x:v>0</x:v>
      </x:c>
      <x:c r="E2257" s="10" t="n">
        <x:v>51.64409871244636</x:v>
      </x:c>
      <x:c r="F2257" s="11" t="n">
        <x:v>466</x:v>
      </x:c>
      <x:c r="G2257" s="11" t="n">
        <x:v>0</x:v>
      </x:c>
      <x:c r="H2257" s="11" t="n">
        <x:v>0</x:v>
      </x:c>
      <x:c r="I2257" s="11" t="n">
        <x:v>0</x:v>
      </x:c>
      <x:c r="J2257" s="11" t="n">
        <x:v>0</x:v>
      </x:c>
      <x:c r="K2257" s="11" t="n">
        <x:v>0</x:v>
      </x:c>
      <x:c r="L2257" s="11" t="n">
        <x:f>IF(B2257="NED",1,IF(OR(B2257="ED",B2257="UN"),0,""))</x:f>
        <x:v>0</x:v>
      </x:c>
      <x:c r="M2257" s="11" t="n">
        <x:f>IF(AND(K2257=1,OR(B2257="ED",B2257="NED")),1,0)</x:f>
        <x:v>0</x:v>
      </x:c>
      <x:c r="N2257" s="11" t="n">
        <x:f>IF(K2257=1,1,0)</x:f>
        <x:v>0</x:v>
      </x:c>
      <x:c r="O2257" s="12" t="str">
        <x:v>Retain protein mean pLDDT &gt;=70</x:v>
      </x:c>
      <x:c r="P2257" s="11" t="n">
        <x:v>0</x:v>
      </x:c>
      <x:c r="Q2257" s="12" t="str">
        <x:v>AF-Q8R089-F1-model_v6</x:v>
      </x:c>
      <x:c r="R2257" s="12" t="str">
        <x:v>ok</x:v>
      </x:c>
      <x:c r="S2257" s="11" t="n">
        <x:v>1763</x:v>
      </x:c>
      <x:c r="T2257" s="11" t="n">
        <x:v>466</x:v>
      </x:c>
    </x:row>
    <x:row r="2258" ht="23" customHeight="1">
      <x:c r="A2258" s="2" t="str">
        <x:v>Q8R0A0</x:v>
      </x:c>
      <x:c r="B2258" s="2" t="str">
        <x:v>UN</x:v>
      </x:c>
      <x:c r="C2258" s="2" t="n">
        <x:v>1</x:v>
      </x:c>
      <x:c r="D2258" s="2" t="n">
        <x:v>1</x:v>
      </x:c>
      <x:c r="E2258" s="10" t="n">
        <x:v>84.30787148594378</x:v>
      </x:c>
      <x:c r="F2258" s="11" t="n">
        <x:v>249</x:v>
      </x:c>
      <x:c r="G2258" s="11" t="n">
        <x:v>0</x:v>
      </x:c>
      <x:c r="H2258" s="11" t="n">
        <x:v>0</x:v>
      </x:c>
      <x:c r="I2258" s="11" t="n">
        <x:v>0</x:v>
      </x:c>
      <x:c r="J2258" s="11" t="n">
        <x:v>0</x:v>
      </x:c>
      <x:c r="K2258" s="11" t="n">
        <x:v>1</x:v>
      </x:c>
      <x:c r="L2258" s="11" t="n">
        <x:f>IF(B2258="NED",1,IF(OR(B2258="ED",B2258="UN"),0,""))</x:f>
        <x:v>0</x:v>
      </x:c>
      <x:c r="M2258" s="11" t="n">
        <x:f>IF(AND(K2258=1,OR(B2258="ED",B2258="NED")),1,0)</x:f>
        <x:v>0</x:v>
      </x:c>
      <x:c r="N2258" s="11" t="n">
        <x:f>IF(K2258=1,1,0)</x:f>
        <x:v>1</x:v>
      </x:c>
      <x:c r="O2258" s="12"/>
      <x:c r="P2258" s="11" t="n">
        <x:v>0</x:v>
      </x:c>
      <x:c r="Q2258" s="12" t="str">
        <x:v>AF-Q8R0A0-F1-model_v6</x:v>
      </x:c>
      <x:c r="R2258" s="12" t="str">
        <x:v>ok</x:v>
      </x:c>
      <x:c r="S2258" s="11" t="n">
        <x:v>1764</x:v>
      </x:c>
      <x:c r="T2258" s="11" t="n">
        <x:v>249</x:v>
      </x:c>
    </x:row>
    <x:row r="2259" ht="23" customHeight="1">
      <x:c r="A2259" s="2" t="str">
        <x:v>Q8R0G9</x:v>
      </x:c>
      <x:c r="B2259" s="2" t="str">
        <x:v>ED</x:v>
      </x:c>
      <x:c r="C2259" s="2" t="n">
        <x:v>1</x:v>
      </x:c>
      <x:c r="D2259" s="2" t="n">
        <x:v>1</x:v>
      </x:c>
      <x:c r="E2259" s="10" t="n">
        <x:v>79.23088311688312</x:v>
      </x:c>
      <x:c r="F2259" s="11" t="n">
        <x:v>1155</x:v>
      </x:c>
      <x:c r="G2259" s="11" t="n">
        <x:v>0</x:v>
      </x:c>
      <x:c r="H2259" s="11" t="n">
        <x:v>0</x:v>
      </x:c>
      <x:c r="I2259" s="11" t="n">
        <x:v>0</x:v>
      </x:c>
      <x:c r="J2259" s="11" t="n">
        <x:v>0</x:v>
      </x:c>
      <x:c r="K2259" s="11" t="n">
        <x:v>1</x:v>
      </x:c>
      <x:c r="L2259" s="11" t="n">
        <x:f>IF(B2259="NED",1,IF(OR(B2259="ED",B2259="UN"),0,""))</x:f>
        <x:v>0</x:v>
      </x:c>
      <x:c r="M2259" s="11" t="n">
        <x:f>IF(AND(K2259=1,OR(B2259="ED",B2259="NED")),1,0)</x:f>
        <x:v>1</x:v>
      </x:c>
      <x:c r="N2259" s="11" t="n">
        <x:f>IF(K2259=1,1,0)</x:f>
        <x:v>1</x:v>
      </x:c>
      <x:c r="O2259" s="12"/>
      <x:c r="P2259" s="11" t="n">
        <x:v>0</x:v>
      </x:c>
      <x:c r="Q2259" s="12" t="str">
        <x:v>AF-Q8R0G9-F1-model_v6</x:v>
      </x:c>
      <x:c r="R2259" s="12" t="str">
        <x:v>ok</x:v>
      </x:c>
      <x:c r="S2259" s="11" t="n">
        <x:v>1765</x:v>
      </x:c>
      <x:c r="T2259" s="11" t="n">
        <x:v>1155</x:v>
      </x:c>
    </x:row>
    <x:row r="2260" ht="23" customHeight="1">
      <x:c r="A2260" s="2" t="str">
        <x:v>Q8R0H9</x:v>
      </x:c>
      <x:c r="B2260" s="2" t="str">
        <x:v>ED</x:v>
      </x:c>
      <x:c r="C2260" s="2" t="n">
        <x:v>1</x:v>
      </x:c>
      <x:c r="D2260" s="2" t="n">
        <x:v>1</x:v>
      </x:c>
      <x:c r="E2260" s="10"/>
      <x:c r="F2260" s="11" t="n">
        <x:v>635</x:v>
      </x:c>
      <x:c r="G2260" s="11" t="n">
        <x:v>0</x:v>
      </x:c>
      <x:c r="H2260" s="11" t="n">
        <x:v>0</x:v>
      </x:c>
      <x:c r="I2260" s="11" t="n">
        <x:v>1</x:v>
      </x:c>
      <x:c r="J2260" s="11" t="n">
        <x:v>0</x:v>
      </x:c>
      <x:c r="K2260" s="11" t="n">
        <x:v>0</x:v>
      </x:c>
      <x:c r="L2260" s="11" t="n">
        <x:f>IF(B2260="NED",1,IF(OR(B2260="ED",B2260="UN"),0,""))</x:f>
        <x:v>0</x:v>
      </x:c>
      <x:c r="M2260" s="11" t="n">
        <x:f>IF(AND(K2260=1,OR(B2260="ED",B2260="NED")),1,0)</x:f>
        <x:v>0</x:v>
      </x:c>
      <x:c r="N2260" s="11" t="n">
        <x:f>IF(K2260=1,1,0)</x:f>
        <x:v>0</x:v>
      </x:c>
      <x:c r="O2260" s="12" t="str">
        <x:v>Exclude UniProt Membrane keyword</x:v>
      </x:c>
      <x:c r="P2260" s="11" t="n">
        <x:v>0</x:v>
      </x:c>
      <x:c r="Q2260" s="12" t="str">
        <x:v>AF-Q8R0H9-F1-model_v6</x:v>
      </x:c>
      <x:c r="R2260" s="12" t="str">
        <x:v>ok</x:v>
      </x:c>
      <x:c r="S2260" s="11" t="n">
        <x:v>1766</x:v>
      </x:c>
      <x:c r="T2260" s="11" t="n">
        <x:v>635</x:v>
      </x:c>
    </x:row>
    <x:row r="2261" ht="23" customHeight="1">
      <x:c r="A2261" s="2" t="str">
        <x:v>Q8R0J7</x:v>
      </x:c>
      <x:c r="B2261" s="2" t="str">
        <x:v>UN</x:v>
      </x:c>
      <x:c r="C2261" s="2" t="n">
        <x:v>0</x:v>
      </x:c>
      <x:c r="D2261" s="2" t="n">
        <x:v>0</x:v>
      </x:c>
      <x:c r="E2261" s="10"/>
      <x:c r="F2261" s="11" t="n">
        <x:v>285</x:v>
      </x:c>
      <x:c r="G2261" s="11" t="n">
        <x:v>0</x:v>
      </x:c>
      <x:c r="H2261" s="11" t="n">
        <x:v>0</x:v>
      </x:c>
      <x:c r="I2261" s="11" t="n">
        <x:v>1</x:v>
      </x:c>
      <x:c r="J2261" s="11" t="n">
        <x:v>0</x:v>
      </x:c>
      <x:c r="K2261" s="11" t="n">
        <x:v>0</x:v>
      </x:c>
      <x:c r="L2261" s="11" t="n">
        <x:f>IF(B2261="NED",1,IF(OR(B2261="ED",B2261="UN"),0,""))</x:f>
        <x:v>0</x:v>
      </x:c>
      <x:c r="M2261" s="11" t="n">
        <x:f>IF(AND(K2261=1,OR(B2261="ED",B2261="NED")),1,0)</x:f>
        <x:v>0</x:v>
      </x:c>
      <x:c r="N2261" s="11" t="n">
        <x:f>IF(K2261=1,1,0)</x:f>
        <x:v>0</x:v>
      </x:c>
      <x:c r="O2261" s="12" t="str">
        <x:v>Exclude UniProt Membrane keyword</x:v>
      </x:c>
      <x:c r="P2261" s="11" t="n">
        <x:v>0</x:v>
      </x:c>
      <x:c r="Q2261" s="12" t="str">
        <x:v>AF-Q8R0J7-F1-model_v6</x:v>
      </x:c>
      <x:c r="R2261" s="12" t="str">
        <x:v>ok</x:v>
      </x:c>
      <x:c r="S2261" s="11" t="n">
        <x:v>1767</x:v>
      </x:c>
      <x:c r="T2261" s="11" t="n">
        <x:v>285</x:v>
      </x:c>
    </x:row>
    <x:row r="2262" ht="23" customHeight="1">
      <x:c r="A2262" s="2" t="str">
        <x:v>Q8R0K4</x:v>
      </x:c>
      <x:c r="B2262" s="2" t="str">
        <x:v>UN</x:v>
      </x:c>
      <x:c r="C2262" s="2" t="n">
        <x:v>0</x:v>
      </x:c>
      <x:c r="D2262" s="2" t="n">
        <x:v>0</x:v>
      </x:c>
      <x:c r="E2262" s="10" t="n">
        <x:v>73.87444827586206</x:v>
      </x:c>
      <x:c r="F2262" s="11" t="n">
        <x:v>290</x:v>
      </x:c>
      <x:c r="G2262" s="11" t="n">
        <x:v>0</x:v>
      </x:c>
      <x:c r="H2262" s="11" t="n">
        <x:v>0</x:v>
      </x:c>
      <x:c r="I2262" s="11" t="n">
        <x:v>0</x:v>
      </x:c>
      <x:c r="J2262" s="11" t="n">
        <x:v>0</x:v>
      </x:c>
      <x:c r="K2262" s="11" t="n">
        <x:v>1</x:v>
      </x:c>
      <x:c r="L2262" s="11" t="n">
        <x:f>IF(B2262="NED",1,IF(OR(B2262="ED",B2262="UN"),0,""))</x:f>
        <x:v>0</x:v>
      </x:c>
      <x:c r="M2262" s="11" t="n">
        <x:f>IF(AND(K2262=1,OR(B2262="ED",B2262="NED")),1,0)</x:f>
        <x:v>0</x:v>
      </x:c>
      <x:c r="N2262" s="11" t="n">
        <x:f>IF(K2262=1,1,0)</x:f>
        <x:v>1</x:v>
      </x:c>
      <x:c r="O2262" s="12"/>
      <x:c r="P2262" s="11" t="n">
        <x:v>0</x:v>
      </x:c>
      <x:c r="Q2262" s="12" t="str">
        <x:v>AF-Q8R0K4-F1-model_v6</x:v>
      </x:c>
      <x:c r="R2262" s="12" t="str">
        <x:v>ok</x:v>
      </x:c>
      <x:c r="S2262" s="11" t="n">
        <x:v>1768</x:v>
      </x:c>
      <x:c r="T2262" s="11" t="n">
        <x:v>290</x:v>
      </x:c>
    </x:row>
    <x:row r="2263" ht="23" customHeight="1">
      <x:c r="A2263" s="2" t="str">
        <x:v>Q8R0W0</x:v>
      </x:c>
      <x:c r="B2263" s="2" t="str">
        <x:v>ED</x:v>
      </x:c>
      <x:c r="C2263" s="2"/>
      <x:c r="D2263" s="2"/>
      <x:c r="E2263" s="10"/>
      <x:c r="F2263" s="11"/>
      <x:c r="G2263" s="11" t="n">
        <x:v>0</x:v>
      </x:c>
      <x:c r="H2263" s="11" t="n">
        <x:v>0</x:v>
      </x:c>
      <x:c r="I2263" s="11" t="n">
        <x:v>1</x:v>
      </x:c>
      <x:c r="J2263" s="11" t="n">
        <x:v>0</x:v>
      </x:c>
      <x:c r="K2263" s="11" t="n">
        <x:v>0</x:v>
      </x:c>
      <x:c r="L2263" s="11" t="n">
        <x:f>IF(B2263="NED",1,IF(OR(B2263="ED",B2263="UN"),0,""))</x:f>
        <x:v>0</x:v>
      </x:c>
      <x:c r="M2263" s="11" t="n">
        <x:f>IF(AND(K2263=1,OR(B2263="ED",B2263="NED")),1,0)</x:f>
        <x:v>0</x:v>
      </x:c>
      <x:c r="N2263" s="11" t="n">
        <x:f>IF(K2263=1,1,0)</x:f>
        <x:v>0</x:v>
      </x:c>
      <x:c r="O2263" s="12" t="str">
        <x:v>Require exact native accession match</x:v>
      </x:c>
      <x:c r="P2263" s="11" t="n">
        <x:v>0</x:v>
      </x:c>
      <x:c r="Q2263" s="12"/>
      <x:c r="R2263" s="12"/>
      <x:c r="S2263" s="11" t="n">
        <x:v>1769</x:v>
      </x:c>
      <x:c r="T2263" s="11" t="n">
        <x:v>6548</x:v>
      </x:c>
    </x:row>
    <x:row r="2264" ht="23" customHeight="1">
      <x:c r="A2264" s="2" t="str">
        <x:v>Q8R0X7</x:v>
      </x:c>
      <x:c r="B2264" s="2" t="str">
        <x:v>NED</x:v>
      </x:c>
      <x:c r="C2264" s="2" t="n">
        <x:v>1</x:v>
      </x:c>
      <x:c r="D2264" s="2" t="n">
        <x:v>1</x:v>
      </x:c>
      <x:c r="E2264" s="10"/>
      <x:c r="F2264" s="11" t="n">
        <x:v>568</x:v>
      </x:c>
      <x:c r="G2264" s="11" t="n">
        <x:v>0</x:v>
      </x:c>
      <x:c r="H2264" s="11" t="n">
        <x:v>0</x:v>
      </x:c>
      <x:c r="I2264" s="11" t="n">
        <x:v>1</x:v>
      </x:c>
      <x:c r="J2264" s="11" t="n">
        <x:v>0</x:v>
      </x:c>
      <x:c r="K2264" s="11" t="n">
        <x:v>0</x:v>
      </x:c>
      <x:c r="L2264" s="11" t="n">
        <x:f>IF(B2264="NED",1,IF(OR(B2264="ED",B2264="UN"),0,""))</x:f>
        <x:v>1</x:v>
      </x:c>
      <x:c r="M2264" s="11" t="n">
        <x:f>IF(AND(K2264=1,OR(B2264="ED",B2264="NED")),1,0)</x:f>
        <x:v>0</x:v>
      </x:c>
      <x:c r="N2264" s="11" t="n">
        <x:f>IF(K2264=1,1,0)</x:f>
        <x:v>0</x:v>
      </x:c>
      <x:c r="O2264" s="12" t="str">
        <x:v>Exclude UniProt Membrane keyword</x:v>
      </x:c>
      <x:c r="P2264" s="11" t="n">
        <x:v>0</x:v>
      </x:c>
      <x:c r="Q2264" s="12" t="str">
        <x:v>AF-Q8R0X7-F1-model_v6</x:v>
      </x:c>
      <x:c r="R2264" s="12" t="str">
        <x:v>ok</x:v>
      </x:c>
      <x:c r="S2264" s="11" t="n">
        <x:v>1770</x:v>
      </x:c>
      <x:c r="T2264" s="11" t="n">
        <x:v>568</x:v>
      </x:c>
    </x:row>
    <x:row r="2265" ht="23" customHeight="1">
      <x:c r="A2265" s="2" t="str">
        <x:v>Q8R123</x:v>
      </x:c>
      <x:c r="B2265" s="2" t="str">
        <x:v>UN</x:v>
      </x:c>
      <x:c r="C2265" s="2" t="n">
        <x:v>1</x:v>
      </x:c>
      <x:c r="D2265" s="2" t="n">
        <x:v>1</x:v>
      </x:c>
      <x:c r="E2265" s="10" t="n">
        <x:v>93.08483739837398</x:v>
      </x:c>
      <x:c r="F2265" s="11" t="n">
        <x:v>492</x:v>
      </x:c>
      <x:c r="G2265" s="11" t="n">
        <x:v>0</x:v>
      </x:c>
      <x:c r="H2265" s="11" t="n">
        <x:v>0</x:v>
      </x:c>
      <x:c r="I2265" s="11" t="n">
        <x:v>0</x:v>
      </x:c>
      <x:c r="J2265" s="11" t="n">
        <x:v>0</x:v>
      </x:c>
      <x:c r="K2265" s="11" t="n">
        <x:v>1</x:v>
      </x:c>
      <x:c r="L2265" s="11" t="n">
        <x:f>IF(B2265="NED",1,IF(OR(B2265="ED",B2265="UN"),0,""))</x:f>
        <x:v>0</x:v>
      </x:c>
      <x:c r="M2265" s="11" t="n">
        <x:f>IF(AND(K2265=1,OR(B2265="ED",B2265="NED")),1,0)</x:f>
        <x:v>0</x:v>
      </x:c>
      <x:c r="N2265" s="11" t="n">
        <x:f>IF(K2265=1,1,0)</x:f>
        <x:v>1</x:v>
      </x:c>
      <x:c r="O2265" s="12"/>
      <x:c r="P2265" s="11" t="n">
        <x:v>0</x:v>
      </x:c>
      <x:c r="Q2265" s="12" t="str">
        <x:v>AF-Q8R123-F1-model_v6</x:v>
      </x:c>
      <x:c r="R2265" s="12" t="str">
        <x:v>ok</x:v>
      </x:c>
      <x:c r="S2265" s="11" t="n">
        <x:v>1771</x:v>
      </x:c>
      <x:c r="T2265" s="11" t="n">
        <x:v>492</x:v>
      </x:c>
    </x:row>
    <x:row r="2266" ht="23" customHeight="1">
      <x:c r="A2266" s="2" t="str">
        <x:v>Q8R146-2</x:v>
      </x:c>
      <x:c r="B2266" s="2" t="str">
        <x:v>ED</x:v>
      </x:c>
      <x:c r="C2266" s="2"/>
      <x:c r="D2266" s="2"/>
      <x:c r="E2266" s="10"/>
      <x:c r="F2266" s="11"/>
      <x:c r="G2266" s="11" t="n">
        <x:v>0</x:v>
      </x:c>
      <x:c r="H2266" s="11" t="n">
        <x:v>0</x:v>
      </x:c>
      <x:c r="I2266" s="11"/>
      <x:c r="J2266" s="11"/>
      <x:c r="K2266" s="11" t="n">
        <x:v>0</x:v>
      </x:c>
      <x:c r="L2266" s="11" t="n">
        <x:f>IF(B2266="NED",1,IF(OR(B2266="ED",B2266="UN"),0,""))</x:f>
        <x:v>0</x:v>
      </x:c>
      <x:c r="M2266" s="11" t="n">
        <x:f>IF(AND(K2266=1,OR(B2266="ED",B2266="NED")),1,0)</x:f>
        <x:v>0</x:v>
      </x:c>
      <x:c r="N2266" s="11" t="n">
        <x:f>IF(K2266=1,1,0)</x:f>
        <x:v>0</x:v>
      </x:c>
      <x:c r="O2266" s="12" t="str">
        <x:v>Require exact native accession match</x:v>
      </x:c>
      <x:c r="P2266" s="11" t="n">
        <x:v>0</x:v>
      </x:c>
      <x:c r="Q2266" s="12"/>
      <x:c r="R2266" s="12"/>
      <x:c r="S2266" s="11" t="n">
        <x:v>1772</x:v>
      </x:c>
      <x:c r="T2266" s="11"/>
    </x:row>
    <x:row r="2267" ht="23" customHeight="1">
      <x:c r="A2267" s="2" t="str">
        <x:v>Q8R180</x:v>
      </x:c>
      <x:c r="B2267" s="2" t="str">
        <x:v>UN</x:v>
      </x:c>
      <x:c r="C2267" s="2" t="n">
        <x:v>1</x:v>
      </x:c>
      <x:c r="D2267" s="2" t="n">
        <x:v>1</x:v>
      </x:c>
      <x:c r="E2267" s="10"/>
      <x:c r="F2267" s="11" t="n">
        <x:v>464</x:v>
      </x:c>
      <x:c r="G2267" s="11" t="n">
        <x:v>0</x:v>
      </x:c>
      <x:c r="H2267" s="11" t="n">
        <x:v>1</x:v>
      </x:c>
      <x:c r="I2267" s="11" t="n">
        <x:v>1</x:v>
      </x:c>
      <x:c r="J2267" s="11" t="n">
        <x:v>1</x:v>
      </x:c>
      <x:c r="K2267" s="11" t="n">
        <x:v>0</x:v>
      </x:c>
      <x:c r="L2267" s="11" t="n">
        <x:f>IF(B2267="NED",1,IF(OR(B2267="ED",B2267="UN"),0,""))</x:f>
        <x:v>0</x:v>
      </x:c>
      <x:c r="M2267" s="11" t="n">
        <x:f>IF(AND(K2267=1,OR(B2267="ED",B2267="NED")),1,0)</x:f>
        <x:v>0</x:v>
      </x:c>
      <x:c r="N2267" s="11" t="n">
        <x:f>IF(K2267=1,1,0)</x:f>
        <x:v>0</x:v>
      </x:c>
      <x:c r="O2267" s="12" t="str">
        <x:v>Exclude supplied or detected covalent lassos</x:v>
      </x:c>
      <x:c r="P2267" s="11" t="n">
        <x:v>0</x:v>
      </x:c>
      <x:c r="Q2267" s="12" t="str">
        <x:v>AF-Q8R180-F1-model_v6</x:v>
      </x:c>
      <x:c r="R2267" s="12" t="str">
        <x:v>ok</x:v>
      </x:c>
      <x:c r="S2267" s="11" t="n">
        <x:v>1773</x:v>
      </x:c>
      <x:c r="T2267" s="11" t="n">
        <x:v>464</x:v>
      </x:c>
    </x:row>
    <x:row r="2268" ht="23" customHeight="1">
      <x:c r="A2268" s="2" t="str">
        <x:v>Q8R1B4</x:v>
      </x:c>
      <x:c r="B2268" s="2" t="str">
        <x:v>NED</x:v>
      </x:c>
      <x:c r="C2268" s="2" t="n">
        <x:v>1</x:v>
      </x:c>
      <x:c r="D2268" s="2"/>
      <x:c r="E2268" s="10" t="n">
        <x:v>73.10030735455544</x:v>
      </x:c>
      <x:c r="F2268" s="11" t="n">
        <x:v>911</x:v>
      </x:c>
      <x:c r="G2268" s="11" t="n">
        <x:v>0</x:v>
      </x:c>
      <x:c r="H2268" s="11" t="n">
        <x:v>0</x:v>
      </x:c>
      <x:c r="I2268" s="11" t="n">
        <x:v>0</x:v>
      </x:c>
      <x:c r="J2268" s="11" t="n">
        <x:v>0</x:v>
      </x:c>
      <x:c r="K2268" s="11" t="n">
        <x:v>1</x:v>
      </x:c>
      <x:c r="L2268" s="11" t="n">
        <x:f>IF(B2268="NED",1,IF(OR(B2268="ED",B2268="UN"),0,""))</x:f>
        <x:v>1</x:v>
      </x:c>
      <x:c r="M2268" s="11" t="n">
        <x:f>IF(AND(K2268=1,OR(B2268="ED",B2268="NED")),1,0)</x:f>
        <x:v>1</x:v>
      </x:c>
      <x:c r="N2268" s="11" t="n">
        <x:f>IF(K2268=1,1,0)</x:f>
        <x:v>1</x:v>
      </x:c>
      <x:c r="O2268" s="12"/>
      <x:c r="P2268" s="11" t="n">
        <x:v>0</x:v>
      </x:c>
      <x:c r="Q2268" s="12" t="str">
        <x:v>AF-Q8R1B4-F1-model_v6</x:v>
      </x:c>
      <x:c r="R2268" s="12" t="str">
        <x:v>ok</x:v>
      </x:c>
      <x:c r="S2268" s="11" t="n">
        <x:v>1774</x:v>
      </x:c>
      <x:c r="T2268" s="11" t="n">
        <x:v>911</x:v>
      </x:c>
    </x:row>
    <x:row r="2269" ht="23" customHeight="1">
      <x:c r="A2269" s="2" t="str">
        <x:v>Q8R1F1</x:v>
      </x:c>
      <x:c r="B2269" s="2" t="str">
        <x:v>ED</x:v>
      </x:c>
      <x:c r="C2269" s="2" t="n">
        <x:v>1</x:v>
      </x:c>
      <x:c r="D2269" s="2" t="n">
        <x:v>1</x:v>
      </x:c>
      <x:c r="E2269" s="10"/>
      <x:c r="F2269" s="11" t="n">
        <x:v>749</x:v>
      </x:c>
      <x:c r="G2269" s="11" t="n">
        <x:v>1</x:v>
      </x:c>
      <x:c r="H2269" s="11" t="n">
        <x:v>0</x:v>
      </x:c>
      <x:c r="I2269" s="11" t="n">
        <x:v>1</x:v>
      </x:c>
      <x:c r="J2269" s="11" t="n">
        <x:v>0</x:v>
      </x:c>
      <x:c r="K2269" s="11" t="n">
        <x:v>0</x:v>
      </x:c>
      <x:c r="L2269" s="11" t="n">
        <x:f>IF(B2269="NED",1,IF(OR(B2269="ED",B2269="UN"),0,""))</x:f>
        <x:v>0</x:v>
      </x:c>
      <x:c r="M2269" s="11" t="n">
        <x:f>IF(AND(K2269=1,OR(B2269="ED",B2269="NED")),1,0)</x:f>
        <x:v>0</x:v>
      </x:c>
      <x:c r="N2269" s="11" t="n">
        <x:f>IF(K2269=1,1,0)</x:f>
        <x:v>0</x:v>
      </x:c>
      <x:c r="O2269" s="12" t="str">
        <x:v>Exclude supplied knotted proteins</x:v>
      </x:c>
      <x:c r="P2269" s="11" t="n">
        <x:v>0</x:v>
      </x:c>
      <x:c r="Q2269" s="12" t="str">
        <x:v>AF-Q8R1F1-F1-model_v6</x:v>
      </x:c>
      <x:c r="R2269" s="12" t="str">
        <x:v>ok</x:v>
      </x:c>
      <x:c r="S2269" s="11" t="n">
        <x:v>1775</x:v>
      </x:c>
      <x:c r="T2269" s="11" t="n">
        <x:v>749</x:v>
      </x:c>
    </x:row>
    <x:row r="2270" ht="23" customHeight="1">
      <x:c r="A2270" s="2" t="str">
        <x:v>Q8R1G6</x:v>
      </x:c>
      <x:c r="B2270" s="2" t="str">
        <x:v>UN</x:v>
      </x:c>
      <x:c r="C2270" s="2" t="n">
        <x:v>0</x:v>
      </x:c>
      <x:c r="D2270" s="2" t="n">
        <x:v>0</x:v>
      </x:c>
      <x:c r="E2270" s="10" t="n">
        <x:v>67.13808022922636</x:v>
      </x:c>
      <x:c r="F2270" s="11" t="n">
        <x:v>349</x:v>
      </x:c>
      <x:c r="G2270" s="11" t="n">
        <x:v>0</x:v>
      </x:c>
      <x:c r="H2270" s="11" t="n">
        <x:v>0</x:v>
      </x:c>
      <x:c r="I2270" s="11" t="n">
        <x:v>0</x:v>
      </x:c>
      <x:c r="J2270" s="11" t="n">
        <x:v>0</x:v>
      </x:c>
      <x:c r="K2270" s="11" t="n">
        <x:v>0</x:v>
      </x:c>
      <x:c r="L2270" s="11" t="n">
        <x:f>IF(B2270="NED",1,IF(OR(B2270="ED",B2270="UN"),0,""))</x:f>
        <x:v>0</x:v>
      </x:c>
      <x:c r="M2270" s="11" t="n">
        <x:f>IF(AND(K2270=1,OR(B2270="ED",B2270="NED")),1,0)</x:f>
        <x:v>0</x:v>
      </x:c>
      <x:c r="N2270" s="11" t="n">
        <x:f>IF(K2270=1,1,0)</x:f>
        <x:v>0</x:v>
      </x:c>
      <x:c r="O2270" s="12" t="str">
        <x:v>Retain protein mean pLDDT &gt;=70</x:v>
      </x:c>
      <x:c r="P2270" s="11" t="n">
        <x:v>0</x:v>
      </x:c>
      <x:c r="Q2270" s="12" t="str">
        <x:v>AF-Q8R1G6-F1-model_v6</x:v>
      </x:c>
      <x:c r="R2270" s="12" t="str">
        <x:v>ok</x:v>
      </x:c>
      <x:c r="S2270" s="11" t="n">
        <x:v>1776</x:v>
      </x:c>
      <x:c r="T2270" s="11" t="n">
        <x:v>349</x:v>
      </x:c>
    </x:row>
    <x:row r="2271" ht="23" customHeight="1">
      <x:c r="A2271" s="2" t="str">
        <x:v>Q8R1N4</x:v>
      </x:c>
      <x:c r="B2271" s="2" t="str">
        <x:v>UN</x:v>
      </x:c>
      <x:c r="C2271" s="2" t="n">
        <x:v>0</x:v>
      </x:c>
      <x:c r="D2271" s="2" t="n">
        <x:v>0</x:v>
      </x:c>
      <x:c r="E2271" s="10" t="n">
        <x:v>78.223608815427</x:v>
      </x:c>
      <x:c r="F2271" s="11" t="n">
        <x:v>363</x:v>
      </x:c>
      <x:c r="G2271" s="11" t="n">
        <x:v>0</x:v>
      </x:c>
      <x:c r="H2271" s="11" t="n">
        <x:v>0</x:v>
      </x:c>
      <x:c r="I2271" s="11" t="n">
        <x:v>0</x:v>
      </x:c>
      <x:c r="J2271" s="11" t="n">
        <x:v>0</x:v>
      </x:c>
      <x:c r="K2271" s="11" t="n">
        <x:v>1</x:v>
      </x:c>
      <x:c r="L2271" s="11" t="n">
        <x:f>IF(B2271="NED",1,IF(OR(B2271="ED",B2271="UN"),0,""))</x:f>
        <x:v>0</x:v>
      </x:c>
      <x:c r="M2271" s="11" t="n">
        <x:f>IF(AND(K2271=1,OR(B2271="ED",B2271="NED")),1,0)</x:f>
        <x:v>0</x:v>
      </x:c>
      <x:c r="N2271" s="11" t="n">
        <x:f>IF(K2271=1,1,0)</x:f>
        <x:v>1</x:v>
      </x:c>
      <x:c r="O2271" s="12"/>
      <x:c r="P2271" s="11" t="n">
        <x:v>0</x:v>
      </x:c>
      <x:c r="Q2271" s="12" t="str">
        <x:v>AF-Q8R1N4-F1-model_v6</x:v>
      </x:c>
      <x:c r="R2271" s="12" t="str">
        <x:v>ok</x:v>
      </x:c>
      <x:c r="S2271" s="11" t="n">
        <x:v>1777</x:v>
      </x:c>
      <x:c r="T2271" s="11" t="n">
        <x:v>363</x:v>
      </x:c>
    </x:row>
    <x:row r="2272" ht="23" customHeight="1">
      <x:c r="A2272" s="2" t="str">
        <x:v>Q8R1Q8</x:v>
      </x:c>
      <x:c r="B2272" s="2" t="str">
        <x:v>UN</x:v>
      </x:c>
      <x:c r="C2272" s="2" t="n">
        <x:v>1</x:v>
      </x:c>
      <x:c r="D2272" s="2" t="n">
        <x:v>1</x:v>
      </x:c>
      <x:c r="E2272" s="10"/>
      <x:c r="F2272" s="11" t="n">
        <x:v>523</x:v>
      </x:c>
      <x:c r="G2272" s="11" t="n">
        <x:v>0</x:v>
      </x:c>
      <x:c r="H2272" s="11" t="n">
        <x:v>0</x:v>
      </x:c>
      <x:c r="I2272" s="11" t="n">
        <x:v>1</x:v>
      </x:c>
      <x:c r="J2272" s="11" t="n">
        <x:v>0</x:v>
      </x:c>
      <x:c r="K2272" s="11" t="n">
        <x:v>0</x:v>
      </x:c>
      <x:c r="L2272" s="11" t="n">
        <x:f>IF(B2272="NED",1,IF(OR(B2272="ED",B2272="UN"),0,""))</x:f>
        <x:v>0</x:v>
      </x:c>
      <x:c r="M2272" s="11" t="n">
        <x:f>IF(AND(K2272=1,OR(B2272="ED",B2272="NED")),1,0)</x:f>
        <x:v>0</x:v>
      </x:c>
      <x:c r="N2272" s="11" t="n">
        <x:f>IF(K2272=1,1,0)</x:f>
        <x:v>0</x:v>
      </x:c>
      <x:c r="O2272" s="12" t="str">
        <x:v>Exclude UniProt Membrane keyword</x:v>
      </x:c>
      <x:c r="P2272" s="11" t="n">
        <x:v>0</x:v>
      </x:c>
      <x:c r="Q2272" s="12" t="str">
        <x:v>AF-Q8R1Q8-F1-model_v6</x:v>
      </x:c>
      <x:c r="R2272" s="12" t="str">
        <x:v>ok</x:v>
      </x:c>
      <x:c r="S2272" s="11" t="n">
        <x:v>1778</x:v>
      </x:c>
      <x:c r="T2272" s="11" t="n">
        <x:v>523</x:v>
      </x:c>
    </x:row>
    <x:row r="2273" ht="23" customHeight="1">
      <x:c r="A2273" s="2" t="str">
        <x:v>Q8R1V4</x:v>
      </x:c>
      <x:c r="B2273" s="2" t="str">
        <x:v>UN</x:v>
      </x:c>
      <x:c r="C2273" s="2" t="n">
        <x:v>1</x:v>
      </x:c>
      <x:c r="D2273" s="2" t="n">
        <x:v>1</x:v>
      </x:c>
      <x:c r="E2273" s="10"/>
      <x:c r="F2273" s="11" t="n">
        <x:v>227</x:v>
      </x:c>
      <x:c r="G2273" s="11" t="n">
        <x:v>0</x:v>
      </x:c>
      <x:c r="H2273" s="11" t="n">
        <x:v>0</x:v>
      </x:c>
      <x:c r="I2273" s="11" t="n">
        <x:v>1</x:v>
      </x:c>
      <x:c r="J2273" s="11" t="n">
        <x:v>0</x:v>
      </x:c>
      <x:c r="K2273" s="11" t="n">
        <x:v>0</x:v>
      </x:c>
      <x:c r="L2273" s="11" t="n">
        <x:f>IF(B2273="NED",1,IF(OR(B2273="ED",B2273="UN"),0,""))</x:f>
        <x:v>0</x:v>
      </x:c>
      <x:c r="M2273" s="11" t="n">
        <x:f>IF(AND(K2273=1,OR(B2273="ED",B2273="NED")),1,0)</x:f>
        <x:v>0</x:v>
      </x:c>
      <x:c r="N2273" s="11" t="n">
        <x:f>IF(K2273=1,1,0)</x:f>
        <x:v>0</x:v>
      </x:c>
      <x:c r="O2273" s="12" t="str">
        <x:v>Exclude UniProt Membrane keyword</x:v>
      </x:c>
      <x:c r="P2273" s="11" t="n">
        <x:v>0</x:v>
      </x:c>
      <x:c r="Q2273" s="12" t="str">
        <x:v>AF-Q8R1V4-F1-model_v6</x:v>
      </x:c>
      <x:c r="R2273" s="12" t="str">
        <x:v>ok</x:v>
      </x:c>
      <x:c r="S2273" s="11" t="n">
        <x:v>1779</x:v>
      </x:c>
      <x:c r="T2273" s="11" t="n">
        <x:v>227</x:v>
      </x:c>
    </x:row>
    <x:row r="2274" ht="23" customHeight="1">
      <x:c r="A2274" s="2" t="str">
        <x:v>Q8R1X6-2</x:v>
      </x:c>
      <x:c r="B2274" s="2" t="str">
        <x:v>ED</x:v>
      </x:c>
      <x:c r="C2274" s="2"/>
      <x:c r="D2274" s="2"/>
      <x:c r="E2274" s="10"/>
      <x:c r="F2274" s="11"/>
      <x:c r="G2274" s="11" t="n">
        <x:v>0</x:v>
      </x:c>
      <x:c r="H2274" s="11" t="n">
        <x:v>0</x:v>
      </x:c>
      <x:c r="I2274" s="11"/>
      <x:c r="J2274" s="11"/>
      <x:c r="K2274" s="11" t="n">
        <x:v>0</x:v>
      </x:c>
      <x:c r="L2274" s="11" t="n">
        <x:f>IF(B2274="NED",1,IF(OR(B2274="ED",B2274="UN"),0,""))</x:f>
        <x:v>0</x:v>
      </x:c>
      <x:c r="M2274" s="11" t="n">
        <x:f>IF(AND(K2274=1,OR(B2274="ED",B2274="NED")),1,0)</x:f>
        <x:v>0</x:v>
      </x:c>
      <x:c r="N2274" s="11" t="n">
        <x:f>IF(K2274=1,1,0)</x:f>
        <x:v>0</x:v>
      </x:c>
      <x:c r="O2274" s="12" t="str">
        <x:v>Require exact native accession match</x:v>
      </x:c>
      <x:c r="P2274" s="11" t="n">
        <x:v>0</x:v>
      </x:c>
      <x:c r="Q2274" s="12"/>
      <x:c r="R2274" s="12"/>
      <x:c r="S2274" s="11" t="n">
        <x:v>1780</x:v>
      </x:c>
      <x:c r="T2274" s="11"/>
    </x:row>
    <x:row r="2275" ht="23" customHeight="1">
      <x:c r="A2275" s="2" t="str">
        <x:v>Q8R2K4</x:v>
      </x:c>
      <x:c r="B2275" s="2" t="str">
        <x:v>ED</x:v>
      </x:c>
      <x:c r="C2275" s="2" t="n">
        <x:v>1</x:v>
      </x:c>
      <x:c r="D2275" s="2"/>
      <x:c r="E2275" s="10" t="n">
        <x:v>67.96008116883118</x:v>
      </x:c>
      <x:c r="F2275" s="11" t="n">
        <x:v>616</x:v>
      </x:c>
      <x:c r="G2275" s="11" t="n">
        <x:v>0</x:v>
      </x:c>
      <x:c r="H2275" s="11" t="n">
        <x:v>0</x:v>
      </x:c>
      <x:c r="I2275" s="11" t="n">
        <x:v>0</x:v>
      </x:c>
      <x:c r="J2275" s="11" t="n">
        <x:v>0</x:v>
      </x:c>
      <x:c r="K2275" s="11" t="n">
        <x:v>0</x:v>
      </x:c>
      <x:c r="L2275" s="11" t="n">
        <x:f>IF(B2275="NED",1,IF(OR(B2275="ED",B2275="UN"),0,""))</x:f>
        <x:v>0</x:v>
      </x:c>
      <x:c r="M2275" s="11" t="n">
        <x:f>IF(AND(K2275=1,OR(B2275="ED",B2275="NED")),1,0)</x:f>
        <x:v>0</x:v>
      </x:c>
      <x:c r="N2275" s="11" t="n">
        <x:f>IF(K2275=1,1,0)</x:f>
        <x:v>0</x:v>
      </x:c>
      <x:c r="O2275" s="12" t="str">
        <x:v>Retain protein mean pLDDT &gt;=70</x:v>
      </x:c>
      <x:c r="P2275" s="11" t="n">
        <x:v>0</x:v>
      </x:c>
      <x:c r="Q2275" s="12" t="str">
        <x:v>AF-Q8R2K4-F1-model_v6</x:v>
      </x:c>
      <x:c r="R2275" s="12" t="str">
        <x:v>ok</x:v>
      </x:c>
      <x:c r="S2275" s="11" t="n">
        <x:v>1781</x:v>
      </x:c>
      <x:c r="T2275" s="11" t="n">
        <x:v>616</x:v>
      </x:c>
    </x:row>
    <x:row r="2276" ht="23" customHeight="1">
      <x:c r="A2276" s="2" t="str">
        <x:v>Q8R2M2</x:v>
      </x:c>
      <x:c r="B2276" s="2" t="str">
        <x:v>NED</x:v>
      </x:c>
      <x:c r="C2276" s="2" t="n">
        <x:v>0</x:v>
      </x:c>
      <x:c r="D2276" s="2" t="n">
        <x:v>0</x:v>
      </x:c>
      <x:c r="E2276" s="10" t="n">
        <x:v>53.18282321899736</x:v>
      </x:c>
      <x:c r="F2276" s="11" t="n">
        <x:v>758</x:v>
      </x:c>
      <x:c r="G2276" s="11" t="n">
        <x:v>0</x:v>
      </x:c>
      <x:c r="H2276" s="11" t="n">
        <x:v>0</x:v>
      </x:c>
      <x:c r="I2276" s="11" t="n">
        <x:v>0</x:v>
      </x:c>
      <x:c r="J2276" s="11" t="n">
        <x:v>0</x:v>
      </x:c>
      <x:c r="K2276" s="11" t="n">
        <x:v>0</x:v>
      </x:c>
      <x:c r="L2276" s="11" t="n">
        <x:f>IF(B2276="NED",1,IF(OR(B2276="ED",B2276="UN"),0,""))</x:f>
        <x:v>1</x:v>
      </x:c>
      <x:c r="M2276" s="11" t="n">
        <x:f>IF(AND(K2276=1,OR(B2276="ED",B2276="NED")),1,0)</x:f>
        <x:v>0</x:v>
      </x:c>
      <x:c r="N2276" s="11" t="n">
        <x:f>IF(K2276=1,1,0)</x:f>
        <x:v>0</x:v>
      </x:c>
      <x:c r="O2276" s="12" t="str">
        <x:v>Retain protein mean pLDDT &gt;=70</x:v>
      </x:c>
      <x:c r="P2276" s="11" t="n">
        <x:v>0</x:v>
      </x:c>
      <x:c r="Q2276" s="12" t="str">
        <x:v>AF-Q8R2M2-F1-model_v6</x:v>
      </x:c>
      <x:c r="R2276" s="12" t="str">
        <x:v>ok</x:v>
      </x:c>
      <x:c r="S2276" s="11" t="n">
        <x:v>1782</x:v>
      </x:c>
      <x:c r="T2276" s="11" t="n">
        <x:v>758</x:v>
      </x:c>
    </x:row>
    <x:row r="2277" ht="23" customHeight="1">
      <x:c r="A2277" s="2" t="str">
        <x:v>Q8R2N2</x:v>
      </x:c>
      <x:c r="B2277" s="2" t="str">
        <x:v>UN</x:v>
      </x:c>
      <x:c r="C2277" s="2" t="n">
        <x:v>1</x:v>
      </x:c>
      <x:c r="D2277" s="2" t="n">
        <x:v>1</x:v>
      </x:c>
      <x:c r="E2277" s="10" t="n">
        <x:v>91.120889212828</x:v>
      </x:c>
      <x:c r="F2277" s="11" t="n">
        <x:v>686</x:v>
      </x:c>
      <x:c r="G2277" s="11" t="n">
        <x:v>0</x:v>
      </x:c>
      <x:c r="H2277" s="11" t="n">
        <x:v>0</x:v>
      </x:c>
      <x:c r="I2277" s="11" t="n">
        <x:v>0</x:v>
      </x:c>
      <x:c r="J2277" s="11" t="n">
        <x:v>0</x:v>
      </x:c>
      <x:c r="K2277" s="11" t="n">
        <x:v>1</x:v>
      </x:c>
      <x:c r="L2277" s="11" t="n">
        <x:f>IF(B2277="NED",1,IF(OR(B2277="ED",B2277="UN"),0,""))</x:f>
        <x:v>0</x:v>
      </x:c>
      <x:c r="M2277" s="11" t="n">
        <x:f>IF(AND(K2277=1,OR(B2277="ED",B2277="NED")),1,0)</x:f>
        <x:v>0</x:v>
      </x:c>
      <x:c r="N2277" s="11" t="n">
        <x:f>IF(K2277=1,1,0)</x:f>
        <x:v>1</x:v>
      </x:c>
      <x:c r="O2277" s="12"/>
      <x:c r="P2277" s="11" t="n">
        <x:v>0</x:v>
      </x:c>
      <x:c r="Q2277" s="12" t="str">
        <x:v>AF-Q8R2N2-F1-model_v6</x:v>
      </x:c>
      <x:c r="R2277" s="12" t="str">
        <x:v>ok</x:v>
      </x:c>
      <x:c r="S2277" s="11" t="n">
        <x:v>1783</x:v>
      </x:c>
      <x:c r="T2277" s="11" t="n">
        <x:v>686</x:v>
      </x:c>
    </x:row>
    <x:row r="2278" ht="23" customHeight="1">
      <x:c r="A2278" s="2" t="str">
        <x:v>Q8R2R3</x:v>
      </x:c>
      <x:c r="B2278" s="2" t="str">
        <x:v>ED</x:v>
      </x:c>
      <x:c r="C2278" s="2" t="n">
        <x:v>1</x:v>
      </x:c>
      <x:c r="D2278" s="2" t="n">
        <x:v>1</x:v>
      </x:c>
      <x:c r="E2278" s="10" t="n">
        <x:v>79.49053797468353</x:v>
      </x:c>
      <x:c r="F2278" s="11" t="n">
        <x:v>316</x:v>
      </x:c>
      <x:c r="G2278" s="11" t="n">
        <x:v>0</x:v>
      </x:c>
      <x:c r="H2278" s="11" t="n">
        <x:v>0</x:v>
      </x:c>
      <x:c r="I2278" s="11" t="n">
        <x:v>0</x:v>
      </x:c>
      <x:c r="J2278" s="11" t="n">
        <x:v>0</x:v>
      </x:c>
      <x:c r="K2278" s="11" t="n">
        <x:v>1</x:v>
      </x:c>
      <x:c r="L2278" s="11" t="n">
        <x:f>IF(B2278="NED",1,IF(OR(B2278="ED",B2278="UN"),0,""))</x:f>
        <x:v>0</x:v>
      </x:c>
      <x:c r="M2278" s="11" t="n">
        <x:f>IF(AND(K2278=1,OR(B2278="ED",B2278="NED")),1,0)</x:f>
        <x:v>1</x:v>
      </x:c>
      <x:c r="N2278" s="11" t="n">
        <x:f>IF(K2278=1,1,0)</x:f>
        <x:v>1</x:v>
      </x:c>
      <x:c r="O2278" s="12"/>
      <x:c r="P2278" s="11" t="n">
        <x:v>0</x:v>
      </x:c>
      <x:c r="Q2278" s="12" t="str">
        <x:v>AF-Q8R2R3-F1-model_v6</x:v>
      </x:c>
      <x:c r="R2278" s="12" t="str">
        <x:v>ok</x:v>
      </x:c>
      <x:c r="S2278" s="11" t="n">
        <x:v>1784</x:v>
      </x:c>
      <x:c r="T2278" s="11" t="n">
        <x:v>316</x:v>
      </x:c>
    </x:row>
    <x:row r="2279" ht="23" customHeight="1">
      <x:c r="A2279" s="2" t="str">
        <x:v>Q8R2U0-2</x:v>
      </x:c>
      <x:c r="B2279" s="2" t="str">
        <x:v>ED</x:v>
      </x:c>
      <x:c r="C2279" s="2"/>
      <x:c r="D2279" s="2"/>
      <x:c r="E2279" s="10"/>
      <x:c r="F2279" s="11"/>
      <x:c r="G2279" s="11" t="n">
        <x:v>0</x:v>
      </x:c>
      <x:c r="H2279" s="11" t="n">
        <x:v>0</x:v>
      </x:c>
      <x:c r="I2279" s="11"/>
      <x:c r="J2279" s="11"/>
      <x:c r="K2279" s="11" t="n">
        <x:v>0</x:v>
      </x:c>
      <x:c r="L2279" s="11" t="n">
        <x:f>IF(B2279="NED",1,IF(OR(B2279="ED",B2279="UN"),0,""))</x:f>
        <x:v>0</x:v>
      </x:c>
      <x:c r="M2279" s="11" t="n">
        <x:f>IF(AND(K2279=1,OR(B2279="ED",B2279="NED")),1,0)</x:f>
        <x:v>0</x:v>
      </x:c>
      <x:c r="N2279" s="11" t="n">
        <x:f>IF(K2279=1,1,0)</x:f>
        <x:v>0</x:v>
      </x:c>
      <x:c r="O2279" s="12" t="str">
        <x:v>Require exact native accession match</x:v>
      </x:c>
      <x:c r="P2279" s="11" t="n">
        <x:v>0</x:v>
      </x:c>
      <x:c r="Q2279" s="12"/>
      <x:c r="R2279" s="12"/>
      <x:c r="S2279" s="11" t="n">
        <x:v>1785</x:v>
      </x:c>
      <x:c r="T2279" s="11"/>
    </x:row>
    <x:row r="2280" ht="23" customHeight="1">
      <x:c r="A2280" s="2" t="str">
        <x:v>Q8R2U4</x:v>
      </x:c>
      <x:c r="B2280" s="2" t="str">
        <x:v>ED</x:v>
      </x:c>
      <x:c r="C2280" s="2" t="n">
        <x:v>1</x:v>
      </x:c>
      <x:c r="D2280" s="2" t="n">
        <x:v>1</x:v>
      </x:c>
      <x:c r="E2280" s="10" t="n">
        <x:v>97.58914798206278</x:v>
      </x:c>
      <x:c r="F2280" s="11" t="n">
        <x:v>223</x:v>
      </x:c>
      <x:c r="G2280" s="11" t="n">
        <x:v>0</x:v>
      </x:c>
      <x:c r="H2280" s="11" t="n">
        <x:v>0</x:v>
      </x:c>
      <x:c r="I2280" s="11" t="n">
        <x:v>0</x:v>
      </x:c>
      <x:c r="J2280" s="11" t="n">
        <x:v>0</x:v>
      </x:c>
      <x:c r="K2280" s="11" t="n">
        <x:v>1</x:v>
      </x:c>
      <x:c r="L2280" s="11" t="n">
        <x:f>IF(B2280="NED",1,IF(OR(B2280="ED",B2280="UN"),0,""))</x:f>
        <x:v>0</x:v>
      </x:c>
      <x:c r="M2280" s="11" t="n">
        <x:f>IF(AND(K2280=1,OR(B2280="ED",B2280="NED")),1,0)</x:f>
        <x:v>1</x:v>
      </x:c>
      <x:c r="N2280" s="11" t="n">
        <x:f>IF(K2280=1,1,0)</x:f>
        <x:v>1</x:v>
      </x:c>
      <x:c r="O2280" s="12"/>
      <x:c r="P2280" s="11" t="n">
        <x:v>0</x:v>
      </x:c>
      <x:c r="Q2280" s="12" t="str">
        <x:v>AF-Q8R2U4-F1-model_v6</x:v>
      </x:c>
      <x:c r="R2280" s="12" t="str">
        <x:v>ok</x:v>
      </x:c>
      <x:c r="S2280" s="11" t="n">
        <x:v>1786</x:v>
      </x:c>
      <x:c r="T2280" s="11" t="n">
        <x:v>223</x:v>
      </x:c>
    </x:row>
    <x:row r="2281" ht="23" customHeight="1">
      <x:c r="A2281" s="2" t="str">
        <x:v>Q8R2W9</x:v>
      </x:c>
      <x:c r="B2281" s="2" t="str">
        <x:v>UN</x:v>
      </x:c>
      <x:c r="C2281" s="2" t="n">
        <x:v>1</x:v>
      </x:c>
      <x:c r="D2281" s="2" t="n">
        <x:v>1</x:v>
      </x:c>
      <x:c r="E2281" s="10" t="n">
        <x:v>94.2868918918919</x:v>
      </x:c>
      <x:c r="F2281" s="11" t="n">
        <x:v>370</x:v>
      </x:c>
      <x:c r="G2281" s="11" t="n">
        <x:v>0</x:v>
      </x:c>
      <x:c r="H2281" s="11" t="n">
        <x:v>0</x:v>
      </x:c>
      <x:c r="I2281" s="11" t="n">
        <x:v>0</x:v>
      </x:c>
      <x:c r="J2281" s="11" t="n">
        <x:v>0</x:v>
      </x:c>
      <x:c r="K2281" s="11" t="n">
        <x:v>1</x:v>
      </x:c>
      <x:c r="L2281" s="11" t="n">
        <x:f>IF(B2281="NED",1,IF(OR(B2281="ED",B2281="UN"),0,""))</x:f>
        <x:v>0</x:v>
      </x:c>
      <x:c r="M2281" s="11" t="n">
        <x:f>IF(AND(K2281=1,OR(B2281="ED",B2281="NED")),1,0)</x:f>
        <x:v>0</x:v>
      </x:c>
      <x:c r="N2281" s="11" t="n">
        <x:f>IF(K2281=1,1,0)</x:f>
        <x:v>1</x:v>
      </x:c>
      <x:c r="O2281" s="12"/>
      <x:c r="P2281" s="11" t="n">
        <x:v>0</x:v>
      </x:c>
      <x:c r="Q2281" s="12" t="str">
        <x:v>AF-Q8R2W9-F1-model_v6</x:v>
      </x:c>
      <x:c r="R2281" s="12" t="str">
        <x:v>ok</x:v>
      </x:c>
      <x:c r="S2281" s="11" t="n">
        <x:v>1787</x:v>
      </x:c>
      <x:c r="T2281" s="11" t="n">
        <x:v>370</x:v>
      </x:c>
    </x:row>
    <x:row r="2282" ht="23" customHeight="1">
      <x:c r="A2282" s="2" t="str">
        <x:v>Q8R2Y8</x:v>
      </x:c>
      <x:c r="B2282" s="2" t="str">
        <x:v>ED</x:v>
      </x:c>
      <x:c r="C2282" s="2" t="n">
        <x:v>1</x:v>
      </x:c>
      <x:c r="D2282" s="2" t="n">
        <x:v>1</x:v>
      </x:c>
      <x:c r="E2282" s="10"/>
      <x:c r="F2282" s="11" t="n">
        <x:v>181</x:v>
      </x:c>
      <x:c r="G2282" s="11" t="n">
        <x:v>0</x:v>
      </x:c>
      <x:c r="H2282" s="11" t="n">
        <x:v>0</x:v>
      </x:c>
      <x:c r="I2282" s="11" t="n">
        <x:v>1</x:v>
      </x:c>
      <x:c r="J2282" s="11" t="n">
        <x:v>0</x:v>
      </x:c>
      <x:c r="K2282" s="11" t="n">
        <x:v>0</x:v>
      </x:c>
      <x:c r="L2282" s="11" t="n">
        <x:f>IF(B2282="NED",1,IF(OR(B2282="ED",B2282="UN"),0,""))</x:f>
        <x:v>0</x:v>
      </x:c>
      <x:c r="M2282" s="11" t="n">
        <x:f>IF(AND(K2282=1,OR(B2282="ED",B2282="NED")),1,0)</x:f>
        <x:v>0</x:v>
      </x:c>
      <x:c r="N2282" s="11" t="n">
        <x:f>IF(K2282=1,1,0)</x:f>
        <x:v>0</x:v>
      </x:c>
      <x:c r="O2282" s="12" t="str">
        <x:v>Exclude UniProt Membrane keyword</x:v>
      </x:c>
      <x:c r="P2282" s="11" t="n">
        <x:v>0</x:v>
      </x:c>
      <x:c r="Q2282" s="12" t="str">
        <x:v>AF-Q8R2Y8-F1-model_v6</x:v>
      </x:c>
      <x:c r="R2282" s="12" t="str">
        <x:v>ok</x:v>
      </x:c>
      <x:c r="S2282" s="11" t="n">
        <x:v>1788</x:v>
      </x:c>
      <x:c r="T2282" s="11" t="n">
        <x:v>181</x:v>
      </x:c>
    </x:row>
    <x:row r="2283" ht="23" customHeight="1">
      <x:c r="A2283" s="2" t="str">
        <x:v>Q8R307</x:v>
      </x:c>
      <x:c r="B2283" s="2" t="str">
        <x:v>ED</x:v>
      </x:c>
      <x:c r="C2283" s="2" t="n">
        <x:v>1</x:v>
      </x:c>
      <x:c r="D2283" s="2" t="n">
        <x:v>1</x:v>
      </x:c>
      <x:c r="E2283" s="10"/>
      <x:c r="F2283" s="11" t="n">
        <x:v>973</x:v>
      </x:c>
      <x:c r="G2283" s="11" t="n">
        <x:v>0</x:v>
      </x:c>
      <x:c r="H2283" s="11" t="n">
        <x:v>0</x:v>
      </x:c>
      <x:c r="I2283" s="11" t="n">
        <x:v>1</x:v>
      </x:c>
      <x:c r="J2283" s="11" t="n">
        <x:v>0</x:v>
      </x:c>
      <x:c r="K2283" s="11" t="n">
        <x:v>0</x:v>
      </x:c>
      <x:c r="L2283" s="11" t="n">
        <x:f>IF(B2283="NED",1,IF(OR(B2283="ED",B2283="UN"),0,""))</x:f>
        <x:v>0</x:v>
      </x:c>
      <x:c r="M2283" s="11" t="n">
        <x:f>IF(AND(K2283=1,OR(B2283="ED",B2283="NED")),1,0)</x:f>
        <x:v>0</x:v>
      </x:c>
      <x:c r="N2283" s="11" t="n">
        <x:f>IF(K2283=1,1,0)</x:f>
        <x:v>0</x:v>
      </x:c>
      <x:c r="O2283" s="12" t="str">
        <x:v>Exclude UniProt Membrane keyword</x:v>
      </x:c>
      <x:c r="P2283" s="11" t="n">
        <x:v>0</x:v>
      </x:c>
      <x:c r="Q2283" s="12" t="str">
        <x:v>AF-Q8R307-F1-model_v6</x:v>
      </x:c>
      <x:c r="R2283" s="12" t="str">
        <x:v>ok</x:v>
      </x:c>
      <x:c r="S2283" s="11" t="n">
        <x:v>1789</x:v>
      </x:c>
      <x:c r="T2283" s="11" t="n">
        <x:v>973</x:v>
      </x:c>
    </x:row>
    <x:row r="2284" ht="23" customHeight="1">
      <x:c r="A2284" s="2" t="str">
        <x:v>Q8R317-2</x:v>
      </x:c>
      <x:c r="B2284" s="2" t="str">
        <x:v>UN</x:v>
      </x:c>
      <x:c r="C2284" s="2"/>
      <x:c r="D2284" s="2"/>
      <x:c r="E2284" s="10"/>
      <x:c r="F2284" s="11"/>
      <x:c r="G2284" s="11" t="n">
        <x:v>0</x:v>
      </x:c>
      <x:c r="H2284" s="11" t="n">
        <x:v>0</x:v>
      </x:c>
      <x:c r="I2284" s="11"/>
      <x:c r="J2284" s="11"/>
      <x:c r="K2284" s="11" t="n">
        <x:v>0</x:v>
      </x:c>
      <x:c r="L2284" s="11" t="n">
        <x:f>IF(B2284="NED",1,IF(OR(B2284="ED",B2284="UN"),0,""))</x:f>
        <x:v>0</x:v>
      </x:c>
      <x:c r="M2284" s="11" t="n">
        <x:f>IF(AND(K2284=1,OR(B2284="ED",B2284="NED")),1,0)</x:f>
        <x:v>0</x:v>
      </x:c>
      <x:c r="N2284" s="11" t="n">
        <x:f>IF(K2284=1,1,0)</x:f>
        <x:v>0</x:v>
      </x:c>
      <x:c r="O2284" s="12" t="str">
        <x:v>Require exact native accession match</x:v>
      </x:c>
      <x:c r="P2284" s="11" t="n">
        <x:v>0</x:v>
      </x:c>
      <x:c r="Q2284" s="12"/>
      <x:c r="R2284" s="12"/>
      <x:c r="S2284" s="11" t="n">
        <x:v>1790</x:v>
      </x:c>
      <x:c r="T2284" s="11"/>
    </x:row>
    <x:row r="2285" ht="23" customHeight="1">
      <x:c r="A2285" s="2" t="str">
        <x:v>Q8R322</x:v>
      </x:c>
      <x:c r="B2285" s="2" t="str">
        <x:v>UN</x:v>
      </x:c>
      <x:c r="C2285" s="2" t="n">
        <x:v>0</x:v>
      </x:c>
      <x:c r="D2285" s="2" t="n">
        <x:v>0</x:v>
      </x:c>
      <x:c r="E2285" s="10" t="n">
        <x:v>79.02376251788269</x:v>
      </x:c>
      <x:c r="F2285" s="11" t="n">
        <x:v>699</x:v>
      </x:c>
      <x:c r="G2285" s="11" t="n">
        <x:v>0</x:v>
      </x:c>
      <x:c r="H2285" s="11" t="n">
        <x:v>0</x:v>
      </x:c>
      <x:c r="I2285" s="11" t="n">
        <x:v>0</x:v>
      </x:c>
      <x:c r="J2285" s="11" t="n">
        <x:v>0</x:v>
      </x:c>
      <x:c r="K2285" s="11" t="n">
        <x:v>1</x:v>
      </x:c>
      <x:c r="L2285" s="11" t="n">
        <x:f>IF(B2285="NED",1,IF(OR(B2285="ED",B2285="UN"),0,""))</x:f>
        <x:v>0</x:v>
      </x:c>
      <x:c r="M2285" s="11" t="n">
        <x:f>IF(AND(K2285=1,OR(B2285="ED",B2285="NED")),1,0)</x:f>
        <x:v>0</x:v>
      </x:c>
      <x:c r="N2285" s="11" t="n">
        <x:f>IF(K2285=1,1,0)</x:f>
        <x:v>1</x:v>
      </x:c>
      <x:c r="O2285" s="12"/>
      <x:c r="P2285" s="11" t="n">
        <x:v>0</x:v>
      </x:c>
      <x:c r="Q2285" s="12" t="str">
        <x:v>AF-Q8R322-F1-model_v6</x:v>
      </x:c>
      <x:c r="R2285" s="12" t="str">
        <x:v>ok</x:v>
      </x:c>
      <x:c r="S2285" s="11" t="n">
        <x:v>1791</x:v>
      </x:c>
      <x:c r="T2285" s="11" t="n">
        <x:v>699</x:v>
      </x:c>
    </x:row>
    <x:row r="2286" ht="23" customHeight="1">
      <x:c r="A2286" s="2" t="str">
        <x:v>Q8R323</x:v>
      </x:c>
      <x:c r="B2286" s="2" t="str">
        <x:v>UN</x:v>
      </x:c>
      <x:c r="C2286" s="2" t="n">
        <x:v>1</x:v>
      </x:c>
      <x:c r="D2286" s="2" t="n">
        <x:v>1</x:v>
      </x:c>
      <x:c r="E2286" s="10" t="n">
        <x:v>89.38817415730337</x:v>
      </x:c>
      <x:c r="F2286" s="11" t="n">
        <x:v>356</x:v>
      </x:c>
      <x:c r="G2286" s="11" t="n">
        <x:v>0</x:v>
      </x:c>
      <x:c r="H2286" s="11" t="n">
        <x:v>0</x:v>
      </x:c>
      <x:c r="I2286" s="11" t="n">
        <x:v>0</x:v>
      </x:c>
      <x:c r="J2286" s="11" t="n">
        <x:v>0</x:v>
      </x:c>
      <x:c r="K2286" s="11" t="n">
        <x:v>1</x:v>
      </x:c>
      <x:c r="L2286" s="11" t="n">
        <x:f>IF(B2286="NED",1,IF(OR(B2286="ED",B2286="UN"),0,""))</x:f>
        <x:v>0</x:v>
      </x:c>
      <x:c r="M2286" s="11" t="n">
        <x:f>IF(AND(K2286=1,OR(B2286="ED",B2286="NED")),1,0)</x:f>
        <x:v>0</x:v>
      </x:c>
      <x:c r="N2286" s="11" t="n">
        <x:f>IF(K2286=1,1,0)</x:f>
        <x:v>1</x:v>
      </x:c>
      <x:c r="O2286" s="12"/>
      <x:c r="P2286" s="11" t="n">
        <x:v>0</x:v>
      </x:c>
      <x:c r="Q2286" s="12" t="str">
        <x:v>AF-Q8R323-F1-model_v6</x:v>
      </x:c>
      <x:c r="R2286" s="12" t="str">
        <x:v>ok</x:v>
      </x:c>
      <x:c r="S2286" s="11" t="n">
        <x:v>1792</x:v>
      </x:c>
      <x:c r="T2286" s="11" t="n">
        <x:v>356</x:v>
      </x:c>
    </x:row>
    <x:row r="2287" ht="23" customHeight="1">
      <x:c r="A2287" s="2" t="str">
        <x:v>Q8R326</x:v>
      </x:c>
      <x:c r="B2287" s="2" t="str">
        <x:v>UN</x:v>
      </x:c>
      <x:c r="C2287" s="2" t="n">
        <x:v>1</x:v>
      </x:c>
      <x:c r="D2287" s="2" t="n">
        <x:v>1</x:v>
      </x:c>
      <x:c r="E2287" s="10" t="n">
        <x:v>72.98650095602295</x:v>
      </x:c>
      <x:c r="F2287" s="11" t="n">
        <x:v>523</x:v>
      </x:c>
      <x:c r="G2287" s="11" t="n">
        <x:v>0</x:v>
      </x:c>
      <x:c r="H2287" s="11" t="n">
        <x:v>0</x:v>
      </x:c>
      <x:c r="I2287" s="11" t="n">
        <x:v>0</x:v>
      </x:c>
      <x:c r="J2287" s="11" t="n">
        <x:v>0</x:v>
      </x:c>
      <x:c r="K2287" s="11" t="n">
        <x:v>1</x:v>
      </x:c>
      <x:c r="L2287" s="11" t="n">
        <x:f>IF(B2287="NED",1,IF(OR(B2287="ED",B2287="UN"),0,""))</x:f>
        <x:v>0</x:v>
      </x:c>
      <x:c r="M2287" s="11" t="n">
        <x:f>IF(AND(K2287=1,OR(B2287="ED",B2287="NED")),1,0)</x:f>
        <x:v>0</x:v>
      </x:c>
      <x:c r="N2287" s="11" t="n">
        <x:f>IF(K2287=1,1,0)</x:f>
        <x:v>1</x:v>
      </x:c>
      <x:c r="O2287" s="12"/>
      <x:c r="P2287" s="11" t="n">
        <x:v>0</x:v>
      </x:c>
      <x:c r="Q2287" s="12" t="str">
        <x:v>AF-Q8R326-F1-model_v6</x:v>
      </x:c>
      <x:c r="R2287" s="12" t="str">
        <x:v>ok</x:v>
      </x:c>
      <x:c r="S2287" s="11" t="n">
        <x:v>1793</x:v>
      </x:c>
      <x:c r="T2287" s="11" t="n">
        <x:v>523</x:v>
      </x:c>
    </x:row>
    <x:row r="2288" ht="23" customHeight="1">
      <x:c r="A2288" s="2" t="str">
        <x:v>Q8R332-4</x:v>
      </x:c>
      <x:c r="B2288" s="2" t="str">
        <x:v>ED</x:v>
      </x:c>
      <x:c r="C2288" s="2"/>
      <x:c r="D2288" s="2"/>
      <x:c r="E2288" s="10"/>
      <x:c r="F2288" s="11"/>
      <x:c r="G2288" s="11" t="n">
        <x:v>0</x:v>
      </x:c>
      <x:c r="H2288" s="11" t="n">
        <x:v>0</x:v>
      </x:c>
      <x:c r="I2288" s="11"/>
      <x:c r="J2288" s="11"/>
      <x:c r="K2288" s="11" t="n">
        <x:v>0</x:v>
      </x:c>
      <x:c r="L2288" s="11" t="n">
        <x:f>IF(B2288="NED",1,IF(OR(B2288="ED",B2288="UN"),0,""))</x:f>
        <x:v>0</x:v>
      </x:c>
      <x:c r="M2288" s="11" t="n">
        <x:f>IF(AND(K2288=1,OR(B2288="ED",B2288="NED")),1,0)</x:f>
        <x:v>0</x:v>
      </x:c>
      <x:c r="N2288" s="11" t="n">
        <x:f>IF(K2288=1,1,0)</x:f>
        <x:v>0</x:v>
      </x:c>
      <x:c r="O2288" s="12" t="str">
        <x:v>Require exact native accession match</x:v>
      </x:c>
      <x:c r="P2288" s="11" t="n">
        <x:v>0</x:v>
      </x:c>
      <x:c r="Q2288" s="12"/>
      <x:c r="R2288" s="12"/>
      <x:c r="S2288" s="11" t="n">
        <x:v>1794</x:v>
      </x:c>
      <x:c r="T2288" s="11"/>
    </x:row>
    <x:row r="2289" ht="23" customHeight="1">
      <x:c r="A2289" s="2" t="str">
        <x:v>Q8R349</x:v>
      </x:c>
      <x:c r="B2289" s="2" t="str">
        <x:v>UN</x:v>
      </x:c>
      <x:c r="C2289" s="2" t="n">
        <x:v>0</x:v>
      </x:c>
      <x:c r="D2289" s="2" t="n">
        <x:v>0</x:v>
      </x:c>
      <x:c r="E2289" s="10" t="n">
        <x:v>81.0970806451613</x:v>
      </x:c>
      <x:c r="F2289" s="11" t="n">
        <x:v>620</x:v>
      </x:c>
      <x:c r="G2289" s="11" t="n">
        <x:v>0</x:v>
      </x:c>
      <x:c r="H2289" s="11" t="n">
        <x:v>0</x:v>
      </x:c>
      <x:c r="I2289" s="11" t="n">
        <x:v>0</x:v>
      </x:c>
      <x:c r="J2289" s="11" t="n">
        <x:v>0</x:v>
      </x:c>
      <x:c r="K2289" s="11" t="n">
        <x:v>1</x:v>
      </x:c>
      <x:c r="L2289" s="11" t="n">
        <x:f>IF(B2289="NED",1,IF(OR(B2289="ED",B2289="UN"),0,""))</x:f>
        <x:v>0</x:v>
      </x:c>
      <x:c r="M2289" s="11" t="n">
        <x:f>IF(AND(K2289=1,OR(B2289="ED",B2289="NED")),1,0)</x:f>
        <x:v>0</x:v>
      </x:c>
      <x:c r="N2289" s="11" t="n">
        <x:f>IF(K2289=1,1,0)</x:f>
        <x:v>1</x:v>
      </x:c>
      <x:c r="O2289" s="12"/>
      <x:c r="P2289" s="11" t="n">
        <x:v>0</x:v>
      </x:c>
      <x:c r="Q2289" s="12" t="str">
        <x:v>AF-Q8R349-F1-model_v6</x:v>
      </x:c>
      <x:c r="R2289" s="12" t="str">
        <x:v>ok</x:v>
      </x:c>
      <x:c r="S2289" s="11" t="n">
        <x:v>1795</x:v>
      </x:c>
      <x:c r="T2289" s="11" t="n">
        <x:v>620</x:v>
      </x:c>
    </x:row>
    <x:row r="2290" ht="23" customHeight="1">
      <x:c r="A2290" s="2" t="str">
        <x:v>Q8R361</x:v>
      </x:c>
      <x:c r="B2290" s="2" t="str">
        <x:v>ED</x:v>
      </x:c>
      <x:c r="C2290" s="2" t="n">
        <x:v>1</x:v>
      </x:c>
      <x:c r="D2290" s="2" t="n">
        <x:v>1</x:v>
      </x:c>
      <x:c r="E2290" s="10"/>
      <x:c r="F2290" s="11" t="n">
        <x:v>645</x:v>
      </x:c>
      <x:c r="G2290" s="11" t="n">
        <x:v>0</x:v>
      </x:c>
      <x:c r="H2290" s="11" t="n">
        <x:v>0</x:v>
      </x:c>
      <x:c r="I2290" s="11" t="n">
        <x:v>1</x:v>
      </x:c>
      <x:c r="J2290" s="11" t="n">
        <x:v>0</x:v>
      </x:c>
      <x:c r="K2290" s="11" t="n">
        <x:v>0</x:v>
      </x:c>
      <x:c r="L2290" s="11" t="n">
        <x:f>IF(B2290="NED",1,IF(OR(B2290="ED",B2290="UN"),0,""))</x:f>
        <x:v>0</x:v>
      </x:c>
      <x:c r="M2290" s="11" t="n">
        <x:f>IF(AND(K2290=1,OR(B2290="ED",B2290="NED")),1,0)</x:f>
        <x:v>0</x:v>
      </x:c>
      <x:c r="N2290" s="11" t="n">
        <x:f>IF(K2290=1,1,0)</x:f>
        <x:v>0</x:v>
      </x:c>
      <x:c r="O2290" s="12" t="str">
        <x:v>Exclude UniProt Membrane keyword</x:v>
      </x:c>
      <x:c r="P2290" s="11" t="n">
        <x:v>0</x:v>
      </x:c>
      <x:c r="Q2290" s="12" t="str">
        <x:v>AF-Q8R361-F1-model_v6</x:v>
      </x:c>
      <x:c r="R2290" s="12" t="str">
        <x:v>ok</x:v>
      </x:c>
      <x:c r="S2290" s="11" t="n">
        <x:v>1796</x:v>
      </x:c>
      <x:c r="T2290" s="11" t="n">
        <x:v>645</x:v>
      </x:c>
    </x:row>
    <x:row r="2291" ht="23" customHeight="1">
      <x:c r="A2291" s="2" t="str">
        <x:v>Q8R3C0</x:v>
      </x:c>
      <x:c r="B2291" s="2" t="str">
        <x:v>UN</x:v>
      </x:c>
      <x:c r="C2291" s="2" t="n">
        <x:v>1</x:v>
      </x:c>
      <x:c r="D2291" s="2" t="n">
        <x:v>1</x:v>
      </x:c>
      <x:c r="E2291" s="10" t="n">
        <x:v>81.95914330218068</x:v>
      </x:c>
      <x:c r="F2291" s="11" t="n">
        <x:v>642</x:v>
      </x:c>
      <x:c r="G2291" s="11" t="n">
        <x:v>0</x:v>
      </x:c>
      <x:c r="H2291" s="11" t="n">
        <x:v>0</x:v>
      </x:c>
      <x:c r="I2291" s="11" t="n">
        <x:v>0</x:v>
      </x:c>
      <x:c r="J2291" s="11" t="n">
        <x:v>0</x:v>
      </x:c>
      <x:c r="K2291" s="11" t="n">
        <x:v>1</x:v>
      </x:c>
      <x:c r="L2291" s="11" t="n">
        <x:f>IF(B2291="NED",1,IF(OR(B2291="ED",B2291="UN"),0,""))</x:f>
        <x:v>0</x:v>
      </x:c>
      <x:c r="M2291" s="11" t="n">
        <x:f>IF(AND(K2291=1,OR(B2291="ED",B2291="NED")),1,0)</x:f>
        <x:v>0</x:v>
      </x:c>
      <x:c r="N2291" s="11" t="n">
        <x:f>IF(K2291=1,1,0)</x:f>
        <x:v>1</x:v>
      </x:c>
      <x:c r="O2291" s="12"/>
      <x:c r="P2291" s="11" t="n">
        <x:v>0</x:v>
      </x:c>
      <x:c r="Q2291" s="12" t="str">
        <x:v>AF-Q8R3C0-F1-model_v6</x:v>
      </x:c>
      <x:c r="R2291" s="12" t="str">
        <x:v>ok</x:v>
      </x:c>
      <x:c r="S2291" s="11" t="n">
        <x:v>1797</x:v>
      </x:c>
      <x:c r="T2291" s="11" t="n">
        <x:v>642</x:v>
      </x:c>
    </x:row>
    <x:row r="2292" ht="23" customHeight="1">
      <x:c r="A2292" s="2" t="str">
        <x:v>Q8R3C6</x:v>
      </x:c>
      <x:c r="B2292" s="2" t="str">
        <x:v>UN</x:v>
      </x:c>
      <x:c r="C2292" s="2" t="n">
        <x:v>1</x:v>
      </x:c>
      <x:c r="D2292" s="2" t="n">
        <x:v>1</x:v>
      </x:c>
      <x:c r="E2292" s="10" t="n">
        <x:v>69.63384453781512</x:v>
      </x:c>
      <x:c r="F2292" s="11" t="n">
        <x:v>952</x:v>
      </x:c>
      <x:c r="G2292" s="11" t="n">
        <x:v>0</x:v>
      </x:c>
      <x:c r="H2292" s="11" t="n">
        <x:v>0</x:v>
      </x:c>
      <x:c r="I2292" s="11" t="n">
        <x:v>0</x:v>
      </x:c>
      <x:c r="J2292" s="11" t="n">
        <x:v>0</x:v>
      </x:c>
      <x:c r="K2292" s="11" t="n">
        <x:v>0</x:v>
      </x:c>
      <x:c r="L2292" s="11" t="n">
        <x:f>IF(B2292="NED",1,IF(OR(B2292="ED",B2292="UN"),0,""))</x:f>
        <x:v>0</x:v>
      </x:c>
      <x:c r="M2292" s="11" t="n">
        <x:f>IF(AND(K2292=1,OR(B2292="ED",B2292="NED")),1,0)</x:f>
        <x:v>0</x:v>
      </x:c>
      <x:c r="N2292" s="11" t="n">
        <x:f>IF(K2292=1,1,0)</x:f>
        <x:v>0</x:v>
      </x:c>
      <x:c r="O2292" s="12" t="str">
        <x:v>Retain protein mean pLDDT &gt;=70</x:v>
      </x:c>
      <x:c r="P2292" s="11" t="n">
        <x:v>0</x:v>
      </x:c>
      <x:c r="Q2292" s="12" t="str">
        <x:v>AF-Q8R3C6-F1-model_v6</x:v>
      </x:c>
      <x:c r="R2292" s="12" t="str">
        <x:v>ok</x:v>
      </x:c>
      <x:c r="S2292" s="11" t="n">
        <x:v>1798</x:v>
      </x:c>
      <x:c r="T2292" s="11" t="n">
        <x:v>952</x:v>
      </x:c>
    </x:row>
    <x:row r="2293" ht="23" customHeight="1">
      <x:c r="A2293" s="2" t="str">
        <x:v>Q8R3F5</x:v>
      </x:c>
      <x:c r="B2293" s="2" t="str">
        <x:v>NED</x:v>
      </x:c>
      <x:c r="C2293" s="2" t="n">
        <x:v>1</x:v>
      </x:c>
      <x:c r="D2293" s="2" t="n">
        <x:v>1</x:v>
      </x:c>
      <x:c r="E2293" s="10" t="n">
        <x:v>88.54073490813647</x:v>
      </x:c>
      <x:c r="F2293" s="11" t="n">
        <x:v>381</x:v>
      </x:c>
      <x:c r="G2293" s="11" t="n">
        <x:v>0</x:v>
      </x:c>
      <x:c r="H2293" s="11" t="n">
        <x:v>0</x:v>
      </x:c>
      <x:c r="I2293" s="11" t="n">
        <x:v>0</x:v>
      </x:c>
      <x:c r="J2293" s="11" t="n">
        <x:v>0</x:v>
      </x:c>
      <x:c r="K2293" s="11" t="n">
        <x:v>1</x:v>
      </x:c>
      <x:c r="L2293" s="11" t="n">
        <x:f>IF(B2293="NED",1,IF(OR(B2293="ED",B2293="UN"),0,""))</x:f>
        <x:v>1</x:v>
      </x:c>
      <x:c r="M2293" s="11" t="n">
        <x:f>IF(AND(K2293=1,OR(B2293="ED",B2293="NED")),1,0)</x:f>
        <x:v>1</x:v>
      </x:c>
      <x:c r="N2293" s="11" t="n">
        <x:f>IF(K2293=1,1,0)</x:f>
        <x:v>1</x:v>
      </x:c>
      <x:c r="O2293" s="12"/>
      <x:c r="P2293" s="11" t="n">
        <x:v>0</x:v>
      </x:c>
      <x:c r="Q2293" s="12" t="str">
        <x:v>AF-Q8R3F5-F1-model_v6</x:v>
      </x:c>
      <x:c r="R2293" s="12" t="str">
        <x:v>ok</x:v>
      </x:c>
      <x:c r="S2293" s="11" t="n">
        <x:v>1799</x:v>
      </x:c>
      <x:c r="T2293" s="11" t="n">
        <x:v>381</x:v>
      </x:c>
    </x:row>
    <x:row r="2294" ht="23" customHeight="1">
      <x:c r="A2294" s="2" t="str">
        <x:v>Q8R3F9</x:v>
      </x:c>
      <x:c r="B2294" s="2" t="str">
        <x:v>ED</x:v>
      </x:c>
      <x:c r="C2294" s="2" t="n">
        <x:v>1</x:v>
      </x:c>
      <x:c r="D2294" s="2" t="n">
        <x:v>1</x:v>
      </x:c>
      <x:c r="E2294" s="10" t="n">
        <x:v>74.37191024165708</x:v>
      </x:c>
      <x:c r="F2294" s="11" t="n">
        <x:v>869</x:v>
      </x:c>
      <x:c r="G2294" s="11" t="n">
        <x:v>0</x:v>
      </x:c>
      <x:c r="H2294" s="11" t="n">
        <x:v>0</x:v>
      </x:c>
      <x:c r="I2294" s="11" t="n">
        <x:v>0</x:v>
      </x:c>
      <x:c r="J2294" s="11" t="n">
        <x:v>0</x:v>
      </x:c>
      <x:c r="K2294" s="11" t="n">
        <x:v>1</x:v>
      </x:c>
      <x:c r="L2294" s="11" t="n">
        <x:f>IF(B2294="NED",1,IF(OR(B2294="ED",B2294="UN"),0,""))</x:f>
        <x:v>0</x:v>
      </x:c>
      <x:c r="M2294" s="11" t="n">
        <x:f>IF(AND(K2294=1,OR(B2294="ED",B2294="NED")),1,0)</x:f>
        <x:v>1</x:v>
      </x:c>
      <x:c r="N2294" s="11" t="n">
        <x:f>IF(K2294=1,1,0)</x:f>
        <x:v>1</x:v>
      </x:c>
      <x:c r="O2294" s="12"/>
      <x:c r="P2294" s="11" t="n">
        <x:v>0</x:v>
      </x:c>
      <x:c r="Q2294" s="12" t="str">
        <x:v>AF-Q8R3F9-F1-model_v6</x:v>
      </x:c>
      <x:c r="R2294" s="12" t="str">
        <x:v>ok</x:v>
      </x:c>
      <x:c r="S2294" s="11" t="n">
        <x:v>1800</x:v>
      </x:c>
      <x:c r="T2294" s="11" t="n">
        <x:v>869</x:v>
      </x:c>
    </x:row>
    <x:row r="2295" ht="23" customHeight="1">
      <x:c r="A2295" s="2" t="str">
        <x:v>Q8R3H9</x:v>
      </x:c>
      <x:c r="B2295" s="2" t="str">
        <x:v>UN</x:v>
      </x:c>
      <x:c r="C2295" s="2" t="n">
        <x:v>1</x:v>
      </x:c>
      <x:c r="D2295" s="2" t="n">
        <x:v>1</x:v>
      </x:c>
      <x:c r="E2295" s="10" t="n">
        <x:v>87.21432642487048</x:v>
      </x:c>
      <x:c r="F2295" s="11" t="n">
        <x:v>386</x:v>
      </x:c>
      <x:c r="G2295" s="11" t="n">
        <x:v>0</x:v>
      </x:c>
      <x:c r="H2295" s="11" t="n">
        <x:v>0</x:v>
      </x:c>
      <x:c r="I2295" s="11" t="n">
        <x:v>0</x:v>
      </x:c>
      <x:c r="J2295" s="11" t="n">
        <x:v>0</x:v>
      </x:c>
      <x:c r="K2295" s="11" t="n">
        <x:v>1</x:v>
      </x:c>
      <x:c r="L2295" s="11" t="n">
        <x:f>IF(B2295="NED",1,IF(OR(B2295="ED",B2295="UN"),0,""))</x:f>
        <x:v>0</x:v>
      </x:c>
      <x:c r="M2295" s="11" t="n">
        <x:f>IF(AND(K2295=1,OR(B2295="ED",B2295="NED")),1,0)</x:f>
        <x:v>0</x:v>
      </x:c>
      <x:c r="N2295" s="11" t="n">
        <x:f>IF(K2295=1,1,0)</x:f>
        <x:v>1</x:v>
      </x:c>
      <x:c r="O2295" s="12"/>
      <x:c r="P2295" s="11" t="n">
        <x:v>0</x:v>
      </x:c>
      <x:c r="Q2295" s="12" t="str">
        <x:v>AF-Q8R3H9-F1-model_v6</x:v>
      </x:c>
      <x:c r="R2295" s="12" t="str">
        <x:v>ok</x:v>
      </x:c>
      <x:c r="S2295" s="11" t="n">
        <x:v>1801</x:v>
      </x:c>
      <x:c r="T2295" s="11" t="n">
        <x:v>386</x:v>
      </x:c>
    </x:row>
    <x:row r="2296" ht="23" customHeight="1">
      <x:c r="A2296" s="2" t="str">
        <x:v>Q8R3N1</x:v>
      </x:c>
      <x:c r="B2296" s="2" t="str">
        <x:v>UN</x:v>
      </x:c>
      <x:c r="C2296" s="2" t="n">
        <x:v>1</x:v>
      </x:c>
      <x:c r="D2296" s="2" t="n">
        <x:v>1</x:v>
      </x:c>
      <x:c r="E2296" s="10" t="n">
        <x:v>72.82743023255813</x:v>
      </x:c>
      <x:c r="F2296" s="11" t="n">
        <x:v>860</x:v>
      </x:c>
      <x:c r="G2296" s="11" t="n">
        <x:v>0</x:v>
      </x:c>
      <x:c r="H2296" s="11" t="n">
        <x:v>0</x:v>
      </x:c>
      <x:c r="I2296" s="11" t="n">
        <x:v>0</x:v>
      </x:c>
      <x:c r="J2296" s="11" t="n">
        <x:v>0</x:v>
      </x:c>
      <x:c r="K2296" s="11" t="n">
        <x:v>1</x:v>
      </x:c>
      <x:c r="L2296" s="11" t="n">
        <x:f>IF(B2296="NED",1,IF(OR(B2296="ED",B2296="UN"),0,""))</x:f>
        <x:v>0</x:v>
      </x:c>
      <x:c r="M2296" s="11" t="n">
        <x:f>IF(AND(K2296=1,OR(B2296="ED",B2296="NED")),1,0)</x:f>
        <x:v>0</x:v>
      </x:c>
      <x:c r="N2296" s="11" t="n">
        <x:f>IF(K2296=1,1,0)</x:f>
        <x:v>1</x:v>
      </x:c>
      <x:c r="O2296" s="12"/>
      <x:c r="P2296" s="11" t="n">
        <x:v>0</x:v>
      </x:c>
      <x:c r="Q2296" s="12" t="str">
        <x:v>AF-Q8R3N1-F1-model_v6</x:v>
      </x:c>
      <x:c r="R2296" s="12" t="str">
        <x:v>ok</x:v>
      </x:c>
      <x:c r="S2296" s="11" t="n">
        <x:v>1802</x:v>
      </x:c>
      <x:c r="T2296" s="11" t="n">
        <x:v>860</x:v>
      </x:c>
    </x:row>
    <x:row r="2297" ht="23" customHeight="1">
      <x:c r="A2297" s="2" t="str">
        <x:v>Q8R3N6</x:v>
      </x:c>
      <x:c r="B2297" s="2" t="str">
        <x:v>UN</x:v>
      </x:c>
      <x:c r="C2297" s="2" t="n">
        <x:v>1</x:v>
      </x:c>
      <x:c r="D2297" s="2" t="n">
        <x:v>1</x:v>
      </x:c>
      <x:c r="E2297" s="10" t="n">
        <x:v>80.56820395738204</x:v>
      </x:c>
      <x:c r="F2297" s="11" t="n">
        <x:v>657</x:v>
      </x:c>
      <x:c r="G2297" s="11" t="n">
        <x:v>0</x:v>
      </x:c>
      <x:c r="H2297" s="11" t="n">
        <x:v>0</x:v>
      </x:c>
      <x:c r="I2297" s="11" t="n">
        <x:v>0</x:v>
      </x:c>
      <x:c r="J2297" s="11" t="n">
        <x:v>0</x:v>
      </x:c>
      <x:c r="K2297" s="11" t="n">
        <x:v>1</x:v>
      </x:c>
      <x:c r="L2297" s="11" t="n">
        <x:f>IF(B2297="NED",1,IF(OR(B2297="ED",B2297="UN"),0,""))</x:f>
        <x:v>0</x:v>
      </x:c>
      <x:c r="M2297" s="11" t="n">
        <x:f>IF(AND(K2297=1,OR(B2297="ED",B2297="NED")),1,0)</x:f>
        <x:v>0</x:v>
      </x:c>
      <x:c r="N2297" s="11" t="n">
        <x:f>IF(K2297=1,1,0)</x:f>
        <x:v>1</x:v>
      </x:c>
      <x:c r="O2297" s="12"/>
      <x:c r="P2297" s="11" t="n">
        <x:v>0</x:v>
      </x:c>
      <x:c r="Q2297" s="12" t="str">
        <x:v>AF-Q8R3N6-F1-model_v6</x:v>
      </x:c>
      <x:c r="R2297" s="12" t="str">
        <x:v>ok</x:v>
      </x:c>
      <x:c r="S2297" s="11" t="n">
        <x:v>1803</x:v>
      </x:c>
      <x:c r="T2297" s="11" t="n">
        <x:v>657</x:v>
      </x:c>
    </x:row>
    <x:row r="2298" ht="23" customHeight="1">
      <x:c r="A2298" s="2" t="str">
        <x:v>Q8R3P6</x:v>
      </x:c>
      <x:c r="B2298" s="2" t="str">
        <x:v>UN</x:v>
      </x:c>
      <x:c r="C2298" s="2" t="n">
        <x:v>1</x:v>
      </x:c>
      <x:c r="D2298" s="2" t="n">
        <x:v>1</x:v>
      </x:c>
      <x:c r="E2298" s="10" t="n">
        <x:v>89.99357281553398</x:v>
      </x:c>
      <x:c r="F2298" s="11" t="n">
        <x:v>515</x:v>
      </x:c>
      <x:c r="G2298" s="11" t="n">
        <x:v>0</x:v>
      </x:c>
      <x:c r="H2298" s="11" t="n">
        <x:v>0</x:v>
      </x:c>
      <x:c r="I2298" s="11" t="n">
        <x:v>0</x:v>
      </x:c>
      <x:c r="J2298" s="11" t="n">
        <x:v>0</x:v>
      </x:c>
      <x:c r="K2298" s="11" t="n">
        <x:v>1</x:v>
      </x:c>
      <x:c r="L2298" s="11" t="n">
        <x:f>IF(B2298="NED",1,IF(OR(B2298="ED",B2298="UN"),0,""))</x:f>
        <x:v>0</x:v>
      </x:c>
      <x:c r="M2298" s="11" t="n">
        <x:f>IF(AND(K2298=1,OR(B2298="ED",B2298="NED")),1,0)</x:f>
        <x:v>0</x:v>
      </x:c>
      <x:c r="N2298" s="11" t="n">
        <x:f>IF(K2298=1,1,0)</x:f>
        <x:v>1</x:v>
      </x:c>
      <x:c r="O2298" s="12"/>
      <x:c r="P2298" s="11" t="n">
        <x:v>0</x:v>
      </x:c>
      <x:c r="Q2298" s="12" t="str">
        <x:v>AF-Q8R3P6-F1-model_v6</x:v>
      </x:c>
      <x:c r="R2298" s="12" t="str">
        <x:v>ok</x:v>
      </x:c>
      <x:c r="S2298" s="11" t="n">
        <x:v>1804</x:v>
      </x:c>
      <x:c r="T2298" s="11" t="n">
        <x:v>515</x:v>
      </x:c>
    </x:row>
    <x:row r="2299" ht="23" customHeight="1">
      <x:c r="A2299" s="2" t="str">
        <x:v>Q8R3Q6</x:v>
      </x:c>
      <x:c r="B2299" s="2" t="str">
        <x:v>ED</x:v>
      </x:c>
      <x:c r="C2299" s="2" t="n">
        <x:v>0</x:v>
      </x:c>
      <x:c r="D2299" s="2" t="n">
        <x:v>0</x:v>
      </x:c>
      <x:c r="E2299" s="10" t="n">
        <x:v>86.28458333333333</x:v>
      </x:c>
      <x:c r="F2299" s="11" t="n">
        <x:v>144</x:v>
      </x:c>
      <x:c r="G2299" s="11" t="n">
        <x:v>0</x:v>
      </x:c>
      <x:c r="H2299" s="11" t="n">
        <x:v>0</x:v>
      </x:c>
      <x:c r="I2299" s="11" t="n">
        <x:v>0</x:v>
      </x:c>
      <x:c r="J2299" s="11" t="n">
        <x:v>0</x:v>
      </x:c>
      <x:c r="K2299" s="11" t="n">
        <x:v>1</x:v>
      </x:c>
      <x:c r="L2299" s="11" t="n">
        <x:f>IF(B2299="NED",1,IF(OR(B2299="ED",B2299="UN"),0,""))</x:f>
        <x:v>0</x:v>
      </x:c>
      <x:c r="M2299" s="11" t="n">
        <x:f>IF(AND(K2299=1,OR(B2299="ED",B2299="NED")),1,0)</x:f>
        <x:v>1</x:v>
      </x:c>
      <x:c r="N2299" s="11" t="n">
        <x:f>IF(K2299=1,1,0)</x:f>
        <x:v>1</x:v>
      </x:c>
      <x:c r="O2299" s="12"/>
      <x:c r="P2299" s="11" t="n">
        <x:v>0</x:v>
      </x:c>
      <x:c r="Q2299" s="12" t="str">
        <x:v>AF-Q8R3Q6-F1-model_v6</x:v>
      </x:c>
      <x:c r="R2299" s="12" t="str">
        <x:v>ok</x:v>
      </x:c>
      <x:c r="S2299" s="11" t="n">
        <x:v>1805</x:v>
      </x:c>
      <x:c r="T2299" s="11" t="n">
        <x:v>144</x:v>
      </x:c>
    </x:row>
    <x:row r="2300" ht="23" customHeight="1">
      <x:c r="A2300" s="2" t="str">
        <x:v>Q8R3V5-1</x:v>
      </x:c>
      <x:c r="B2300" s="2" t="str">
        <x:v>ED</x:v>
      </x:c>
      <x:c r="C2300" s="2"/>
      <x:c r="D2300" s="2"/>
      <x:c r="E2300" s="10"/>
      <x:c r="F2300" s="11"/>
      <x:c r="G2300" s="11" t="n">
        <x:v>0</x:v>
      </x:c>
      <x:c r="H2300" s="11" t="n">
        <x:v>0</x:v>
      </x:c>
      <x:c r="I2300" s="11"/>
      <x:c r="J2300" s="11"/>
      <x:c r="K2300" s="11" t="n">
        <x:v>0</x:v>
      </x:c>
      <x:c r="L2300" s="11" t="n">
        <x:f>IF(B2300="NED",1,IF(OR(B2300="ED",B2300="UN"),0,""))</x:f>
        <x:v>0</x:v>
      </x:c>
      <x:c r="M2300" s="11" t="n">
        <x:f>IF(AND(K2300=1,OR(B2300="ED",B2300="NED")),1,0)</x:f>
        <x:v>0</x:v>
      </x:c>
      <x:c r="N2300" s="11" t="n">
        <x:f>IF(K2300=1,1,0)</x:f>
        <x:v>0</x:v>
      </x:c>
      <x:c r="O2300" s="12" t="str">
        <x:v>Require exact native accession match</x:v>
      </x:c>
      <x:c r="P2300" s="11" t="n">
        <x:v>0</x:v>
      </x:c>
      <x:c r="Q2300" s="12"/>
      <x:c r="R2300" s="12"/>
      <x:c r="S2300" s="11" t="n">
        <x:v>1806</x:v>
      </x:c>
      <x:c r="T2300" s="11"/>
    </x:row>
    <x:row r="2301" ht="23" customHeight="1">
      <x:c r="A2301" s="2" t="str">
        <x:v>Q8R3Y8-2</x:v>
      </x:c>
      <x:c r="B2301" s="2" t="str">
        <x:v>ED</x:v>
      </x:c>
      <x:c r="C2301" s="2"/>
      <x:c r="D2301" s="2"/>
      <x:c r="E2301" s="10"/>
      <x:c r="F2301" s="11"/>
      <x:c r="G2301" s="11" t="n">
        <x:v>0</x:v>
      </x:c>
      <x:c r="H2301" s="11" t="n">
        <x:v>0</x:v>
      </x:c>
      <x:c r="I2301" s="11"/>
      <x:c r="J2301" s="11"/>
      <x:c r="K2301" s="11" t="n">
        <x:v>0</x:v>
      </x:c>
      <x:c r="L2301" s="11" t="n">
        <x:f>IF(B2301="NED",1,IF(OR(B2301="ED",B2301="UN"),0,""))</x:f>
        <x:v>0</x:v>
      </x:c>
      <x:c r="M2301" s="11" t="n">
        <x:f>IF(AND(K2301=1,OR(B2301="ED",B2301="NED")),1,0)</x:f>
        <x:v>0</x:v>
      </x:c>
      <x:c r="N2301" s="11" t="n">
        <x:f>IF(K2301=1,1,0)</x:f>
        <x:v>0</x:v>
      </x:c>
      <x:c r="O2301" s="12" t="str">
        <x:v>Require exact native accession match</x:v>
      </x:c>
      <x:c r="P2301" s="11" t="n">
        <x:v>0</x:v>
      </x:c>
      <x:c r="Q2301" s="12"/>
      <x:c r="R2301" s="12"/>
      <x:c r="S2301" s="11" t="n">
        <x:v>1807</x:v>
      </x:c>
      <x:c r="T2301" s="11"/>
    </x:row>
    <x:row r="2302" ht="23" customHeight="1">
      <x:c r="A2302" s="2" t="str">
        <x:v>Q8R409</x:v>
      </x:c>
      <x:c r="B2302" s="2" t="str">
        <x:v>ED</x:v>
      </x:c>
      <x:c r="C2302" s="2" t="n">
        <x:v>0</x:v>
      </x:c>
      <x:c r="D2302" s="2" t="n">
        <x:v>0</x:v>
      </x:c>
      <x:c r="E2302" s="10"/>
      <x:c r="F2302" s="11" t="n">
        <x:v>356</x:v>
      </x:c>
      <x:c r="G2302" s="11" t="n">
        <x:v>1</x:v>
      </x:c>
      <x:c r="H2302" s="11" t="n">
        <x:v>0</x:v>
      </x:c>
      <x:c r="I2302" s="11" t="n">
        <x:v>0</x:v>
      </x:c>
      <x:c r="J2302" s="11" t="n">
        <x:v>0</x:v>
      </x:c>
      <x:c r="K2302" s="11" t="n">
        <x:v>0</x:v>
      </x:c>
      <x:c r="L2302" s="11" t="n">
        <x:f>IF(B2302="NED",1,IF(OR(B2302="ED",B2302="UN"),0,""))</x:f>
        <x:v>0</x:v>
      </x:c>
      <x:c r="M2302" s="11" t="n">
        <x:f>IF(AND(K2302=1,OR(B2302="ED",B2302="NED")),1,0)</x:f>
        <x:v>0</x:v>
      </x:c>
      <x:c r="N2302" s="11" t="n">
        <x:f>IF(K2302=1,1,0)</x:f>
        <x:v>0</x:v>
      </x:c>
      <x:c r="O2302" s="12" t="str">
        <x:v>Exclude supplied knotted proteins</x:v>
      </x:c>
      <x:c r="P2302" s="11" t="n">
        <x:v>0</x:v>
      </x:c>
      <x:c r="Q2302" s="12" t="str">
        <x:v>AF-Q8R409-F1-model_v6</x:v>
      </x:c>
      <x:c r="R2302" s="12" t="str">
        <x:v>ok</x:v>
      </x:c>
      <x:c r="S2302" s="11" t="n">
        <x:v>1808</x:v>
      </x:c>
      <x:c r="T2302" s="11" t="n">
        <x:v>356</x:v>
      </x:c>
    </x:row>
    <x:row r="2303" ht="23" customHeight="1">
      <x:c r="A2303" s="2" t="str">
        <x:v>Q8R422</x:v>
      </x:c>
      <x:c r="B2303" s="2" t="str">
        <x:v>ED</x:v>
      </x:c>
      <x:c r="C2303" s="2" t="n">
        <x:v>1</x:v>
      </x:c>
      <x:c r="D2303" s="2" t="n">
        <x:v>1</x:v>
      </x:c>
      <x:c r="E2303" s="10"/>
      <x:c r="F2303" s="11" t="n">
        <x:v>1442</x:v>
      </x:c>
      <x:c r="G2303" s="11" t="n">
        <x:v>0</x:v>
      </x:c>
      <x:c r="H2303" s="11" t="n">
        <x:v>0</x:v>
      </x:c>
      <x:c r="I2303" s="11" t="n">
        <x:v>1</x:v>
      </x:c>
      <x:c r="J2303" s="11" t="n">
        <x:v>0</x:v>
      </x:c>
      <x:c r="K2303" s="11" t="n">
        <x:v>0</x:v>
      </x:c>
      <x:c r="L2303" s="11" t="n">
        <x:f>IF(B2303="NED",1,IF(OR(B2303="ED",B2303="UN"),0,""))</x:f>
        <x:v>0</x:v>
      </x:c>
      <x:c r="M2303" s="11" t="n">
        <x:f>IF(AND(K2303=1,OR(B2303="ED",B2303="NED")),1,0)</x:f>
        <x:v>0</x:v>
      </x:c>
      <x:c r="N2303" s="11" t="n">
        <x:f>IF(K2303=1,1,0)</x:f>
        <x:v>0</x:v>
      </x:c>
      <x:c r="O2303" s="12" t="str">
        <x:v>Exclude UniProt Membrane keyword</x:v>
      </x:c>
      <x:c r="P2303" s="11" t="n">
        <x:v>0</x:v>
      </x:c>
      <x:c r="Q2303" s="12" t="str">
        <x:v>AF-Q8R422-F1-model_v6</x:v>
      </x:c>
      <x:c r="R2303" s="12" t="str">
        <x:v>ok</x:v>
      </x:c>
      <x:c r="S2303" s="11" t="n">
        <x:v>1809</x:v>
      </x:c>
      <x:c r="T2303" s="11" t="n">
        <x:v>1442</x:v>
      </x:c>
    </x:row>
    <x:row r="2304" ht="23" customHeight="1">
      <x:c r="A2304" s="2" t="str">
        <x:v>Q8R480</x:v>
      </x:c>
      <x:c r="B2304" s="2" t="str">
        <x:v>UN</x:v>
      </x:c>
      <x:c r="C2304" s="2" t="n">
        <x:v>0</x:v>
      </x:c>
      <x:c r="D2304" s="2" t="n">
        <x:v>0</x:v>
      </x:c>
      <x:c r="E2304" s="10"/>
      <x:c r="F2304" s="11" t="n">
        <x:v>656</x:v>
      </x:c>
      <x:c r="G2304" s="11" t="n">
        <x:v>0</x:v>
      </x:c>
      <x:c r="H2304" s="11" t="n">
        <x:v>0</x:v>
      </x:c>
      <x:c r="I2304" s="11" t="n">
        <x:v>1</x:v>
      </x:c>
      <x:c r="J2304" s="11" t="n">
        <x:v>0</x:v>
      </x:c>
      <x:c r="K2304" s="11" t="n">
        <x:v>0</x:v>
      </x:c>
      <x:c r="L2304" s="11" t="n">
        <x:f>IF(B2304="NED",1,IF(OR(B2304="ED",B2304="UN"),0,""))</x:f>
        <x:v>0</x:v>
      </x:c>
      <x:c r="M2304" s="11" t="n">
        <x:f>IF(AND(K2304=1,OR(B2304="ED",B2304="NED")),1,0)</x:f>
        <x:v>0</x:v>
      </x:c>
      <x:c r="N2304" s="11" t="n">
        <x:f>IF(K2304=1,1,0)</x:f>
        <x:v>0</x:v>
      </x:c>
      <x:c r="O2304" s="12" t="str">
        <x:v>Exclude UniProt Membrane keyword</x:v>
      </x:c>
      <x:c r="P2304" s="11" t="n">
        <x:v>0</x:v>
      </x:c>
      <x:c r="Q2304" s="12" t="str">
        <x:v>AF-Q8R480-F1-model_v6</x:v>
      </x:c>
      <x:c r="R2304" s="12" t="str">
        <x:v>ok</x:v>
      </x:c>
      <x:c r="S2304" s="11" t="n">
        <x:v>1810</x:v>
      </x:c>
      <x:c r="T2304" s="11" t="n">
        <x:v>656</x:v>
      </x:c>
    </x:row>
    <x:row r="2305" ht="23" customHeight="1">
      <x:c r="A2305" s="2" t="str">
        <x:v>Q8R4H9</x:v>
      </x:c>
      <x:c r="B2305" s="2" t="str">
        <x:v>UN</x:v>
      </x:c>
      <x:c r="C2305" s="2" t="n">
        <x:v>1</x:v>
      </x:c>
      <x:c r="D2305" s="2" t="n">
        <x:v>1</x:v>
      </x:c>
      <x:c r="E2305" s="10"/>
      <x:c r="F2305" s="11" t="n">
        <x:v>761</x:v>
      </x:c>
      <x:c r="G2305" s="11" t="n">
        <x:v>0</x:v>
      </x:c>
      <x:c r="H2305" s="11" t="n">
        <x:v>0</x:v>
      </x:c>
      <x:c r="I2305" s="11" t="n">
        <x:v>1</x:v>
      </x:c>
      <x:c r="J2305" s="11" t="n">
        <x:v>0</x:v>
      </x:c>
      <x:c r="K2305" s="11" t="n">
        <x:v>0</x:v>
      </x:c>
      <x:c r="L2305" s="11" t="n">
        <x:f>IF(B2305="NED",1,IF(OR(B2305="ED",B2305="UN"),0,""))</x:f>
        <x:v>0</x:v>
      </x:c>
      <x:c r="M2305" s="11" t="n">
        <x:f>IF(AND(K2305=1,OR(B2305="ED",B2305="NED")),1,0)</x:f>
        <x:v>0</x:v>
      </x:c>
      <x:c r="N2305" s="11" t="n">
        <x:f>IF(K2305=1,1,0)</x:f>
        <x:v>0</x:v>
      </x:c>
      <x:c r="O2305" s="12" t="str">
        <x:v>Exclude UniProt Membrane keyword</x:v>
      </x:c>
      <x:c r="P2305" s="11" t="n">
        <x:v>0</x:v>
      </x:c>
      <x:c r="Q2305" s="12" t="str">
        <x:v>AF-Q8R4H9-F1-model_v6</x:v>
      </x:c>
      <x:c r="R2305" s="12" t="str">
        <x:v>ok</x:v>
      </x:c>
      <x:c r="S2305" s="11" t="n">
        <x:v>1811</x:v>
      </x:c>
      <x:c r="T2305" s="11" t="n">
        <x:v>761</x:v>
      </x:c>
    </x:row>
    <x:row r="2306" ht="23" customHeight="1">
      <x:c r="A2306" s="2" t="str">
        <x:v>Q8R4R6</x:v>
      </x:c>
      <x:c r="B2306" s="2" t="str">
        <x:v>NED</x:v>
      </x:c>
      <x:c r="C2306" s="2" t="n">
        <x:v>1</x:v>
      </x:c>
      <x:c r="D2306" s="2" t="n">
        <x:v>1</x:v>
      </x:c>
      <x:c r="E2306" s="10"/>
      <x:c r="F2306" s="11" t="n">
        <x:v>325</x:v>
      </x:c>
      <x:c r="G2306" s="11" t="n">
        <x:v>0</x:v>
      </x:c>
      <x:c r="H2306" s="11" t="n">
        <x:v>0</x:v>
      </x:c>
      <x:c r="I2306" s="11" t="n">
        <x:v>1</x:v>
      </x:c>
      <x:c r="J2306" s="11" t="n">
        <x:v>0</x:v>
      </x:c>
      <x:c r="K2306" s="11" t="n">
        <x:v>0</x:v>
      </x:c>
      <x:c r="L2306" s="11" t="n">
        <x:f>IF(B2306="NED",1,IF(OR(B2306="ED",B2306="UN"),0,""))</x:f>
        <x:v>1</x:v>
      </x:c>
      <x:c r="M2306" s="11" t="n">
        <x:f>IF(AND(K2306=1,OR(B2306="ED",B2306="NED")),1,0)</x:f>
        <x:v>0</x:v>
      </x:c>
      <x:c r="N2306" s="11" t="n">
        <x:f>IF(K2306=1,1,0)</x:f>
        <x:v>0</x:v>
      </x:c>
      <x:c r="O2306" s="12" t="str">
        <x:v>Exclude UniProt Membrane keyword</x:v>
      </x:c>
      <x:c r="P2306" s="11" t="n">
        <x:v>0</x:v>
      </x:c>
      <x:c r="Q2306" s="12" t="str">
        <x:v>AF-Q8R4R6-F1-model_v6</x:v>
      </x:c>
      <x:c r="R2306" s="12" t="str">
        <x:v>ok</x:v>
      </x:c>
      <x:c r="S2306" s="11" t="n">
        <x:v>1812</x:v>
      </x:c>
      <x:c r="T2306" s="11" t="n">
        <x:v>325</x:v>
      </x:c>
    </x:row>
    <x:row r="2307" ht="23" customHeight="1">
      <x:c r="A2307" s="2" t="str">
        <x:v>Q8R4U7</x:v>
      </x:c>
      <x:c r="B2307" s="2" t="str">
        <x:v>ED</x:v>
      </x:c>
      <x:c r="C2307" s="2" t="n">
        <x:v>1</x:v>
      </x:c>
      <x:c r="D2307" s="2"/>
      <x:c r="E2307" s="10"/>
      <x:c r="F2307" s="11" t="n">
        <x:v>1068</x:v>
      </x:c>
      <x:c r="G2307" s="11" t="n">
        <x:v>1</x:v>
      </x:c>
      <x:c r="H2307" s="11" t="n">
        <x:v>0</x:v>
      </x:c>
      <x:c r="I2307" s="11" t="n">
        <x:v>0</x:v>
      </x:c>
      <x:c r="J2307" s="11" t="n">
        <x:v>0</x:v>
      </x:c>
      <x:c r="K2307" s="11" t="n">
        <x:v>0</x:v>
      </x:c>
      <x:c r="L2307" s="11" t="n">
        <x:f>IF(B2307="NED",1,IF(OR(B2307="ED",B2307="UN"),0,""))</x:f>
        <x:v>0</x:v>
      </x:c>
      <x:c r="M2307" s="11" t="n">
        <x:f>IF(AND(K2307=1,OR(B2307="ED",B2307="NED")),1,0)</x:f>
        <x:v>0</x:v>
      </x:c>
      <x:c r="N2307" s="11" t="n">
        <x:f>IF(K2307=1,1,0)</x:f>
        <x:v>0</x:v>
      </x:c>
      <x:c r="O2307" s="12" t="str">
        <x:v>Exclude supplied knotted proteins</x:v>
      </x:c>
      <x:c r="P2307" s="11" t="n">
        <x:v>0</x:v>
      </x:c>
      <x:c r="Q2307" s="12" t="str">
        <x:v>AF-Q8R4U7-F1-model_v6</x:v>
      </x:c>
      <x:c r="R2307" s="12" t="str">
        <x:v>ok</x:v>
      </x:c>
      <x:c r="S2307" s="11" t="n">
        <x:v>1813</x:v>
      </x:c>
      <x:c r="T2307" s="11" t="n">
        <x:v>1068</x:v>
      </x:c>
    </x:row>
    <x:row r="2308" ht="23" customHeight="1">
      <x:c r="A2308" s="2" t="str">
        <x:v>Q8R4X3</x:v>
      </x:c>
      <x:c r="B2308" s="2" t="str">
        <x:v>ED</x:v>
      </x:c>
      <x:c r="C2308" s="2" t="n">
        <x:v>1</x:v>
      </x:c>
      <x:c r="D2308" s="2" t="n">
        <x:v>1</x:v>
      </x:c>
      <x:c r="E2308" s="10" t="n">
        <x:v>62.26272177419355</x:v>
      </x:c>
      <x:c r="F2308" s="11" t="n">
        <x:v>992</x:v>
      </x:c>
      <x:c r="G2308" s="11" t="n">
        <x:v>0</x:v>
      </x:c>
      <x:c r="H2308" s="11" t="n">
        <x:v>0</x:v>
      </x:c>
      <x:c r="I2308" s="11" t="n">
        <x:v>0</x:v>
      </x:c>
      <x:c r="J2308" s="11" t="n">
        <x:v>0</x:v>
      </x:c>
      <x:c r="K2308" s="11" t="n">
        <x:v>0</x:v>
      </x:c>
      <x:c r="L2308" s="11" t="n">
        <x:f>IF(B2308="NED",1,IF(OR(B2308="ED",B2308="UN"),0,""))</x:f>
        <x:v>0</x:v>
      </x:c>
      <x:c r="M2308" s="11" t="n">
        <x:f>IF(AND(K2308=1,OR(B2308="ED",B2308="NED")),1,0)</x:f>
        <x:v>0</x:v>
      </x:c>
      <x:c r="N2308" s="11" t="n">
        <x:f>IF(K2308=1,1,0)</x:f>
        <x:v>0</x:v>
      </x:c>
      <x:c r="O2308" s="12" t="str">
        <x:v>Retain protein mean pLDDT &gt;=70</x:v>
      </x:c>
      <x:c r="P2308" s="11" t="n">
        <x:v>0</x:v>
      </x:c>
      <x:c r="Q2308" s="12" t="str">
        <x:v>AF-Q8R4X3-F1-model_v6</x:v>
      </x:c>
      <x:c r="R2308" s="12" t="str">
        <x:v>ok</x:v>
      </x:c>
      <x:c r="S2308" s="11" t="n">
        <x:v>1814</x:v>
      </x:c>
      <x:c r="T2308" s="11" t="n">
        <x:v>992</x:v>
      </x:c>
    </x:row>
    <x:row r="2309" ht="23" customHeight="1">
      <x:c r="A2309" s="2" t="str">
        <x:v>Q8R502</x:v>
      </x:c>
      <x:c r="B2309" s="2" t="str">
        <x:v>UN</x:v>
      </x:c>
      <x:c r="C2309" s="2" t="n">
        <x:v>0</x:v>
      </x:c>
      <x:c r="D2309" s="2" t="n">
        <x:v>0</x:v>
      </x:c>
      <x:c r="E2309" s="10"/>
      <x:c r="F2309" s="11" t="n">
        <x:v>803</x:v>
      </x:c>
      <x:c r="G2309" s="11" t="n">
        <x:v>0</x:v>
      </x:c>
      <x:c r="H2309" s="11" t="n">
        <x:v>0</x:v>
      </x:c>
      <x:c r="I2309" s="11" t="n">
        <x:v>1</x:v>
      </x:c>
      <x:c r="J2309" s="11" t="n">
        <x:v>0</x:v>
      </x:c>
      <x:c r="K2309" s="11" t="n">
        <x:v>0</x:v>
      </x:c>
      <x:c r="L2309" s="11" t="n">
        <x:f>IF(B2309="NED",1,IF(OR(B2309="ED",B2309="UN"),0,""))</x:f>
        <x:v>0</x:v>
      </x:c>
      <x:c r="M2309" s="11" t="n">
        <x:f>IF(AND(K2309=1,OR(B2309="ED",B2309="NED")),1,0)</x:f>
        <x:v>0</x:v>
      </x:c>
      <x:c r="N2309" s="11" t="n">
        <x:f>IF(K2309=1,1,0)</x:f>
        <x:v>0</x:v>
      </x:c>
      <x:c r="O2309" s="12" t="str">
        <x:v>Exclude UniProt Membrane keyword</x:v>
      </x:c>
      <x:c r="P2309" s="11" t="n">
        <x:v>0</x:v>
      </x:c>
      <x:c r="Q2309" s="12" t="str">
        <x:v>AF-Q8R502-F1-model_v6</x:v>
      </x:c>
      <x:c r="R2309" s="12" t="str">
        <x:v>ok</x:v>
      </x:c>
      <x:c r="S2309" s="11" t="n">
        <x:v>1815</x:v>
      </x:c>
      <x:c r="T2309" s="11" t="n">
        <x:v>803</x:v>
      </x:c>
    </x:row>
    <x:row r="2310" ht="23" customHeight="1">
      <x:c r="A2310" s="2" t="str">
        <x:v>Q8R550-2</x:v>
      </x:c>
      <x:c r="B2310" s="2" t="str">
        <x:v>ED</x:v>
      </x:c>
      <x:c r="C2310" s="2"/>
      <x:c r="D2310" s="2"/>
      <x:c r="E2310" s="10"/>
      <x:c r="F2310" s="11"/>
      <x:c r="G2310" s="11" t="n">
        <x:v>0</x:v>
      </x:c>
      <x:c r="H2310" s="11" t="n">
        <x:v>0</x:v>
      </x:c>
      <x:c r="I2310" s="11"/>
      <x:c r="J2310" s="11"/>
      <x:c r="K2310" s="11" t="n">
        <x:v>0</x:v>
      </x:c>
      <x:c r="L2310" s="11" t="n">
        <x:f>IF(B2310="NED",1,IF(OR(B2310="ED",B2310="UN"),0,""))</x:f>
        <x:v>0</x:v>
      </x:c>
      <x:c r="M2310" s="11" t="n">
        <x:f>IF(AND(K2310=1,OR(B2310="ED",B2310="NED")),1,0)</x:f>
        <x:v>0</x:v>
      </x:c>
      <x:c r="N2310" s="11" t="n">
        <x:f>IF(K2310=1,1,0)</x:f>
        <x:v>0</x:v>
      </x:c>
      <x:c r="O2310" s="12" t="str">
        <x:v>Require exact native accession match</x:v>
      </x:c>
      <x:c r="P2310" s="11" t="n">
        <x:v>0</x:v>
      </x:c>
      <x:c r="Q2310" s="12"/>
      <x:c r="R2310" s="12"/>
      <x:c r="S2310" s="11" t="n">
        <x:v>1816</x:v>
      </x:c>
      <x:c r="T2310" s="11"/>
    </x:row>
    <x:row r="2311" ht="23" customHeight="1">
      <x:c r="A2311" s="2" t="str">
        <x:v>Q8R570</x:v>
      </x:c>
      <x:c r="B2311" s="2" t="str">
        <x:v>ED</x:v>
      </x:c>
      <x:c r="C2311" s="2" t="n">
        <x:v>1</x:v>
      </x:c>
      <x:c r="D2311" s="2" t="n">
        <x:v>1</x:v>
      </x:c>
      <x:c r="E2311" s="10"/>
      <x:c r="F2311" s="11" t="n">
        <x:v>413</x:v>
      </x:c>
      <x:c r="G2311" s="11" t="n">
        <x:v>0</x:v>
      </x:c>
      <x:c r="H2311" s="11" t="n">
        <x:v>0</x:v>
      </x:c>
      <x:c r="I2311" s="11" t="n">
        <x:v>1</x:v>
      </x:c>
      <x:c r="J2311" s="11" t="n">
        <x:v>0</x:v>
      </x:c>
      <x:c r="K2311" s="11" t="n">
        <x:v>0</x:v>
      </x:c>
      <x:c r="L2311" s="11" t="n">
        <x:f>IF(B2311="NED",1,IF(OR(B2311="ED",B2311="UN"),0,""))</x:f>
        <x:v>0</x:v>
      </x:c>
      <x:c r="M2311" s="11" t="n">
        <x:f>IF(AND(K2311=1,OR(B2311="ED",B2311="NED")),1,0)</x:f>
        <x:v>0</x:v>
      </x:c>
      <x:c r="N2311" s="11" t="n">
        <x:f>IF(K2311=1,1,0)</x:f>
        <x:v>0</x:v>
      </x:c>
      <x:c r="O2311" s="12" t="str">
        <x:v>Exclude UniProt Membrane keyword</x:v>
      </x:c>
      <x:c r="P2311" s="11" t="n">
        <x:v>0</x:v>
      </x:c>
      <x:c r="Q2311" s="12" t="str">
        <x:v>AF-Q8R570-F1-model_v6</x:v>
      </x:c>
      <x:c r="R2311" s="12" t="str">
        <x:v>ok</x:v>
      </x:c>
      <x:c r="S2311" s="11" t="n">
        <x:v>1817</x:v>
      </x:c>
      <x:c r="T2311" s="11" t="n">
        <x:v>413</x:v>
      </x:c>
    </x:row>
    <x:row r="2312" ht="23" customHeight="1">
      <x:c r="A2312" s="2" t="str">
        <x:v>Q8R574</x:v>
      </x:c>
      <x:c r="B2312" s="2" t="str">
        <x:v>ED</x:v>
      </x:c>
      <x:c r="C2312" s="2" t="n">
        <x:v>1</x:v>
      </x:c>
      <x:c r="D2312" s="2" t="n">
        <x:v>1</x:v>
      </x:c>
      <x:c r="E2312" s="10" t="n">
        <x:v>87.01108401084011</x:v>
      </x:c>
      <x:c r="F2312" s="11" t="n">
        <x:v>369</x:v>
      </x:c>
      <x:c r="G2312" s="11" t="n">
        <x:v>0</x:v>
      </x:c>
      <x:c r="H2312" s="11" t="n">
        <x:v>0</x:v>
      </x:c>
      <x:c r="I2312" s="11" t="n">
        <x:v>0</x:v>
      </x:c>
      <x:c r="J2312" s="11" t="n">
        <x:v>0</x:v>
      </x:c>
      <x:c r="K2312" s="11" t="n">
        <x:v>1</x:v>
      </x:c>
      <x:c r="L2312" s="11" t="n">
        <x:f>IF(B2312="NED",1,IF(OR(B2312="ED",B2312="UN"),0,""))</x:f>
        <x:v>0</x:v>
      </x:c>
      <x:c r="M2312" s="11" t="n">
        <x:f>IF(AND(K2312=1,OR(B2312="ED",B2312="NED")),1,0)</x:f>
        <x:v>1</x:v>
      </x:c>
      <x:c r="N2312" s="11" t="n">
        <x:f>IF(K2312=1,1,0)</x:f>
        <x:v>1</x:v>
      </x:c>
      <x:c r="O2312" s="12"/>
      <x:c r="P2312" s="11" t="n">
        <x:v>0</x:v>
      </x:c>
      <x:c r="Q2312" s="12" t="str">
        <x:v>AF-Q8R574-F1-model_v6</x:v>
      </x:c>
      <x:c r="R2312" s="12" t="str">
        <x:v>ok</x:v>
      </x:c>
      <x:c r="S2312" s="11" t="n">
        <x:v>1818</x:v>
      </x:c>
      <x:c r="T2312" s="11" t="n">
        <x:v>369</x:v>
      </x:c>
    </x:row>
    <x:row r="2313" ht="23" customHeight="1">
      <x:c r="A2313" s="2" t="str">
        <x:v>Q8R5C5</x:v>
      </x:c>
      <x:c r="B2313" s="2" t="str">
        <x:v>NED</x:v>
      </x:c>
      <x:c r="C2313" s="2" t="n">
        <x:v>1</x:v>
      </x:c>
      <x:c r="D2313" s="2" t="n">
        <x:v>1</x:v>
      </x:c>
      <x:c r="E2313" s="10" t="n">
        <x:v>93.00143617021276</x:v>
      </x:c>
      <x:c r="F2313" s="11" t="n">
        <x:v>376</x:v>
      </x:c>
      <x:c r="G2313" s="11" t="n">
        <x:v>0</x:v>
      </x:c>
      <x:c r="H2313" s="11" t="n">
        <x:v>0</x:v>
      </x:c>
      <x:c r="I2313" s="11" t="n">
        <x:v>0</x:v>
      </x:c>
      <x:c r="J2313" s="11" t="n">
        <x:v>0</x:v>
      </x:c>
      <x:c r="K2313" s="11" t="n">
        <x:v>1</x:v>
      </x:c>
      <x:c r="L2313" s="11" t="n">
        <x:f>IF(B2313="NED",1,IF(OR(B2313="ED",B2313="UN"),0,""))</x:f>
        <x:v>1</x:v>
      </x:c>
      <x:c r="M2313" s="11" t="n">
        <x:f>IF(AND(K2313=1,OR(B2313="ED",B2313="NED")),1,0)</x:f>
        <x:v>1</x:v>
      </x:c>
      <x:c r="N2313" s="11" t="n">
        <x:f>IF(K2313=1,1,0)</x:f>
        <x:v>1</x:v>
      </x:c>
      <x:c r="O2313" s="12"/>
      <x:c r="P2313" s="11" t="n">
        <x:v>0</x:v>
      </x:c>
      <x:c r="Q2313" s="12" t="str">
        <x:v>AF-Q8R5C5-F1-model_v6</x:v>
      </x:c>
      <x:c r="R2313" s="12" t="str">
        <x:v>ok</x:v>
      </x:c>
      <x:c r="S2313" s="11" t="n">
        <x:v>1819</x:v>
      </x:c>
      <x:c r="T2313" s="11" t="n">
        <x:v>376</x:v>
      </x:c>
    </x:row>
    <x:row r="2314" ht="23" customHeight="1">
      <x:c r="A2314" s="2" t="str">
        <x:v>Q8R5H1</x:v>
      </x:c>
      <x:c r="B2314" s="2" t="str">
        <x:v>ED</x:v>
      </x:c>
      <x:c r="C2314" s="2" t="n">
        <x:v>1</x:v>
      </x:c>
      <x:c r="D2314" s="2" t="n">
        <x:v>1</x:v>
      </x:c>
      <x:c r="E2314" s="10" t="n">
        <x:v>75.69089704383283</x:v>
      </x:c>
      <x:c r="F2314" s="11" t="n">
        <x:v>981</x:v>
      </x:c>
      <x:c r="G2314" s="11" t="n">
        <x:v>0</x:v>
      </x:c>
      <x:c r="H2314" s="11" t="n">
        <x:v>0</x:v>
      </x:c>
      <x:c r="I2314" s="11" t="n">
        <x:v>0</x:v>
      </x:c>
      <x:c r="J2314" s="11" t="n">
        <x:v>0</x:v>
      </x:c>
      <x:c r="K2314" s="11" t="n">
        <x:v>1</x:v>
      </x:c>
      <x:c r="L2314" s="11" t="n">
        <x:f>IF(B2314="NED",1,IF(OR(B2314="ED",B2314="UN"),0,""))</x:f>
        <x:v>0</x:v>
      </x:c>
      <x:c r="M2314" s="11" t="n">
        <x:f>IF(AND(K2314=1,OR(B2314="ED",B2314="NED")),1,0)</x:f>
        <x:v>1</x:v>
      </x:c>
      <x:c r="N2314" s="11" t="n">
        <x:f>IF(K2314=1,1,0)</x:f>
        <x:v>1</x:v>
      </x:c>
      <x:c r="O2314" s="12"/>
      <x:c r="P2314" s="11" t="n">
        <x:v>0</x:v>
      </x:c>
      <x:c r="Q2314" s="12" t="str">
        <x:v>AF-Q8R5H1-F1-model_v6</x:v>
      </x:c>
      <x:c r="R2314" s="12" t="str">
        <x:v>ok</x:v>
      </x:c>
      <x:c r="S2314" s="11" t="n">
        <x:v>1820</x:v>
      </x:c>
      <x:c r="T2314" s="11" t="n">
        <x:v>981</x:v>
      </x:c>
    </x:row>
    <x:row r="2315" ht="23" customHeight="1">
      <x:c r="A2315" s="2" t="str">
        <x:v>Q8R5J9</x:v>
      </x:c>
      <x:c r="B2315" s="2" t="str">
        <x:v>ED</x:v>
      </x:c>
      <x:c r="C2315" s="2" t="n">
        <x:v>1</x:v>
      </x:c>
      <x:c r="D2315" s="2" t="n">
        <x:v>1</x:v>
      </x:c>
      <x:c r="E2315" s="10"/>
      <x:c r="F2315" s="11" t="n">
        <x:v>188</x:v>
      </x:c>
      <x:c r="G2315" s="11" t="n">
        <x:v>0</x:v>
      </x:c>
      <x:c r="H2315" s="11" t="n">
        <x:v>0</x:v>
      </x:c>
      <x:c r="I2315" s="11" t="n">
        <x:v>1</x:v>
      </x:c>
      <x:c r="J2315" s="11" t="n">
        <x:v>0</x:v>
      </x:c>
      <x:c r="K2315" s="11" t="n">
        <x:v>0</x:v>
      </x:c>
      <x:c r="L2315" s="11" t="n">
        <x:f>IF(B2315="NED",1,IF(OR(B2315="ED",B2315="UN"),0,""))</x:f>
        <x:v>0</x:v>
      </x:c>
      <x:c r="M2315" s="11" t="n">
        <x:f>IF(AND(K2315=1,OR(B2315="ED",B2315="NED")),1,0)</x:f>
        <x:v>0</x:v>
      </x:c>
      <x:c r="N2315" s="11" t="n">
        <x:f>IF(K2315=1,1,0)</x:f>
        <x:v>0</x:v>
      </x:c>
      <x:c r="O2315" s="12" t="str">
        <x:v>Exclude UniProt Membrane keyword</x:v>
      </x:c>
      <x:c r="P2315" s="11" t="n">
        <x:v>0</x:v>
      </x:c>
      <x:c r="Q2315" s="12" t="str">
        <x:v>AF-Q8R5J9-F1-model_v6</x:v>
      </x:c>
      <x:c r="R2315" s="12" t="str">
        <x:v>ok</x:v>
      </x:c>
      <x:c r="S2315" s="11" t="n">
        <x:v>1821</x:v>
      </x:c>
      <x:c r="T2315" s="11" t="n">
        <x:v>188</x:v>
      </x:c>
    </x:row>
    <x:row r="2316" ht="23" customHeight="1">
      <x:c r="A2316" s="2" t="str">
        <x:v>Q8R5K4-2</x:v>
      </x:c>
      <x:c r="B2316" s="2" t="str">
        <x:v>ED</x:v>
      </x:c>
      <x:c r="C2316" s="2"/>
      <x:c r="D2316" s="2"/>
      <x:c r="E2316" s="10"/>
      <x:c r="F2316" s="11"/>
      <x:c r="G2316" s="11" t="n">
        <x:v>0</x:v>
      </x:c>
      <x:c r="H2316" s="11" t="n">
        <x:v>0</x:v>
      </x:c>
      <x:c r="I2316" s="11"/>
      <x:c r="J2316" s="11"/>
      <x:c r="K2316" s="11" t="n">
        <x:v>0</x:v>
      </x:c>
      <x:c r="L2316" s="11" t="n">
        <x:f>IF(B2316="NED",1,IF(OR(B2316="ED",B2316="UN"),0,""))</x:f>
        <x:v>0</x:v>
      </x:c>
      <x:c r="M2316" s="11" t="n">
        <x:f>IF(AND(K2316=1,OR(B2316="ED",B2316="NED")),1,0)</x:f>
        <x:v>0</x:v>
      </x:c>
      <x:c r="N2316" s="11" t="n">
        <x:f>IF(K2316=1,1,0)</x:f>
        <x:v>0</x:v>
      </x:c>
      <x:c r="O2316" s="12" t="str">
        <x:v>Require exact native accession match</x:v>
      </x:c>
      <x:c r="P2316" s="11" t="n">
        <x:v>0</x:v>
      </x:c>
      <x:c r="Q2316" s="12"/>
      <x:c r="R2316" s="12"/>
      <x:c r="S2316" s="11" t="n">
        <x:v>1822</x:v>
      </x:c>
      <x:c r="T2316" s="11"/>
    </x:row>
    <x:row r="2317" ht="23" customHeight="1">
      <x:c r="A2317" s="2" t="str">
        <x:v>Q8R5L1</x:v>
      </x:c>
      <x:c r="B2317" s="2" t="str">
        <x:v>ED</x:v>
      </x:c>
      <x:c r="C2317" s="2"/>
      <x:c r="D2317" s="2"/>
      <x:c r="E2317" s="10"/>
      <x:c r="F2317" s="11"/>
      <x:c r="G2317" s="11" t="n">
        <x:v>0</x:v>
      </x:c>
      <x:c r="H2317" s="11" t="n">
        <x:v>0</x:v>
      </x:c>
      <x:c r="I2317" s="11" t="n">
        <x:v>1</x:v>
      </x:c>
      <x:c r="J2317" s="11" t="n">
        <x:v>1</x:v>
      </x:c>
      <x:c r="K2317" s="11" t="n">
        <x:v>0</x:v>
      </x:c>
      <x:c r="L2317" s="11" t="n">
        <x:f>IF(B2317="NED",1,IF(OR(B2317="ED",B2317="UN"),0,""))</x:f>
        <x:v>0</x:v>
      </x:c>
      <x:c r="M2317" s="11" t="n">
        <x:f>IF(AND(K2317=1,OR(B2317="ED",B2317="NED")),1,0)</x:f>
        <x:v>0</x:v>
      </x:c>
      <x:c r="N2317" s="11" t="n">
        <x:f>IF(K2317=1,1,0)</x:f>
        <x:v>0</x:v>
      </x:c>
      <x:c r="O2317" s="12" t="str">
        <x:v>Require exact native accession match</x:v>
      </x:c>
      <x:c r="P2317" s="11" t="n">
        <x:v>0</x:v>
      </x:c>
      <x:c r="Q2317" s="12"/>
      <x:c r="R2317" s="12"/>
      <x:c r="S2317" s="11" t="n">
        <x:v>3237</x:v>
      </x:c>
      <x:c r="T2317" s="11" t="n">
        <x:v>279</x:v>
      </x:c>
    </x:row>
    <x:row r="2318" ht="23" customHeight="1">
      <x:c r="A2318" s="2" t="str">
        <x:v>Q8R5L3-2</x:v>
      </x:c>
      <x:c r="B2318" s="2" t="str">
        <x:v>ED</x:v>
      </x:c>
      <x:c r="C2318" s="2"/>
      <x:c r="D2318" s="2"/>
      <x:c r="E2318" s="10"/>
      <x:c r="F2318" s="11"/>
      <x:c r="G2318" s="11" t="n">
        <x:v>0</x:v>
      </x:c>
      <x:c r="H2318" s="11" t="n">
        <x:v>0</x:v>
      </x:c>
      <x:c r="I2318" s="11"/>
      <x:c r="J2318" s="11"/>
      <x:c r="K2318" s="11" t="n">
        <x:v>0</x:v>
      </x:c>
      <x:c r="L2318" s="11" t="n">
        <x:f>IF(B2318="NED",1,IF(OR(B2318="ED",B2318="UN"),0,""))</x:f>
        <x:v>0</x:v>
      </x:c>
      <x:c r="M2318" s="11" t="n">
        <x:f>IF(AND(K2318=1,OR(B2318="ED",B2318="NED")),1,0)</x:f>
        <x:v>0</x:v>
      </x:c>
      <x:c r="N2318" s="11" t="n">
        <x:f>IF(K2318=1,1,0)</x:f>
        <x:v>0</x:v>
      </x:c>
      <x:c r="O2318" s="12" t="str">
        <x:v>Require exact native accession match</x:v>
      </x:c>
      <x:c r="P2318" s="11" t="n">
        <x:v>0</x:v>
      </x:c>
      <x:c r="Q2318" s="12"/>
      <x:c r="R2318" s="12"/>
      <x:c r="S2318" s="11" t="n">
        <x:v>1823</x:v>
      </x:c>
      <x:c r="T2318" s="11"/>
    </x:row>
    <x:row r="2319" ht="23" customHeight="1">
      <x:c r="A2319" s="2" t="str">
        <x:v>Q8VBT0</x:v>
      </x:c>
      <x:c r="B2319" s="2" t="str">
        <x:v>UN</x:v>
      </x:c>
      <x:c r="C2319" s="2" t="n">
        <x:v>1</x:v>
      </x:c>
      <x:c r="D2319" s="2" t="n">
        <x:v>1</x:v>
      </x:c>
      <x:c r="E2319" s="10"/>
      <x:c r="F2319" s="11" t="n">
        <x:v>278</x:v>
      </x:c>
      <x:c r="G2319" s="11" t="n">
        <x:v>0</x:v>
      </x:c>
      <x:c r="H2319" s="11" t="n">
        <x:v>0</x:v>
      </x:c>
      <x:c r="I2319" s="11" t="n">
        <x:v>1</x:v>
      </x:c>
      <x:c r="J2319" s="11" t="n">
        <x:v>1</x:v>
      </x:c>
      <x:c r="K2319" s="11" t="n">
        <x:v>0</x:v>
      </x:c>
      <x:c r="L2319" s="11" t="n">
        <x:f>IF(B2319="NED",1,IF(OR(B2319="ED",B2319="UN"),0,""))</x:f>
        <x:v>0</x:v>
      </x:c>
      <x:c r="M2319" s="11" t="n">
        <x:f>IF(AND(K2319=1,OR(B2319="ED",B2319="NED")),1,0)</x:f>
        <x:v>0</x:v>
      </x:c>
      <x:c r="N2319" s="11" t="n">
        <x:f>IF(K2319=1,1,0)</x:f>
        <x:v>0</x:v>
      </x:c>
      <x:c r="O2319" s="12" t="str">
        <x:v>Exclude UniProt Membrane keyword</x:v>
      </x:c>
      <x:c r="P2319" s="11" t="n">
        <x:v>0</x:v>
      </x:c>
      <x:c r="Q2319" s="12" t="str">
        <x:v>AF-Q8VBT0-F1-model_v6</x:v>
      </x:c>
      <x:c r="R2319" s="12" t="str">
        <x:v>ok</x:v>
      </x:c>
      <x:c r="S2319" s="11" t="n">
        <x:v>1824</x:v>
      </x:c>
      <x:c r="T2319" s="11" t="n">
        <x:v>278</x:v>
      </x:c>
    </x:row>
    <x:row r="2320" ht="23" customHeight="1">
      <x:c r="A2320" s="2" t="str">
        <x:v>Q8VBT9</x:v>
      </x:c>
      <x:c r="B2320" s="2" t="str">
        <x:v>ED</x:v>
      </x:c>
      <x:c r="C2320" s="2" t="n">
        <x:v>1</x:v>
      </x:c>
      <x:c r="D2320" s="2" t="n">
        <x:v>1</x:v>
      </x:c>
      <x:c r="E2320" s="10"/>
      <x:c r="F2320" s="11" t="n">
        <x:v>550</x:v>
      </x:c>
      <x:c r="G2320" s="11" t="n">
        <x:v>0</x:v>
      </x:c>
      <x:c r="H2320" s="11" t="n">
        <x:v>0</x:v>
      </x:c>
      <x:c r="I2320" s="11" t="n">
        <x:v>1</x:v>
      </x:c>
      <x:c r="J2320" s="11" t="n">
        <x:v>0</x:v>
      </x:c>
      <x:c r="K2320" s="11" t="n">
        <x:v>0</x:v>
      </x:c>
      <x:c r="L2320" s="11" t="n">
        <x:f>IF(B2320="NED",1,IF(OR(B2320="ED",B2320="UN"),0,""))</x:f>
        <x:v>0</x:v>
      </x:c>
      <x:c r="M2320" s="11" t="n">
        <x:f>IF(AND(K2320=1,OR(B2320="ED",B2320="NED")),1,0)</x:f>
        <x:v>0</x:v>
      </x:c>
      <x:c r="N2320" s="11" t="n">
        <x:f>IF(K2320=1,1,0)</x:f>
        <x:v>0</x:v>
      </x:c>
      <x:c r="O2320" s="12" t="str">
        <x:v>Exclude UniProt Membrane keyword</x:v>
      </x:c>
      <x:c r="P2320" s="11" t="n">
        <x:v>0</x:v>
      </x:c>
      <x:c r="Q2320" s="12" t="str">
        <x:v>AF-Q8VBT9-F1-model_v6</x:v>
      </x:c>
      <x:c r="R2320" s="12" t="str">
        <x:v>ok</x:v>
      </x:c>
      <x:c r="S2320" s="11" t="n">
        <x:v>1825</x:v>
      </x:c>
      <x:c r="T2320" s="11" t="n">
        <x:v>550</x:v>
      </x:c>
    </x:row>
    <x:row r="2321" ht="23" customHeight="1">
      <x:c r="A2321" s="2" t="str">
        <x:v>Q8VBV7</x:v>
      </x:c>
      <x:c r="B2321" s="2" t="str">
        <x:v>ED</x:v>
      </x:c>
      <x:c r="C2321" s="2" t="n">
        <x:v>0</x:v>
      </x:c>
      <x:c r="D2321" s="2" t="n">
        <x:v>0</x:v>
      </x:c>
      <x:c r="E2321" s="10" t="n">
        <x:v>85.67698564593302</x:v>
      </x:c>
      <x:c r="F2321" s="11" t="n">
        <x:v>209</x:v>
      </x:c>
      <x:c r="G2321" s="11" t="n">
        <x:v>0</x:v>
      </x:c>
      <x:c r="H2321" s="11" t="n">
        <x:v>0</x:v>
      </x:c>
      <x:c r="I2321" s="11" t="n">
        <x:v>0</x:v>
      </x:c>
      <x:c r="J2321" s="11" t="n">
        <x:v>0</x:v>
      </x:c>
      <x:c r="K2321" s="11" t="n">
        <x:v>1</x:v>
      </x:c>
      <x:c r="L2321" s="11" t="n">
        <x:f>IF(B2321="NED",1,IF(OR(B2321="ED",B2321="UN"),0,""))</x:f>
        <x:v>0</x:v>
      </x:c>
      <x:c r="M2321" s="11" t="n">
        <x:f>IF(AND(K2321=1,OR(B2321="ED",B2321="NED")),1,0)</x:f>
        <x:v>1</x:v>
      </x:c>
      <x:c r="N2321" s="11" t="n">
        <x:f>IF(K2321=1,1,0)</x:f>
        <x:v>1</x:v>
      </x:c>
      <x:c r="O2321" s="12"/>
      <x:c r="P2321" s="11" t="n">
        <x:v>0</x:v>
      </x:c>
      <x:c r="Q2321" s="12" t="str">
        <x:v>AF-Q8VBV7-F1-model_v6</x:v>
      </x:c>
      <x:c r="R2321" s="12" t="str">
        <x:v>ok</x:v>
      </x:c>
      <x:c r="S2321" s="11" t="n">
        <x:v>1826</x:v>
      </x:c>
      <x:c r="T2321" s="11" t="n">
        <x:v>209</x:v>
      </x:c>
    </x:row>
    <x:row r="2322" ht="23" customHeight="1">
      <x:c r="A2322" s="2" t="str">
        <x:v>Q8VBX6-2</x:v>
      </x:c>
      <x:c r="B2322" s="2" t="str">
        <x:v>UN</x:v>
      </x:c>
      <x:c r="C2322" s="2"/>
      <x:c r="D2322" s="2"/>
      <x:c r="E2322" s="10"/>
      <x:c r="F2322" s="11"/>
      <x:c r="G2322" s="11" t="n">
        <x:v>0</x:v>
      </x:c>
      <x:c r="H2322" s="11" t="n">
        <x:v>0</x:v>
      </x:c>
      <x:c r="I2322" s="11"/>
      <x:c r="J2322" s="11"/>
      <x:c r="K2322" s="11" t="n">
        <x:v>0</x:v>
      </x:c>
      <x:c r="L2322" s="11" t="n">
        <x:f>IF(B2322="NED",1,IF(OR(B2322="ED",B2322="UN"),0,""))</x:f>
        <x:v>0</x:v>
      </x:c>
      <x:c r="M2322" s="11" t="n">
        <x:f>IF(AND(K2322=1,OR(B2322="ED",B2322="NED")),1,0)</x:f>
        <x:v>0</x:v>
      </x:c>
      <x:c r="N2322" s="11" t="n">
        <x:f>IF(K2322=1,1,0)</x:f>
        <x:v>0</x:v>
      </x:c>
      <x:c r="O2322" s="12" t="str">
        <x:v>Require exact native accession match</x:v>
      </x:c>
      <x:c r="P2322" s="11" t="n">
        <x:v>0</x:v>
      </x:c>
      <x:c r="Q2322" s="12"/>
      <x:c r="R2322" s="12"/>
      <x:c r="S2322" s="11" t="n">
        <x:v>1827</x:v>
      </x:c>
      <x:c r="T2322" s="11"/>
    </x:row>
    <x:row r="2323" ht="23" customHeight="1">
      <x:c r="A2323" s="2" t="str">
        <x:v>Q8VBZ3</x:v>
      </x:c>
      <x:c r="B2323" s="2" t="str">
        <x:v>UN</x:v>
      </x:c>
      <x:c r="C2323" s="2" t="n">
        <x:v>1</x:v>
      </x:c>
      <x:c r="D2323" s="2" t="n">
        <x:v>1</x:v>
      </x:c>
      <x:c r="E2323" s="10"/>
      <x:c r="F2323" s="11" t="n">
        <x:v>664</x:v>
      </x:c>
      <x:c r="G2323" s="11" t="n">
        <x:v>0</x:v>
      </x:c>
      <x:c r="H2323" s="11" t="n">
        <x:v>0</x:v>
      </x:c>
      <x:c r="I2323" s="11" t="n">
        <x:v>1</x:v>
      </x:c>
      <x:c r="J2323" s="11" t="n">
        <x:v>0</x:v>
      </x:c>
      <x:c r="K2323" s="11" t="n">
        <x:v>0</x:v>
      </x:c>
      <x:c r="L2323" s="11" t="n">
        <x:f>IF(B2323="NED",1,IF(OR(B2323="ED",B2323="UN"),0,""))</x:f>
        <x:v>0</x:v>
      </x:c>
      <x:c r="M2323" s="11" t="n">
        <x:f>IF(AND(K2323=1,OR(B2323="ED",B2323="NED")),1,0)</x:f>
        <x:v>0</x:v>
      </x:c>
      <x:c r="N2323" s="11" t="n">
        <x:f>IF(K2323=1,1,0)</x:f>
        <x:v>0</x:v>
      </x:c>
      <x:c r="O2323" s="12" t="str">
        <x:v>Exclude UniProt Membrane keyword</x:v>
      </x:c>
      <x:c r="P2323" s="11" t="n">
        <x:v>0</x:v>
      </x:c>
      <x:c r="Q2323" s="12" t="str">
        <x:v>AF-Q8VBZ3-F1-model_v6</x:v>
      </x:c>
      <x:c r="R2323" s="12" t="str">
        <x:v>ok</x:v>
      </x:c>
      <x:c r="S2323" s="11" t="n">
        <x:v>1828</x:v>
      </x:c>
      <x:c r="T2323" s="11" t="n">
        <x:v>664</x:v>
      </x:c>
    </x:row>
    <x:row r="2324" ht="23" customHeight="1">
      <x:c r="A2324" s="2" t="str">
        <x:v>Q8VC28</x:v>
      </x:c>
      <x:c r="B2324" s="2" t="str">
        <x:v>UN</x:v>
      </x:c>
      <x:c r="C2324" s="2" t="n">
        <x:v>1</x:v>
      </x:c>
      <x:c r="D2324" s="2" t="n">
        <x:v>1</x:v>
      </x:c>
      <x:c r="E2324" s="10" t="n">
        <x:v>97.7980185758514</x:v>
      </x:c>
      <x:c r="F2324" s="11" t="n">
        <x:v>323</x:v>
      </x:c>
      <x:c r="G2324" s="11" t="n">
        <x:v>0</x:v>
      </x:c>
      <x:c r="H2324" s="11" t="n">
        <x:v>0</x:v>
      </x:c>
      <x:c r="I2324" s="11" t="n">
        <x:v>0</x:v>
      </x:c>
      <x:c r="J2324" s="11" t="n">
        <x:v>0</x:v>
      </x:c>
      <x:c r="K2324" s="11" t="n">
        <x:v>1</x:v>
      </x:c>
      <x:c r="L2324" s="11" t="n">
        <x:f>IF(B2324="NED",1,IF(OR(B2324="ED",B2324="UN"),0,""))</x:f>
        <x:v>0</x:v>
      </x:c>
      <x:c r="M2324" s="11" t="n">
        <x:f>IF(AND(K2324=1,OR(B2324="ED",B2324="NED")),1,0)</x:f>
        <x:v>0</x:v>
      </x:c>
      <x:c r="N2324" s="11" t="n">
        <x:f>IF(K2324=1,1,0)</x:f>
        <x:v>1</x:v>
      </x:c>
      <x:c r="O2324" s="12"/>
      <x:c r="P2324" s="11" t="n">
        <x:v>0</x:v>
      </x:c>
      <x:c r="Q2324" s="12" t="str">
        <x:v>AF-Q8VC28-F1-model_v6</x:v>
      </x:c>
      <x:c r="R2324" s="12" t="str">
        <x:v>ok</x:v>
      </x:c>
      <x:c r="S2324" s="11" t="n">
        <x:v>1829</x:v>
      </x:c>
      <x:c r="T2324" s="11" t="n">
        <x:v>323</x:v>
      </x:c>
    </x:row>
    <x:row r="2325" ht="23" customHeight="1">
      <x:c r="A2325" s="2" t="str">
        <x:v>Q8VC30</x:v>
      </x:c>
      <x:c r="B2325" s="2" t="str">
        <x:v>NED</x:v>
      </x:c>
      <x:c r="C2325" s="2" t="n">
        <x:v>1</x:v>
      </x:c>
      <x:c r="D2325" s="2" t="n">
        <x:v>1</x:v>
      </x:c>
      <x:c r="E2325" s="10" t="n">
        <x:v>94.29588235294118</x:v>
      </x:c>
      <x:c r="F2325" s="11" t="n">
        <x:v>578</x:v>
      </x:c>
      <x:c r="G2325" s="11" t="n">
        <x:v>0</x:v>
      </x:c>
      <x:c r="H2325" s="11" t="n">
        <x:v>0</x:v>
      </x:c>
      <x:c r="I2325" s="11" t="n">
        <x:v>0</x:v>
      </x:c>
      <x:c r="J2325" s="11" t="n">
        <x:v>0</x:v>
      </x:c>
      <x:c r="K2325" s="11" t="n">
        <x:v>1</x:v>
      </x:c>
      <x:c r="L2325" s="11" t="n">
        <x:f>IF(B2325="NED",1,IF(OR(B2325="ED",B2325="UN"),0,""))</x:f>
        <x:v>1</x:v>
      </x:c>
      <x:c r="M2325" s="11" t="n">
        <x:f>IF(AND(K2325=1,OR(B2325="ED",B2325="NED")),1,0)</x:f>
        <x:v>1</x:v>
      </x:c>
      <x:c r="N2325" s="11" t="n">
        <x:f>IF(K2325=1,1,0)</x:f>
        <x:v>1</x:v>
      </x:c>
      <x:c r="O2325" s="12"/>
      <x:c r="P2325" s="11" t="n">
        <x:v>0</x:v>
      </x:c>
      <x:c r="Q2325" s="12" t="str">
        <x:v>AF-Q8VC30-F1-model_v6</x:v>
      </x:c>
      <x:c r="R2325" s="12" t="str">
        <x:v>ok</x:v>
      </x:c>
      <x:c r="S2325" s="11" t="n">
        <x:v>1830</x:v>
      </x:c>
      <x:c r="T2325" s="11" t="n">
        <x:v>578</x:v>
      </x:c>
    </x:row>
    <x:row r="2326" ht="23" customHeight="1">
      <x:c r="A2326" s="2" t="str">
        <x:v>Q8VC70</x:v>
      </x:c>
      <x:c r="B2326" s="2" t="str">
        <x:v>UN</x:v>
      </x:c>
      <x:c r="C2326" s="2" t="n">
        <x:v>1</x:v>
      </x:c>
      <x:c r="D2326" s="2" t="n">
        <x:v>1</x:v>
      </x:c>
      <x:c r="E2326" s="10" t="n">
        <x:v>65.77613577023499</x:v>
      </x:c>
      <x:c r="F2326" s="11" t="n">
        <x:v>383</x:v>
      </x:c>
      <x:c r="G2326" s="11" t="n">
        <x:v>0</x:v>
      </x:c>
      <x:c r="H2326" s="11" t="n">
        <x:v>0</x:v>
      </x:c>
      <x:c r="I2326" s="11" t="n">
        <x:v>0</x:v>
      </x:c>
      <x:c r="J2326" s="11" t="n">
        <x:v>0</x:v>
      </x:c>
      <x:c r="K2326" s="11" t="n">
        <x:v>0</x:v>
      </x:c>
      <x:c r="L2326" s="11" t="n">
        <x:f>IF(B2326="NED",1,IF(OR(B2326="ED",B2326="UN"),0,""))</x:f>
        <x:v>0</x:v>
      </x:c>
      <x:c r="M2326" s="11" t="n">
        <x:f>IF(AND(K2326=1,OR(B2326="ED",B2326="NED")),1,0)</x:f>
        <x:v>0</x:v>
      </x:c>
      <x:c r="N2326" s="11" t="n">
        <x:f>IF(K2326=1,1,0)</x:f>
        <x:v>0</x:v>
      </x:c>
      <x:c r="O2326" s="12" t="str">
        <x:v>Retain protein mean pLDDT &gt;=70</x:v>
      </x:c>
      <x:c r="P2326" s="11" t="n">
        <x:v>0</x:v>
      </x:c>
      <x:c r="Q2326" s="12" t="str">
        <x:v>AF-Q8VC70-F1-model_v6</x:v>
      </x:c>
      <x:c r="R2326" s="12" t="str">
        <x:v>ok</x:v>
      </x:c>
      <x:c r="S2326" s="11" t="n">
        <x:v>1831</x:v>
      </x:c>
      <x:c r="T2326" s="11" t="n">
        <x:v>383</x:v>
      </x:c>
    </x:row>
    <x:row r="2327" ht="23" customHeight="1">
      <x:c r="A2327" s="2" t="str">
        <x:v>Q8VC85</x:v>
      </x:c>
      <x:c r="B2327" s="2" t="str">
        <x:v>ED</x:v>
      </x:c>
      <x:c r="C2327" s="2" t="n">
        <x:v>1</x:v>
      </x:c>
      <x:c r="D2327" s="2" t="n">
        <x:v>1</x:v>
      </x:c>
      <x:c r="E2327" s="10" t="n">
        <x:v>89.59593984962406</x:v>
      </x:c>
      <x:c r="F2327" s="11" t="n">
        <x:v>133</x:v>
      </x:c>
      <x:c r="G2327" s="11" t="n">
        <x:v>0</x:v>
      </x:c>
      <x:c r="H2327" s="11" t="n">
        <x:v>0</x:v>
      </x:c>
      <x:c r="I2327" s="11" t="n">
        <x:v>0</x:v>
      </x:c>
      <x:c r="J2327" s="11" t="n">
        <x:v>0</x:v>
      </x:c>
      <x:c r="K2327" s="11" t="n">
        <x:v>1</x:v>
      </x:c>
      <x:c r="L2327" s="11" t="n">
        <x:f>IF(B2327="NED",1,IF(OR(B2327="ED",B2327="UN"),0,""))</x:f>
        <x:v>0</x:v>
      </x:c>
      <x:c r="M2327" s="11" t="n">
        <x:f>IF(AND(K2327=1,OR(B2327="ED",B2327="NED")),1,0)</x:f>
        <x:v>1</x:v>
      </x:c>
      <x:c r="N2327" s="11" t="n">
        <x:f>IF(K2327=1,1,0)</x:f>
        <x:v>1</x:v>
      </x:c>
      <x:c r="O2327" s="12"/>
      <x:c r="P2327" s="11" t="n">
        <x:v>0</x:v>
      </x:c>
      <x:c r="Q2327" s="12" t="str">
        <x:v>AF-Q8VC85-F1-model_v6</x:v>
      </x:c>
      <x:c r="R2327" s="12" t="str">
        <x:v>ok</x:v>
      </x:c>
      <x:c r="S2327" s="11" t="n">
        <x:v>1832</x:v>
      </x:c>
      <x:c r="T2327" s="11" t="n">
        <x:v>133</x:v>
      </x:c>
    </x:row>
    <x:row r="2328" ht="23" customHeight="1">
      <x:c r="A2328" s="2" t="str">
        <x:v>Q8VC91</x:v>
      </x:c>
      <x:c r="B2328" s="2" t="str">
        <x:v>ED</x:v>
      </x:c>
      <x:c r="C2328" s="2"/>
      <x:c r="D2328" s="2"/>
      <x:c r="E2328" s="10"/>
      <x:c r="F2328" s="11"/>
      <x:c r="G2328" s="11" t="n">
        <x:v>0</x:v>
      </x:c>
      <x:c r="H2328" s="11" t="n">
        <x:v>0</x:v>
      </x:c>
      <x:c r="I2328" s="11" t="n">
        <x:v>0</x:v>
      </x:c>
      <x:c r="J2328" s="11" t="n">
        <x:v>0</x:v>
      </x:c>
      <x:c r="K2328" s="11" t="n">
        <x:v>0</x:v>
      </x:c>
      <x:c r="L2328" s="11" t="n">
        <x:f>IF(B2328="NED",1,IF(OR(B2328="ED",B2328="UN"),0,""))</x:f>
        <x:v>0</x:v>
      </x:c>
      <x:c r="M2328" s="11" t="n">
        <x:f>IF(AND(K2328=1,OR(B2328="ED",B2328="NED")),1,0)</x:f>
        <x:v>0</x:v>
      </x:c>
      <x:c r="N2328" s="11" t="n">
        <x:f>IF(K2328=1,1,0)</x:f>
        <x:v>0</x:v>
      </x:c>
      <x:c r="O2328" s="12" t="str">
        <x:v>Require exact native accession match</x:v>
      </x:c>
      <x:c r="P2328" s="11" t="n">
        <x:v>0</x:v>
      </x:c>
      <x:c r="Q2328" s="12"/>
      <x:c r="R2328" s="12"/>
      <x:c r="S2328" s="11" t="n">
        <x:v>3238</x:v>
      </x:c>
      <x:c r="T2328" s="11" t="n">
        <x:v>411</x:v>
      </x:c>
    </x:row>
    <x:row r="2329" ht="23" customHeight="1">
      <x:c r="A2329" s="2" t="str">
        <x:v>Q8VCB1</x:v>
      </x:c>
      <x:c r="B2329" s="2" t="str">
        <x:v>NED</x:v>
      </x:c>
      <x:c r="C2329" s="2" t="n">
        <x:v>1</x:v>
      </x:c>
      <x:c r="D2329" s="2" t="n">
        <x:v>1</x:v>
      </x:c>
      <x:c r="E2329" s="10"/>
      <x:c r="F2329" s="11" t="n">
        <x:v>673</x:v>
      </x:c>
      <x:c r="G2329" s="11" t="n">
        <x:v>0</x:v>
      </x:c>
      <x:c r="H2329" s="11" t="n">
        <x:v>0</x:v>
      </x:c>
      <x:c r="I2329" s="11" t="n">
        <x:v>1</x:v>
      </x:c>
      <x:c r="J2329" s="11" t="n">
        <x:v>0</x:v>
      </x:c>
      <x:c r="K2329" s="11" t="n">
        <x:v>0</x:v>
      </x:c>
      <x:c r="L2329" s="11" t="n">
        <x:f>IF(B2329="NED",1,IF(OR(B2329="ED",B2329="UN"),0,""))</x:f>
        <x:v>1</x:v>
      </x:c>
      <x:c r="M2329" s="11" t="n">
        <x:f>IF(AND(K2329=1,OR(B2329="ED",B2329="NED")),1,0)</x:f>
        <x:v>0</x:v>
      </x:c>
      <x:c r="N2329" s="11" t="n">
        <x:f>IF(K2329=1,1,0)</x:f>
        <x:v>0</x:v>
      </x:c>
      <x:c r="O2329" s="12" t="str">
        <x:v>Exclude UniProt Membrane keyword</x:v>
      </x:c>
      <x:c r="P2329" s="11" t="n">
        <x:v>0</x:v>
      </x:c>
      <x:c r="Q2329" s="12" t="str">
        <x:v>AF-Q8VCB1-F1-model_v6</x:v>
      </x:c>
      <x:c r="R2329" s="12" t="str">
        <x:v>ok</x:v>
      </x:c>
      <x:c r="S2329" s="11" t="n">
        <x:v>1833</x:v>
      </x:c>
      <x:c r="T2329" s="11" t="n">
        <x:v>673</x:v>
      </x:c>
    </x:row>
    <x:row r="2330" ht="23" customHeight="1">
      <x:c r="A2330" s="2" t="str">
        <x:v>Q8VCD5</x:v>
      </x:c>
      <x:c r="B2330" s="2" t="str">
        <x:v>NED</x:v>
      </x:c>
      <x:c r="C2330" s="2" t="n">
        <x:v>1</x:v>
      </x:c>
      <x:c r="D2330" s="2" t="n">
        <x:v>1</x:v>
      </x:c>
      <x:c r="E2330" s="10" t="n">
        <x:v>77.4408936825886</x:v>
      </x:c>
      <x:c r="F2330" s="11" t="n">
        <x:v>649</x:v>
      </x:c>
      <x:c r="G2330" s="11" t="n">
        <x:v>0</x:v>
      </x:c>
      <x:c r="H2330" s="11" t="n">
        <x:v>0</x:v>
      </x:c>
      <x:c r="I2330" s="11" t="n">
        <x:v>0</x:v>
      </x:c>
      <x:c r="J2330" s="11" t="n">
        <x:v>0</x:v>
      </x:c>
      <x:c r="K2330" s="11" t="n">
        <x:v>1</x:v>
      </x:c>
      <x:c r="L2330" s="11" t="n">
        <x:f>IF(B2330="NED",1,IF(OR(B2330="ED",B2330="UN"),0,""))</x:f>
        <x:v>1</x:v>
      </x:c>
      <x:c r="M2330" s="11" t="n">
        <x:f>IF(AND(K2330=1,OR(B2330="ED",B2330="NED")),1,0)</x:f>
        <x:v>1</x:v>
      </x:c>
      <x:c r="N2330" s="11" t="n">
        <x:f>IF(K2330=1,1,0)</x:f>
        <x:v>1</x:v>
      </x:c>
      <x:c r="O2330" s="12"/>
      <x:c r="P2330" s="11" t="n">
        <x:v>0</x:v>
      </x:c>
      <x:c r="Q2330" s="12" t="str">
        <x:v>AF-Q8VCD5-F1-model_v6</x:v>
      </x:c>
      <x:c r="R2330" s="12" t="str">
        <x:v>ok</x:v>
      </x:c>
      <x:c r="S2330" s="11" t="n">
        <x:v>1834</x:v>
      </x:c>
      <x:c r="T2330" s="11" t="n">
        <x:v>649</x:v>
      </x:c>
    </x:row>
    <x:row r="2331" ht="23" customHeight="1">
      <x:c r="A2331" s="2" t="str">
        <x:v>Q8VCE2</x:v>
      </x:c>
      <x:c r="B2331" s="2" t="str">
        <x:v>ED</x:v>
      </x:c>
      <x:c r="C2331" s="2" t="n">
        <x:v>1</x:v>
      </x:c>
      <x:c r="D2331" s="2" t="n">
        <x:v>1</x:v>
      </x:c>
      <x:c r="E2331" s="10" t="n">
        <x:v>79.05059139784946</x:v>
      </x:c>
      <x:c r="F2331" s="11" t="n">
        <x:v>372</x:v>
      </x:c>
      <x:c r="G2331" s="11" t="n">
        <x:v>0</x:v>
      </x:c>
      <x:c r="H2331" s="11" t="n">
        <x:v>0</x:v>
      </x:c>
      <x:c r="I2331" s="11" t="n">
        <x:v>0</x:v>
      </x:c>
      <x:c r="J2331" s="11" t="n">
        <x:v>0</x:v>
      </x:c>
      <x:c r="K2331" s="11" t="n">
        <x:v>1</x:v>
      </x:c>
      <x:c r="L2331" s="11" t="n">
        <x:f>IF(B2331="NED",1,IF(OR(B2331="ED",B2331="UN"),0,""))</x:f>
        <x:v>0</x:v>
      </x:c>
      <x:c r="M2331" s="11" t="n">
        <x:f>IF(AND(K2331=1,OR(B2331="ED",B2331="NED")),1,0)</x:f>
        <x:v>1</x:v>
      </x:c>
      <x:c r="N2331" s="11" t="n">
        <x:f>IF(K2331=1,1,0)</x:f>
        <x:v>1</x:v>
      </x:c>
      <x:c r="O2331" s="12"/>
      <x:c r="P2331" s="11" t="n">
        <x:v>0</x:v>
      </x:c>
      <x:c r="Q2331" s="12" t="str">
        <x:v>AF-Q8VCE2-F1-model_v6</x:v>
      </x:c>
      <x:c r="R2331" s="12" t="str">
        <x:v>ok</x:v>
      </x:c>
      <x:c r="S2331" s="11" t="n">
        <x:v>1835</x:v>
      </x:c>
      <x:c r="T2331" s="11" t="n">
        <x:v>372</x:v>
      </x:c>
    </x:row>
    <x:row r="2332" ht="23" customHeight="1">
      <x:c r="A2332" s="2" t="str">
        <x:v>Q8VCG9</x:v>
      </x:c>
      <x:c r="B2332" s="2" t="str">
        <x:v>ED</x:v>
      </x:c>
      <x:c r="C2332" s="2" t="n">
        <x:v>0</x:v>
      </x:c>
      <x:c r="D2332" s="2" t="n">
        <x:v>0</x:v>
      </x:c>
      <x:c r="E2332" s="10" t="n">
        <x:v>66.58939393939394</x:v>
      </x:c>
      <x:c r="F2332" s="11" t="n">
        <x:v>231</x:v>
      </x:c>
      <x:c r="G2332" s="11" t="n">
        <x:v>0</x:v>
      </x:c>
      <x:c r="H2332" s="11" t="n">
        <x:v>0</x:v>
      </x:c>
      <x:c r="I2332" s="11" t="n">
        <x:v>0</x:v>
      </x:c>
      <x:c r="J2332" s="11" t="n">
        <x:v>0</x:v>
      </x:c>
      <x:c r="K2332" s="11" t="n">
        <x:v>0</x:v>
      </x:c>
      <x:c r="L2332" s="11" t="n">
        <x:f>IF(B2332="NED",1,IF(OR(B2332="ED",B2332="UN"),0,""))</x:f>
        <x:v>0</x:v>
      </x:c>
      <x:c r="M2332" s="11" t="n">
        <x:f>IF(AND(K2332=1,OR(B2332="ED",B2332="NED")),1,0)</x:f>
        <x:v>0</x:v>
      </x:c>
      <x:c r="N2332" s="11" t="n">
        <x:f>IF(K2332=1,1,0)</x:f>
        <x:v>0</x:v>
      </x:c>
      <x:c r="O2332" s="12" t="str">
        <x:v>Retain protein mean pLDDT &gt;=70</x:v>
      </x:c>
      <x:c r="P2332" s="11" t="n">
        <x:v>0</x:v>
      </x:c>
      <x:c r="Q2332" s="12" t="str">
        <x:v>AF-Q8VCG9-F1-model_v6</x:v>
      </x:c>
      <x:c r="R2332" s="12" t="str">
        <x:v>ok</x:v>
      </x:c>
      <x:c r="S2332" s="11" t="n">
        <x:v>1836</x:v>
      </x:c>
      <x:c r="T2332" s="11" t="n">
        <x:v>231</x:v>
      </x:c>
    </x:row>
    <x:row r="2333" ht="23" customHeight="1">
      <x:c r="A2333" s="2" t="str">
        <x:v>Q8VCH8</x:v>
      </x:c>
      <x:c r="B2333" s="2" t="str">
        <x:v>ED</x:v>
      </x:c>
      <x:c r="C2333" s="2" t="n">
        <x:v>1</x:v>
      </x:c>
      <x:c r="D2333" s="2" t="n">
        <x:v>1</x:v>
      </x:c>
      <x:c r="E2333" s="10"/>
      <x:c r="F2333" s="11" t="n">
        <x:v>506</x:v>
      </x:c>
      <x:c r="G2333" s="11" t="n">
        <x:v>0</x:v>
      </x:c>
      <x:c r="H2333" s="11" t="n">
        <x:v>0</x:v>
      </x:c>
      <x:c r="I2333" s="11" t="n">
        <x:v>1</x:v>
      </x:c>
      <x:c r="J2333" s="11" t="n">
        <x:v>0</x:v>
      </x:c>
      <x:c r="K2333" s="11" t="n">
        <x:v>0</x:v>
      </x:c>
      <x:c r="L2333" s="11" t="n">
        <x:f>IF(B2333="NED",1,IF(OR(B2333="ED",B2333="UN"),0,""))</x:f>
        <x:v>0</x:v>
      </x:c>
      <x:c r="M2333" s="11" t="n">
        <x:f>IF(AND(K2333=1,OR(B2333="ED",B2333="NED")),1,0)</x:f>
        <x:v>0</x:v>
      </x:c>
      <x:c r="N2333" s="11" t="n">
        <x:f>IF(K2333=1,1,0)</x:f>
        <x:v>0</x:v>
      </x:c>
      <x:c r="O2333" s="12" t="str">
        <x:v>Exclude UniProt Membrane keyword</x:v>
      </x:c>
      <x:c r="P2333" s="11" t="n">
        <x:v>0</x:v>
      </x:c>
      <x:c r="Q2333" s="12" t="str">
        <x:v>AF-Q8VCH8-F1-model_v6</x:v>
      </x:c>
      <x:c r="R2333" s="12" t="str">
        <x:v>ok</x:v>
      </x:c>
      <x:c r="S2333" s="11" t="n">
        <x:v>1837</x:v>
      </x:c>
      <x:c r="T2333" s="11" t="n">
        <x:v>506</x:v>
      </x:c>
    </x:row>
    <x:row r="2334" ht="23" customHeight="1">
      <x:c r="A2334" s="2" t="str">
        <x:v>Q8VCI5</x:v>
      </x:c>
      <x:c r="B2334" s="2" t="str">
        <x:v>UN</x:v>
      </x:c>
      <x:c r="C2334" s="2" t="n">
        <x:v>0</x:v>
      </x:c>
      <x:c r="D2334" s="2" t="n">
        <x:v>0</x:v>
      </x:c>
      <x:c r="E2334" s="10"/>
      <x:c r="F2334" s="11" t="n">
        <x:v>299</x:v>
      </x:c>
      <x:c r="G2334" s="11" t="n">
        <x:v>0</x:v>
      </x:c>
      <x:c r="H2334" s="11" t="n">
        <x:v>0</x:v>
      </x:c>
      <x:c r="I2334" s="11" t="n">
        <x:v>1</x:v>
      </x:c>
      <x:c r="J2334" s="11" t="n">
        <x:v>0</x:v>
      </x:c>
      <x:c r="K2334" s="11" t="n">
        <x:v>0</x:v>
      </x:c>
      <x:c r="L2334" s="11" t="n">
        <x:f>IF(B2334="NED",1,IF(OR(B2334="ED",B2334="UN"),0,""))</x:f>
        <x:v>0</x:v>
      </x:c>
      <x:c r="M2334" s="11" t="n">
        <x:f>IF(AND(K2334=1,OR(B2334="ED",B2334="NED")),1,0)</x:f>
        <x:v>0</x:v>
      </x:c>
      <x:c r="N2334" s="11" t="n">
        <x:f>IF(K2334=1,1,0)</x:f>
        <x:v>0</x:v>
      </x:c>
      <x:c r="O2334" s="12" t="str">
        <x:v>Exclude UniProt Membrane keyword</x:v>
      </x:c>
      <x:c r="P2334" s="11" t="n">
        <x:v>0</x:v>
      </x:c>
      <x:c r="Q2334" s="12" t="str">
        <x:v>AF-Q8VCI5-F1-model_v6</x:v>
      </x:c>
      <x:c r="R2334" s="12" t="str">
        <x:v>ok</x:v>
      </x:c>
      <x:c r="S2334" s="11" t="n">
        <x:v>1838</x:v>
      </x:c>
      <x:c r="T2334" s="11" t="n">
        <x:v>299</x:v>
      </x:c>
    </x:row>
    <x:row r="2335" ht="23" customHeight="1">
      <x:c r="A2335" s="2" t="str">
        <x:v>Q8VCL2</x:v>
      </x:c>
      <x:c r="B2335" s="2" t="str">
        <x:v>ED</x:v>
      </x:c>
      <x:c r="C2335" s="2" t="n">
        <x:v>1</x:v>
      </x:c>
      <x:c r="D2335" s="2" t="n">
        <x:v>1</x:v>
      </x:c>
      <x:c r="E2335" s="10"/>
      <x:c r="F2335" s="11" t="n">
        <x:v>255</x:v>
      </x:c>
      <x:c r="G2335" s="11" t="n">
        <x:v>0</x:v>
      </x:c>
      <x:c r="H2335" s="11" t="n">
        <x:v>0</x:v>
      </x:c>
      <x:c r="I2335" s="11" t="n">
        <x:v>1</x:v>
      </x:c>
      <x:c r="J2335" s="11" t="n">
        <x:v>0</x:v>
      </x:c>
      <x:c r="K2335" s="11" t="n">
        <x:v>0</x:v>
      </x:c>
      <x:c r="L2335" s="11" t="n">
        <x:f>IF(B2335="NED",1,IF(OR(B2335="ED",B2335="UN"),0,""))</x:f>
        <x:v>0</x:v>
      </x:c>
      <x:c r="M2335" s="11" t="n">
        <x:f>IF(AND(K2335=1,OR(B2335="ED",B2335="NED")),1,0)</x:f>
        <x:v>0</x:v>
      </x:c>
      <x:c r="N2335" s="11" t="n">
        <x:f>IF(K2335=1,1,0)</x:f>
        <x:v>0</x:v>
      </x:c>
      <x:c r="O2335" s="12" t="str">
        <x:v>Exclude UniProt Membrane keyword</x:v>
      </x:c>
      <x:c r="P2335" s="11" t="n">
        <x:v>0</x:v>
      </x:c>
      <x:c r="Q2335" s="12" t="str">
        <x:v>AF-Q8VCL2-F1-model_v6</x:v>
      </x:c>
      <x:c r="R2335" s="12" t="str">
        <x:v>ok</x:v>
      </x:c>
      <x:c r="S2335" s="11" t="n">
        <x:v>1839</x:v>
      </x:c>
      <x:c r="T2335" s="11" t="n">
        <x:v>255</x:v>
      </x:c>
    </x:row>
    <x:row r="2336" ht="23" customHeight="1">
      <x:c r="A2336" s="2" t="str">
        <x:v>Q8VCN9</x:v>
      </x:c>
      <x:c r="B2336" s="2" t="str">
        <x:v>ED</x:v>
      </x:c>
      <x:c r="C2336" s="2" t="n">
        <x:v>0</x:v>
      </x:c>
      <x:c r="D2336" s="2" t="n">
        <x:v>0</x:v>
      </x:c>
      <x:c r="E2336" s="10" t="n">
        <x:v>81.8792668621701</x:v>
      </x:c>
      <x:c r="F2336" s="11" t="n">
        <x:v>341</x:v>
      </x:c>
      <x:c r="G2336" s="11" t="n">
        <x:v>0</x:v>
      </x:c>
      <x:c r="H2336" s="11" t="n">
        <x:v>0</x:v>
      </x:c>
      <x:c r="I2336" s="11" t="n">
        <x:v>0</x:v>
      </x:c>
      <x:c r="J2336" s="11" t="n">
        <x:v>0</x:v>
      </x:c>
      <x:c r="K2336" s="11" t="n">
        <x:v>1</x:v>
      </x:c>
      <x:c r="L2336" s="11" t="n">
        <x:f>IF(B2336="NED",1,IF(OR(B2336="ED",B2336="UN"),0,""))</x:f>
        <x:v>0</x:v>
      </x:c>
      <x:c r="M2336" s="11" t="n">
        <x:f>IF(AND(K2336=1,OR(B2336="ED",B2336="NED")),1,0)</x:f>
        <x:v>1</x:v>
      </x:c>
      <x:c r="N2336" s="11" t="n">
        <x:f>IF(K2336=1,1,0)</x:f>
        <x:v>1</x:v>
      </x:c>
      <x:c r="O2336" s="12"/>
      <x:c r="P2336" s="11" t="n">
        <x:v>0</x:v>
      </x:c>
      <x:c r="Q2336" s="12" t="str">
        <x:v>AF-Q8VCN9-F1-model_v6</x:v>
      </x:c>
      <x:c r="R2336" s="12" t="str">
        <x:v>ok</x:v>
      </x:c>
      <x:c r="S2336" s="11" t="n">
        <x:v>1840</x:v>
      </x:c>
      <x:c r="T2336" s="11" t="n">
        <x:v>341</x:v>
      </x:c>
    </x:row>
    <x:row r="2337" ht="23" customHeight="1">
      <x:c r="A2337" s="2" t="str">
        <x:v>Q8VCQ8</x:v>
      </x:c>
      <x:c r="B2337" s="2" t="str">
        <x:v>UN</x:v>
      </x:c>
      <x:c r="C2337" s="2"/>
      <x:c r="D2337" s="2"/>
      <x:c r="E2337" s="10"/>
      <x:c r="F2337" s="11"/>
      <x:c r="G2337" s="11" t="n">
        <x:v>0</x:v>
      </x:c>
      <x:c r="H2337" s="11" t="n">
        <x:v>0</x:v>
      </x:c>
      <x:c r="I2337" s="11" t="n">
        <x:v>0</x:v>
      </x:c>
      <x:c r="J2337" s="11" t="n">
        <x:v>0</x:v>
      </x:c>
      <x:c r="K2337" s="11" t="n">
        <x:v>0</x:v>
      </x:c>
      <x:c r="L2337" s="11" t="n">
        <x:f>IF(B2337="NED",1,IF(OR(B2337="ED",B2337="UN"),0,""))</x:f>
        <x:v>0</x:v>
      </x:c>
      <x:c r="M2337" s="11" t="n">
        <x:f>IF(AND(K2337=1,OR(B2337="ED",B2337="NED")),1,0)</x:f>
        <x:v>0</x:v>
      </x:c>
      <x:c r="N2337" s="11" t="n">
        <x:f>IF(K2337=1,1,0)</x:f>
        <x:v>0</x:v>
      </x:c>
      <x:c r="O2337" s="12" t="str">
        <x:v>Require exact native accession match</x:v>
      </x:c>
      <x:c r="P2337" s="11" t="n">
        <x:v>0</x:v>
      </x:c>
      <x:c r="Q2337" s="12"/>
      <x:c r="R2337" s="12"/>
      <x:c r="S2337" s="11" t="n">
        <x:v>3239</x:v>
      </x:c>
      <x:c r="T2337" s="11" t="n">
        <x:v>530</x:v>
      </x:c>
    </x:row>
    <x:row r="2338" ht="23" customHeight="1">
      <x:c r="A2338" s="2" t="str">
        <x:v>Q8VCS6</x:v>
      </x:c>
      <x:c r="B2338" s="2" t="str">
        <x:v>ED</x:v>
      </x:c>
      <x:c r="C2338" s="2" t="n">
        <x:v>0</x:v>
      </x:c>
      <x:c r="D2338" s="2" t="n">
        <x:v>0</x:v>
      </x:c>
      <x:c r="E2338" s="10" t="n">
        <x:v>74.59112676056338</x:v>
      </x:c>
      <x:c r="F2338" s="11" t="n">
        <x:v>142</x:v>
      </x:c>
      <x:c r="G2338" s="11" t="n">
        <x:v>0</x:v>
      </x:c>
      <x:c r="H2338" s="11" t="n">
        <x:v>0</x:v>
      </x:c>
      <x:c r="I2338" s="11" t="n">
        <x:v>0</x:v>
      </x:c>
      <x:c r="J2338" s="11" t="n">
        <x:v>0</x:v>
      </x:c>
      <x:c r="K2338" s="11" t="n">
        <x:v>1</x:v>
      </x:c>
      <x:c r="L2338" s="11" t="n">
        <x:f>IF(B2338="NED",1,IF(OR(B2338="ED",B2338="UN"),0,""))</x:f>
        <x:v>0</x:v>
      </x:c>
      <x:c r="M2338" s="11" t="n">
        <x:f>IF(AND(K2338=1,OR(B2338="ED",B2338="NED")),1,0)</x:f>
        <x:v>1</x:v>
      </x:c>
      <x:c r="N2338" s="11" t="n">
        <x:f>IF(K2338=1,1,0)</x:f>
        <x:v>1</x:v>
      </x:c>
      <x:c r="O2338" s="12"/>
      <x:c r="P2338" s="11" t="n">
        <x:v>0</x:v>
      </x:c>
      <x:c r="Q2338" s="12" t="str">
        <x:v>AF-Q8VCS6-F1-model_v6</x:v>
      </x:c>
      <x:c r="R2338" s="12" t="str">
        <x:v>ok</x:v>
      </x:c>
      <x:c r="S2338" s="11" t="n">
        <x:v>1841</x:v>
      </x:c>
      <x:c r="T2338" s="11" t="n">
        <x:v>142</x:v>
      </x:c>
    </x:row>
    <x:row r="2339" ht="23" customHeight="1">
      <x:c r="A2339" s="2" t="str">
        <x:v>Q8VCT3</x:v>
      </x:c>
      <x:c r="B2339" s="2" t="str">
        <x:v>ED</x:v>
      </x:c>
      <x:c r="C2339" s="2" t="n">
        <x:v>1</x:v>
      </x:c>
      <x:c r="D2339" s="2" t="n">
        <x:v>1</x:v>
      </x:c>
      <x:c r="E2339" s="10"/>
      <x:c r="F2339" s="11" t="n">
        <x:v>650</x:v>
      </x:c>
      <x:c r="G2339" s="11" t="n">
        <x:v>0</x:v>
      </x:c>
      <x:c r="H2339" s="11" t="n">
        <x:v>0</x:v>
      </x:c>
      <x:c r="I2339" s="11" t="n">
        <x:v>0</x:v>
      </x:c>
      <x:c r="J2339" s="11" t="n">
        <x:v>1</x:v>
      </x:c>
      <x:c r="K2339" s="11" t="n">
        <x:v>0</x:v>
      </x:c>
      <x:c r="L2339" s="11" t="n">
        <x:f>IF(B2339="NED",1,IF(OR(B2339="ED",B2339="UN"),0,""))</x:f>
        <x:v>0</x:v>
      </x:c>
      <x:c r="M2339" s="11" t="n">
        <x:f>IF(AND(K2339=1,OR(B2339="ED",B2339="NED")),1,0)</x:f>
        <x:v>0</x:v>
      </x:c>
      <x:c r="N2339" s="11" t="n">
        <x:f>IF(K2339=1,1,0)</x:f>
        <x:v>0</x:v>
      </x:c>
      <x:c r="O2339" s="12" t="str">
        <x:v>Exclude UniProt Secreted keyword</x:v>
      </x:c>
      <x:c r="P2339" s="11" t="n">
        <x:v>0</x:v>
      </x:c>
      <x:c r="Q2339" s="12" t="str">
        <x:v>AF-Q8VCT3-F1-model_v6</x:v>
      </x:c>
      <x:c r="R2339" s="12" t="str">
        <x:v>ok</x:v>
      </x:c>
      <x:c r="S2339" s="11" t="n">
        <x:v>1842</x:v>
      </x:c>
      <x:c r="T2339" s="11" t="n">
        <x:v>650</x:v>
      </x:c>
    </x:row>
    <x:row r="2340" ht="23" customHeight="1">
      <x:c r="A2340" s="2" t="str">
        <x:v>Q8VCW8</x:v>
      </x:c>
      <x:c r="B2340" s="2" t="str">
        <x:v>NED</x:v>
      </x:c>
      <x:c r="C2340" s="2" t="n">
        <x:v>1</x:v>
      </x:c>
      <x:c r="D2340" s="2" t="n">
        <x:v>1</x:v>
      </x:c>
      <x:c r="E2340" s="10" t="n">
        <x:v>89.10172357723577</x:v>
      </x:c>
      <x:c r="F2340" s="11" t="n">
        <x:v>615</x:v>
      </x:c>
      <x:c r="G2340" s="11" t="n">
        <x:v>0</x:v>
      </x:c>
      <x:c r="H2340" s="11" t="n">
        <x:v>0</x:v>
      </x:c>
      <x:c r="I2340" s="11" t="n">
        <x:v>0</x:v>
      </x:c>
      <x:c r="J2340" s="11" t="n">
        <x:v>0</x:v>
      </x:c>
      <x:c r="K2340" s="11" t="n">
        <x:v>1</x:v>
      </x:c>
      <x:c r="L2340" s="11" t="n">
        <x:f>IF(B2340="NED",1,IF(OR(B2340="ED",B2340="UN"),0,""))</x:f>
        <x:v>1</x:v>
      </x:c>
      <x:c r="M2340" s="11" t="n">
        <x:f>IF(AND(K2340=1,OR(B2340="ED",B2340="NED")),1,0)</x:f>
        <x:v>1</x:v>
      </x:c>
      <x:c r="N2340" s="11" t="n">
        <x:f>IF(K2340=1,1,0)</x:f>
        <x:v>1</x:v>
      </x:c>
      <x:c r="O2340" s="12"/>
      <x:c r="P2340" s="11" t="n">
        <x:v>0</x:v>
      </x:c>
      <x:c r="Q2340" s="12" t="str">
        <x:v>AF-Q8VCW8-F1-model_v6</x:v>
      </x:c>
      <x:c r="R2340" s="12" t="str">
        <x:v>ok</x:v>
      </x:c>
      <x:c r="S2340" s="11" t="n">
        <x:v>1843</x:v>
      </x:c>
      <x:c r="T2340" s="11" t="n">
        <x:v>615</x:v>
      </x:c>
    </x:row>
    <x:row r="2341" ht="23" customHeight="1">
      <x:c r="A2341" s="2" t="str">
        <x:v>Q8VCX5</x:v>
      </x:c>
      <x:c r="B2341" s="2" t="str">
        <x:v>UN</x:v>
      </x:c>
      <x:c r="C2341" s="2" t="n">
        <x:v>1</x:v>
      </x:c>
      <x:c r="D2341" s="2" t="n">
        <x:v>1</x:v>
      </x:c>
      <x:c r="E2341" s="10"/>
      <x:c r="F2341" s="11" t="n">
        <x:v>477</x:v>
      </x:c>
      <x:c r="G2341" s="11" t="n">
        <x:v>0</x:v>
      </x:c>
      <x:c r="H2341" s="11" t="n">
        <x:v>0</x:v>
      </x:c>
      <x:c r="I2341" s="11" t="n">
        <x:v>1</x:v>
      </x:c>
      <x:c r="J2341" s="11" t="n">
        <x:v>0</x:v>
      </x:c>
      <x:c r="K2341" s="11" t="n">
        <x:v>0</x:v>
      </x:c>
      <x:c r="L2341" s="11" t="n">
        <x:f>IF(B2341="NED",1,IF(OR(B2341="ED",B2341="UN"),0,""))</x:f>
        <x:v>0</x:v>
      </x:c>
      <x:c r="M2341" s="11" t="n">
        <x:f>IF(AND(K2341=1,OR(B2341="ED",B2341="NED")),1,0)</x:f>
        <x:v>0</x:v>
      </x:c>
      <x:c r="N2341" s="11" t="n">
        <x:f>IF(K2341=1,1,0)</x:f>
        <x:v>0</x:v>
      </x:c>
      <x:c r="O2341" s="12" t="str">
        <x:v>Exclude UniProt Membrane keyword</x:v>
      </x:c>
      <x:c r="P2341" s="11" t="n">
        <x:v>0</x:v>
      </x:c>
      <x:c r="Q2341" s="12" t="str">
        <x:v>AF-Q8VCX5-F1-model_v6</x:v>
      </x:c>
      <x:c r="R2341" s="12" t="str">
        <x:v>ok</x:v>
      </x:c>
      <x:c r="S2341" s="11" t="n">
        <x:v>1844</x:v>
      </x:c>
      <x:c r="T2341" s="11" t="n">
        <x:v>477</x:v>
      </x:c>
    </x:row>
    <x:row r="2342" ht="23" customHeight="1">
      <x:c r="A2342" s="2" t="str">
        <x:v>Q8VCY6</x:v>
      </x:c>
      <x:c r="B2342" s="2" t="str">
        <x:v>UN</x:v>
      </x:c>
      <x:c r="C2342" s="2" t="n">
        <x:v>0</x:v>
      </x:c>
      <x:c r="D2342" s="2" t="n">
        <x:v>0</x:v>
      </x:c>
      <x:c r="E2342" s="10" t="n">
        <x:v>84.10666666666667</x:v>
      </x:c>
      <x:c r="F2342" s="11" t="n">
        <x:v>597</x:v>
      </x:c>
      <x:c r="G2342" s="11" t="n">
        <x:v>0</x:v>
      </x:c>
      <x:c r="H2342" s="11" t="n">
        <x:v>0</x:v>
      </x:c>
      <x:c r="I2342" s="11" t="n">
        <x:v>0</x:v>
      </x:c>
      <x:c r="J2342" s="11" t="n">
        <x:v>0</x:v>
      </x:c>
      <x:c r="K2342" s="11" t="n">
        <x:v>1</x:v>
      </x:c>
      <x:c r="L2342" s="11" t="n">
        <x:f>IF(B2342="NED",1,IF(OR(B2342="ED",B2342="UN"),0,""))</x:f>
        <x:v>0</x:v>
      </x:c>
      <x:c r="M2342" s="11" t="n">
        <x:f>IF(AND(K2342=1,OR(B2342="ED",B2342="NED")),1,0)</x:f>
        <x:v>0</x:v>
      </x:c>
      <x:c r="N2342" s="11" t="n">
        <x:f>IF(K2342=1,1,0)</x:f>
        <x:v>1</x:v>
      </x:c>
      <x:c r="O2342" s="12"/>
      <x:c r="P2342" s="11" t="n">
        <x:v>0</x:v>
      </x:c>
      <x:c r="Q2342" s="12" t="str">
        <x:v>AF-Q8VCY6-F1-model_v6</x:v>
      </x:c>
      <x:c r="R2342" s="12" t="str">
        <x:v>ok</x:v>
      </x:c>
      <x:c r="S2342" s="11" t="n">
        <x:v>1845</x:v>
      </x:c>
      <x:c r="T2342" s="11" t="n">
        <x:v>597</x:v>
      </x:c>
    </x:row>
    <x:row r="2343" ht="23" customHeight="1">
      <x:c r="A2343" s="2" t="str">
        <x:v>Q8VD65</x:v>
      </x:c>
      <x:c r="B2343" s="2" t="str">
        <x:v>UN</x:v>
      </x:c>
      <x:c r="C2343" s="2" t="n">
        <x:v>1</x:v>
      </x:c>
      <x:c r="D2343" s="2" t="n">
        <x:v>1</x:v>
      </x:c>
      <x:c r="E2343" s="10"/>
      <x:c r="F2343" s="11" t="n">
        <x:v>1358</x:v>
      </x:c>
      <x:c r="G2343" s="11" t="n">
        <x:v>0</x:v>
      </x:c>
      <x:c r="H2343" s="11" t="n">
        <x:v>0</x:v>
      </x:c>
      <x:c r="I2343" s="11" t="n">
        <x:v>1</x:v>
      </x:c>
      <x:c r="J2343" s="11" t="n">
        <x:v>0</x:v>
      </x:c>
      <x:c r="K2343" s="11" t="n">
        <x:v>0</x:v>
      </x:c>
      <x:c r="L2343" s="11" t="n">
        <x:f>IF(B2343="NED",1,IF(OR(B2343="ED",B2343="UN"),0,""))</x:f>
        <x:v>0</x:v>
      </x:c>
      <x:c r="M2343" s="11" t="n">
        <x:f>IF(AND(K2343=1,OR(B2343="ED",B2343="NED")),1,0)</x:f>
        <x:v>0</x:v>
      </x:c>
      <x:c r="N2343" s="11" t="n">
        <x:f>IF(K2343=1,1,0)</x:f>
        <x:v>0</x:v>
      </x:c>
      <x:c r="O2343" s="12" t="str">
        <x:v>Exclude UniProt Membrane keyword</x:v>
      </x:c>
      <x:c r="P2343" s="11" t="n">
        <x:v>0</x:v>
      </x:c>
      <x:c r="Q2343" s="12" t="str">
        <x:v>AF-Q8VD65-F1-model_v6</x:v>
      </x:c>
      <x:c r="R2343" s="12" t="str">
        <x:v>ok</x:v>
      </x:c>
      <x:c r="S2343" s="11" t="n">
        <x:v>1846</x:v>
      </x:c>
      <x:c r="T2343" s="11" t="n">
        <x:v>1358</x:v>
      </x:c>
    </x:row>
    <x:row r="2344" ht="23" customHeight="1">
      <x:c r="A2344" s="2" t="str">
        <x:v>Q8VD75</x:v>
      </x:c>
      <x:c r="B2344" s="2" t="str">
        <x:v>ED</x:v>
      </x:c>
      <x:c r="C2344" s="2" t="n">
        <x:v>1</x:v>
      </x:c>
      <x:c r="D2344" s="2" t="n">
        <x:v>1</x:v>
      </x:c>
      <x:c r="E2344" s="10"/>
      <x:c r="F2344" s="11" t="n">
        <x:v>1029</x:v>
      </x:c>
      <x:c r="G2344" s="11" t="n">
        <x:v>0</x:v>
      </x:c>
      <x:c r="H2344" s="11" t="n">
        <x:v>0</x:v>
      </x:c>
      <x:c r="I2344" s="11" t="n">
        <x:v>1</x:v>
      </x:c>
      <x:c r="J2344" s="11" t="n">
        <x:v>0</x:v>
      </x:c>
      <x:c r="K2344" s="11" t="n">
        <x:v>0</x:v>
      </x:c>
      <x:c r="L2344" s="11" t="n">
        <x:f>IF(B2344="NED",1,IF(OR(B2344="ED",B2344="UN"),0,""))</x:f>
        <x:v>0</x:v>
      </x:c>
      <x:c r="M2344" s="11" t="n">
        <x:f>IF(AND(K2344=1,OR(B2344="ED",B2344="NED")),1,0)</x:f>
        <x:v>0</x:v>
      </x:c>
      <x:c r="N2344" s="11" t="n">
        <x:f>IF(K2344=1,1,0)</x:f>
        <x:v>0</x:v>
      </x:c>
      <x:c r="O2344" s="12" t="str">
        <x:v>Exclude UniProt Membrane keyword</x:v>
      </x:c>
      <x:c r="P2344" s="11" t="n">
        <x:v>0</x:v>
      </x:c>
      <x:c r="Q2344" s="12" t="str">
        <x:v>AF-Q8VD75-F1-model_v6</x:v>
      </x:c>
      <x:c r="R2344" s="12" t="str">
        <x:v>ok</x:v>
      </x:c>
      <x:c r="S2344" s="11" t="n">
        <x:v>1847</x:v>
      </x:c>
      <x:c r="T2344" s="11" t="n">
        <x:v>1029</x:v>
      </x:c>
    </x:row>
    <x:row r="2345" ht="23" customHeight="1">
      <x:c r="A2345" s="2" t="str">
        <x:v>Q8VDD5</x:v>
      </x:c>
      <x:c r="B2345" s="2" t="str">
        <x:v>UN</x:v>
      </x:c>
      <x:c r="C2345" s="2" t="n">
        <x:v>1</x:v>
      </x:c>
      <x:c r="D2345" s="2" t="n">
        <x:v>1</x:v>
      </x:c>
      <x:c r="E2345" s="10" t="n">
        <x:v>76.04172448979591</x:v>
      </x:c>
      <x:c r="F2345" s="11" t="n">
        <x:v>1960</x:v>
      </x:c>
      <x:c r="G2345" s="11" t="n">
        <x:v>0</x:v>
      </x:c>
      <x:c r="H2345" s="11" t="n">
        <x:v>0</x:v>
      </x:c>
      <x:c r="I2345" s="11" t="n">
        <x:v>0</x:v>
      </x:c>
      <x:c r="J2345" s="11" t="n">
        <x:v>0</x:v>
      </x:c>
      <x:c r="K2345" s="11" t="n">
        <x:v>1</x:v>
      </x:c>
      <x:c r="L2345" s="11" t="n">
        <x:f>IF(B2345="NED",1,IF(OR(B2345="ED",B2345="UN"),0,""))</x:f>
        <x:v>0</x:v>
      </x:c>
      <x:c r="M2345" s="11" t="n">
        <x:f>IF(AND(K2345=1,OR(B2345="ED",B2345="NED")),1,0)</x:f>
        <x:v>0</x:v>
      </x:c>
      <x:c r="N2345" s="11" t="n">
        <x:f>IF(K2345=1,1,0)</x:f>
        <x:v>1</x:v>
      </x:c>
      <x:c r="O2345" s="12"/>
      <x:c r="P2345" s="11" t="n">
        <x:v>0</x:v>
      </x:c>
      <x:c r="Q2345" s="12" t="str">
        <x:v>AF-Q8VDD5-F1-model_v6</x:v>
      </x:c>
      <x:c r="R2345" s="12" t="str">
        <x:v>ok</x:v>
      </x:c>
      <x:c r="S2345" s="11" t="n">
        <x:v>1848</x:v>
      </x:c>
      <x:c r="T2345" s="11" t="n">
        <x:v>1960</x:v>
      </x:c>
    </x:row>
    <x:row r="2346" ht="23" customHeight="1">
      <x:c r="A2346" s="2" t="str">
        <x:v>Q8VDD8</x:v>
      </x:c>
      <x:c r="B2346" s="2" t="str">
        <x:v>ED</x:v>
      </x:c>
      <x:c r="C2346" s="2" t="n">
        <x:v>0</x:v>
      </x:c>
      <x:c r="D2346" s="2" t="n">
        <x:v>0</x:v>
      </x:c>
      <x:c r="E2346" s="10"/>
      <x:c r="F2346" s="11" t="n">
        <x:v>475</x:v>
      </x:c>
      <x:c r="G2346" s="11" t="n">
        <x:v>0</x:v>
      </x:c>
      <x:c r="H2346" s="11" t="n">
        <x:v>0</x:v>
      </x:c>
      <x:c r="I2346" s="11" t="n">
        <x:v>1</x:v>
      </x:c>
      <x:c r="J2346" s="11" t="n">
        <x:v>0</x:v>
      </x:c>
      <x:c r="K2346" s="11" t="n">
        <x:v>0</x:v>
      </x:c>
      <x:c r="L2346" s="11" t="n">
        <x:f>IF(B2346="NED",1,IF(OR(B2346="ED",B2346="UN"),0,""))</x:f>
        <x:v>0</x:v>
      </x:c>
      <x:c r="M2346" s="11" t="n">
        <x:f>IF(AND(K2346=1,OR(B2346="ED",B2346="NED")),1,0)</x:f>
        <x:v>0</x:v>
      </x:c>
      <x:c r="N2346" s="11" t="n">
        <x:f>IF(K2346=1,1,0)</x:f>
        <x:v>0</x:v>
      </x:c>
      <x:c r="O2346" s="12" t="str">
        <x:v>Exclude UniProt Membrane keyword</x:v>
      </x:c>
      <x:c r="P2346" s="11" t="n">
        <x:v>0</x:v>
      </x:c>
      <x:c r="Q2346" s="12" t="str">
        <x:v>AF-Q8VDD8-F1-model_v6</x:v>
      </x:c>
      <x:c r="R2346" s="12" t="str">
        <x:v>ok</x:v>
      </x:c>
      <x:c r="S2346" s="11" t="n">
        <x:v>1849</x:v>
      </x:c>
      <x:c r="T2346" s="11" t="n">
        <x:v>475</x:v>
      </x:c>
    </x:row>
    <x:row r="2347" ht="23" customHeight="1">
      <x:c r="A2347" s="2" t="str">
        <x:v>Q8VDD9</x:v>
      </x:c>
      <x:c r="B2347" s="2" t="str">
        <x:v>UN</x:v>
      </x:c>
      <x:c r="C2347" s="2" t="n">
        <x:v>1</x:v>
      </x:c>
      <x:c r="D2347" s="2" t="n">
        <x:v>1</x:v>
      </x:c>
      <x:c r="E2347" s="10" t="n">
        <x:v>65.48048325096102</x:v>
      </x:c>
      <x:c r="F2347" s="11" t="n">
        <x:v>1821</x:v>
      </x:c>
      <x:c r="G2347" s="11" t="n">
        <x:v>0</x:v>
      </x:c>
      <x:c r="H2347" s="11" t="n">
        <x:v>0</x:v>
      </x:c>
      <x:c r="I2347" s="11" t="n">
        <x:v>0</x:v>
      </x:c>
      <x:c r="J2347" s="11" t="n">
        <x:v>0</x:v>
      </x:c>
      <x:c r="K2347" s="11" t="n">
        <x:v>0</x:v>
      </x:c>
      <x:c r="L2347" s="11" t="n">
        <x:f>IF(B2347="NED",1,IF(OR(B2347="ED",B2347="UN"),0,""))</x:f>
        <x:v>0</x:v>
      </x:c>
      <x:c r="M2347" s="11" t="n">
        <x:f>IF(AND(K2347=1,OR(B2347="ED",B2347="NED")),1,0)</x:f>
        <x:v>0</x:v>
      </x:c>
      <x:c r="N2347" s="11" t="n">
        <x:f>IF(K2347=1,1,0)</x:f>
        <x:v>0</x:v>
      </x:c>
      <x:c r="O2347" s="12" t="str">
        <x:v>Retain protein mean pLDDT &gt;=70</x:v>
      </x:c>
      <x:c r="P2347" s="11" t="n">
        <x:v>0</x:v>
      </x:c>
      <x:c r="Q2347" s="12" t="str">
        <x:v>AF-Q8VDD9-F1-model_v6</x:v>
      </x:c>
      <x:c r="R2347" s="12" t="str">
        <x:v>ok</x:v>
      </x:c>
      <x:c r="S2347" s="11" t="n">
        <x:v>1850</x:v>
      </x:c>
      <x:c r="T2347" s="11" t="n">
        <x:v>1821</x:v>
      </x:c>
    </x:row>
    <x:row r="2348" ht="23" customHeight="1">
      <x:c r="A2348" s="2" t="str">
        <x:v>Q8VDF2-2</x:v>
      </x:c>
      <x:c r="B2348" s="2" t="str">
        <x:v>UN</x:v>
      </x:c>
      <x:c r="C2348" s="2"/>
      <x:c r="D2348" s="2"/>
      <x:c r="E2348" s="10"/>
      <x:c r="F2348" s="11"/>
      <x:c r="G2348" s="11" t="n">
        <x:v>0</x:v>
      </x:c>
      <x:c r="H2348" s="11" t="n">
        <x:v>0</x:v>
      </x:c>
      <x:c r="I2348" s="11"/>
      <x:c r="J2348" s="11"/>
      <x:c r="K2348" s="11" t="n">
        <x:v>0</x:v>
      </x:c>
      <x:c r="L2348" s="11" t="n">
        <x:f>IF(B2348="NED",1,IF(OR(B2348="ED",B2348="UN"),0,""))</x:f>
        <x:v>0</x:v>
      </x:c>
      <x:c r="M2348" s="11" t="n">
        <x:f>IF(AND(K2348=1,OR(B2348="ED",B2348="NED")),1,0)</x:f>
        <x:v>0</x:v>
      </x:c>
      <x:c r="N2348" s="11" t="n">
        <x:f>IF(K2348=1,1,0)</x:f>
        <x:v>0</x:v>
      </x:c>
      <x:c r="O2348" s="12" t="str">
        <x:v>Require exact native accession match</x:v>
      </x:c>
      <x:c r="P2348" s="11" t="n">
        <x:v>0</x:v>
      </x:c>
      <x:c r="Q2348" s="12"/>
      <x:c r="R2348" s="12"/>
      <x:c r="S2348" s="11" t="n">
        <x:v>1851</x:v>
      </x:c>
      <x:c r="T2348" s="11"/>
    </x:row>
    <x:row r="2349" ht="23" customHeight="1">
      <x:c r="A2349" s="2" t="str">
        <x:v>Q8VDG3</x:v>
      </x:c>
      <x:c r="B2349" s="2" t="str">
        <x:v>NED</x:v>
      </x:c>
      <x:c r="C2349" s="2" t="n">
        <x:v>1</x:v>
      </x:c>
      <x:c r="D2349" s="2" t="n">
        <x:v>1</x:v>
      </x:c>
      <x:c r="E2349" s="10" t="n">
        <x:v>81.18442307692308</x:v>
      </x:c>
      <x:c r="F2349" s="11" t="n">
        <x:v>624</x:v>
      </x:c>
      <x:c r="G2349" s="11" t="n">
        <x:v>0</x:v>
      </x:c>
      <x:c r="H2349" s="11" t="n">
        <x:v>0</x:v>
      </x:c>
      <x:c r="I2349" s="11" t="n">
        <x:v>0</x:v>
      </x:c>
      <x:c r="J2349" s="11" t="n">
        <x:v>0</x:v>
      </x:c>
      <x:c r="K2349" s="11" t="n">
        <x:v>1</x:v>
      </x:c>
      <x:c r="L2349" s="11" t="n">
        <x:f>IF(B2349="NED",1,IF(OR(B2349="ED",B2349="UN"),0,""))</x:f>
        <x:v>1</x:v>
      </x:c>
      <x:c r="M2349" s="11" t="n">
        <x:f>IF(AND(K2349=1,OR(B2349="ED",B2349="NED")),1,0)</x:f>
        <x:v>1</x:v>
      </x:c>
      <x:c r="N2349" s="11" t="n">
        <x:f>IF(K2349=1,1,0)</x:f>
        <x:v>1</x:v>
      </x:c>
      <x:c r="O2349" s="12"/>
      <x:c r="P2349" s="11" t="n">
        <x:v>0</x:v>
      </x:c>
      <x:c r="Q2349" s="12" t="str">
        <x:v>AF-Q8VDG3-F1-model_v6</x:v>
      </x:c>
      <x:c r="R2349" s="12" t="str">
        <x:v>ok</x:v>
      </x:c>
      <x:c r="S2349" s="11" t="n">
        <x:v>1852</x:v>
      </x:c>
      <x:c r="T2349" s="11" t="n">
        <x:v>624</x:v>
      </x:c>
    </x:row>
    <x:row r="2350" ht="23" customHeight="1">
      <x:c r="A2350" s="2" t="str">
        <x:v>Q8VDH1-2</x:v>
      </x:c>
      <x:c r="B2350" s="2" t="str">
        <x:v>ED</x:v>
      </x:c>
      <x:c r="C2350" s="2"/>
      <x:c r="D2350" s="2"/>
      <x:c r="E2350" s="10"/>
      <x:c r="F2350" s="11"/>
      <x:c r="G2350" s="11" t="n">
        <x:v>0</x:v>
      </x:c>
      <x:c r="H2350" s="11" t="n">
        <x:v>0</x:v>
      </x:c>
      <x:c r="I2350" s="11"/>
      <x:c r="J2350" s="11"/>
      <x:c r="K2350" s="11" t="n">
        <x:v>0</x:v>
      </x:c>
      <x:c r="L2350" s="11" t="n">
        <x:f>IF(B2350="NED",1,IF(OR(B2350="ED",B2350="UN"),0,""))</x:f>
        <x:v>0</x:v>
      </x:c>
      <x:c r="M2350" s="11" t="n">
        <x:f>IF(AND(K2350=1,OR(B2350="ED",B2350="NED")),1,0)</x:f>
        <x:v>0</x:v>
      </x:c>
      <x:c r="N2350" s="11" t="n">
        <x:f>IF(K2350=1,1,0)</x:f>
        <x:v>0</x:v>
      </x:c>
      <x:c r="O2350" s="12" t="str">
        <x:v>Require exact native accession match</x:v>
      </x:c>
      <x:c r="P2350" s="11" t="n">
        <x:v>0</x:v>
      </x:c>
      <x:c r="Q2350" s="12"/>
      <x:c r="R2350" s="12"/>
      <x:c r="S2350" s="11" t="n">
        <x:v>1853</x:v>
      </x:c>
      <x:c r="T2350" s="11"/>
    </x:row>
    <x:row r="2351" ht="23" customHeight="1">
      <x:c r="A2351" s="2" t="str">
        <x:v>Q8VDJ3</x:v>
      </x:c>
      <x:c r="B2351" s="2" t="str">
        <x:v>ED</x:v>
      </x:c>
      <x:c r="C2351" s="2" t="n">
        <x:v>1</x:v>
      </x:c>
      <x:c r="D2351" s="2" t="n">
        <x:v>1</x:v>
      </x:c>
      <x:c r="E2351" s="10" t="n">
        <x:v>74.08571766561515</x:v>
      </x:c>
      <x:c r="F2351" s="11" t="n">
        <x:v>1268</x:v>
      </x:c>
      <x:c r="G2351" s="11" t="n">
        <x:v>0</x:v>
      </x:c>
      <x:c r="H2351" s="11" t="n">
        <x:v>0</x:v>
      </x:c>
      <x:c r="I2351" s="11" t="n">
        <x:v>0</x:v>
      </x:c>
      <x:c r="J2351" s="11" t="n">
        <x:v>0</x:v>
      </x:c>
      <x:c r="K2351" s="11" t="n">
        <x:v>1</x:v>
      </x:c>
      <x:c r="L2351" s="11" t="n">
        <x:f>IF(B2351="NED",1,IF(OR(B2351="ED",B2351="UN"),0,""))</x:f>
        <x:v>0</x:v>
      </x:c>
      <x:c r="M2351" s="11" t="n">
        <x:f>IF(AND(K2351=1,OR(B2351="ED",B2351="NED")),1,0)</x:f>
        <x:v>1</x:v>
      </x:c>
      <x:c r="N2351" s="11" t="n">
        <x:f>IF(K2351=1,1,0)</x:f>
        <x:v>1</x:v>
      </x:c>
      <x:c r="O2351" s="12"/>
      <x:c r="P2351" s="11" t="n">
        <x:v>0</x:v>
      </x:c>
      <x:c r="Q2351" s="12" t="str">
        <x:v>AF-Q8VDJ3-F1-model_v6</x:v>
      </x:c>
      <x:c r="R2351" s="12" t="str">
        <x:v>ok</x:v>
      </x:c>
      <x:c r="S2351" s="11" t="n">
        <x:v>1854</x:v>
      </x:c>
      <x:c r="T2351" s="11" t="n">
        <x:v>1268</x:v>
      </x:c>
    </x:row>
    <x:row r="2352" ht="23" customHeight="1">
      <x:c r="A2352" s="2" t="str">
        <x:v>Q8VDL4-3</x:v>
      </x:c>
      <x:c r="B2352" s="2" t="str">
        <x:v>ED</x:v>
      </x:c>
      <x:c r="C2352" s="2"/>
      <x:c r="D2352" s="2"/>
      <x:c r="E2352" s="10"/>
      <x:c r="F2352" s="11"/>
      <x:c r="G2352" s="11" t="n">
        <x:v>0</x:v>
      </x:c>
      <x:c r="H2352" s="11" t="n">
        <x:v>0</x:v>
      </x:c>
      <x:c r="I2352" s="11"/>
      <x:c r="J2352" s="11"/>
      <x:c r="K2352" s="11" t="n">
        <x:v>0</x:v>
      </x:c>
      <x:c r="L2352" s="11" t="n">
        <x:f>IF(B2352="NED",1,IF(OR(B2352="ED",B2352="UN"),0,""))</x:f>
        <x:v>0</x:v>
      </x:c>
      <x:c r="M2352" s="11" t="n">
        <x:f>IF(AND(K2352=1,OR(B2352="ED",B2352="NED")),1,0)</x:f>
        <x:v>0</x:v>
      </x:c>
      <x:c r="N2352" s="11" t="n">
        <x:f>IF(K2352=1,1,0)</x:f>
        <x:v>0</x:v>
      </x:c>
      <x:c r="O2352" s="12" t="str">
        <x:v>Require exact native accession match</x:v>
      </x:c>
      <x:c r="P2352" s="11" t="n">
        <x:v>0</x:v>
      </x:c>
      <x:c r="Q2352" s="12"/>
      <x:c r="R2352" s="12"/>
      <x:c r="S2352" s="11" t="n">
        <x:v>1855</x:v>
      </x:c>
      <x:c r="T2352" s="11"/>
    </x:row>
    <x:row r="2353" ht="23" customHeight="1">
      <x:c r="A2353" s="2" t="str">
        <x:v>Q8VDM4</x:v>
      </x:c>
      <x:c r="B2353" s="2" t="str">
        <x:v>NED</x:v>
      </x:c>
      <x:c r="C2353" s="2" t="n">
        <x:v>1</x:v>
      </x:c>
      <x:c r="D2353" s="2"/>
      <x:c r="E2353" s="10" t="n">
        <x:v>64.10450440528635</x:v>
      </x:c>
      <x:c r="F2353" s="11" t="n">
        <x:v>908</x:v>
      </x:c>
      <x:c r="G2353" s="11" t="n">
        <x:v>0</x:v>
      </x:c>
      <x:c r="H2353" s="11" t="n">
        <x:v>0</x:v>
      </x:c>
      <x:c r="I2353" s="11" t="n">
        <x:v>0</x:v>
      </x:c>
      <x:c r="J2353" s="11" t="n">
        <x:v>0</x:v>
      </x:c>
      <x:c r="K2353" s="11" t="n">
        <x:v>0</x:v>
      </x:c>
      <x:c r="L2353" s="11" t="n">
        <x:f>IF(B2353="NED",1,IF(OR(B2353="ED",B2353="UN"),0,""))</x:f>
        <x:v>1</x:v>
      </x:c>
      <x:c r="M2353" s="11" t="n">
        <x:f>IF(AND(K2353=1,OR(B2353="ED",B2353="NED")),1,0)</x:f>
        <x:v>0</x:v>
      </x:c>
      <x:c r="N2353" s="11" t="n">
        <x:f>IF(K2353=1,1,0)</x:f>
        <x:v>0</x:v>
      </x:c>
      <x:c r="O2353" s="12" t="str">
        <x:v>Retain protein mean pLDDT &gt;=70</x:v>
      </x:c>
      <x:c r="P2353" s="11" t="n">
        <x:v>0</x:v>
      </x:c>
      <x:c r="Q2353" s="12" t="str">
        <x:v>AF-Q8VDM4-F1-model_v6</x:v>
      </x:c>
      <x:c r="R2353" s="12" t="str">
        <x:v>ok</x:v>
      </x:c>
      <x:c r="S2353" s="11" t="n">
        <x:v>1856</x:v>
      </x:c>
      <x:c r="T2353" s="11" t="n">
        <x:v>908</x:v>
      </x:c>
    </x:row>
    <x:row r="2354" ht="23" customHeight="1">
      <x:c r="A2354" s="2" t="str">
        <x:v>Q8VDM6</x:v>
      </x:c>
      <x:c r="B2354" s="2" t="str">
        <x:v>ED</x:v>
      </x:c>
      <x:c r="C2354" s="2" t="n">
        <x:v>1</x:v>
      </x:c>
      <x:c r="D2354" s="2" t="n">
        <x:v>1</x:v>
      </x:c>
      <x:c r="E2354" s="10" t="n">
        <x:v>66.20398137369034</x:v>
      </x:c>
      <x:c r="F2354" s="11" t="n">
        <x:v>859</x:v>
      </x:c>
      <x:c r="G2354" s="11" t="n">
        <x:v>0</x:v>
      </x:c>
      <x:c r="H2354" s="11" t="n">
        <x:v>0</x:v>
      </x:c>
      <x:c r="I2354" s="11" t="n">
        <x:v>0</x:v>
      </x:c>
      <x:c r="J2354" s="11" t="n">
        <x:v>0</x:v>
      </x:c>
      <x:c r="K2354" s="11" t="n">
        <x:v>0</x:v>
      </x:c>
      <x:c r="L2354" s="11" t="n">
        <x:f>IF(B2354="NED",1,IF(OR(B2354="ED",B2354="UN"),0,""))</x:f>
        <x:v>0</x:v>
      </x:c>
      <x:c r="M2354" s="11" t="n">
        <x:f>IF(AND(K2354=1,OR(B2354="ED",B2354="NED")),1,0)</x:f>
        <x:v>0</x:v>
      </x:c>
      <x:c r="N2354" s="11" t="n">
        <x:f>IF(K2354=1,1,0)</x:f>
        <x:v>0</x:v>
      </x:c>
      <x:c r="O2354" s="12" t="str">
        <x:v>Retain protein mean pLDDT &gt;=70</x:v>
      </x:c>
      <x:c r="P2354" s="11" t="n">
        <x:v>0</x:v>
      </x:c>
      <x:c r="Q2354" s="12" t="str">
        <x:v>AF-Q8VDM6-F1-model_v6</x:v>
      </x:c>
      <x:c r="R2354" s="12" t="str">
        <x:v>ok</x:v>
      </x:c>
      <x:c r="S2354" s="11" t="n">
        <x:v>1857</x:v>
      </x:c>
      <x:c r="T2354" s="11" t="n">
        <x:v>859</x:v>
      </x:c>
    </x:row>
    <x:row r="2355" ht="23" customHeight="1">
      <x:c r="A2355" s="2" t="str">
        <x:v>Q8VDN2</x:v>
      </x:c>
      <x:c r="B2355" s="2" t="str">
        <x:v>UN</x:v>
      </x:c>
      <x:c r="C2355" s="2" t="n">
        <x:v>1</x:v>
      </x:c>
      <x:c r="D2355" s="2" t="n">
        <x:v>1</x:v>
      </x:c>
      <x:c r="E2355" s="10"/>
      <x:c r="F2355" s="11" t="n">
        <x:v>1023</x:v>
      </x:c>
      <x:c r="G2355" s="11" t="n">
        <x:v>0</x:v>
      </x:c>
      <x:c r="H2355" s="11" t="n">
        <x:v>0</x:v>
      </x:c>
      <x:c r="I2355" s="11" t="n">
        <x:v>1</x:v>
      </x:c>
      <x:c r="J2355" s="11" t="n">
        <x:v>0</x:v>
      </x:c>
      <x:c r="K2355" s="11" t="n">
        <x:v>0</x:v>
      </x:c>
      <x:c r="L2355" s="11" t="n">
        <x:f>IF(B2355="NED",1,IF(OR(B2355="ED",B2355="UN"),0,""))</x:f>
        <x:v>0</x:v>
      </x:c>
      <x:c r="M2355" s="11" t="n">
        <x:f>IF(AND(K2355=1,OR(B2355="ED",B2355="NED")),1,0)</x:f>
        <x:v>0</x:v>
      </x:c>
      <x:c r="N2355" s="11" t="n">
        <x:f>IF(K2355=1,1,0)</x:f>
        <x:v>0</x:v>
      </x:c>
      <x:c r="O2355" s="12" t="str">
        <x:v>Exclude UniProt Membrane keyword</x:v>
      </x:c>
      <x:c r="P2355" s="11" t="n">
        <x:v>0</x:v>
      </x:c>
      <x:c r="Q2355" s="12" t="str">
        <x:v>AF-Q8VDN2-F1-model_v6</x:v>
      </x:c>
      <x:c r="R2355" s="12" t="str">
        <x:v>ok</x:v>
      </x:c>
      <x:c r="S2355" s="11" t="n">
        <x:v>1858</x:v>
      </x:c>
      <x:c r="T2355" s="11" t="n">
        <x:v>1023</x:v>
      </x:c>
    </x:row>
    <x:row r="2356" ht="23" customHeight="1">
      <x:c r="A2356" s="2" t="str">
        <x:v>Q8VDN4</x:v>
      </x:c>
      <x:c r="B2356" s="2" t="str">
        <x:v>ED</x:v>
      </x:c>
      <x:c r="C2356" s="2" t="n">
        <x:v>0</x:v>
      </x:c>
      <x:c r="D2356" s="2" t="n">
        <x:v>0</x:v>
      </x:c>
      <x:c r="E2356" s="10" t="n">
        <x:v>74.81044585987262</x:v>
      </x:c>
      <x:c r="F2356" s="11" t="n">
        <x:v>314</x:v>
      </x:c>
      <x:c r="G2356" s="11" t="n">
        <x:v>0</x:v>
      </x:c>
      <x:c r="H2356" s="11" t="n">
        <x:v>0</x:v>
      </x:c>
      <x:c r="I2356" s="11" t="n">
        <x:v>0</x:v>
      </x:c>
      <x:c r="J2356" s="11" t="n">
        <x:v>0</x:v>
      </x:c>
      <x:c r="K2356" s="11" t="n">
        <x:v>1</x:v>
      </x:c>
      <x:c r="L2356" s="11" t="n">
        <x:f>IF(B2356="NED",1,IF(OR(B2356="ED",B2356="UN"),0,""))</x:f>
        <x:v>0</x:v>
      </x:c>
      <x:c r="M2356" s="11" t="n">
        <x:f>IF(AND(K2356=1,OR(B2356="ED",B2356="NED")),1,0)</x:f>
        <x:v>1</x:v>
      </x:c>
      <x:c r="N2356" s="11" t="n">
        <x:f>IF(K2356=1,1,0)</x:f>
        <x:v>1</x:v>
      </x:c>
      <x:c r="O2356" s="12"/>
      <x:c r="P2356" s="11" t="n">
        <x:v>0</x:v>
      </x:c>
      <x:c r="Q2356" s="12" t="str">
        <x:v>AF-Q8VDN4-F1-model_v6</x:v>
      </x:c>
      <x:c r="R2356" s="12" t="str">
        <x:v>ok</x:v>
      </x:c>
      <x:c r="S2356" s="11" t="n">
        <x:v>1859</x:v>
      </x:c>
      <x:c r="T2356" s="11" t="n">
        <x:v>314</x:v>
      </x:c>
    </x:row>
    <x:row r="2357" ht="23" customHeight="1">
      <x:c r="A2357" s="2" t="str">
        <x:v>Q8VDP2</x:v>
      </x:c>
      <x:c r="B2357" s="2" t="str">
        <x:v>UN</x:v>
      </x:c>
      <x:c r="C2357" s="2" t="n">
        <x:v>1</x:v>
      </x:c>
      <x:c r="D2357" s="2" t="n">
        <x:v>1</x:v>
      </x:c>
      <x:c r="E2357" s="10"/>
      <x:c r="F2357" s="11" t="n">
        <x:v>222</x:v>
      </x:c>
      <x:c r="G2357" s="11" t="n">
        <x:v>0</x:v>
      </x:c>
      <x:c r="H2357" s="11" t="n">
        <x:v>0</x:v>
      </x:c>
      <x:c r="I2357" s="11" t="n">
        <x:v>1</x:v>
      </x:c>
      <x:c r="J2357" s="11" t="n">
        <x:v>0</x:v>
      </x:c>
      <x:c r="K2357" s="11" t="n">
        <x:v>0</x:v>
      </x:c>
      <x:c r="L2357" s="11" t="n">
        <x:f>IF(B2357="NED",1,IF(OR(B2357="ED",B2357="UN"),0,""))</x:f>
        <x:v>0</x:v>
      </x:c>
      <x:c r="M2357" s="11" t="n">
        <x:f>IF(AND(K2357=1,OR(B2357="ED",B2357="NED")),1,0)</x:f>
        <x:v>0</x:v>
      </x:c>
      <x:c r="N2357" s="11" t="n">
        <x:f>IF(K2357=1,1,0)</x:f>
        <x:v>0</x:v>
      </x:c>
      <x:c r="O2357" s="12" t="str">
        <x:v>Exclude UniProt Membrane keyword</x:v>
      </x:c>
      <x:c r="P2357" s="11" t="n">
        <x:v>0</x:v>
      </x:c>
      <x:c r="Q2357" s="12" t="str">
        <x:v>AF-Q8VDP2-F1-model_v6</x:v>
      </x:c>
      <x:c r="R2357" s="12" t="str">
        <x:v>ok</x:v>
      </x:c>
      <x:c r="S2357" s="11" t="n">
        <x:v>1860</x:v>
      </x:c>
      <x:c r="T2357" s="11" t="n">
        <x:v>222</x:v>
      </x:c>
    </x:row>
    <x:row r="2358" ht="23" customHeight="1">
      <x:c r="A2358" s="2" t="str">
        <x:v>Q8VDP4</x:v>
      </x:c>
      <x:c r="B2358" s="2" t="str">
        <x:v>NED</x:v>
      </x:c>
      <x:c r="C2358" s="2" t="n">
        <x:v>1</x:v>
      </x:c>
      <x:c r="D2358" s="2" t="n">
        <x:v>1</x:v>
      </x:c>
      <x:c r="E2358" s="10"/>
      <x:c r="F2358" s="11" t="n">
        <x:v>922</x:v>
      </x:c>
      <x:c r="G2358" s="11" t="n">
        <x:v>1</x:v>
      </x:c>
      <x:c r="H2358" s="11" t="n">
        <x:v>0</x:v>
      </x:c>
      <x:c r="I2358" s="11" t="n">
        <x:v>0</x:v>
      </x:c>
      <x:c r="J2358" s="11" t="n">
        <x:v>0</x:v>
      </x:c>
      <x:c r="K2358" s="11" t="n">
        <x:v>0</x:v>
      </x:c>
      <x:c r="L2358" s="11" t="n">
        <x:f>IF(B2358="NED",1,IF(OR(B2358="ED",B2358="UN"),0,""))</x:f>
        <x:v>1</x:v>
      </x:c>
      <x:c r="M2358" s="11" t="n">
        <x:f>IF(AND(K2358=1,OR(B2358="ED",B2358="NED")),1,0)</x:f>
        <x:v>0</x:v>
      </x:c>
      <x:c r="N2358" s="11" t="n">
        <x:f>IF(K2358=1,1,0)</x:f>
        <x:v>0</x:v>
      </x:c>
      <x:c r="O2358" s="12" t="str">
        <x:v>Exclude supplied knotted proteins</x:v>
      </x:c>
      <x:c r="P2358" s="11" t="n">
        <x:v>0</x:v>
      </x:c>
      <x:c r="Q2358" s="12" t="str">
        <x:v>AF-Q8VDP4-F1-model_v6</x:v>
      </x:c>
      <x:c r="R2358" s="12" t="str">
        <x:v>ok</x:v>
      </x:c>
      <x:c r="S2358" s="11" t="n">
        <x:v>1861</x:v>
      </x:c>
      <x:c r="T2358" s="11" t="n">
        <x:v>922</x:v>
      </x:c>
    </x:row>
    <x:row r="2359" ht="23" customHeight="1">
      <x:c r="A2359" s="2" t="str">
        <x:v>Q8VDQ8-2</x:v>
      </x:c>
      <x:c r="B2359" s="2" t="str">
        <x:v>ED</x:v>
      </x:c>
      <x:c r="C2359" s="2"/>
      <x:c r="D2359" s="2"/>
      <x:c r="E2359" s="10"/>
      <x:c r="F2359" s="11"/>
      <x:c r="G2359" s="11" t="n">
        <x:v>0</x:v>
      </x:c>
      <x:c r="H2359" s="11" t="n">
        <x:v>0</x:v>
      </x:c>
      <x:c r="I2359" s="11"/>
      <x:c r="J2359" s="11"/>
      <x:c r="K2359" s="11" t="n">
        <x:v>0</x:v>
      </x:c>
      <x:c r="L2359" s="11" t="n">
        <x:f>IF(B2359="NED",1,IF(OR(B2359="ED",B2359="UN"),0,""))</x:f>
        <x:v>0</x:v>
      </x:c>
      <x:c r="M2359" s="11" t="n">
        <x:f>IF(AND(K2359=1,OR(B2359="ED",B2359="NED")),1,0)</x:f>
        <x:v>0</x:v>
      </x:c>
      <x:c r="N2359" s="11" t="n">
        <x:f>IF(K2359=1,1,0)</x:f>
        <x:v>0</x:v>
      </x:c>
      <x:c r="O2359" s="12" t="str">
        <x:v>Require exact native accession match</x:v>
      </x:c>
      <x:c r="P2359" s="11" t="n">
        <x:v>0</x:v>
      </x:c>
      <x:c r="Q2359" s="12"/>
      <x:c r="R2359" s="12"/>
      <x:c r="S2359" s="11" t="n">
        <x:v>1862</x:v>
      </x:c>
      <x:c r="T2359" s="11"/>
    </x:row>
    <x:row r="2360" ht="23" customHeight="1">
      <x:c r="A2360" s="2" t="str">
        <x:v>Q8VDU0</x:v>
      </x:c>
      <x:c r="B2360" s="2" t="str">
        <x:v>ED</x:v>
      </x:c>
      <x:c r="C2360" s="2" t="n">
        <x:v>1</x:v>
      </x:c>
      <x:c r="D2360" s="2"/>
      <x:c r="E2360" s="10"/>
      <x:c r="F2360" s="11" t="n">
        <x:v>679</x:v>
      </x:c>
      <x:c r="G2360" s="11" t="n">
        <x:v>1</x:v>
      </x:c>
      <x:c r="H2360" s="11" t="n">
        <x:v>0</x:v>
      </x:c>
      <x:c r="I2360" s="11" t="n">
        <x:v>1</x:v>
      </x:c>
      <x:c r="J2360" s="11" t="n">
        <x:v>0</x:v>
      </x:c>
      <x:c r="K2360" s="11" t="n">
        <x:v>0</x:v>
      </x:c>
      <x:c r="L2360" s="11" t="n">
        <x:f>IF(B2360="NED",1,IF(OR(B2360="ED",B2360="UN"),0,""))</x:f>
        <x:v>0</x:v>
      </x:c>
      <x:c r="M2360" s="11" t="n">
        <x:f>IF(AND(K2360=1,OR(B2360="ED",B2360="NED")),1,0)</x:f>
        <x:v>0</x:v>
      </x:c>
      <x:c r="N2360" s="11" t="n">
        <x:f>IF(K2360=1,1,0)</x:f>
        <x:v>0</x:v>
      </x:c>
      <x:c r="O2360" s="12" t="str">
        <x:v>Exclude supplied knotted proteins</x:v>
      </x:c>
      <x:c r="P2360" s="11" t="n">
        <x:v>0</x:v>
      </x:c>
      <x:c r="Q2360" s="12" t="str">
        <x:v>AF-Q8VDU0-F1-model_v6</x:v>
      </x:c>
      <x:c r="R2360" s="12" t="str">
        <x:v>ok</x:v>
      </x:c>
      <x:c r="S2360" s="11" t="n">
        <x:v>1863</x:v>
      </x:c>
      <x:c r="T2360" s="11" t="n">
        <x:v>679</x:v>
      </x:c>
    </x:row>
    <x:row r="2361" ht="23" customHeight="1">
      <x:c r="A2361" s="2" t="str">
        <x:v>Q8VDW0</x:v>
      </x:c>
      <x:c r="B2361" s="2" t="str">
        <x:v>UN</x:v>
      </x:c>
      <x:c r="C2361" s="2" t="n">
        <x:v>1</x:v>
      </x:c>
      <x:c r="D2361" s="2" t="n">
        <x:v>1</x:v>
      </x:c>
      <x:c r="E2361" s="10" t="n">
        <x:v>85.00798594847775</x:v>
      </x:c>
      <x:c r="F2361" s="11" t="n">
        <x:v>427</x:v>
      </x:c>
      <x:c r="G2361" s="11" t="n">
        <x:v>0</x:v>
      </x:c>
      <x:c r="H2361" s="11" t="n">
        <x:v>0</x:v>
      </x:c>
      <x:c r="I2361" s="11" t="n">
        <x:v>0</x:v>
      </x:c>
      <x:c r="J2361" s="11" t="n">
        <x:v>0</x:v>
      </x:c>
      <x:c r="K2361" s="11" t="n">
        <x:v>1</x:v>
      </x:c>
      <x:c r="L2361" s="11" t="n">
        <x:f>IF(B2361="NED",1,IF(OR(B2361="ED",B2361="UN"),0,""))</x:f>
        <x:v>0</x:v>
      </x:c>
      <x:c r="M2361" s="11" t="n">
        <x:f>IF(AND(K2361=1,OR(B2361="ED",B2361="NED")),1,0)</x:f>
        <x:v>0</x:v>
      </x:c>
      <x:c r="N2361" s="11" t="n">
        <x:f>IF(K2361=1,1,0)</x:f>
        <x:v>1</x:v>
      </x:c>
      <x:c r="O2361" s="12"/>
      <x:c r="P2361" s="11" t="n">
        <x:v>0</x:v>
      </x:c>
      <x:c r="Q2361" s="12" t="str">
        <x:v>AF-Q8VDW0-F1-model_v6</x:v>
      </x:c>
      <x:c r="R2361" s="12" t="str">
        <x:v>ok</x:v>
      </x:c>
      <x:c r="S2361" s="11" t="n">
        <x:v>1864</x:v>
      </x:c>
      <x:c r="T2361" s="11" t="n">
        <x:v>427</x:v>
      </x:c>
    </x:row>
    <x:row r="2362" ht="23" customHeight="1">
      <x:c r="A2362" s="2" t="str">
        <x:v>Q8VE22</x:v>
      </x:c>
      <x:c r="B2362" s="2" t="str">
        <x:v>UN</x:v>
      </x:c>
      <x:c r="C2362" s="2" t="n">
        <x:v>0</x:v>
      </x:c>
      <x:c r="D2362" s="2" t="n">
        <x:v>0</x:v>
      </x:c>
      <x:c r="E2362" s="10" t="n">
        <x:v>81.12209039548023</x:v>
      </x:c>
      <x:c r="F2362" s="11" t="n">
        <x:v>177</x:v>
      </x:c>
      <x:c r="G2362" s="11" t="n">
        <x:v>0</x:v>
      </x:c>
      <x:c r="H2362" s="11" t="n">
        <x:v>0</x:v>
      </x:c>
      <x:c r="I2362" s="11" t="n">
        <x:v>0</x:v>
      </x:c>
      <x:c r="J2362" s="11" t="n">
        <x:v>0</x:v>
      </x:c>
      <x:c r="K2362" s="11" t="n">
        <x:v>1</x:v>
      </x:c>
      <x:c r="L2362" s="11" t="n">
        <x:f>IF(B2362="NED",1,IF(OR(B2362="ED",B2362="UN"),0,""))</x:f>
        <x:v>0</x:v>
      </x:c>
      <x:c r="M2362" s="11" t="n">
        <x:f>IF(AND(K2362=1,OR(B2362="ED",B2362="NED")),1,0)</x:f>
        <x:v>0</x:v>
      </x:c>
      <x:c r="N2362" s="11" t="n">
        <x:f>IF(K2362=1,1,0)</x:f>
        <x:v>1</x:v>
      </x:c>
      <x:c r="O2362" s="12"/>
      <x:c r="P2362" s="11" t="n">
        <x:v>0</x:v>
      </x:c>
      <x:c r="Q2362" s="12" t="str">
        <x:v>AF-Q8VE22-F1-model_v6</x:v>
      </x:c>
      <x:c r="R2362" s="12" t="str">
        <x:v>ok</x:v>
      </x:c>
      <x:c r="S2362" s="11" t="n">
        <x:v>1865</x:v>
      </x:c>
      <x:c r="T2362" s="11" t="n">
        <x:v>177</x:v>
      </x:c>
    </x:row>
    <x:row r="2363" ht="23" customHeight="1">
      <x:c r="A2363" s="2" t="str">
        <x:v>Q8VE37</x:v>
      </x:c>
      <x:c r="B2363" s="2" t="str">
        <x:v>UN</x:v>
      </x:c>
      <x:c r="C2363" s="2" t="n">
        <x:v>1</x:v>
      </x:c>
      <x:c r="D2363" s="2" t="n">
        <x:v>1</x:v>
      </x:c>
      <x:c r="E2363" s="10" t="n">
        <x:v>93.89368171021376</x:v>
      </x:c>
      <x:c r="F2363" s="11" t="n">
        <x:v>421</x:v>
      </x:c>
      <x:c r="G2363" s="11" t="n">
        <x:v>0</x:v>
      </x:c>
      <x:c r="H2363" s="11" t="n">
        <x:v>0</x:v>
      </x:c>
      <x:c r="I2363" s="11" t="n">
        <x:v>0</x:v>
      </x:c>
      <x:c r="J2363" s="11" t="n">
        <x:v>0</x:v>
      </x:c>
      <x:c r="K2363" s="11" t="n">
        <x:v>1</x:v>
      </x:c>
      <x:c r="L2363" s="11" t="n">
        <x:f>IF(B2363="NED",1,IF(OR(B2363="ED",B2363="UN"),0,""))</x:f>
        <x:v>0</x:v>
      </x:c>
      <x:c r="M2363" s="11" t="n">
        <x:f>IF(AND(K2363=1,OR(B2363="ED",B2363="NED")),1,0)</x:f>
        <x:v>0</x:v>
      </x:c>
      <x:c r="N2363" s="11" t="n">
        <x:f>IF(K2363=1,1,0)</x:f>
        <x:v>1</x:v>
      </x:c>
      <x:c r="O2363" s="12"/>
      <x:c r="P2363" s="11" t="n">
        <x:v>0</x:v>
      </x:c>
      <x:c r="Q2363" s="12" t="str">
        <x:v>AF-Q8VE37-F1-model_v6</x:v>
      </x:c>
      <x:c r="R2363" s="12" t="str">
        <x:v>ok</x:v>
      </x:c>
      <x:c r="S2363" s="11" t="n">
        <x:v>1866</x:v>
      </x:c>
      <x:c r="T2363" s="11" t="n">
        <x:v>421</x:v>
      </x:c>
    </x:row>
    <x:row r="2364" ht="23" customHeight="1">
      <x:c r="A2364" s="2" t="str">
        <x:v>Q8VE70</x:v>
      </x:c>
      <x:c r="B2364" s="2" t="str">
        <x:v>NED</x:v>
      </x:c>
      <x:c r="C2364" s="2" t="n">
        <x:v>1</x:v>
      </x:c>
      <x:c r="D2364" s="2" t="n">
        <x:v>1</x:v>
      </x:c>
      <x:c r="E2364" s="10"/>
      <x:c r="F2364" s="11" t="n">
        <x:v>212</x:v>
      </x:c>
      <x:c r="G2364" s="11" t="n">
        <x:v>0</x:v>
      </x:c>
      <x:c r="H2364" s="11" t="n">
        <x:v>0</x:v>
      </x:c>
      <x:c r="I2364" s="11" t="n">
        <x:v>1</x:v>
      </x:c>
      <x:c r="J2364" s="11" t="n">
        <x:v>0</x:v>
      </x:c>
      <x:c r="K2364" s="11" t="n">
        <x:v>0</x:v>
      </x:c>
      <x:c r="L2364" s="11" t="n">
        <x:f>IF(B2364="NED",1,IF(OR(B2364="ED",B2364="UN"),0,""))</x:f>
        <x:v>1</x:v>
      </x:c>
      <x:c r="M2364" s="11" t="n">
        <x:f>IF(AND(K2364=1,OR(B2364="ED",B2364="NED")),1,0)</x:f>
        <x:v>0</x:v>
      </x:c>
      <x:c r="N2364" s="11" t="n">
        <x:f>IF(K2364=1,1,0)</x:f>
        <x:v>0</x:v>
      </x:c>
      <x:c r="O2364" s="12" t="str">
        <x:v>Exclude UniProt Membrane keyword</x:v>
      </x:c>
      <x:c r="P2364" s="11" t="n">
        <x:v>0</x:v>
      </x:c>
      <x:c r="Q2364" s="12" t="str">
        <x:v>AF-Q8VE70-F1-model_v6</x:v>
      </x:c>
      <x:c r="R2364" s="12" t="str">
        <x:v>ok</x:v>
      </x:c>
      <x:c r="S2364" s="11" t="n">
        <x:v>1867</x:v>
      </x:c>
      <x:c r="T2364" s="11" t="n">
        <x:v>212</x:v>
      </x:c>
    </x:row>
    <x:row r="2365" ht="23" customHeight="1">
      <x:c r="A2365" s="2" t="str">
        <x:v>Q8VE73</x:v>
      </x:c>
      <x:c r="B2365" s="2" t="str">
        <x:v>ED</x:v>
      </x:c>
      <x:c r="C2365" s="2" t="n">
        <x:v>1</x:v>
      </x:c>
      <x:c r="D2365" s="2" t="n">
        <x:v>1</x:v>
      </x:c>
      <x:c r="E2365" s="10" t="n">
        <x:v>70.53896980461812</x:v>
      </x:c>
      <x:c r="F2365" s="11" t="n">
        <x:v>1689</x:v>
      </x:c>
      <x:c r="G2365" s="11" t="n">
        <x:v>0</x:v>
      </x:c>
      <x:c r="H2365" s="11" t="n">
        <x:v>0</x:v>
      </x:c>
      <x:c r="I2365" s="11" t="n">
        <x:v>0</x:v>
      </x:c>
      <x:c r="J2365" s="11" t="n">
        <x:v>0</x:v>
      </x:c>
      <x:c r="K2365" s="11" t="n">
        <x:v>1</x:v>
      </x:c>
      <x:c r="L2365" s="11" t="n">
        <x:f>IF(B2365="NED",1,IF(OR(B2365="ED",B2365="UN"),0,""))</x:f>
        <x:v>0</x:v>
      </x:c>
      <x:c r="M2365" s="11" t="n">
        <x:f>IF(AND(K2365=1,OR(B2365="ED",B2365="NED")),1,0)</x:f>
        <x:v>1</x:v>
      </x:c>
      <x:c r="N2365" s="11" t="n">
        <x:f>IF(K2365=1,1,0)</x:f>
        <x:v>1</x:v>
      </x:c>
      <x:c r="O2365" s="12"/>
      <x:c r="P2365" s="11" t="n">
        <x:v>0</x:v>
      </x:c>
      <x:c r="Q2365" s="12" t="str">
        <x:v>AF-Q8VE73-F1-model_v6</x:v>
      </x:c>
      <x:c r="R2365" s="12" t="str">
        <x:v>ok</x:v>
      </x:c>
      <x:c r="S2365" s="11" t="n">
        <x:v>1868</x:v>
      </x:c>
      <x:c r="T2365" s="11" t="n">
        <x:v>1689</x:v>
      </x:c>
    </x:row>
    <x:row r="2366" ht="23" customHeight="1">
      <x:c r="A2366" s="2" t="str">
        <x:v>Q8VEE4</x:v>
      </x:c>
      <x:c r="B2366" s="2" t="str">
        <x:v>NED</x:v>
      </x:c>
      <x:c r="C2366" s="2" t="n">
        <x:v>1</x:v>
      </x:c>
      <x:c r="D2366" s="2" t="n">
        <x:v>1</x:v>
      </x:c>
      <x:c r="E2366" s="10" t="n">
        <x:v>83.46812199036918</x:v>
      </x:c>
      <x:c r="F2366" s="11" t="n">
        <x:v>623</x:v>
      </x:c>
      <x:c r="G2366" s="11" t="n">
        <x:v>0</x:v>
      </x:c>
      <x:c r="H2366" s="11" t="n">
        <x:v>0</x:v>
      </x:c>
      <x:c r="I2366" s="11" t="n">
        <x:v>0</x:v>
      </x:c>
      <x:c r="J2366" s="11" t="n">
        <x:v>0</x:v>
      </x:c>
      <x:c r="K2366" s="11" t="n">
        <x:v>1</x:v>
      </x:c>
      <x:c r="L2366" s="11" t="n">
        <x:f>IF(B2366="NED",1,IF(OR(B2366="ED",B2366="UN"),0,""))</x:f>
        <x:v>1</x:v>
      </x:c>
      <x:c r="M2366" s="11" t="n">
        <x:f>IF(AND(K2366=1,OR(B2366="ED",B2366="NED")),1,0)</x:f>
        <x:v>1</x:v>
      </x:c>
      <x:c r="N2366" s="11" t="n">
        <x:f>IF(K2366=1,1,0)</x:f>
        <x:v>1</x:v>
      </x:c>
      <x:c r="O2366" s="12"/>
      <x:c r="P2366" s="11" t="n">
        <x:v>0</x:v>
      </x:c>
      <x:c r="Q2366" s="12" t="str">
        <x:v>AF-Q8VEE4-F1-model_v6</x:v>
      </x:c>
      <x:c r="R2366" s="12" t="str">
        <x:v>ok</x:v>
      </x:c>
      <x:c r="S2366" s="11" t="n">
        <x:v>1869</x:v>
      </x:c>
      <x:c r="T2366" s="11" t="n">
        <x:v>623</x:v>
      </x:c>
    </x:row>
    <x:row r="2367" ht="23" customHeight="1">
      <x:c r="A2367" s="2" t="str">
        <x:v>Q8VEH5</x:v>
      </x:c>
      <x:c r="B2367" s="2" t="str">
        <x:v>ED</x:v>
      </x:c>
      <x:c r="C2367" s="2" t="n">
        <x:v>1</x:v>
      </x:c>
      <x:c r="D2367" s="2" t="n">
        <x:v>1</x:v>
      </x:c>
      <x:c r="E2367" s="10" t="n">
        <x:v>84.5076897689769</x:v>
      </x:c>
      <x:c r="F2367" s="11" t="n">
        <x:v>606</x:v>
      </x:c>
      <x:c r="G2367" s="11" t="n">
        <x:v>0</x:v>
      </x:c>
      <x:c r="H2367" s="11" t="n">
        <x:v>0</x:v>
      </x:c>
      <x:c r="I2367" s="11" t="n">
        <x:v>0</x:v>
      </x:c>
      <x:c r="J2367" s="11" t="n">
        <x:v>0</x:v>
      </x:c>
      <x:c r="K2367" s="11" t="n">
        <x:v>1</x:v>
      </x:c>
      <x:c r="L2367" s="11" t="n">
        <x:f>IF(B2367="NED",1,IF(OR(B2367="ED",B2367="UN"),0,""))</x:f>
        <x:v>0</x:v>
      </x:c>
      <x:c r="M2367" s="11" t="n">
        <x:f>IF(AND(K2367=1,OR(B2367="ED",B2367="NED")),1,0)</x:f>
        <x:v>1</x:v>
      </x:c>
      <x:c r="N2367" s="11" t="n">
        <x:f>IF(K2367=1,1,0)</x:f>
        <x:v>1</x:v>
      </x:c>
      <x:c r="O2367" s="12"/>
      <x:c r="P2367" s="11" t="n">
        <x:v>0</x:v>
      </x:c>
      <x:c r="Q2367" s="12" t="str">
        <x:v>AF-Q8VEH5-F1-model_v6</x:v>
      </x:c>
      <x:c r="R2367" s="12" t="str">
        <x:v>ok</x:v>
      </x:c>
      <x:c r="S2367" s="11" t="n">
        <x:v>1870</x:v>
      </x:c>
      <x:c r="T2367" s="11" t="n">
        <x:v>606</x:v>
      </x:c>
    </x:row>
    <x:row r="2368" ht="23" customHeight="1">
      <x:c r="A2368" s="2" t="str">
        <x:v>Q8VEJ9</x:v>
      </x:c>
      <x:c r="B2368" s="2" t="str">
        <x:v>UN</x:v>
      </x:c>
      <x:c r="C2368" s="2" t="n">
        <x:v>1</x:v>
      </x:c>
      <x:c r="D2368" s="2" t="n">
        <x:v>1</x:v>
      </x:c>
      <x:c r="E2368" s="10"/>
      <x:c r="F2368" s="11" t="n">
        <x:v>437</x:v>
      </x:c>
      <x:c r="G2368" s="11" t="n">
        <x:v>0</x:v>
      </x:c>
      <x:c r="H2368" s="11" t="n">
        <x:v>0</x:v>
      </x:c>
      <x:c r="I2368" s="11" t="n">
        <x:v>1</x:v>
      </x:c>
      <x:c r="J2368" s="11" t="n">
        <x:v>0</x:v>
      </x:c>
      <x:c r="K2368" s="11" t="n">
        <x:v>0</x:v>
      </x:c>
      <x:c r="L2368" s="11" t="n">
        <x:f>IF(B2368="NED",1,IF(OR(B2368="ED",B2368="UN"),0,""))</x:f>
        <x:v>0</x:v>
      </x:c>
      <x:c r="M2368" s="11" t="n">
        <x:f>IF(AND(K2368=1,OR(B2368="ED",B2368="NED")),1,0)</x:f>
        <x:v>0</x:v>
      </x:c>
      <x:c r="N2368" s="11" t="n">
        <x:f>IF(K2368=1,1,0)</x:f>
        <x:v>0</x:v>
      </x:c>
      <x:c r="O2368" s="12" t="str">
        <x:v>Exclude UniProt Membrane keyword</x:v>
      </x:c>
      <x:c r="P2368" s="11" t="n">
        <x:v>0</x:v>
      </x:c>
      <x:c r="Q2368" s="12" t="str">
        <x:v>AF-Q8VEJ9-F1-model_v6</x:v>
      </x:c>
      <x:c r="R2368" s="12" t="str">
        <x:v>ok</x:v>
      </x:c>
      <x:c r="S2368" s="11" t="n">
        <x:v>1871</x:v>
      </x:c>
      <x:c r="T2368" s="11" t="n">
        <x:v>437</x:v>
      </x:c>
    </x:row>
    <x:row r="2369" ht="23" customHeight="1">
      <x:c r="A2369" s="2" t="str">
        <x:v>Q8VEK3</x:v>
      </x:c>
      <x:c r="B2369" s="2" t="str">
        <x:v>ED</x:v>
      </x:c>
      <x:c r="C2369" s="2" t="n">
        <x:v>1</x:v>
      </x:c>
      <x:c r="D2369" s="2" t="n">
        <x:v>1</x:v>
      </x:c>
      <x:c r="E2369" s="10" t="n">
        <x:v>65.9904125</x:v>
      </x:c>
      <x:c r="F2369" s="11" t="n">
        <x:v>800</x:v>
      </x:c>
      <x:c r="G2369" s="11" t="n">
        <x:v>0</x:v>
      </x:c>
      <x:c r="H2369" s="11" t="n">
        <x:v>0</x:v>
      </x:c>
      <x:c r="I2369" s="11" t="n">
        <x:v>0</x:v>
      </x:c>
      <x:c r="J2369" s="11" t="n">
        <x:v>0</x:v>
      </x:c>
      <x:c r="K2369" s="11" t="n">
        <x:v>0</x:v>
      </x:c>
      <x:c r="L2369" s="11" t="n">
        <x:f>IF(B2369="NED",1,IF(OR(B2369="ED",B2369="UN"),0,""))</x:f>
        <x:v>0</x:v>
      </x:c>
      <x:c r="M2369" s="11" t="n">
        <x:f>IF(AND(K2369=1,OR(B2369="ED",B2369="NED")),1,0)</x:f>
        <x:v>0</x:v>
      </x:c>
      <x:c r="N2369" s="11" t="n">
        <x:f>IF(K2369=1,1,0)</x:f>
        <x:v>0</x:v>
      </x:c>
      <x:c r="O2369" s="12" t="str">
        <x:v>Retain protein mean pLDDT &gt;=70</x:v>
      </x:c>
      <x:c r="P2369" s="11" t="n">
        <x:v>0</x:v>
      </x:c>
      <x:c r="Q2369" s="12" t="str">
        <x:v>AF-Q8VEK3-F1-model_v6</x:v>
      </x:c>
      <x:c r="R2369" s="12" t="str">
        <x:v>ok</x:v>
      </x:c>
      <x:c r="S2369" s="11" t="n">
        <x:v>1872</x:v>
      </x:c>
      <x:c r="T2369" s="11" t="n">
        <x:v>800</x:v>
      </x:c>
    </x:row>
    <x:row r="2370" ht="23" customHeight="1">
      <x:c r="A2370" s="2" t="str">
        <x:v>Q8VEL2</x:v>
      </x:c>
      <x:c r="B2370" s="2" t="str">
        <x:v>ED</x:v>
      </x:c>
      <x:c r="C2370" s="2" t="n">
        <x:v>1</x:v>
      </x:c>
      <x:c r="D2370" s="2" t="n">
        <x:v>1</x:v>
      </x:c>
      <x:c r="E2370" s="10" t="n">
        <x:v>69.64743827160494</x:v>
      </x:c>
      <x:c r="F2370" s="11" t="n">
        <x:v>648</x:v>
      </x:c>
      <x:c r="G2370" s="11" t="n">
        <x:v>0</x:v>
      </x:c>
      <x:c r="H2370" s="11" t="n">
        <x:v>0</x:v>
      </x:c>
      <x:c r="I2370" s="11" t="n">
        <x:v>0</x:v>
      </x:c>
      <x:c r="J2370" s="11" t="n">
        <x:v>0</x:v>
      </x:c>
      <x:c r="K2370" s="11" t="n">
        <x:v>0</x:v>
      </x:c>
      <x:c r="L2370" s="11" t="n">
        <x:f>IF(B2370="NED",1,IF(OR(B2370="ED",B2370="UN"),0,""))</x:f>
        <x:v>0</x:v>
      </x:c>
      <x:c r="M2370" s="11" t="n">
        <x:f>IF(AND(K2370=1,OR(B2370="ED",B2370="NED")),1,0)</x:f>
        <x:v>0</x:v>
      </x:c>
      <x:c r="N2370" s="11" t="n">
        <x:f>IF(K2370=1,1,0)</x:f>
        <x:v>0</x:v>
      </x:c>
      <x:c r="O2370" s="12" t="str">
        <x:v>Retain protein mean pLDDT &gt;=70</x:v>
      </x:c>
      <x:c r="P2370" s="11" t="n">
        <x:v>0</x:v>
      </x:c>
      <x:c r="Q2370" s="12" t="str">
        <x:v>AF-Q8VEL2-F1-model_v6</x:v>
      </x:c>
      <x:c r="R2370" s="12" t="str">
        <x:v>ok</x:v>
      </x:c>
      <x:c r="S2370" s="11" t="n">
        <x:v>1873</x:v>
      </x:c>
      <x:c r="T2370" s="11" t="n">
        <x:v>648</x:v>
      </x:c>
    </x:row>
    <x:row r="2371" ht="23" customHeight="1">
      <x:c r="A2371" s="2" t="str">
        <x:v>Q8VH51-2</x:v>
      </x:c>
      <x:c r="B2371" s="2" t="str">
        <x:v>UN</x:v>
      </x:c>
      <x:c r="C2371" s="2"/>
      <x:c r="D2371" s="2"/>
      <x:c r="E2371" s="10"/>
      <x:c r="F2371" s="11"/>
      <x:c r="G2371" s="11" t="n">
        <x:v>0</x:v>
      </x:c>
      <x:c r="H2371" s="11" t="n">
        <x:v>0</x:v>
      </x:c>
      <x:c r="I2371" s="11"/>
      <x:c r="J2371" s="11"/>
      <x:c r="K2371" s="11" t="n">
        <x:v>0</x:v>
      </x:c>
      <x:c r="L2371" s="11" t="n">
        <x:f>IF(B2371="NED",1,IF(OR(B2371="ED",B2371="UN"),0,""))</x:f>
        <x:v>0</x:v>
      </x:c>
      <x:c r="M2371" s="11" t="n">
        <x:f>IF(AND(K2371=1,OR(B2371="ED",B2371="NED")),1,0)</x:f>
        <x:v>0</x:v>
      </x:c>
      <x:c r="N2371" s="11" t="n">
        <x:f>IF(K2371=1,1,0)</x:f>
        <x:v>0</x:v>
      </x:c>
      <x:c r="O2371" s="12" t="str">
        <x:v>Require exact native accession match</x:v>
      </x:c>
      <x:c r="P2371" s="11" t="n">
        <x:v>0</x:v>
      </x:c>
      <x:c r="Q2371" s="12"/>
      <x:c r="R2371" s="12"/>
      <x:c r="S2371" s="11" t="n">
        <x:v>1874</x:v>
      </x:c>
      <x:c r="T2371" s="11"/>
    </x:row>
    <x:row r="2372" ht="23" customHeight="1">
      <x:c r="A2372" s="2" t="str">
        <x:v>Q8VHE0</x:v>
      </x:c>
      <x:c r="B2372" s="2" t="str">
        <x:v>UN</x:v>
      </x:c>
      <x:c r="C2372" s="2" t="n">
        <x:v>1</x:v>
      </x:c>
      <x:c r="D2372" s="2" t="n">
        <x:v>1</x:v>
      </x:c>
      <x:c r="E2372" s="10"/>
      <x:c r="F2372" s="11" t="n">
        <x:v>760</x:v>
      </x:c>
      <x:c r="G2372" s="11" t="n">
        <x:v>0</x:v>
      </x:c>
      <x:c r="H2372" s="11" t="n">
        <x:v>0</x:v>
      </x:c>
      <x:c r="I2372" s="11" t="n">
        <x:v>1</x:v>
      </x:c>
      <x:c r="J2372" s="11" t="n">
        <x:v>0</x:v>
      </x:c>
      <x:c r="K2372" s="11" t="n">
        <x:v>0</x:v>
      </x:c>
      <x:c r="L2372" s="11" t="n">
        <x:f>IF(B2372="NED",1,IF(OR(B2372="ED",B2372="UN"),0,""))</x:f>
        <x:v>0</x:v>
      </x:c>
      <x:c r="M2372" s="11" t="n">
        <x:f>IF(AND(K2372=1,OR(B2372="ED",B2372="NED")),1,0)</x:f>
        <x:v>0</x:v>
      </x:c>
      <x:c r="N2372" s="11" t="n">
        <x:f>IF(K2372=1,1,0)</x:f>
        <x:v>0</x:v>
      </x:c>
      <x:c r="O2372" s="12" t="str">
        <x:v>Exclude UniProt Membrane keyword</x:v>
      </x:c>
      <x:c r="P2372" s="11" t="n">
        <x:v>0</x:v>
      </x:c>
      <x:c r="Q2372" s="12" t="str">
        <x:v>AF-Q8VHE0-F1-model_v6</x:v>
      </x:c>
      <x:c r="R2372" s="12" t="str">
        <x:v>ok</x:v>
      </x:c>
      <x:c r="S2372" s="11" t="n">
        <x:v>1875</x:v>
      </x:c>
      <x:c r="T2372" s="11" t="n">
        <x:v>760</x:v>
      </x:c>
    </x:row>
    <x:row r="2373" ht="23" customHeight="1">
      <x:c r="A2373" s="2" t="str">
        <x:v>Q8VHH5</x:v>
      </x:c>
      <x:c r="B2373" s="2" t="str">
        <x:v>ED</x:v>
      </x:c>
      <x:c r="C2373" s="2" t="n">
        <x:v>1</x:v>
      </x:c>
      <x:c r="D2373" s="2" t="n">
        <x:v>1</x:v>
      </x:c>
      <x:c r="E2373" s="10" t="n">
        <x:v>68.31540659340659</x:v>
      </x:c>
      <x:c r="F2373" s="11" t="n">
        <x:v>910</x:v>
      </x:c>
      <x:c r="G2373" s="11" t="n">
        <x:v>0</x:v>
      </x:c>
      <x:c r="H2373" s="11" t="n">
        <x:v>0</x:v>
      </x:c>
      <x:c r="I2373" s="11" t="n">
        <x:v>0</x:v>
      </x:c>
      <x:c r="J2373" s="11" t="n">
        <x:v>0</x:v>
      </x:c>
      <x:c r="K2373" s="11" t="n">
        <x:v>0</x:v>
      </x:c>
      <x:c r="L2373" s="11" t="n">
        <x:f>IF(B2373="NED",1,IF(OR(B2373="ED",B2373="UN"),0,""))</x:f>
        <x:v>0</x:v>
      </x:c>
      <x:c r="M2373" s="11" t="n">
        <x:f>IF(AND(K2373=1,OR(B2373="ED",B2373="NED")),1,0)</x:f>
        <x:v>0</x:v>
      </x:c>
      <x:c r="N2373" s="11" t="n">
        <x:f>IF(K2373=1,1,0)</x:f>
        <x:v>0</x:v>
      </x:c>
      <x:c r="O2373" s="12" t="str">
        <x:v>Retain protein mean pLDDT &gt;=70</x:v>
      </x:c>
      <x:c r="P2373" s="11" t="n">
        <x:v>0</x:v>
      </x:c>
      <x:c r="Q2373" s="12" t="str">
        <x:v>AF-Q8VHH5-F1-model_v6</x:v>
      </x:c>
      <x:c r="R2373" s="12" t="str">
        <x:v>ok</x:v>
      </x:c>
      <x:c r="S2373" s="11" t="n">
        <x:v>1876</x:v>
      </x:c>
      <x:c r="T2373" s="11" t="n">
        <x:v>910</x:v>
      </x:c>
    </x:row>
    <x:row r="2374" ht="23" customHeight="1">
      <x:c r="A2374" s="2" t="str">
        <x:v>Q8VHI3</x:v>
      </x:c>
      <x:c r="B2374" s="2" t="str">
        <x:v>UN</x:v>
      </x:c>
      <x:c r="C2374" s="2" t="n">
        <x:v>1</x:v>
      </x:c>
      <x:c r="D2374" s="2" t="n">
        <x:v>1</x:v>
      </x:c>
      <x:c r="E2374" s="10" t="n">
        <x:v>89.93904428904429</x:v>
      </x:c>
      <x:c r="F2374" s="11" t="n">
        <x:v>429</x:v>
      </x:c>
      <x:c r="G2374" s="11" t="n">
        <x:v>0</x:v>
      </x:c>
      <x:c r="H2374" s="11" t="n">
        <x:v>0</x:v>
      </x:c>
      <x:c r="I2374" s="11" t="n">
        <x:v>0</x:v>
      </x:c>
      <x:c r="J2374" s="11" t="n">
        <x:v>0</x:v>
      </x:c>
      <x:c r="K2374" s="11" t="n">
        <x:v>1</x:v>
      </x:c>
      <x:c r="L2374" s="11" t="n">
        <x:f>IF(B2374="NED",1,IF(OR(B2374="ED",B2374="UN"),0,""))</x:f>
        <x:v>0</x:v>
      </x:c>
      <x:c r="M2374" s="11" t="n">
        <x:f>IF(AND(K2374=1,OR(B2374="ED",B2374="NED")),1,0)</x:f>
        <x:v>0</x:v>
      </x:c>
      <x:c r="N2374" s="11" t="n">
        <x:f>IF(K2374=1,1,0)</x:f>
        <x:v>1</x:v>
      </x:c>
      <x:c r="O2374" s="12"/>
      <x:c r="P2374" s="11" t="n">
        <x:v>0</x:v>
      </x:c>
      <x:c r="Q2374" s="12" t="str">
        <x:v>AF-Q8VHI3-F1-model_v6</x:v>
      </x:c>
      <x:c r="R2374" s="12" t="str">
        <x:v>ok</x:v>
      </x:c>
      <x:c r="S2374" s="11" t="n">
        <x:v>1877</x:v>
      </x:c>
      <x:c r="T2374" s="11" t="n">
        <x:v>429</x:v>
      </x:c>
    </x:row>
    <x:row r="2375" ht="23" customHeight="1">
      <x:c r="A2375" s="2" t="str">
        <x:v>Q8VHK9</x:v>
      </x:c>
      <x:c r="B2375" s="2" t="str">
        <x:v>UN</x:v>
      </x:c>
      <x:c r="C2375" s="2" t="n">
        <x:v>1</x:v>
      </x:c>
      <x:c r="D2375" s="2" t="n">
        <x:v>1</x:v>
      </x:c>
      <x:c r="E2375" s="10" t="n">
        <x:v>83.27087912087912</x:v>
      </x:c>
      <x:c r="F2375" s="11" t="n">
        <x:v>1001</x:v>
      </x:c>
      <x:c r="G2375" s="11" t="n">
        <x:v>0</x:v>
      </x:c>
      <x:c r="H2375" s="11" t="n">
        <x:v>0</x:v>
      </x:c>
      <x:c r="I2375" s="11" t="n">
        <x:v>0</x:v>
      </x:c>
      <x:c r="J2375" s="11" t="n">
        <x:v>0</x:v>
      </x:c>
      <x:c r="K2375" s="11" t="n">
        <x:v>1</x:v>
      </x:c>
      <x:c r="L2375" s="11" t="n">
        <x:f>IF(B2375="NED",1,IF(OR(B2375="ED",B2375="UN"),0,""))</x:f>
        <x:v>0</x:v>
      </x:c>
      <x:c r="M2375" s="11" t="n">
        <x:f>IF(AND(K2375=1,OR(B2375="ED",B2375="NED")),1,0)</x:f>
        <x:v>0</x:v>
      </x:c>
      <x:c r="N2375" s="11" t="n">
        <x:f>IF(K2375=1,1,0)</x:f>
        <x:v>1</x:v>
      </x:c>
      <x:c r="O2375" s="12"/>
      <x:c r="P2375" s="11" t="n">
        <x:v>0</x:v>
      </x:c>
      <x:c r="Q2375" s="12" t="str">
        <x:v>AF-Q8VHK9-F1-model_v6</x:v>
      </x:c>
      <x:c r="R2375" s="12" t="str">
        <x:v>ok</x:v>
      </x:c>
      <x:c r="S2375" s="11" t="n">
        <x:v>1878</x:v>
      </x:c>
      <x:c r="T2375" s="11" t="n">
        <x:v>1001</x:v>
      </x:c>
    </x:row>
    <x:row r="2376" ht="23" customHeight="1">
      <x:c r="A2376" s="2" t="str">
        <x:v>Q8VHL1</x:v>
      </x:c>
      <x:c r="B2376" s="2" t="str">
        <x:v>ED</x:v>
      </x:c>
      <x:c r="C2376" s="2" t="n">
        <x:v>1</x:v>
      </x:c>
      <x:c r="D2376" s="2" t="n">
        <x:v>1</x:v>
      </x:c>
      <x:c r="E2376" s="10" t="n">
        <x:v>94.20642076502732</x:v>
      </x:c>
      <x:c r="F2376" s="11" t="n">
        <x:v>366</x:v>
      </x:c>
      <x:c r="G2376" s="11" t="n">
        <x:v>0</x:v>
      </x:c>
      <x:c r="H2376" s="11" t="n">
        <x:v>0</x:v>
      </x:c>
      <x:c r="I2376" s="11" t="n">
        <x:v>0</x:v>
      </x:c>
      <x:c r="J2376" s="11" t="n">
        <x:v>0</x:v>
      </x:c>
      <x:c r="K2376" s="11" t="n">
        <x:v>1</x:v>
      </x:c>
      <x:c r="L2376" s="11" t="n">
        <x:f>IF(B2376="NED",1,IF(OR(B2376="ED",B2376="UN"),0,""))</x:f>
        <x:v>0</x:v>
      </x:c>
      <x:c r="M2376" s="11" t="n">
        <x:f>IF(AND(K2376=1,OR(B2376="ED",B2376="NED")),1,0)</x:f>
        <x:v>1</x:v>
      </x:c>
      <x:c r="N2376" s="11" t="n">
        <x:f>IF(K2376=1,1,0)</x:f>
        <x:v>1</x:v>
      </x:c>
      <x:c r="O2376" s="12"/>
      <x:c r="P2376" s="11" t="n">
        <x:v>0</x:v>
      </x:c>
      <x:c r="Q2376" s="12" t="str">
        <x:v>AF-Q8VHL1-F1-model_v6</x:v>
      </x:c>
      <x:c r="R2376" s="12" t="str">
        <x:v>ok</x:v>
      </x:c>
      <x:c r="S2376" s="11" t="n">
        <x:v>1879</x:v>
      </x:c>
      <x:c r="T2376" s="11" t="n">
        <x:v>366</x:v>
      </x:c>
    </x:row>
    <x:row r="2377" ht="23" customHeight="1">
      <x:c r="A2377" s="2" t="str">
        <x:v>Q8VHM5</x:v>
      </x:c>
      <x:c r="B2377" s="2" t="str">
        <x:v>UN</x:v>
      </x:c>
      <x:c r="C2377" s="2" t="n">
        <x:v>1</x:v>
      </x:c>
      <x:c r="D2377" s="2" t="n">
        <x:v>1</x:v>
      </x:c>
      <x:c r="E2377" s="10" t="n">
        <x:v>68.87462025316457</x:v>
      </x:c>
      <x:c r="F2377" s="11" t="n">
        <x:v>632</x:v>
      </x:c>
      <x:c r="G2377" s="11" t="n">
        <x:v>0</x:v>
      </x:c>
      <x:c r="H2377" s="11" t="n">
        <x:v>0</x:v>
      </x:c>
      <x:c r="I2377" s="11" t="n">
        <x:v>0</x:v>
      </x:c>
      <x:c r="J2377" s="11" t="n">
        <x:v>0</x:v>
      </x:c>
      <x:c r="K2377" s="11" t="n">
        <x:v>0</x:v>
      </x:c>
      <x:c r="L2377" s="11" t="n">
        <x:f>IF(B2377="NED",1,IF(OR(B2377="ED",B2377="UN"),0,""))</x:f>
        <x:v>0</x:v>
      </x:c>
      <x:c r="M2377" s="11" t="n">
        <x:f>IF(AND(K2377=1,OR(B2377="ED",B2377="NED")),1,0)</x:f>
        <x:v>0</x:v>
      </x:c>
      <x:c r="N2377" s="11" t="n">
        <x:f>IF(K2377=1,1,0)</x:f>
        <x:v>0</x:v>
      </x:c>
      <x:c r="O2377" s="12" t="str">
        <x:v>Retain protein mean pLDDT &gt;=70</x:v>
      </x:c>
      <x:c r="P2377" s="11" t="n">
        <x:v>0</x:v>
      </x:c>
      <x:c r="Q2377" s="12" t="str">
        <x:v>AF-Q8VHM5-F1-model_v6</x:v>
      </x:c>
      <x:c r="R2377" s="12" t="str">
        <x:v>ok</x:v>
      </x:c>
      <x:c r="S2377" s="11" t="n">
        <x:v>3240</x:v>
      </x:c>
      <x:c r="T2377" s="11" t="n">
        <x:v>632</x:v>
      </x:c>
    </x:row>
    <x:row r="2378" ht="23" customHeight="1">
      <x:c r="A2378" s="2" t="str">
        <x:v>Q8VHR5</x:v>
      </x:c>
      <x:c r="B2378" s="2" t="str">
        <x:v>ED</x:v>
      </x:c>
      <x:c r="C2378" s="2" t="n">
        <x:v>1</x:v>
      </x:c>
      <x:c r="D2378" s="2"/>
      <x:c r="E2378" s="10" t="n">
        <x:v>58.821430976430975</x:v>
      </x:c>
      <x:c r="F2378" s="11" t="n">
        <x:v>594</x:v>
      </x:c>
      <x:c r="G2378" s="11" t="n">
        <x:v>0</x:v>
      </x:c>
      <x:c r="H2378" s="11" t="n">
        <x:v>0</x:v>
      </x:c>
      <x:c r="I2378" s="11" t="n">
        <x:v>0</x:v>
      </x:c>
      <x:c r="J2378" s="11" t="n">
        <x:v>0</x:v>
      </x:c>
      <x:c r="K2378" s="11" t="n">
        <x:v>0</x:v>
      </x:c>
      <x:c r="L2378" s="11" t="n">
        <x:f>IF(B2378="NED",1,IF(OR(B2378="ED",B2378="UN"),0,""))</x:f>
        <x:v>0</x:v>
      </x:c>
      <x:c r="M2378" s="11" t="n">
        <x:f>IF(AND(K2378=1,OR(B2378="ED",B2378="NED")),1,0)</x:f>
        <x:v>0</x:v>
      </x:c>
      <x:c r="N2378" s="11" t="n">
        <x:f>IF(K2378=1,1,0)</x:f>
        <x:v>0</x:v>
      </x:c>
      <x:c r="O2378" s="12" t="str">
        <x:v>Retain protein mean pLDDT &gt;=70</x:v>
      </x:c>
      <x:c r="P2378" s="11" t="n">
        <x:v>0</x:v>
      </x:c>
      <x:c r="Q2378" s="12" t="str">
        <x:v>AF-Q8VHR5-F1-model_v6</x:v>
      </x:c>
      <x:c r="R2378" s="12" t="str">
        <x:v>ok</x:v>
      </x:c>
      <x:c r="S2378" s="11" t="n">
        <x:v>1880</x:v>
      </x:c>
      <x:c r="T2378" s="11" t="n">
        <x:v>594</x:v>
      </x:c>
    </x:row>
    <x:row r="2379" ht="23" customHeight="1">
      <x:c r="A2379" s="2" t="str">
        <x:v>Q8VHX6</x:v>
      </x:c>
      <x:c r="B2379" s="2" t="str">
        <x:v>ED</x:v>
      </x:c>
      <x:c r="C2379" s="2"/>
      <x:c r="D2379" s="2"/>
      <x:c r="E2379" s="10"/>
      <x:c r="F2379" s="11"/>
      <x:c r="G2379" s="11" t="n">
        <x:v>0</x:v>
      </x:c>
      <x:c r="H2379" s="11" t="n">
        <x:v>0</x:v>
      </x:c>
      <x:c r="I2379" s="11" t="n">
        <x:v>1</x:v>
      </x:c>
      <x:c r="J2379" s="11" t="n">
        <x:v>0</x:v>
      </x:c>
      <x:c r="K2379" s="11" t="n">
        <x:v>0</x:v>
      </x:c>
      <x:c r="L2379" s="11" t="n">
        <x:f>IF(B2379="NED",1,IF(OR(B2379="ED",B2379="UN"),0,""))</x:f>
        <x:v>0</x:v>
      </x:c>
      <x:c r="M2379" s="11" t="n">
        <x:f>IF(AND(K2379=1,OR(B2379="ED",B2379="NED")),1,0)</x:f>
        <x:v>0</x:v>
      </x:c>
      <x:c r="N2379" s="11" t="n">
        <x:f>IF(K2379=1,1,0)</x:f>
        <x:v>0</x:v>
      </x:c>
      <x:c r="O2379" s="12" t="str">
        <x:v>Require exact native accession match</x:v>
      </x:c>
      <x:c r="P2379" s="11" t="n">
        <x:v>0</x:v>
      </x:c>
      <x:c r="Q2379" s="12"/>
      <x:c r="R2379" s="12"/>
      <x:c r="S2379" s="11" t="n">
        <x:v>1881</x:v>
      </x:c>
      <x:c r="T2379" s="11" t="n">
        <x:v>2726</x:v>
      </x:c>
    </x:row>
    <x:row r="2380" ht="23" customHeight="1">
      <x:c r="A2380" s="2" t="str">
        <x:v>Q8VHZ7</x:v>
      </x:c>
      <x:c r="B2380" s="2" t="str">
        <x:v>NED</x:v>
      </x:c>
      <x:c r="C2380" s="2" t="n">
        <x:v>1</x:v>
      </x:c>
      <x:c r="D2380" s="2" t="n">
        <x:v>1</x:v>
      </x:c>
      <x:c r="E2380" s="10" t="n">
        <x:v>89.55103092783504</x:v>
      </x:c>
      <x:c r="F2380" s="11" t="n">
        <x:v>291</x:v>
      </x:c>
      <x:c r="G2380" s="11" t="n">
        <x:v>0</x:v>
      </x:c>
      <x:c r="H2380" s="11" t="n">
        <x:v>0</x:v>
      </x:c>
      <x:c r="I2380" s="11" t="n">
        <x:v>0</x:v>
      </x:c>
      <x:c r="J2380" s="11" t="n">
        <x:v>0</x:v>
      </x:c>
      <x:c r="K2380" s="11" t="n">
        <x:v>1</x:v>
      </x:c>
      <x:c r="L2380" s="11" t="n">
        <x:f>IF(B2380="NED",1,IF(OR(B2380="ED",B2380="UN"),0,""))</x:f>
        <x:v>1</x:v>
      </x:c>
      <x:c r="M2380" s="11" t="n">
        <x:f>IF(AND(K2380=1,OR(B2380="ED",B2380="NED")),1,0)</x:f>
        <x:v>1</x:v>
      </x:c>
      <x:c r="N2380" s="11" t="n">
        <x:f>IF(K2380=1,1,0)</x:f>
        <x:v>1</x:v>
      </x:c>
      <x:c r="O2380" s="12"/>
      <x:c r="P2380" s="11" t="n">
        <x:v>0</x:v>
      </x:c>
      <x:c r="Q2380" s="12" t="str">
        <x:v>AF-Q8VHZ7-F1-model_v6</x:v>
      </x:c>
      <x:c r="R2380" s="12" t="str">
        <x:v>ok</x:v>
      </x:c>
      <x:c r="S2380" s="11" t="n">
        <x:v>1882</x:v>
      </x:c>
      <x:c r="T2380" s="11" t="n">
        <x:v>291</x:v>
      </x:c>
    </x:row>
    <x:row r="2381" ht="23" customHeight="1">
      <x:c r="A2381" s="2" t="str">
        <x:v>Q8VI33</x:v>
      </x:c>
      <x:c r="B2381" s="2" t="str">
        <x:v>NED</x:v>
      </x:c>
      <x:c r="C2381" s="2" t="n">
        <x:v>0</x:v>
      </x:c>
      <x:c r="D2381" s="2" t="n">
        <x:v>0</x:v>
      </x:c>
      <x:c r="E2381" s="10" t="n">
        <x:v>66.4710606060606</x:v>
      </x:c>
      <x:c r="F2381" s="11" t="n">
        <x:v>264</x:v>
      </x:c>
      <x:c r="G2381" s="11" t="n">
        <x:v>0</x:v>
      </x:c>
      <x:c r="H2381" s="11" t="n">
        <x:v>0</x:v>
      </x:c>
      <x:c r="I2381" s="11" t="n">
        <x:v>0</x:v>
      </x:c>
      <x:c r="J2381" s="11" t="n">
        <x:v>0</x:v>
      </x:c>
      <x:c r="K2381" s="11" t="n">
        <x:v>0</x:v>
      </x:c>
      <x:c r="L2381" s="11" t="n">
        <x:f>IF(B2381="NED",1,IF(OR(B2381="ED",B2381="UN"),0,""))</x:f>
        <x:v>1</x:v>
      </x:c>
      <x:c r="M2381" s="11" t="n">
        <x:f>IF(AND(K2381=1,OR(B2381="ED",B2381="NED")),1,0)</x:f>
        <x:v>0</x:v>
      </x:c>
      <x:c r="N2381" s="11" t="n">
        <x:f>IF(K2381=1,1,0)</x:f>
        <x:v>0</x:v>
      </x:c>
      <x:c r="O2381" s="12" t="str">
        <x:v>Retain protein mean pLDDT &gt;=70</x:v>
      </x:c>
      <x:c r="P2381" s="11" t="n">
        <x:v>0</x:v>
      </x:c>
      <x:c r="Q2381" s="12" t="str">
        <x:v>AF-Q8VI33-F1-model_v6</x:v>
      </x:c>
      <x:c r="R2381" s="12" t="str">
        <x:v>ok</x:v>
      </x:c>
      <x:c r="S2381" s="11" t="n">
        <x:v>1883</x:v>
      </x:c>
      <x:c r="T2381" s="11" t="n">
        <x:v>264</x:v>
      </x:c>
    </x:row>
    <x:row r="2382" ht="23" customHeight="1">
      <x:c r="A2382" s="2" t="str">
        <x:v>Q8VI84</x:v>
      </x:c>
      <x:c r="B2382" s="2" t="str">
        <x:v>UN</x:v>
      </x:c>
      <x:c r="C2382" s="2" t="n">
        <x:v>1</x:v>
      </x:c>
      <x:c r="D2382" s="2" t="n">
        <x:v>1</x:v>
      </x:c>
      <x:c r="E2382" s="10" t="n">
        <x:v>73.98296158612143</x:v>
      </x:c>
      <x:c r="F2382" s="11" t="n">
        <x:v>807</x:v>
      </x:c>
      <x:c r="G2382" s="11" t="n">
        <x:v>0</x:v>
      </x:c>
      <x:c r="H2382" s="11" t="n">
        <x:v>0</x:v>
      </x:c>
      <x:c r="I2382" s="11" t="n">
        <x:v>0</x:v>
      </x:c>
      <x:c r="J2382" s="11" t="n">
        <x:v>0</x:v>
      </x:c>
      <x:c r="K2382" s="11" t="n">
        <x:v>1</x:v>
      </x:c>
      <x:c r="L2382" s="11" t="n">
        <x:f>IF(B2382="NED",1,IF(OR(B2382="ED",B2382="UN"),0,""))</x:f>
        <x:v>0</x:v>
      </x:c>
      <x:c r="M2382" s="11" t="n">
        <x:f>IF(AND(K2382=1,OR(B2382="ED",B2382="NED")),1,0)</x:f>
        <x:v>0</x:v>
      </x:c>
      <x:c r="N2382" s="11" t="n">
        <x:f>IF(K2382=1,1,0)</x:f>
        <x:v>1</x:v>
      </x:c>
      <x:c r="O2382" s="12"/>
      <x:c r="P2382" s="11" t="n">
        <x:v>0</x:v>
      </x:c>
      <x:c r="Q2382" s="12" t="str">
        <x:v>AF-Q8VI84-F1-model_v6</x:v>
      </x:c>
      <x:c r="R2382" s="12" t="str">
        <x:v>ok</x:v>
      </x:c>
      <x:c r="S2382" s="11" t="n">
        <x:v>1884</x:v>
      </x:c>
      <x:c r="T2382" s="11" t="n">
        <x:v>807</x:v>
      </x:c>
    </x:row>
    <x:row r="2383" ht="23" customHeight="1">
      <x:c r="A2383" s="2" t="str">
        <x:v>Q8VIJ6</x:v>
      </x:c>
      <x:c r="B2383" s="2" t="str">
        <x:v>UN</x:v>
      </x:c>
      <x:c r="C2383" s="2" t="n">
        <x:v>1</x:v>
      </x:c>
      <x:c r="D2383" s="2" t="n">
        <x:v>1</x:v>
      </x:c>
      <x:c r="E2383" s="10" t="n">
        <x:v>67.94008583690987</x:v>
      </x:c>
      <x:c r="F2383" s="11" t="n">
        <x:v>699</x:v>
      </x:c>
      <x:c r="G2383" s="11" t="n">
        <x:v>0</x:v>
      </x:c>
      <x:c r="H2383" s="11" t="n">
        <x:v>0</x:v>
      </x:c>
      <x:c r="I2383" s="11" t="n">
        <x:v>0</x:v>
      </x:c>
      <x:c r="J2383" s="11" t="n">
        <x:v>0</x:v>
      </x:c>
      <x:c r="K2383" s="11" t="n">
        <x:v>0</x:v>
      </x:c>
      <x:c r="L2383" s="11" t="n">
        <x:f>IF(B2383="NED",1,IF(OR(B2383="ED",B2383="UN"),0,""))</x:f>
        <x:v>0</x:v>
      </x:c>
      <x:c r="M2383" s="11" t="n">
        <x:f>IF(AND(K2383=1,OR(B2383="ED",B2383="NED")),1,0)</x:f>
        <x:v>0</x:v>
      </x:c>
      <x:c r="N2383" s="11" t="n">
        <x:f>IF(K2383=1,1,0)</x:f>
        <x:v>0</x:v>
      </x:c>
      <x:c r="O2383" s="12" t="str">
        <x:v>Retain protein mean pLDDT &gt;=70</x:v>
      </x:c>
      <x:c r="P2383" s="11" t="n">
        <x:v>0</x:v>
      </x:c>
      <x:c r="Q2383" s="12" t="str">
        <x:v>AF-Q8VIJ6-F1-model_v6</x:v>
      </x:c>
      <x:c r="R2383" s="12" t="str">
        <x:v>ok</x:v>
      </x:c>
      <x:c r="S2383" s="11" t="n">
        <x:v>1885</x:v>
      </x:c>
      <x:c r="T2383" s="11" t="n">
        <x:v>699</x:v>
      </x:c>
    </x:row>
    <x:row r="2384" ht="23" customHeight="1">
      <x:c r="A2384" s="2" t="str">
        <x:v>Q91UZ1</x:v>
      </x:c>
      <x:c r="B2384" s="2" t="str">
        <x:v>UN</x:v>
      </x:c>
      <x:c r="C2384" s="2" t="n">
        <x:v>1</x:v>
      </x:c>
      <x:c r="D2384" s="2" t="n">
        <x:v>1</x:v>
      </x:c>
      <x:c r="E2384" s="10"/>
      <x:c r="F2384" s="11" t="n">
        <x:v>1175</x:v>
      </x:c>
      <x:c r="G2384" s="11" t="n">
        <x:v>0</x:v>
      </x:c>
      <x:c r="H2384" s="11" t="n">
        <x:v>0</x:v>
      </x:c>
      <x:c r="I2384" s="11" t="n">
        <x:v>1</x:v>
      </x:c>
      <x:c r="J2384" s="11" t="n">
        <x:v>0</x:v>
      </x:c>
      <x:c r="K2384" s="11" t="n">
        <x:v>0</x:v>
      </x:c>
      <x:c r="L2384" s="11" t="n">
        <x:f>IF(B2384="NED",1,IF(OR(B2384="ED",B2384="UN"),0,""))</x:f>
        <x:v>0</x:v>
      </x:c>
      <x:c r="M2384" s="11" t="n">
        <x:f>IF(AND(K2384=1,OR(B2384="ED",B2384="NED")),1,0)</x:f>
        <x:v>0</x:v>
      </x:c>
      <x:c r="N2384" s="11" t="n">
        <x:f>IF(K2384=1,1,0)</x:f>
        <x:v>0</x:v>
      </x:c>
      <x:c r="O2384" s="12" t="str">
        <x:v>Exclude UniProt Membrane keyword</x:v>
      </x:c>
      <x:c r="P2384" s="11" t="n">
        <x:v>0</x:v>
      </x:c>
      <x:c r="Q2384" s="12" t="str">
        <x:v>AF-Q91UZ1-F1-model_v6</x:v>
      </x:c>
      <x:c r="R2384" s="12" t="str">
        <x:v>ok</x:v>
      </x:c>
      <x:c r="S2384" s="11" t="n">
        <x:v>3241</x:v>
      </x:c>
      <x:c r="T2384" s="11" t="n">
        <x:v>1175</x:v>
      </x:c>
    </x:row>
    <x:row r="2385" ht="23" customHeight="1">
      <x:c r="A2385" s="2" t="str">
        <x:v>Q91V12-2</x:v>
      </x:c>
      <x:c r="B2385" s="2" t="str">
        <x:v>ED</x:v>
      </x:c>
      <x:c r="C2385" s="2"/>
      <x:c r="D2385" s="2"/>
      <x:c r="E2385" s="10"/>
      <x:c r="F2385" s="11"/>
      <x:c r="G2385" s="11" t="n">
        <x:v>0</x:v>
      </x:c>
      <x:c r="H2385" s="11" t="n">
        <x:v>0</x:v>
      </x:c>
      <x:c r="I2385" s="11"/>
      <x:c r="J2385" s="11"/>
      <x:c r="K2385" s="11" t="n">
        <x:v>0</x:v>
      </x:c>
      <x:c r="L2385" s="11" t="n">
        <x:f>IF(B2385="NED",1,IF(OR(B2385="ED",B2385="UN"),0,""))</x:f>
        <x:v>0</x:v>
      </x:c>
      <x:c r="M2385" s="11" t="n">
        <x:f>IF(AND(K2385=1,OR(B2385="ED",B2385="NED")),1,0)</x:f>
        <x:v>0</x:v>
      </x:c>
      <x:c r="N2385" s="11" t="n">
        <x:f>IF(K2385=1,1,0)</x:f>
        <x:v>0</x:v>
      </x:c>
      <x:c r="O2385" s="12" t="str">
        <x:v>Require exact native accession match</x:v>
      </x:c>
      <x:c r="P2385" s="11" t="n">
        <x:v>0</x:v>
      </x:c>
      <x:c r="Q2385" s="12"/>
      <x:c r="R2385" s="12"/>
      <x:c r="S2385" s="11" t="n">
        <x:v>1886</x:v>
      </x:c>
      <x:c r="T2385" s="11"/>
    </x:row>
    <x:row r="2386" ht="23" customHeight="1">
      <x:c r="A2386" s="2" t="str">
        <x:v>Q91V41</x:v>
      </x:c>
      <x:c r="B2386" s="2" t="str">
        <x:v>ED</x:v>
      </x:c>
      <x:c r="C2386" s="2" t="n">
        <x:v>1</x:v>
      </x:c>
      <x:c r="D2386" s="2" t="n">
        <x:v>1</x:v>
      </x:c>
      <x:c r="E2386" s="10"/>
      <x:c r="F2386" s="11" t="n">
        <x:v>215</x:v>
      </x:c>
      <x:c r="G2386" s="11" t="n">
        <x:v>0</x:v>
      </x:c>
      <x:c r="H2386" s="11" t="n">
        <x:v>0</x:v>
      </x:c>
      <x:c r="I2386" s="11" t="n">
        <x:v>1</x:v>
      </x:c>
      <x:c r="J2386" s="11" t="n">
        <x:v>0</x:v>
      </x:c>
      <x:c r="K2386" s="11" t="n">
        <x:v>0</x:v>
      </x:c>
      <x:c r="L2386" s="11" t="n">
        <x:f>IF(B2386="NED",1,IF(OR(B2386="ED",B2386="UN"),0,""))</x:f>
        <x:v>0</x:v>
      </x:c>
      <x:c r="M2386" s="11" t="n">
        <x:f>IF(AND(K2386=1,OR(B2386="ED",B2386="NED")),1,0)</x:f>
        <x:v>0</x:v>
      </x:c>
      <x:c r="N2386" s="11" t="n">
        <x:f>IF(K2386=1,1,0)</x:f>
        <x:v>0</x:v>
      </x:c>
      <x:c r="O2386" s="12" t="str">
        <x:v>Exclude UniProt Membrane keyword</x:v>
      </x:c>
      <x:c r="P2386" s="11" t="n">
        <x:v>0</x:v>
      </x:c>
      <x:c r="Q2386" s="12" t="str">
        <x:v>AF-Q91V41-F1-model_v6</x:v>
      </x:c>
      <x:c r="R2386" s="12" t="str">
        <x:v>ok</x:v>
      </x:c>
      <x:c r="S2386" s="11" t="n">
        <x:v>1887</x:v>
      </x:c>
      <x:c r="T2386" s="11" t="n">
        <x:v>215</x:v>
      </x:c>
    </x:row>
    <x:row r="2387" ht="23" customHeight="1">
      <x:c r="A2387" s="2" t="str">
        <x:v>Q91V61</x:v>
      </x:c>
      <x:c r="B2387" s="2" t="str">
        <x:v>ED</x:v>
      </x:c>
      <x:c r="C2387" s="2" t="n">
        <x:v>1</x:v>
      </x:c>
      <x:c r="D2387" s="2" t="n">
        <x:v>1</x:v>
      </x:c>
      <x:c r="E2387" s="10"/>
      <x:c r="F2387" s="11" t="n">
        <x:v>321</x:v>
      </x:c>
      <x:c r="G2387" s="11" t="n">
        <x:v>0</x:v>
      </x:c>
      <x:c r="H2387" s="11" t="n">
        <x:v>0</x:v>
      </x:c>
      <x:c r="I2387" s="11" t="n">
        <x:v>1</x:v>
      </x:c>
      <x:c r="J2387" s="11" t="n">
        <x:v>0</x:v>
      </x:c>
      <x:c r="K2387" s="11" t="n">
        <x:v>0</x:v>
      </x:c>
      <x:c r="L2387" s="11" t="n">
        <x:f>IF(B2387="NED",1,IF(OR(B2387="ED",B2387="UN"),0,""))</x:f>
        <x:v>0</x:v>
      </x:c>
      <x:c r="M2387" s="11" t="n">
        <x:f>IF(AND(K2387=1,OR(B2387="ED",B2387="NED")),1,0)</x:f>
        <x:v>0</x:v>
      </x:c>
      <x:c r="N2387" s="11" t="n">
        <x:f>IF(K2387=1,1,0)</x:f>
        <x:v>0</x:v>
      </x:c>
      <x:c r="O2387" s="12" t="str">
        <x:v>Exclude UniProt Membrane keyword</x:v>
      </x:c>
      <x:c r="P2387" s="11" t="n">
        <x:v>0</x:v>
      </x:c>
      <x:c r="Q2387" s="12" t="str">
        <x:v>AF-Q91V61-F1-model_v6</x:v>
      </x:c>
      <x:c r="R2387" s="12" t="str">
        <x:v>ok</x:v>
      </x:c>
      <x:c r="S2387" s="11" t="n">
        <x:v>1888</x:v>
      </x:c>
      <x:c r="T2387" s="11" t="n">
        <x:v>321</x:v>
      </x:c>
    </x:row>
    <x:row r="2388" ht="23" customHeight="1">
      <x:c r="A2388" s="2" t="str">
        <x:v>Q91V76</x:v>
      </x:c>
      <x:c r="B2388" s="2" t="str">
        <x:v>ED</x:v>
      </x:c>
      <x:c r="C2388" s="2" t="n">
        <x:v>1</x:v>
      </x:c>
      <x:c r="D2388" s="2" t="n">
        <x:v>1</x:v>
      </x:c>
      <x:c r="E2388" s="10" t="n">
        <x:v>98.03431746031748</x:v>
      </x:c>
      <x:c r="F2388" s="11" t="n">
        <x:v>315</x:v>
      </x:c>
      <x:c r="G2388" s="11" t="n">
        <x:v>0</x:v>
      </x:c>
      <x:c r="H2388" s="11" t="n">
        <x:v>0</x:v>
      </x:c>
      <x:c r="I2388" s="11" t="n">
        <x:v>0</x:v>
      </x:c>
      <x:c r="J2388" s="11" t="n">
        <x:v>0</x:v>
      </x:c>
      <x:c r="K2388" s="11" t="n">
        <x:v>1</x:v>
      </x:c>
      <x:c r="L2388" s="11" t="n">
        <x:f>IF(B2388="NED",1,IF(OR(B2388="ED",B2388="UN"),0,""))</x:f>
        <x:v>0</x:v>
      </x:c>
      <x:c r="M2388" s="11" t="n">
        <x:f>IF(AND(K2388=1,OR(B2388="ED",B2388="NED")),1,0)</x:f>
        <x:v>1</x:v>
      </x:c>
      <x:c r="N2388" s="11" t="n">
        <x:f>IF(K2388=1,1,0)</x:f>
        <x:v>1</x:v>
      </x:c>
      <x:c r="O2388" s="12"/>
      <x:c r="P2388" s="11" t="n">
        <x:v>0</x:v>
      </x:c>
      <x:c r="Q2388" s="12" t="str">
        <x:v>AF-Q91V76-F1-model_v6</x:v>
      </x:c>
      <x:c r="R2388" s="12" t="str">
        <x:v>ok</x:v>
      </x:c>
      <x:c r="S2388" s="11" t="n">
        <x:v>1889</x:v>
      </x:c>
      <x:c r="T2388" s="11" t="n">
        <x:v>315</x:v>
      </x:c>
    </x:row>
    <x:row r="2389" ht="23" customHeight="1">
      <x:c r="A2389" s="2" t="str">
        <x:v>Q91V81-2</x:v>
      </x:c>
      <x:c r="B2389" s="2" t="str">
        <x:v>ED</x:v>
      </x:c>
      <x:c r="C2389" s="2"/>
      <x:c r="D2389" s="2"/>
      <x:c r="E2389" s="10"/>
      <x:c r="F2389" s="11"/>
      <x:c r="G2389" s="11" t="n">
        <x:v>0</x:v>
      </x:c>
      <x:c r="H2389" s="11" t="n">
        <x:v>0</x:v>
      </x:c>
      <x:c r="I2389" s="11"/>
      <x:c r="J2389" s="11"/>
      <x:c r="K2389" s="11" t="n">
        <x:v>0</x:v>
      </x:c>
      <x:c r="L2389" s="11" t="n">
        <x:f>IF(B2389="NED",1,IF(OR(B2389="ED",B2389="UN"),0,""))</x:f>
        <x:v>0</x:v>
      </x:c>
      <x:c r="M2389" s="11" t="n">
        <x:f>IF(AND(K2389=1,OR(B2389="ED",B2389="NED")),1,0)</x:f>
        <x:v>0</x:v>
      </x:c>
      <x:c r="N2389" s="11" t="n">
        <x:f>IF(K2389=1,1,0)</x:f>
        <x:v>0</x:v>
      </x:c>
      <x:c r="O2389" s="12" t="str">
        <x:v>Require exact native accession match</x:v>
      </x:c>
      <x:c r="P2389" s="11" t="n">
        <x:v>0</x:v>
      </x:c>
      <x:c r="Q2389" s="12"/>
      <x:c r="R2389" s="12"/>
      <x:c r="S2389" s="11" t="n">
        <x:v>1890</x:v>
      </x:c>
      <x:c r="T2389" s="11"/>
    </x:row>
    <x:row r="2390" ht="23" customHeight="1">
      <x:c r="A2390" s="2" t="str">
        <x:v>Q91V89</x:v>
      </x:c>
      <x:c r="B2390" s="2" t="str">
        <x:v>ED</x:v>
      </x:c>
      <x:c r="C2390" s="2"/>
      <x:c r="D2390" s="2"/>
      <x:c r="E2390" s="10"/>
      <x:c r="F2390" s="11"/>
      <x:c r="G2390" s="11" t="n">
        <x:v>0</x:v>
      </x:c>
      <x:c r="H2390" s="11" t="n">
        <x:v>0</x:v>
      </x:c>
      <x:c r="I2390" s="11" t="n">
        <x:v>0</x:v>
      </x:c>
      <x:c r="J2390" s="11" t="n">
        <x:v>0</x:v>
      </x:c>
      <x:c r="K2390" s="11" t="n">
        <x:v>0</x:v>
      </x:c>
      <x:c r="L2390" s="11" t="n">
        <x:f>IF(B2390="NED",1,IF(OR(B2390="ED",B2390="UN"),0,""))</x:f>
        <x:v>0</x:v>
      </x:c>
      <x:c r="M2390" s="11" t="n">
        <x:f>IF(AND(K2390=1,OR(B2390="ED",B2390="NED")),1,0)</x:f>
        <x:v>0</x:v>
      </x:c>
      <x:c r="N2390" s="11" t="n">
        <x:f>IF(K2390=1,1,0)</x:f>
        <x:v>0</x:v>
      </x:c>
      <x:c r="O2390" s="12" t="str">
        <x:v>Require exact native accession match</x:v>
      </x:c>
      <x:c r="P2390" s="11" t="n">
        <x:v>0</x:v>
      </x:c>
      <x:c r="Q2390" s="12"/>
      <x:c r="R2390" s="12"/>
      <x:c r="S2390" s="11" t="n">
        <x:v>3242</x:v>
      </x:c>
      <x:c r="T2390" s="11" t="n">
        <x:v>594</x:v>
      </x:c>
    </x:row>
    <x:row r="2391" ht="23" customHeight="1">
      <x:c r="A2391" s="2" t="str">
        <x:v>Q91VA6</x:v>
      </x:c>
      <x:c r="B2391" s="2" t="str">
        <x:v>UN</x:v>
      </x:c>
      <x:c r="C2391" s="2" t="n">
        <x:v>1</x:v>
      </x:c>
      <x:c r="D2391" s="2" t="n">
        <x:v>1</x:v>
      </x:c>
      <x:c r="E2391" s="10" t="n">
        <x:v>79.28896739130435</x:v>
      </x:c>
      <x:c r="F2391" s="11" t="n">
        <x:v>368</x:v>
      </x:c>
      <x:c r="G2391" s="11" t="n">
        <x:v>0</x:v>
      </x:c>
      <x:c r="H2391" s="11" t="n">
        <x:v>0</x:v>
      </x:c>
      <x:c r="I2391" s="11" t="n">
        <x:v>0</x:v>
      </x:c>
      <x:c r="J2391" s="11" t="n">
        <x:v>0</x:v>
      </x:c>
      <x:c r="K2391" s="11" t="n">
        <x:v>1</x:v>
      </x:c>
      <x:c r="L2391" s="11" t="n">
        <x:f>IF(B2391="NED",1,IF(OR(B2391="ED",B2391="UN"),0,""))</x:f>
        <x:v>0</x:v>
      </x:c>
      <x:c r="M2391" s="11" t="n">
        <x:f>IF(AND(K2391=1,OR(B2391="ED",B2391="NED")),1,0)</x:f>
        <x:v>0</x:v>
      </x:c>
      <x:c r="N2391" s="11" t="n">
        <x:f>IF(K2391=1,1,0)</x:f>
        <x:v>1</x:v>
      </x:c>
      <x:c r="O2391" s="12"/>
      <x:c r="P2391" s="11" t="n">
        <x:v>0</x:v>
      </x:c>
      <x:c r="Q2391" s="12" t="str">
        <x:v>AF-Q91VA6-F1-model_v6</x:v>
      </x:c>
      <x:c r="R2391" s="12" t="str">
        <x:v>ok</x:v>
      </x:c>
      <x:c r="S2391" s="11" t="n">
        <x:v>1891</x:v>
      </x:c>
      <x:c r="T2391" s="11" t="n">
        <x:v>368</x:v>
      </x:c>
    </x:row>
    <x:row r="2392" ht="23" customHeight="1">
      <x:c r="A2392" s="2" t="str">
        <x:v>Q91VA7</x:v>
      </x:c>
      <x:c r="B2392" s="2" t="str">
        <x:v>UN</x:v>
      </x:c>
      <x:c r="C2392" s="2" t="n">
        <x:v>1</x:v>
      </x:c>
      <x:c r="D2392" s="2" t="n">
        <x:v>1</x:v>
      </x:c>
      <x:c r="E2392" s="10" t="n">
        <x:v>86.82968749999999</x:v>
      </x:c>
      <x:c r="F2392" s="11" t="n">
        <x:v>384</x:v>
      </x:c>
      <x:c r="G2392" s="11" t="n">
        <x:v>0</x:v>
      </x:c>
      <x:c r="H2392" s="11" t="n">
        <x:v>0</x:v>
      </x:c>
      <x:c r="I2392" s="11" t="n">
        <x:v>0</x:v>
      </x:c>
      <x:c r="J2392" s="11" t="n">
        <x:v>0</x:v>
      </x:c>
      <x:c r="K2392" s="11" t="n">
        <x:v>1</x:v>
      </x:c>
      <x:c r="L2392" s="11" t="n">
        <x:f>IF(B2392="NED",1,IF(OR(B2392="ED",B2392="UN"),0,""))</x:f>
        <x:v>0</x:v>
      </x:c>
      <x:c r="M2392" s="11" t="n">
        <x:f>IF(AND(K2392=1,OR(B2392="ED",B2392="NED")),1,0)</x:f>
        <x:v>0</x:v>
      </x:c>
      <x:c r="N2392" s="11" t="n">
        <x:f>IF(K2392=1,1,0)</x:f>
        <x:v>1</x:v>
      </x:c>
      <x:c r="O2392" s="12"/>
      <x:c r="P2392" s="11" t="n">
        <x:v>0</x:v>
      </x:c>
      <x:c r="Q2392" s="12" t="str">
        <x:v>AF-Q91VA7-F1-model_v6</x:v>
      </x:c>
      <x:c r="R2392" s="12" t="str">
        <x:v>ok</x:v>
      </x:c>
      <x:c r="S2392" s="11" t="n">
        <x:v>3243</x:v>
      </x:c>
      <x:c r="T2392" s="11" t="n">
        <x:v>384</x:v>
      </x:c>
    </x:row>
    <x:row r="2393" ht="23" customHeight="1">
      <x:c r="A2393" s="2" t="str">
        <x:v>Q91VE0</x:v>
      </x:c>
      <x:c r="B2393" s="2" t="str">
        <x:v>UN</x:v>
      </x:c>
      <x:c r="C2393" s="2" t="n">
        <x:v>1</x:v>
      </x:c>
      <x:c r="D2393" s="2" t="n">
        <x:v>1</x:v>
      </x:c>
      <x:c r="E2393" s="10"/>
      <x:c r="F2393" s="11" t="n">
        <x:v>643</x:v>
      </x:c>
      <x:c r="G2393" s="11" t="n">
        <x:v>0</x:v>
      </x:c>
      <x:c r="H2393" s="11" t="n">
        <x:v>0</x:v>
      </x:c>
      <x:c r="I2393" s="11" t="n">
        <x:v>1</x:v>
      </x:c>
      <x:c r="J2393" s="11" t="n">
        <x:v>0</x:v>
      </x:c>
      <x:c r="K2393" s="11" t="n">
        <x:v>0</x:v>
      </x:c>
      <x:c r="L2393" s="11" t="n">
        <x:f>IF(B2393="NED",1,IF(OR(B2393="ED",B2393="UN"),0,""))</x:f>
        <x:v>0</x:v>
      </x:c>
      <x:c r="M2393" s="11" t="n">
        <x:f>IF(AND(K2393=1,OR(B2393="ED",B2393="NED")),1,0)</x:f>
        <x:v>0</x:v>
      </x:c>
      <x:c r="N2393" s="11" t="n">
        <x:f>IF(K2393=1,1,0)</x:f>
        <x:v>0</x:v>
      </x:c>
      <x:c r="O2393" s="12" t="str">
        <x:v>Exclude UniProt Membrane keyword</x:v>
      </x:c>
      <x:c r="P2393" s="11" t="n">
        <x:v>0</x:v>
      </x:c>
      <x:c r="Q2393" s="12" t="str">
        <x:v>AF-Q91VE0-F1-model_v6</x:v>
      </x:c>
      <x:c r="R2393" s="12" t="str">
        <x:v>ok</x:v>
      </x:c>
      <x:c r="S2393" s="11" t="n">
        <x:v>1892</x:v>
      </x:c>
      <x:c r="T2393" s="11" t="n">
        <x:v>643</x:v>
      </x:c>
    </x:row>
    <x:row r="2394" ht="23" customHeight="1">
      <x:c r="A2394" s="2" t="str">
        <x:v>Q91VE6</x:v>
      </x:c>
      <x:c r="B2394" s="2" t="str">
        <x:v>ED</x:v>
      </x:c>
      <x:c r="C2394" s="2" t="n">
        <x:v>1</x:v>
      </x:c>
      <x:c r="D2394" s="2" t="n">
        <x:v>1</x:v>
      </x:c>
      <x:c r="E2394" s="10" t="n">
        <x:v>69.47388012618296</x:v>
      </x:c>
      <x:c r="F2394" s="11" t="n">
        <x:v>317</x:v>
      </x:c>
      <x:c r="G2394" s="11" t="n">
        <x:v>0</x:v>
      </x:c>
      <x:c r="H2394" s="11" t="n">
        <x:v>0</x:v>
      </x:c>
      <x:c r="I2394" s="11" t="n">
        <x:v>0</x:v>
      </x:c>
      <x:c r="J2394" s="11" t="n">
        <x:v>0</x:v>
      </x:c>
      <x:c r="K2394" s="11" t="n">
        <x:v>0</x:v>
      </x:c>
      <x:c r="L2394" s="11" t="n">
        <x:f>IF(B2394="NED",1,IF(OR(B2394="ED",B2394="UN"),0,""))</x:f>
        <x:v>0</x:v>
      </x:c>
      <x:c r="M2394" s="11" t="n">
        <x:f>IF(AND(K2394=1,OR(B2394="ED",B2394="NED")),1,0)</x:f>
        <x:v>0</x:v>
      </x:c>
      <x:c r="N2394" s="11" t="n">
        <x:f>IF(K2394=1,1,0)</x:f>
        <x:v>0</x:v>
      </x:c>
      <x:c r="O2394" s="12" t="str">
        <x:v>Retain protein mean pLDDT &gt;=70</x:v>
      </x:c>
      <x:c r="P2394" s="11" t="n">
        <x:v>0</x:v>
      </x:c>
      <x:c r="Q2394" s="12" t="str">
        <x:v>AF-Q91VE6-F1-model_v6</x:v>
      </x:c>
      <x:c r="R2394" s="12" t="str">
        <x:v>ok</x:v>
      </x:c>
      <x:c r="S2394" s="11" t="n">
        <x:v>1893</x:v>
      </x:c>
      <x:c r="T2394" s="11" t="n">
        <x:v>317</x:v>
      </x:c>
    </x:row>
    <x:row r="2395" ht="23" customHeight="1">
      <x:c r="A2395" s="2" t="str">
        <x:v>Q91VH6</x:v>
      </x:c>
      <x:c r="B2395" s="2" t="str">
        <x:v>ED</x:v>
      </x:c>
      <x:c r="C2395" s="2" t="n">
        <x:v>1</x:v>
      </x:c>
      <x:c r="D2395" s="2" t="n">
        <x:v>1</x:v>
      </x:c>
      <x:c r="E2395" s="10" t="n">
        <x:v>98.0342760942761</x:v>
      </x:c>
      <x:c r="F2395" s="11" t="n">
        <x:v>297</x:v>
      </x:c>
      <x:c r="G2395" s="11" t="n">
        <x:v>0</x:v>
      </x:c>
      <x:c r="H2395" s="11" t="n">
        <x:v>0</x:v>
      </x:c>
      <x:c r="I2395" s="11" t="n">
        <x:v>0</x:v>
      </x:c>
      <x:c r="J2395" s="11" t="n">
        <x:v>0</x:v>
      </x:c>
      <x:c r="K2395" s="11" t="n">
        <x:v>1</x:v>
      </x:c>
      <x:c r="L2395" s="11" t="n">
        <x:f>IF(B2395="NED",1,IF(OR(B2395="ED",B2395="UN"),0,""))</x:f>
        <x:v>0</x:v>
      </x:c>
      <x:c r="M2395" s="11" t="n">
        <x:f>IF(AND(K2395=1,OR(B2395="ED",B2395="NED")),1,0)</x:f>
        <x:v>1</x:v>
      </x:c>
      <x:c r="N2395" s="11" t="n">
        <x:f>IF(K2395=1,1,0)</x:f>
        <x:v>1</x:v>
      </x:c>
      <x:c r="O2395" s="12"/>
      <x:c r="P2395" s="11" t="n">
        <x:v>0</x:v>
      </x:c>
      <x:c r="Q2395" s="12" t="str">
        <x:v>AF-Q91VH6-F1-model_v6</x:v>
      </x:c>
      <x:c r="R2395" s="12" t="str">
        <x:v>ok</x:v>
      </x:c>
      <x:c r="S2395" s="11" t="n">
        <x:v>1894</x:v>
      </x:c>
      <x:c r="T2395" s="11" t="n">
        <x:v>297</x:v>
      </x:c>
    </x:row>
    <x:row r="2396" ht="23" customHeight="1">
      <x:c r="A2396" s="2" t="str">
        <x:v>Q91VI7</x:v>
      </x:c>
      <x:c r="B2396" s="2" t="str">
        <x:v>ED</x:v>
      </x:c>
      <x:c r="C2396" s="2" t="n">
        <x:v>0</x:v>
      </x:c>
      <x:c r="D2396" s="2" t="n">
        <x:v>0</x:v>
      </x:c>
      <x:c r="E2396" s="10" t="n">
        <x:v>97.26427631578947</x:v>
      </x:c>
      <x:c r="F2396" s="11" t="n">
        <x:v>456</x:v>
      </x:c>
      <x:c r="G2396" s="11" t="n">
        <x:v>0</x:v>
      </x:c>
      <x:c r="H2396" s="11" t="n">
        <x:v>0</x:v>
      </x:c>
      <x:c r="I2396" s="11" t="n">
        <x:v>0</x:v>
      </x:c>
      <x:c r="J2396" s="11" t="n">
        <x:v>0</x:v>
      </x:c>
      <x:c r="K2396" s="11" t="n">
        <x:v>1</x:v>
      </x:c>
      <x:c r="L2396" s="11" t="n">
        <x:f>IF(B2396="NED",1,IF(OR(B2396="ED",B2396="UN"),0,""))</x:f>
        <x:v>0</x:v>
      </x:c>
      <x:c r="M2396" s="11" t="n">
        <x:f>IF(AND(K2396=1,OR(B2396="ED",B2396="NED")),1,0)</x:f>
        <x:v>1</x:v>
      </x:c>
      <x:c r="N2396" s="11" t="n">
        <x:f>IF(K2396=1,1,0)</x:f>
        <x:v>1</x:v>
      </x:c>
      <x:c r="O2396" s="12"/>
      <x:c r="P2396" s="11" t="n">
        <x:v>0</x:v>
      </x:c>
      <x:c r="Q2396" s="12" t="str">
        <x:v>AF-Q91VI7-F1-model_v6</x:v>
      </x:c>
      <x:c r="R2396" s="12" t="str">
        <x:v>ok</x:v>
      </x:c>
      <x:c r="S2396" s="11" t="n">
        <x:v>1895</x:v>
      </x:c>
      <x:c r="T2396" s="11" t="n">
        <x:v>456</x:v>
      </x:c>
    </x:row>
    <x:row r="2397" ht="23" customHeight="1">
      <x:c r="A2397" s="2" t="str">
        <x:v>Q91VJ2</x:v>
      </x:c>
      <x:c r="B2397" s="2" t="str">
        <x:v>UN</x:v>
      </x:c>
      <x:c r="C2397" s="2" t="n">
        <x:v>0</x:v>
      </x:c>
      <x:c r="D2397" s="2" t="n">
        <x:v>0</x:v>
      </x:c>
      <x:c r="E2397" s="10"/>
      <x:c r="F2397" s="11" t="n">
        <x:v>260</x:v>
      </x:c>
      <x:c r="G2397" s="11" t="n">
        <x:v>0</x:v>
      </x:c>
      <x:c r="H2397" s="11" t="n">
        <x:v>0</x:v>
      </x:c>
      <x:c r="I2397" s="11" t="n">
        <x:v>1</x:v>
      </x:c>
      <x:c r="J2397" s="11" t="n">
        <x:v>0</x:v>
      </x:c>
      <x:c r="K2397" s="11" t="n">
        <x:v>0</x:v>
      </x:c>
      <x:c r="L2397" s="11" t="n">
        <x:f>IF(B2397="NED",1,IF(OR(B2397="ED",B2397="UN"),0,""))</x:f>
        <x:v>0</x:v>
      </x:c>
      <x:c r="M2397" s="11" t="n">
        <x:f>IF(AND(K2397=1,OR(B2397="ED",B2397="NED")),1,0)</x:f>
        <x:v>0</x:v>
      </x:c>
      <x:c r="N2397" s="11" t="n">
        <x:f>IF(K2397=1,1,0)</x:f>
        <x:v>0</x:v>
      </x:c>
      <x:c r="O2397" s="12" t="str">
        <x:v>Exclude UniProt Membrane keyword</x:v>
      </x:c>
      <x:c r="P2397" s="11" t="n">
        <x:v>0</x:v>
      </x:c>
      <x:c r="Q2397" s="12" t="str">
        <x:v>AF-Q91VJ2-F1-model_v6</x:v>
      </x:c>
      <x:c r="R2397" s="12" t="str">
        <x:v>ok</x:v>
      </x:c>
      <x:c r="S2397" s="11" t="n">
        <x:v>1896</x:v>
      </x:c>
      <x:c r="T2397" s="11" t="n">
        <x:v>260</x:v>
      </x:c>
    </x:row>
    <x:row r="2398" ht="23" customHeight="1">
      <x:c r="A2398" s="2" t="str">
        <x:v>Q91VJ5</x:v>
      </x:c>
      <x:c r="B2398" s="2" t="str">
        <x:v>ED</x:v>
      </x:c>
      <x:c r="C2398" s="2" t="n">
        <x:v>0</x:v>
      </x:c>
      <x:c r="D2398" s="2" t="n">
        <x:v>0</x:v>
      </x:c>
      <x:c r="E2398" s="10" t="n">
        <x:v>72.78254752851711</x:v>
      </x:c>
      <x:c r="F2398" s="11" t="n">
        <x:v>263</x:v>
      </x:c>
      <x:c r="G2398" s="11" t="n">
        <x:v>0</x:v>
      </x:c>
      <x:c r="H2398" s="11" t="n">
        <x:v>0</x:v>
      </x:c>
      <x:c r="I2398" s="11" t="n">
        <x:v>0</x:v>
      </x:c>
      <x:c r="J2398" s="11" t="n">
        <x:v>0</x:v>
      </x:c>
      <x:c r="K2398" s="11" t="n">
        <x:v>1</x:v>
      </x:c>
      <x:c r="L2398" s="11" t="n">
        <x:f>IF(B2398="NED",1,IF(OR(B2398="ED",B2398="UN"),0,""))</x:f>
        <x:v>0</x:v>
      </x:c>
      <x:c r="M2398" s="11" t="n">
        <x:f>IF(AND(K2398=1,OR(B2398="ED",B2398="NED")),1,0)</x:f>
        <x:v>1</x:v>
      </x:c>
      <x:c r="N2398" s="11" t="n">
        <x:f>IF(K2398=1,1,0)</x:f>
        <x:v>1</x:v>
      </x:c>
      <x:c r="O2398" s="12"/>
      <x:c r="P2398" s="11" t="n">
        <x:v>0</x:v>
      </x:c>
      <x:c r="Q2398" s="12" t="str">
        <x:v>AF-Q91VJ5-F1-model_v6</x:v>
      </x:c>
      <x:c r="R2398" s="12" t="str">
        <x:v>ok</x:v>
      </x:c>
      <x:c r="S2398" s="11" t="n">
        <x:v>1897</x:v>
      </x:c>
      <x:c r="T2398" s="11" t="n">
        <x:v>263</x:v>
      </x:c>
    </x:row>
    <x:row r="2399" ht="23" customHeight="1">
      <x:c r="A2399" s="2" t="str">
        <x:v>Q91VM5</x:v>
      </x:c>
      <x:c r="B2399" s="2" t="str">
        <x:v>ED</x:v>
      </x:c>
      <x:c r="C2399" s="2" t="n">
        <x:v>1</x:v>
      </x:c>
      <x:c r="D2399" s="2" t="n">
        <x:v>1</x:v>
      </x:c>
      <x:c r="E2399" s="10" t="n">
        <x:v>54.28471649484536</x:v>
      </x:c>
      <x:c r="F2399" s="11" t="n">
        <x:v>388</x:v>
      </x:c>
      <x:c r="G2399" s="11" t="n">
        <x:v>0</x:v>
      </x:c>
      <x:c r="H2399" s="11" t="n">
        <x:v>0</x:v>
      </x:c>
      <x:c r="I2399" s="11" t="n">
        <x:v>0</x:v>
      </x:c>
      <x:c r="J2399" s="11" t="n">
        <x:v>0</x:v>
      </x:c>
      <x:c r="K2399" s="11" t="n">
        <x:v>0</x:v>
      </x:c>
      <x:c r="L2399" s="11" t="n">
        <x:f>IF(B2399="NED",1,IF(OR(B2399="ED",B2399="UN"),0,""))</x:f>
        <x:v>0</x:v>
      </x:c>
      <x:c r="M2399" s="11" t="n">
        <x:f>IF(AND(K2399=1,OR(B2399="ED",B2399="NED")),1,0)</x:f>
        <x:v>0</x:v>
      </x:c>
      <x:c r="N2399" s="11" t="n">
        <x:f>IF(K2399=1,1,0)</x:f>
        <x:v>0</x:v>
      </x:c>
      <x:c r="O2399" s="12" t="str">
        <x:v>Retain protein mean pLDDT &gt;=70</x:v>
      </x:c>
      <x:c r="P2399" s="11" t="n">
        <x:v>0</x:v>
      </x:c>
      <x:c r="Q2399" s="12" t="str">
        <x:v>AF-Q91VM5-F1-model_v6</x:v>
      </x:c>
      <x:c r="R2399" s="12" t="str">
        <x:v>ok</x:v>
      </x:c>
      <x:c r="S2399" s="11" t="n">
        <x:v>1898</x:v>
      </x:c>
      <x:c r="T2399" s="11" t="n">
        <x:v>388</x:v>
      </x:c>
    </x:row>
    <x:row r="2400" ht="23" customHeight="1">
      <x:c r="A2400" s="2" t="str">
        <x:v>Q91VM9</x:v>
      </x:c>
      <x:c r="B2400" s="2" t="str">
        <x:v>ED</x:v>
      </x:c>
      <x:c r="C2400" s="2" t="n">
        <x:v>1</x:v>
      </x:c>
      <x:c r="D2400" s="2" t="n">
        <x:v>1</x:v>
      </x:c>
      <x:c r="E2400" s="10" t="n">
        <x:v>87.25636363636363</x:v>
      </x:c>
      <x:c r="F2400" s="11" t="n">
        <x:v>330</x:v>
      </x:c>
      <x:c r="G2400" s="11" t="n">
        <x:v>0</x:v>
      </x:c>
      <x:c r="H2400" s="11" t="n">
        <x:v>0</x:v>
      </x:c>
      <x:c r="I2400" s="11" t="n">
        <x:v>0</x:v>
      </x:c>
      <x:c r="J2400" s="11" t="n">
        <x:v>0</x:v>
      </x:c>
      <x:c r="K2400" s="11" t="n">
        <x:v>1</x:v>
      </x:c>
      <x:c r="L2400" s="11" t="n">
        <x:f>IF(B2400="NED",1,IF(OR(B2400="ED",B2400="UN"),0,""))</x:f>
        <x:v>0</x:v>
      </x:c>
      <x:c r="M2400" s="11" t="n">
        <x:f>IF(AND(K2400=1,OR(B2400="ED",B2400="NED")),1,0)</x:f>
        <x:v>1</x:v>
      </x:c>
      <x:c r="N2400" s="11" t="n">
        <x:f>IF(K2400=1,1,0)</x:f>
        <x:v>1</x:v>
      </x:c>
      <x:c r="O2400" s="12"/>
      <x:c r="P2400" s="11" t="n">
        <x:v>0</x:v>
      </x:c>
      <x:c r="Q2400" s="12" t="str">
        <x:v>AF-Q91VM9-F1-model_v6</x:v>
      </x:c>
      <x:c r="R2400" s="12" t="str">
        <x:v>ok</x:v>
      </x:c>
      <x:c r="S2400" s="11" t="n">
        <x:v>1899</x:v>
      </x:c>
      <x:c r="T2400" s="11" t="n">
        <x:v>330</x:v>
      </x:c>
    </x:row>
    <x:row r="2401" ht="23" customHeight="1">
      <x:c r="A2401" s="2" t="str">
        <x:v>Q91VN6</x:v>
      </x:c>
      <x:c r="B2401" s="2" t="str">
        <x:v>UN</x:v>
      </x:c>
      <x:c r="C2401" s="2" t="n">
        <x:v>1</x:v>
      </x:c>
      <x:c r="D2401" s="2" t="n">
        <x:v>1</x:v>
      </x:c>
      <x:c r="E2401" s="10" t="n">
        <x:v>77.50376205787781</x:v>
      </x:c>
      <x:c r="F2401" s="11" t="n">
        <x:v>622</x:v>
      </x:c>
      <x:c r="G2401" s="11" t="n">
        <x:v>0</x:v>
      </x:c>
      <x:c r="H2401" s="11" t="n">
        <x:v>0</x:v>
      </x:c>
      <x:c r="I2401" s="11" t="n">
        <x:v>0</x:v>
      </x:c>
      <x:c r="J2401" s="11" t="n">
        <x:v>0</x:v>
      </x:c>
      <x:c r="K2401" s="11" t="n">
        <x:v>1</x:v>
      </x:c>
      <x:c r="L2401" s="11" t="n">
        <x:f>IF(B2401="NED",1,IF(OR(B2401="ED",B2401="UN"),0,""))</x:f>
        <x:v>0</x:v>
      </x:c>
      <x:c r="M2401" s="11" t="n">
        <x:f>IF(AND(K2401=1,OR(B2401="ED",B2401="NED")),1,0)</x:f>
        <x:v>0</x:v>
      </x:c>
      <x:c r="N2401" s="11" t="n">
        <x:f>IF(K2401=1,1,0)</x:f>
        <x:v>1</x:v>
      </x:c>
      <x:c r="O2401" s="12"/>
      <x:c r="P2401" s="11" t="n">
        <x:v>0</x:v>
      </x:c>
      <x:c r="Q2401" s="12" t="str">
        <x:v>AF-Q91VN6-F1-model_v6</x:v>
      </x:c>
      <x:c r="R2401" s="12" t="str">
        <x:v>ok</x:v>
      </x:c>
      <x:c r="S2401" s="11" t="n">
        <x:v>1900</x:v>
      </x:c>
      <x:c r="T2401" s="11" t="n">
        <x:v>622</x:v>
      </x:c>
    </x:row>
    <x:row r="2402" ht="23" customHeight="1">
      <x:c r="A2402" s="2" t="str">
        <x:v>Q91VR5</x:v>
      </x:c>
      <x:c r="B2402" s="2" t="str">
        <x:v>UN</x:v>
      </x:c>
      <x:c r="C2402" s="2" t="n">
        <x:v>1</x:v>
      </x:c>
      <x:c r="D2402" s="2" t="n">
        <x:v>1</x:v>
      </x:c>
      <x:c r="E2402" s="10" t="n">
        <x:v>85.55482432432433</x:v>
      </x:c>
      <x:c r="F2402" s="11" t="n">
        <x:v>740</x:v>
      </x:c>
      <x:c r="G2402" s="11" t="n">
        <x:v>0</x:v>
      </x:c>
      <x:c r="H2402" s="11" t="n">
        <x:v>0</x:v>
      </x:c>
      <x:c r="I2402" s="11" t="n">
        <x:v>0</x:v>
      </x:c>
      <x:c r="J2402" s="11" t="n">
        <x:v>0</x:v>
      </x:c>
      <x:c r="K2402" s="11" t="n">
        <x:v>1</x:v>
      </x:c>
      <x:c r="L2402" s="11" t="n">
        <x:f>IF(B2402="NED",1,IF(OR(B2402="ED",B2402="UN"),0,""))</x:f>
        <x:v>0</x:v>
      </x:c>
      <x:c r="M2402" s="11" t="n">
        <x:f>IF(AND(K2402=1,OR(B2402="ED",B2402="NED")),1,0)</x:f>
        <x:v>0</x:v>
      </x:c>
      <x:c r="N2402" s="11" t="n">
        <x:f>IF(K2402=1,1,0)</x:f>
        <x:v>1</x:v>
      </x:c>
      <x:c r="O2402" s="12"/>
      <x:c r="P2402" s="11" t="n">
        <x:v>0</x:v>
      </x:c>
      <x:c r="Q2402" s="12" t="str">
        <x:v>AF-Q91VR5-F1-model_v6</x:v>
      </x:c>
      <x:c r="R2402" s="12" t="str">
        <x:v>ok</x:v>
      </x:c>
      <x:c r="S2402" s="11" t="n">
        <x:v>1901</x:v>
      </x:c>
      <x:c r="T2402" s="11" t="n">
        <x:v>740</x:v>
      </x:c>
    </x:row>
    <x:row r="2403" ht="23" customHeight="1">
      <x:c r="A2403" s="2" t="str">
        <x:v>Q91VS8</x:v>
      </x:c>
      <x:c r="B2403" s="2" t="str">
        <x:v>ED</x:v>
      </x:c>
      <x:c r="C2403" s="2" t="n">
        <x:v>1</x:v>
      </x:c>
      <x:c r="D2403" s="2" t="n">
        <x:v>1</x:v>
      </x:c>
      <x:c r="E2403" s="10" t="n">
        <x:v>74.8470985915493</x:v>
      </x:c>
      <x:c r="F2403" s="11" t="n">
        <x:v>1065</x:v>
      </x:c>
      <x:c r="G2403" s="11" t="n">
        <x:v>0</x:v>
      </x:c>
      <x:c r="H2403" s="11" t="n">
        <x:v>0</x:v>
      </x:c>
      <x:c r="I2403" s="11" t="n">
        <x:v>0</x:v>
      </x:c>
      <x:c r="J2403" s="11" t="n">
        <x:v>0</x:v>
      </x:c>
      <x:c r="K2403" s="11" t="n">
        <x:v>1</x:v>
      </x:c>
      <x:c r="L2403" s="11" t="n">
        <x:f>IF(B2403="NED",1,IF(OR(B2403="ED",B2403="UN"),0,""))</x:f>
        <x:v>0</x:v>
      </x:c>
      <x:c r="M2403" s="11" t="n">
        <x:f>IF(AND(K2403=1,OR(B2403="ED",B2403="NED")),1,0)</x:f>
        <x:v>1</x:v>
      </x:c>
      <x:c r="N2403" s="11" t="n">
        <x:f>IF(K2403=1,1,0)</x:f>
        <x:v>1</x:v>
      </x:c>
      <x:c r="O2403" s="12"/>
      <x:c r="P2403" s="11" t="n">
        <x:v>0</x:v>
      </x:c>
      <x:c r="Q2403" s="12" t="str">
        <x:v>AF-Q91VS8-F1-model_v6</x:v>
      </x:c>
      <x:c r="R2403" s="12" t="str">
        <x:v>ok</x:v>
      </x:c>
      <x:c r="S2403" s="11" t="n">
        <x:v>1902</x:v>
      </x:c>
      <x:c r="T2403" s="11" t="n">
        <x:v>1065</x:v>
      </x:c>
    </x:row>
    <x:row r="2404" ht="23" customHeight="1">
      <x:c r="A2404" s="2" t="str">
        <x:v>Q91VT1</x:v>
      </x:c>
      <x:c r="B2404" s="2" t="str">
        <x:v>UN</x:v>
      </x:c>
      <x:c r="C2404" s="2" t="n">
        <x:v>0</x:v>
      </x:c>
      <x:c r="D2404" s="2" t="n">
        <x:v>0</x:v>
      </x:c>
      <x:c r="E2404" s="10" t="n">
        <x:v>82.55056680161944</x:v>
      </x:c>
      <x:c r="F2404" s="11" t="n">
        <x:v>247</x:v>
      </x:c>
      <x:c r="G2404" s="11" t="n">
        <x:v>0</x:v>
      </x:c>
      <x:c r="H2404" s="11" t="n">
        <x:v>0</x:v>
      </x:c>
      <x:c r="I2404" s="11" t="n">
        <x:v>0</x:v>
      </x:c>
      <x:c r="J2404" s="11" t="n">
        <x:v>0</x:v>
      </x:c>
      <x:c r="K2404" s="11" t="n">
        <x:v>1</x:v>
      </x:c>
      <x:c r="L2404" s="11" t="n">
        <x:f>IF(B2404="NED",1,IF(OR(B2404="ED",B2404="UN"),0,""))</x:f>
        <x:v>0</x:v>
      </x:c>
      <x:c r="M2404" s="11" t="n">
        <x:f>IF(AND(K2404=1,OR(B2404="ED",B2404="NED")),1,0)</x:f>
        <x:v>0</x:v>
      </x:c>
      <x:c r="N2404" s="11" t="n">
        <x:f>IF(K2404=1,1,0)</x:f>
        <x:v>1</x:v>
      </x:c>
      <x:c r="O2404" s="12"/>
      <x:c r="P2404" s="11" t="n">
        <x:v>0</x:v>
      </x:c>
      <x:c r="Q2404" s="12" t="str">
        <x:v>AF-Q91VT1-F1-model_v6</x:v>
      </x:c>
      <x:c r="R2404" s="12" t="str">
        <x:v>ok</x:v>
      </x:c>
      <x:c r="S2404" s="11" t="n">
        <x:v>1903</x:v>
      </x:c>
      <x:c r="T2404" s="11" t="n">
        <x:v>247</x:v>
      </x:c>
    </x:row>
    <x:row r="2405" ht="23" customHeight="1">
      <x:c r="A2405" s="2" t="str">
        <x:v>Q91VU7</x:v>
      </x:c>
      <x:c r="B2405" s="2" t="str">
        <x:v>ED</x:v>
      </x:c>
      <x:c r="C2405" s="2" t="n">
        <x:v>1</x:v>
      </x:c>
      <x:c r="D2405" s="2" t="n">
        <x:v>1</x:v>
      </x:c>
      <x:c r="E2405" s="10" t="n">
        <x:v>81.11180303030304</x:v>
      </x:c>
      <x:c r="F2405" s="11" t="n">
        <x:v>660</x:v>
      </x:c>
      <x:c r="G2405" s="11" t="n">
        <x:v>0</x:v>
      </x:c>
      <x:c r="H2405" s="11" t="n">
        <x:v>0</x:v>
      </x:c>
      <x:c r="I2405" s="11" t="n">
        <x:v>0</x:v>
      </x:c>
      <x:c r="J2405" s="11" t="n">
        <x:v>0</x:v>
      </x:c>
      <x:c r="K2405" s="11" t="n">
        <x:v>1</x:v>
      </x:c>
      <x:c r="L2405" s="11" t="n">
        <x:f>IF(B2405="NED",1,IF(OR(B2405="ED",B2405="UN"),0,""))</x:f>
        <x:v>0</x:v>
      </x:c>
      <x:c r="M2405" s="11" t="n">
        <x:f>IF(AND(K2405=1,OR(B2405="ED",B2405="NED")),1,0)</x:f>
        <x:v>1</x:v>
      </x:c>
      <x:c r="N2405" s="11" t="n">
        <x:f>IF(K2405=1,1,0)</x:f>
        <x:v>1</x:v>
      </x:c>
      <x:c r="O2405" s="12"/>
      <x:c r="P2405" s="11" t="n">
        <x:v>0</x:v>
      </x:c>
      <x:c r="Q2405" s="12" t="str">
        <x:v>AF-Q91VU7-F1-model_v6</x:v>
      </x:c>
      <x:c r="R2405" s="12" t="str">
        <x:v>ok</x:v>
      </x:c>
      <x:c r="S2405" s="11" t="n">
        <x:v>3244</x:v>
      </x:c>
      <x:c r="T2405" s="11" t="n">
        <x:v>660</x:v>
      </x:c>
    </x:row>
    <x:row r="2406" ht="23" customHeight="1">
      <x:c r="A2406" s="2" t="str">
        <x:v>Q91VY9</x:v>
      </x:c>
      <x:c r="B2406" s="2" t="str">
        <x:v>NED</x:v>
      </x:c>
      <x:c r="C2406" s="2" t="n">
        <x:v>0</x:v>
      </x:c>
      <x:c r="D2406" s="2" t="n">
        <x:v>0</x:v>
      </x:c>
      <x:c r="E2406" s="10" t="n">
        <x:v>74.02764705882353</x:v>
      </x:c>
      <x:c r="F2406" s="11" t="n">
        <x:v>476</x:v>
      </x:c>
      <x:c r="G2406" s="11" t="n">
        <x:v>0</x:v>
      </x:c>
      <x:c r="H2406" s="11" t="n">
        <x:v>0</x:v>
      </x:c>
      <x:c r="I2406" s="11" t="n">
        <x:v>0</x:v>
      </x:c>
      <x:c r="J2406" s="11" t="n">
        <x:v>0</x:v>
      </x:c>
      <x:c r="K2406" s="11" t="n">
        <x:v>1</x:v>
      </x:c>
      <x:c r="L2406" s="11" t="n">
        <x:f>IF(B2406="NED",1,IF(OR(B2406="ED",B2406="UN"),0,""))</x:f>
        <x:v>1</x:v>
      </x:c>
      <x:c r="M2406" s="11" t="n">
        <x:f>IF(AND(K2406=1,OR(B2406="ED",B2406="NED")),1,0)</x:f>
        <x:v>1</x:v>
      </x:c>
      <x:c r="N2406" s="11" t="n">
        <x:f>IF(K2406=1,1,0)</x:f>
        <x:v>1</x:v>
      </x:c>
      <x:c r="O2406" s="12"/>
      <x:c r="P2406" s="11" t="n">
        <x:v>0</x:v>
      </x:c>
      <x:c r="Q2406" s="12" t="str">
        <x:v>AF-Q91VY9-F1-model_v6</x:v>
      </x:c>
      <x:c r="R2406" s="12" t="str">
        <x:v>ok</x:v>
      </x:c>
      <x:c r="S2406" s="11" t="n">
        <x:v>1904</x:v>
      </x:c>
      <x:c r="T2406" s="11" t="n">
        <x:v>476</x:v>
      </x:c>
    </x:row>
    <x:row r="2407" ht="23" customHeight="1">
      <x:c r="A2407" s="2" t="str">
        <x:v>Q91VZ6</x:v>
      </x:c>
      <x:c r="B2407" s="2" t="str">
        <x:v>UN</x:v>
      </x:c>
      <x:c r="C2407" s="2" t="n">
        <x:v>1</x:v>
      </x:c>
      <x:c r="D2407" s="2" t="n">
        <x:v>1</x:v>
      </x:c>
      <x:c r="E2407" s="10"/>
      <x:c r="F2407" s="11" t="n">
        <x:v>440</x:v>
      </x:c>
      <x:c r="G2407" s="11" t="n">
        <x:v>0</x:v>
      </x:c>
      <x:c r="H2407" s="11" t="n">
        <x:v>0</x:v>
      </x:c>
      <x:c r="I2407" s="11" t="n">
        <x:v>1</x:v>
      </x:c>
      <x:c r="J2407" s="11" t="n">
        <x:v>0</x:v>
      </x:c>
      <x:c r="K2407" s="11" t="n">
        <x:v>0</x:v>
      </x:c>
      <x:c r="L2407" s="11" t="n">
        <x:f>IF(B2407="NED",1,IF(OR(B2407="ED",B2407="UN"),0,""))</x:f>
        <x:v>0</x:v>
      </x:c>
      <x:c r="M2407" s="11" t="n">
        <x:f>IF(AND(K2407=1,OR(B2407="ED",B2407="NED")),1,0)</x:f>
        <x:v>0</x:v>
      </x:c>
      <x:c r="N2407" s="11" t="n">
        <x:f>IF(K2407=1,1,0)</x:f>
        <x:v>0</x:v>
      </x:c>
      <x:c r="O2407" s="12" t="str">
        <x:v>Exclude UniProt Membrane keyword</x:v>
      </x:c>
      <x:c r="P2407" s="11" t="n">
        <x:v>0</x:v>
      </x:c>
      <x:c r="Q2407" s="12" t="str">
        <x:v>AF-Q91VZ6-F1-model_v6</x:v>
      </x:c>
      <x:c r="R2407" s="12" t="str">
        <x:v>ok</x:v>
      </x:c>
      <x:c r="S2407" s="11" t="n">
        <x:v>1905</x:v>
      </x:c>
      <x:c r="T2407" s="11" t="n">
        <x:v>440</x:v>
      </x:c>
    </x:row>
    <x:row r="2408" ht="23" customHeight="1">
      <x:c r="A2408" s="2" t="str">
        <x:v>Q91W36</x:v>
      </x:c>
      <x:c r="B2408" s="2" t="str">
        <x:v>ED</x:v>
      </x:c>
      <x:c r="C2408" s="2" t="n">
        <x:v>1</x:v>
      </x:c>
      <x:c r="D2408" s="2" t="n">
        <x:v>1</x:v>
      </x:c>
      <x:c r="E2408" s="10" t="n">
        <x:v>79.00128846153846</x:v>
      </x:c>
      <x:c r="F2408" s="11" t="n">
        <x:v>520</x:v>
      </x:c>
      <x:c r="G2408" s="11" t="n">
        <x:v>0</x:v>
      </x:c>
      <x:c r="H2408" s="11" t="n">
        <x:v>0</x:v>
      </x:c>
      <x:c r="I2408" s="11" t="n">
        <x:v>0</x:v>
      </x:c>
      <x:c r="J2408" s="11" t="n">
        <x:v>0</x:v>
      </x:c>
      <x:c r="K2408" s="11" t="n">
        <x:v>1</x:v>
      </x:c>
      <x:c r="L2408" s="11" t="n">
        <x:f>IF(B2408="NED",1,IF(OR(B2408="ED",B2408="UN"),0,""))</x:f>
        <x:v>0</x:v>
      </x:c>
      <x:c r="M2408" s="11" t="n">
        <x:f>IF(AND(K2408=1,OR(B2408="ED",B2408="NED")),1,0)</x:f>
        <x:v>1</x:v>
      </x:c>
      <x:c r="N2408" s="11" t="n">
        <x:f>IF(K2408=1,1,0)</x:f>
        <x:v>1</x:v>
      </x:c>
      <x:c r="O2408" s="12"/>
      <x:c r="P2408" s="11" t="n">
        <x:v>0</x:v>
      </x:c>
      <x:c r="Q2408" s="12" t="str">
        <x:v>AF-Q91W36-F1-model_v6</x:v>
      </x:c>
      <x:c r="R2408" s="12" t="str">
        <x:v>ok</x:v>
      </x:c>
      <x:c r="S2408" s="11" t="n">
        <x:v>1906</x:v>
      </x:c>
      <x:c r="T2408" s="11" t="n">
        <x:v>520</x:v>
      </x:c>
    </x:row>
    <x:row r="2409" ht="23" customHeight="1">
      <x:c r="A2409" s="2" t="str">
        <x:v>Q91W39</x:v>
      </x:c>
      <x:c r="B2409" s="2" t="str">
        <x:v>ED</x:v>
      </x:c>
      <x:c r="C2409" s="2" t="n">
        <x:v>1</x:v>
      </x:c>
      <x:c r="D2409" s="2" t="n">
        <x:v>1</x:v>
      </x:c>
      <x:c r="E2409" s="10" t="n">
        <x:v>59.24645941278065</x:v>
      </x:c>
      <x:c r="F2409" s="11" t="n">
        <x:v>579</x:v>
      </x:c>
      <x:c r="G2409" s="11" t="n">
        <x:v>0</x:v>
      </x:c>
      <x:c r="H2409" s="11" t="n">
        <x:v>0</x:v>
      </x:c>
      <x:c r="I2409" s="11" t="n">
        <x:v>0</x:v>
      </x:c>
      <x:c r="J2409" s="11" t="n">
        <x:v>0</x:v>
      </x:c>
      <x:c r="K2409" s="11" t="n">
        <x:v>0</x:v>
      </x:c>
      <x:c r="L2409" s="11" t="n">
        <x:f>IF(B2409="NED",1,IF(OR(B2409="ED",B2409="UN"),0,""))</x:f>
        <x:v>0</x:v>
      </x:c>
      <x:c r="M2409" s="11" t="n">
        <x:f>IF(AND(K2409=1,OR(B2409="ED",B2409="NED")),1,0)</x:f>
        <x:v>0</x:v>
      </x:c>
      <x:c r="N2409" s="11" t="n">
        <x:f>IF(K2409=1,1,0)</x:f>
        <x:v>0</x:v>
      </x:c>
      <x:c r="O2409" s="12" t="str">
        <x:v>Retain protein mean pLDDT &gt;=70</x:v>
      </x:c>
      <x:c r="P2409" s="11" t="n">
        <x:v>0</x:v>
      </x:c>
      <x:c r="Q2409" s="12" t="str">
        <x:v>AF-Q91W39-F1-model_v6</x:v>
      </x:c>
      <x:c r="R2409" s="12" t="str">
        <x:v>ok</x:v>
      </x:c>
      <x:c r="S2409" s="11" t="n">
        <x:v>1907</x:v>
      </x:c>
      <x:c r="T2409" s="11" t="n">
        <x:v>579</x:v>
      </x:c>
    </x:row>
    <x:row r="2410" ht="23" customHeight="1">
      <x:c r="A2410" s="2" t="str">
        <x:v>Q91W50</x:v>
      </x:c>
      <x:c r="B2410" s="2" t="str">
        <x:v>ED</x:v>
      </x:c>
      <x:c r="C2410" s="2" t="n">
        <x:v>1</x:v>
      </x:c>
      <x:c r="D2410" s="2" t="n">
        <x:v>1</x:v>
      </x:c>
      <x:c r="E2410" s="10" t="n">
        <x:v>79.24250626566416</x:v>
      </x:c>
      <x:c r="F2410" s="11" t="n">
        <x:v>798</x:v>
      </x:c>
      <x:c r="G2410" s="11" t="n">
        <x:v>0</x:v>
      </x:c>
      <x:c r="H2410" s="11" t="n">
        <x:v>0</x:v>
      </x:c>
      <x:c r="I2410" s="11" t="n">
        <x:v>0</x:v>
      </x:c>
      <x:c r="J2410" s="11" t="n">
        <x:v>0</x:v>
      </x:c>
      <x:c r="K2410" s="11" t="n">
        <x:v>1</x:v>
      </x:c>
      <x:c r="L2410" s="11" t="n">
        <x:f>IF(B2410="NED",1,IF(OR(B2410="ED",B2410="UN"),0,""))</x:f>
        <x:v>0</x:v>
      </x:c>
      <x:c r="M2410" s="11" t="n">
        <x:f>IF(AND(K2410=1,OR(B2410="ED",B2410="NED")),1,0)</x:f>
        <x:v>1</x:v>
      </x:c>
      <x:c r="N2410" s="11" t="n">
        <x:f>IF(K2410=1,1,0)</x:f>
        <x:v>1</x:v>
      </x:c>
      <x:c r="O2410" s="12"/>
      <x:c r="P2410" s="11" t="n">
        <x:v>0</x:v>
      </x:c>
      <x:c r="Q2410" s="12" t="str">
        <x:v>AF-Q91W50-F1-model_v6</x:v>
      </x:c>
      <x:c r="R2410" s="12" t="str">
        <x:v>ok</x:v>
      </x:c>
      <x:c r="S2410" s="11" t="n">
        <x:v>1908</x:v>
      </x:c>
      <x:c r="T2410" s="11" t="n">
        <x:v>798</x:v>
      </x:c>
    </x:row>
    <x:row r="2411" ht="23" customHeight="1">
      <x:c r="A2411" s="2" t="str">
        <x:v>Q91W67</x:v>
      </x:c>
      <x:c r="B2411" s="2" t="str">
        <x:v>UN</x:v>
      </x:c>
      <x:c r="C2411" s="2" t="n">
        <x:v>1</x:v>
      </x:c>
      <x:c r="D2411" s="2"/>
      <x:c r="E2411" s="10" t="n">
        <x:v>67.521</x:v>
      </x:c>
      <x:c r="F2411" s="11" t="n">
        <x:v>380</x:v>
      </x:c>
      <x:c r="G2411" s="11" t="n">
        <x:v>0</x:v>
      </x:c>
      <x:c r="H2411" s="11" t="n">
        <x:v>0</x:v>
      </x:c>
      <x:c r="I2411" s="11" t="n">
        <x:v>0</x:v>
      </x:c>
      <x:c r="J2411" s="11" t="n">
        <x:v>0</x:v>
      </x:c>
      <x:c r="K2411" s="11" t="n">
        <x:v>0</x:v>
      </x:c>
      <x:c r="L2411" s="11" t="n">
        <x:f>IF(B2411="NED",1,IF(OR(B2411="ED",B2411="UN"),0,""))</x:f>
        <x:v>0</x:v>
      </x:c>
      <x:c r="M2411" s="11" t="n">
        <x:f>IF(AND(K2411=1,OR(B2411="ED",B2411="NED")),1,0)</x:f>
        <x:v>0</x:v>
      </x:c>
      <x:c r="N2411" s="11" t="n">
        <x:f>IF(K2411=1,1,0)</x:f>
        <x:v>0</x:v>
      </x:c>
      <x:c r="O2411" s="12" t="str">
        <x:v>Retain protein mean pLDDT &gt;=70</x:v>
      </x:c>
      <x:c r="P2411" s="11" t="n">
        <x:v>0</x:v>
      </x:c>
      <x:c r="Q2411" s="12" t="str">
        <x:v>AF-Q91W67-F1-model_v6</x:v>
      </x:c>
      <x:c r="R2411" s="12" t="str">
        <x:v>ok</x:v>
      </x:c>
      <x:c r="S2411" s="11" t="n">
        <x:v>1909</x:v>
      </x:c>
      <x:c r="T2411" s="11" t="n">
        <x:v>380</x:v>
      </x:c>
    </x:row>
    <x:row r="2412" ht="23" customHeight="1">
      <x:c r="A2412" s="2" t="str">
        <x:v>Q91W69</x:v>
      </x:c>
      <x:c r="B2412" s="2" t="str">
        <x:v>UN</x:v>
      </x:c>
      <x:c r="C2412" s="2" t="n">
        <x:v>0</x:v>
      </x:c>
      <x:c r="D2412" s="2" t="n">
        <x:v>0</x:v>
      </x:c>
      <x:c r="E2412" s="10" t="n">
        <x:v>59.37534591194969</x:v>
      </x:c>
      <x:c r="F2412" s="11" t="n">
        <x:v>636</x:v>
      </x:c>
      <x:c r="G2412" s="11" t="n">
        <x:v>0</x:v>
      </x:c>
      <x:c r="H2412" s="11" t="n">
        <x:v>0</x:v>
      </x:c>
      <x:c r="I2412" s="11" t="n">
        <x:v>0</x:v>
      </x:c>
      <x:c r="J2412" s="11" t="n">
        <x:v>0</x:v>
      </x:c>
      <x:c r="K2412" s="11" t="n">
        <x:v>0</x:v>
      </x:c>
      <x:c r="L2412" s="11" t="n">
        <x:f>IF(B2412="NED",1,IF(OR(B2412="ED",B2412="UN"),0,""))</x:f>
        <x:v>0</x:v>
      </x:c>
      <x:c r="M2412" s="11" t="n">
        <x:f>IF(AND(K2412=1,OR(B2412="ED",B2412="NED")),1,0)</x:f>
        <x:v>0</x:v>
      </x:c>
      <x:c r="N2412" s="11" t="n">
        <x:f>IF(K2412=1,1,0)</x:f>
        <x:v>0</x:v>
      </x:c>
      <x:c r="O2412" s="12" t="str">
        <x:v>Retain protein mean pLDDT &gt;=70</x:v>
      </x:c>
      <x:c r="P2412" s="11" t="n">
        <x:v>0</x:v>
      </x:c>
      <x:c r="Q2412" s="12" t="str">
        <x:v>AF-Q91W69-F1-model_v6</x:v>
      </x:c>
      <x:c r="R2412" s="12" t="str">
        <x:v>ok</x:v>
      </x:c>
      <x:c r="S2412" s="11" t="n">
        <x:v>1910</x:v>
      </x:c>
      <x:c r="T2412" s="11" t="n">
        <x:v>636</x:v>
      </x:c>
    </x:row>
    <x:row r="2413" ht="23" customHeight="1">
      <x:c r="A2413" s="2" t="str">
        <x:v>Q91W86</x:v>
      </x:c>
      <x:c r="B2413" s="2" t="str">
        <x:v>NED</x:v>
      </x:c>
      <x:c r="C2413" s="2" t="n">
        <x:v>1</x:v>
      </x:c>
      <x:c r="D2413" s="2" t="n">
        <x:v>1</x:v>
      </x:c>
      <x:c r="E2413" s="10"/>
      <x:c r="F2413" s="11" t="n">
        <x:v>941</x:v>
      </x:c>
      <x:c r="G2413" s="11" t="n">
        <x:v>0</x:v>
      </x:c>
      <x:c r="H2413" s="11" t="n">
        <x:v>0</x:v>
      </x:c>
      <x:c r="I2413" s="11" t="n">
        <x:v>1</x:v>
      </x:c>
      <x:c r="J2413" s="11" t="n">
        <x:v>0</x:v>
      </x:c>
      <x:c r="K2413" s="11" t="n">
        <x:v>0</x:v>
      </x:c>
      <x:c r="L2413" s="11" t="n">
        <x:f>IF(B2413="NED",1,IF(OR(B2413="ED",B2413="UN"),0,""))</x:f>
        <x:v>1</x:v>
      </x:c>
      <x:c r="M2413" s="11" t="n">
        <x:f>IF(AND(K2413=1,OR(B2413="ED",B2413="NED")),1,0)</x:f>
        <x:v>0</x:v>
      </x:c>
      <x:c r="N2413" s="11" t="n">
        <x:f>IF(K2413=1,1,0)</x:f>
        <x:v>0</x:v>
      </x:c>
      <x:c r="O2413" s="12" t="str">
        <x:v>Exclude UniProt Membrane keyword</x:v>
      </x:c>
      <x:c r="P2413" s="11" t="n">
        <x:v>0</x:v>
      </x:c>
      <x:c r="Q2413" s="12" t="str">
        <x:v>AF-Q91W86-F1-model_v6</x:v>
      </x:c>
      <x:c r="R2413" s="12" t="str">
        <x:v>ok</x:v>
      </x:c>
      <x:c r="S2413" s="11" t="n">
        <x:v>1911</x:v>
      </x:c>
      <x:c r="T2413" s="11" t="n">
        <x:v>941</x:v>
      </x:c>
    </x:row>
    <x:row r="2414" ht="23" customHeight="1">
      <x:c r="A2414" s="2" t="str">
        <x:v>Q91W92</x:v>
      </x:c>
      <x:c r="B2414" s="2" t="str">
        <x:v>UN</x:v>
      </x:c>
      <x:c r="C2414" s="2" t="n">
        <x:v>0</x:v>
      </x:c>
      <x:c r="D2414" s="2" t="n">
        <x:v>0</x:v>
      </x:c>
      <x:c r="E2414" s="10"/>
      <x:c r="F2414" s="11" t="n">
        <x:v>409</x:v>
      </x:c>
      <x:c r="G2414" s="11" t="n">
        <x:v>0</x:v>
      </x:c>
      <x:c r="H2414" s="11" t="n">
        <x:v>0</x:v>
      </x:c>
      <x:c r="I2414" s="11" t="n">
        <x:v>1</x:v>
      </x:c>
      <x:c r="J2414" s="11" t="n">
        <x:v>0</x:v>
      </x:c>
      <x:c r="K2414" s="11" t="n">
        <x:v>0</x:v>
      </x:c>
      <x:c r="L2414" s="11" t="n">
        <x:f>IF(B2414="NED",1,IF(OR(B2414="ED",B2414="UN"),0,""))</x:f>
        <x:v>0</x:v>
      </x:c>
      <x:c r="M2414" s="11" t="n">
        <x:f>IF(AND(K2414=1,OR(B2414="ED",B2414="NED")),1,0)</x:f>
        <x:v>0</x:v>
      </x:c>
      <x:c r="N2414" s="11" t="n">
        <x:f>IF(K2414=1,1,0)</x:f>
        <x:v>0</x:v>
      </x:c>
      <x:c r="O2414" s="12" t="str">
        <x:v>Exclude UniProt Membrane keyword</x:v>
      </x:c>
      <x:c r="P2414" s="11" t="n">
        <x:v>0</x:v>
      </x:c>
      <x:c r="Q2414" s="12" t="str">
        <x:v>AF-Q91W92-F1-model_v6</x:v>
      </x:c>
      <x:c r="R2414" s="12" t="str">
        <x:v>ok</x:v>
      </x:c>
      <x:c r="S2414" s="11" t="n">
        <x:v>1912</x:v>
      </x:c>
      <x:c r="T2414" s="11" t="n">
        <x:v>409</x:v>
      </x:c>
    </x:row>
    <x:row r="2415" ht="23" customHeight="1">
      <x:c r="A2415" s="2" t="str">
        <x:v>Q91W96</x:v>
      </x:c>
      <x:c r="B2415" s="2" t="str">
        <x:v>ED</x:v>
      </x:c>
      <x:c r="C2415" s="2" t="n">
        <x:v>1</x:v>
      </x:c>
      <x:c r="D2415" s="2" t="n">
        <x:v>1</x:v>
      </x:c>
      <x:c r="E2415" s="10" t="n">
        <x:v>83.69131350681536</x:v>
      </x:c>
      <x:c r="F2415" s="11" t="n">
        <x:v>807</x:v>
      </x:c>
      <x:c r="G2415" s="11" t="n">
        <x:v>0</x:v>
      </x:c>
      <x:c r="H2415" s="11" t="n">
        <x:v>0</x:v>
      </x:c>
      <x:c r="I2415" s="11" t="n">
        <x:v>0</x:v>
      </x:c>
      <x:c r="J2415" s="11" t="n">
        <x:v>0</x:v>
      </x:c>
      <x:c r="K2415" s="11" t="n">
        <x:v>1</x:v>
      </x:c>
      <x:c r="L2415" s="11" t="n">
        <x:f>IF(B2415="NED",1,IF(OR(B2415="ED",B2415="UN"),0,""))</x:f>
        <x:v>0</x:v>
      </x:c>
      <x:c r="M2415" s="11" t="n">
        <x:f>IF(AND(K2415=1,OR(B2415="ED",B2415="NED")),1,0)</x:f>
        <x:v>1</x:v>
      </x:c>
      <x:c r="N2415" s="11" t="n">
        <x:f>IF(K2415=1,1,0)</x:f>
        <x:v>1</x:v>
      </x:c>
      <x:c r="O2415" s="12"/>
      <x:c r="P2415" s="11" t="n">
        <x:v>0</x:v>
      </x:c>
      <x:c r="Q2415" s="12" t="str">
        <x:v>AF-Q91W96-F1-model_v6</x:v>
      </x:c>
      <x:c r="R2415" s="12" t="str">
        <x:v>ok</x:v>
      </x:c>
      <x:c r="S2415" s="11" t="n">
        <x:v>1913</x:v>
      </x:c>
      <x:c r="T2415" s="11" t="n">
        <x:v>807</x:v>
      </x:c>
    </x:row>
    <x:row r="2416" ht="23" customHeight="1">
      <x:c r="A2416" s="2" t="str">
        <x:v>Q91WE1</x:v>
      </x:c>
      <x:c r="B2416" s="2" t="str">
        <x:v>ED</x:v>
      </x:c>
      <x:c r="C2416" s="2" t="n">
        <x:v>1</x:v>
      </x:c>
      <x:c r="D2416" s="2" t="n">
        <x:v>1</x:v>
      </x:c>
      <x:c r="E2416" s="10"/>
      <x:c r="F2416" s="11" t="n">
        <x:v>337</x:v>
      </x:c>
      <x:c r="G2416" s="11" t="n">
        <x:v>0</x:v>
      </x:c>
      <x:c r="H2416" s="11" t="n">
        <x:v>0</x:v>
      </x:c>
      <x:c r="I2416" s="11" t="n">
        <x:v>1</x:v>
      </x:c>
      <x:c r="J2416" s="11" t="n">
        <x:v>0</x:v>
      </x:c>
      <x:c r="K2416" s="11" t="n">
        <x:v>0</x:v>
      </x:c>
      <x:c r="L2416" s="11" t="n">
        <x:f>IF(B2416="NED",1,IF(OR(B2416="ED",B2416="UN"),0,""))</x:f>
        <x:v>0</x:v>
      </x:c>
      <x:c r="M2416" s="11" t="n">
        <x:f>IF(AND(K2416=1,OR(B2416="ED",B2416="NED")),1,0)</x:f>
        <x:v>0</x:v>
      </x:c>
      <x:c r="N2416" s="11" t="n">
        <x:f>IF(K2416=1,1,0)</x:f>
        <x:v>0</x:v>
      </x:c>
      <x:c r="O2416" s="12" t="str">
        <x:v>Exclude UniProt Membrane keyword</x:v>
      </x:c>
      <x:c r="P2416" s="11" t="n">
        <x:v>0</x:v>
      </x:c>
      <x:c r="Q2416" s="12" t="str">
        <x:v>AF-Q91WE1-F1-model_v6</x:v>
      </x:c>
      <x:c r="R2416" s="12" t="str">
        <x:v>ok</x:v>
      </x:c>
      <x:c r="S2416" s="11" t="n">
        <x:v>1914</x:v>
      </x:c>
      <x:c r="T2416" s="11" t="n">
        <x:v>337</x:v>
      </x:c>
    </x:row>
    <x:row r="2417" ht="23" customHeight="1">
      <x:c r="A2417" s="2" t="str">
        <x:v>Q91WE6-2</x:v>
      </x:c>
      <x:c r="B2417" s="2" t="str">
        <x:v>ED</x:v>
      </x:c>
      <x:c r="C2417" s="2"/>
      <x:c r="D2417" s="2"/>
      <x:c r="E2417" s="10"/>
      <x:c r="F2417" s="11"/>
      <x:c r="G2417" s="11" t="n">
        <x:v>0</x:v>
      </x:c>
      <x:c r="H2417" s="11" t="n">
        <x:v>0</x:v>
      </x:c>
      <x:c r="I2417" s="11"/>
      <x:c r="J2417" s="11"/>
      <x:c r="K2417" s="11" t="n">
        <x:v>0</x:v>
      </x:c>
      <x:c r="L2417" s="11" t="n">
        <x:f>IF(B2417="NED",1,IF(OR(B2417="ED",B2417="UN"),0,""))</x:f>
        <x:v>0</x:v>
      </x:c>
      <x:c r="M2417" s="11" t="n">
        <x:f>IF(AND(K2417=1,OR(B2417="ED",B2417="NED")),1,0)</x:f>
        <x:v>0</x:v>
      </x:c>
      <x:c r="N2417" s="11" t="n">
        <x:f>IF(K2417=1,1,0)</x:f>
        <x:v>0</x:v>
      </x:c>
      <x:c r="O2417" s="12" t="str">
        <x:v>Require exact native accession match</x:v>
      </x:c>
      <x:c r="P2417" s="11" t="n">
        <x:v>0</x:v>
      </x:c>
      <x:c r="Q2417" s="12"/>
      <x:c r="R2417" s="12"/>
      <x:c r="S2417" s="11" t="n">
        <x:v>1915</x:v>
      </x:c>
      <x:c r="T2417" s="11"/>
    </x:row>
    <x:row r="2418" ht="23" customHeight="1">
      <x:c r="A2418" s="2" t="str">
        <x:v>Q91WG4</x:v>
      </x:c>
      <x:c r="B2418" s="2" t="str">
        <x:v>ED</x:v>
      </x:c>
      <x:c r="C2418" s="2" t="n">
        <x:v>1</x:v>
      </x:c>
      <x:c r="D2418" s="2" t="n">
        <x:v>1</x:v>
      </x:c>
      <x:c r="E2418" s="10" t="n">
        <x:v>88.48444043321301</x:v>
      </x:c>
      <x:c r="F2418" s="11" t="n">
        <x:v>831</x:v>
      </x:c>
      <x:c r="G2418" s="11" t="n">
        <x:v>0</x:v>
      </x:c>
      <x:c r="H2418" s="11" t="n">
        <x:v>0</x:v>
      </x:c>
      <x:c r="I2418" s="11" t="n">
        <x:v>0</x:v>
      </x:c>
      <x:c r="J2418" s="11" t="n">
        <x:v>0</x:v>
      </x:c>
      <x:c r="K2418" s="11" t="n">
        <x:v>1</x:v>
      </x:c>
      <x:c r="L2418" s="11" t="n">
        <x:f>IF(B2418="NED",1,IF(OR(B2418="ED",B2418="UN"),0,""))</x:f>
        <x:v>0</x:v>
      </x:c>
      <x:c r="M2418" s="11" t="n">
        <x:f>IF(AND(K2418=1,OR(B2418="ED",B2418="NED")),1,0)</x:f>
        <x:v>1</x:v>
      </x:c>
      <x:c r="N2418" s="11" t="n">
        <x:f>IF(K2418=1,1,0)</x:f>
        <x:v>1</x:v>
      </x:c>
      <x:c r="O2418" s="12"/>
      <x:c r="P2418" s="11" t="n">
        <x:v>0</x:v>
      </x:c>
      <x:c r="Q2418" s="12" t="str">
        <x:v>AF-Q91WG4-F1-model_v6</x:v>
      </x:c>
      <x:c r="R2418" s="12" t="str">
        <x:v>ok</x:v>
      </x:c>
      <x:c r="S2418" s="11" t="n">
        <x:v>1916</x:v>
      </x:c>
      <x:c r="T2418" s="11" t="n">
        <x:v>831</x:v>
      </x:c>
    </x:row>
    <x:row r="2419" ht="23" customHeight="1">
      <x:c r="A2419" s="2" t="str">
        <x:v>Q91WK2</x:v>
      </x:c>
      <x:c r="B2419" s="2" t="str">
        <x:v>NED</x:v>
      </x:c>
      <x:c r="C2419" s="2" t="n">
        <x:v>1</x:v>
      </x:c>
      <x:c r="D2419" s="2" t="n">
        <x:v>1</x:v>
      </x:c>
      <x:c r="E2419" s="10" t="n">
        <x:v>73.60301136363636</x:v>
      </x:c>
      <x:c r="F2419" s="11" t="n">
        <x:v>352</x:v>
      </x:c>
      <x:c r="G2419" s="11" t="n">
        <x:v>0</x:v>
      </x:c>
      <x:c r="H2419" s="11" t="n">
        <x:v>0</x:v>
      </x:c>
      <x:c r="I2419" s="11" t="n">
        <x:v>0</x:v>
      </x:c>
      <x:c r="J2419" s="11" t="n">
        <x:v>0</x:v>
      </x:c>
      <x:c r="K2419" s="11" t="n">
        <x:v>1</x:v>
      </x:c>
      <x:c r="L2419" s="11" t="n">
        <x:f>IF(B2419="NED",1,IF(OR(B2419="ED",B2419="UN"),0,""))</x:f>
        <x:v>1</x:v>
      </x:c>
      <x:c r="M2419" s="11" t="n">
        <x:f>IF(AND(K2419=1,OR(B2419="ED",B2419="NED")),1,0)</x:f>
        <x:v>1</x:v>
      </x:c>
      <x:c r="N2419" s="11" t="n">
        <x:f>IF(K2419=1,1,0)</x:f>
        <x:v>1</x:v>
      </x:c>
      <x:c r="O2419" s="12"/>
      <x:c r="P2419" s="11" t="n">
        <x:v>0</x:v>
      </x:c>
      <x:c r="Q2419" s="12" t="str">
        <x:v>AF-Q91WK2-F1-model_v6</x:v>
      </x:c>
      <x:c r="R2419" s="12" t="str">
        <x:v>ok</x:v>
      </x:c>
      <x:c r="S2419" s="11" t="n">
        <x:v>1917</x:v>
      </x:c>
      <x:c r="T2419" s="11" t="n">
        <x:v>352</x:v>
      </x:c>
    </x:row>
    <x:row r="2420" ht="23" customHeight="1">
      <x:c r="A2420" s="2" t="str">
        <x:v>Q91WM3</x:v>
      </x:c>
      <x:c r="B2420" s="2" t="str">
        <x:v>ED</x:v>
      </x:c>
      <x:c r="C2420" s="2" t="n">
        <x:v>1</x:v>
      </x:c>
      <x:c r="D2420" s="2" t="n">
        <x:v>1</x:v>
      </x:c>
      <x:c r="E2420" s="10" t="n">
        <x:v>83.85551578947369</x:v>
      </x:c>
      <x:c r="F2420" s="11" t="n">
        <x:v>475</x:v>
      </x:c>
      <x:c r="G2420" s="11" t="n">
        <x:v>0</x:v>
      </x:c>
      <x:c r="H2420" s="11" t="n">
        <x:v>0</x:v>
      </x:c>
      <x:c r="I2420" s="11" t="n">
        <x:v>0</x:v>
      </x:c>
      <x:c r="J2420" s="11" t="n">
        <x:v>0</x:v>
      </x:c>
      <x:c r="K2420" s="11" t="n">
        <x:v>1</x:v>
      </x:c>
      <x:c r="L2420" s="11" t="n">
        <x:f>IF(B2420="NED",1,IF(OR(B2420="ED",B2420="UN"),0,""))</x:f>
        <x:v>0</x:v>
      </x:c>
      <x:c r="M2420" s="11" t="n">
        <x:f>IF(AND(K2420=1,OR(B2420="ED",B2420="NED")),1,0)</x:f>
        <x:v>1</x:v>
      </x:c>
      <x:c r="N2420" s="11" t="n">
        <x:f>IF(K2420=1,1,0)</x:f>
        <x:v>1</x:v>
      </x:c>
      <x:c r="O2420" s="12"/>
      <x:c r="P2420" s="11" t="n">
        <x:v>0</x:v>
      </x:c>
      <x:c r="Q2420" s="12" t="str">
        <x:v>AF-Q91WM3-F1-model_v6</x:v>
      </x:c>
      <x:c r="R2420" s="12" t="str">
        <x:v>ok</x:v>
      </x:c>
      <x:c r="S2420" s="11" t="n">
        <x:v>1918</x:v>
      </x:c>
      <x:c r="T2420" s="11" t="n">
        <x:v>475</x:v>
      </x:c>
    </x:row>
    <x:row r="2421" ht="23" customHeight="1">
      <x:c r="A2421" s="2" t="str">
        <x:v>Q91WQ3</x:v>
      </x:c>
      <x:c r="B2421" s="2" t="str">
        <x:v>ED</x:v>
      </x:c>
      <x:c r="C2421" s="2" t="n">
        <x:v>1</x:v>
      </x:c>
      <x:c r="D2421" s="2" t="n">
        <x:v>1</x:v>
      </x:c>
      <x:c r="E2421" s="10" t="n">
        <x:v>90.99570075757576</x:v>
      </x:c>
      <x:c r="F2421" s="11" t="n">
        <x:v>528</x:v>
      </x:c>
      <x:c r="G2421" s="11" t="n">
        <x:v>0</x:v>
      </x:c>
      <x:c r="H2421" s="11" t="n">
        <x:v>0</x:v>
      </x:c>
      <x:c r="I2421" s="11" t="n">
        <x:v>0</x:v>
      </x:c>
      <x:c r="J2421" s="11" t="n">
        <x:v>0</x:v>
      </x:c>
      <x:c r="K2421" s="11" t="n">
        <x:v>1</x:v>
      </x:c>
      <x:c r="L2421" s="11" t="n">
        <x:f>IF(B2421="NED",1,IF(OR(B2421="ED",B2421="UN"),0,""))</x:f>
        <x:v>0</x:v>
      </x:c>
      <x:c r="M2421" s="11" t="n">
        <x:f>IF(AND(K2421=1,OR(B2421="ED",B2421="NED")),1,0)</x:f>
        <x:v>1</x:v>
      </x:c>
      <x:c r="N2421" s="11" t="n">
        <x:f>IF(K2421=1,1,0)</x:f>
        <x:v>1</x:v>
      </x:c>
      <x:c r="O2421" s="12"/>
      <x:c r="P2421" s="11" t="n">
        <x:v>0</x:v>
      </x:c>
      <x:c r="Q2421" s="12" t="str">
        <x:v>AF-Q91WQ3-F1-model_v6</x:v>
      </x:c>
      <x:c r="R2421" s="12" t="str">
        <x:v>ok</x:v>
      </x:c>
      <x:c r="S2421" s="11" t="n">
        <x:v>1919</x:v>
      </x:c>
      <x:c r="T2421" s="11" t="n">
        <x:v>528</x:v>
      </x:c>
    </x:row>
    <x:row r="2422" ht="23" customHeight="1">
      <x:c r="A2422" s="2" t="str">
        <x:v>Q91WR3</x:v>
      </x:c>
      <x:c r="B2422" s="2" t="str">
        <x:v>ED</x:v>
      </x:c>
      <x:c r="C2422" s="2" t="n">
        <x:v>0</x:v>
      </x:c>
      <x:c r="D2422" s="2" t="n">
        <x:v>0</x:v>
      </x:c>
      <x:c r="E2422" s="10" t="n">
        <x:v>77.77742323097463</x:v>
      </x:c>
      <x:c r="F2422" s="11" t="n">
        <x:v>749</x:v>
      </x:c>
      <x:c r="G2422" s="11" t="n">
        <x:v>0</x:v>
      </x:c>
      <x:c r="H2422" s="11" t="n">
        <x:v>0</x:v>
      </x:c>
      <x:c r="I2422" s="11" t="n">
        <x:v>0</x:v>
      </x:c>
      <x:c r="J2422" s="11" t="n">
        <x:v>0</x:v>
      </x:c>
      <x:c r="K2422" s="11" t="n">
        <x:v>1</x:v>
      </x:c>
      <x:c r="L2422" s="11" t="n">
        <x:f>IF(B2422="NED",1,IF(OR(B2422="ED",B2422="UN"),0,""))</x:f>
        <x:v>0</x:v>
      </x:c>
      <x:c r="M2422" s="11" t="n">
        <x:f>IF(AND(K2422=1,OR(B2422="ED",B2422="NED")),1,0)</x:f>
        <x:v>1</x:v>
      </x:c>
      <x:c r="N2422" s="11" t="n">
        <x:f>IF(K2422=1,1,0)</x:f>
        <x:v>1</x:v>
      </x:c>
      <x:c r="O2422" s="12"/>
      <x:c r="P2422" s="11" t="n">
        <x:v>0</x:v>
      </x:c>
      <x:c r="Q2422" s="12" t="str">
        <x:v>AF-Q91WR3-F1-model_v6</x:v>
      </x:c>
      <x:c r="R2422" s="12" t="str">
        <x:v>ok</x:v>
      </x:c>
      <x:c r="S2422" s="11" t="n">
        <x:v>1920</x:v>
      </x:c>
      <x:c r="T2422" s="11" t="n">
        <x:v>749</x:v>
      </x:c>
    </x:row>
    <x:row r="2423" ht="23" customHeight="1">
      <x:c r="A2423" s="2" t="str">
        <x:v>Q91WS0</x:v>
      </x:c>
      <x:c r="B2423" s="2" t="str">
        <x:v>UN</x:v>
      </x:c>
      <x:c r="C2423" s="2" t="n">
        <x:v>0</x:v>
      </x:c>
      <x:c r="D2423" s="2" t="n">
        <x:v>0</x:v>
      </x:c>
      <x:c r="E2423" s="10"/>
      <x:c r="F2423" s="11" t="n">
        <x:v>108</x:v>
      </x:c>
      <x:c r="G2423" s="11" t="n">
        <x:v>0</x:v>
      </x:c>
      <x:c r="H2423" s="11" t="n">
        <x:v>0</x:v>
      </x:c>
      <x:c r="I2423" s="11" t="n">
        <x:v>1</x:v>
      </x:c>
      <x:c r="J2423" s="11" t="n">
        <x:v>0</x:v>
      </x:c>
      <x:c r="K2423" s="11" t="n">
        <x:v>0</x:v>
      </x:c>
      <x:c r="L2423" s="11" t="n">
        <x:f>IF(B2423="NED",1,IF(OR(B2423="ED",B2423="UN"),0,""))</x:f>
        <x:v>0</x:v>
      </x:c>
      <x:c r="M2423" s="11" t="n">
        <x:f>IF(AND(K2423=1,OR(B2423="ED",B2423="NED")),1,0)</x:f>
        <x:v>0</x:v>
      </x:c>
      <x:c r="N2423" s="11" t="n">
        <x:f>IF(K2423=1,1,0)</x:f>
        <x:v>0</x:v>
      </x:c>
      <x:c r="O2423" s="12" t="str">
        <x:v>Exclude UniProt Membrane keyword</x:v>
      </x:c>
      <x:c r="P2423" s="11" t="n">
        <x:v>0</x:v>
      </x:c>
      <x:c r="Q2423" s="12" t="str">
        <x:v>AF-Q91WS0-F1-model_v6</x:v>
      </x:c>
      <x:c r="R2423" s="12" t="str">
        <x:v>ok</x:v>
      </x:c>
      <x:c r="S2423" s="11" t="n">
        <x:v>1921</x:v>
      </x:c>
      <x:c r="T2423" s="11" t="n">
        <x:v>108</x:v>
      </x:c>
    </x:row>
    <x:row r="2424" ht="23" customHeight="1">
      <x:c r="A2424" s="2" t="str">
        <x:v>Q91X43</x:v>
      </x:c>
      <x:c r="B2424" s="2" t="str">
        <x:v>ED</x:v>
      </x:c>
      <x:c r="C2424" s="2" t="n">
        <x:v>1</x:v>
      </x:c>
      <x:c r="D2424" s="2" t="n">
        <x:v>1</x:v>
      </x:c>
      <x:c r="E2424" s="10" t="n">
        <x:v>58.62339670468948</x:v>
      </x:c>
      <x:c r="F2424" s="11" t="n">
        <x:v>789</x:v>
      </x:c>
      <x:c r="G2424" s="11" t="n">
        <x:v>0</x:v>
      </x:c>
      <x:c r="H2424" s="11" t="n">
        <x:v>0</x:v>
      </x:c>
      <x:c r="I2424" s="11" t="n">
        <x:v>0</x:v>
      </x:c>
      <x:c r="J2424" s="11" t="n">
        <x:v>0</x:v>
      </x:c>
      <x:c r="K2424" s="11" t="n">
        <x:v>0</x:v>
      </x:c>
      <x:c r="L2424" s="11" t="n">
        <x:f>IF(B2424="NED",1,IF(OR(B2424="ED",B2424="UN"),0,""))</x:f>
        <x:v>0</x:v>
      </x:c>
      <x:c r="M2424" s="11" t="n">
        <x:f>IF(AND(K2424=1,OR(B2424="ED",B2424="NED")),1,0)</x:f>
        <x:v>0</x:v>
      </x:c>
      <x:c r="N2424" s="11" t="n">
        <x:f>IF(K2424=1,1,0)</x:f>
        <x:v>0</x:v>
      </x:c>
      <x:c r="O2424" s="12" t="str">
        <x:v>Retain protein mean pLDDT &gt;=70</x:v>
      </x:c>
      <x:c r="P2424" s="11" t="n">
        <x:v>0</x:v>
      </x:c>
      <x:c r="Q2424" s="12" t="str">
        <x:v>AF-Q91X43-F1-model_v6</x:v>
      </x:c>
      <x:c r="R2424" s="12" t="str">
        <x:v>ok</x:v>
      </x:c>
      <x:c r="S2424" s="11" t="n">
        <x:v>1922</x:v>
      </x:c>
      <x:c r="T2424" s="11" t="n">
        <x:v>789</x:v>
      </x:c>
    </x:row>
    <x:row r="2425" ht="23" customHeight="1">
      <x:c r="A2425" s="2" t="str">
        <x:v>Q91X76</x:v>
      </x:c>
      <x:c r="B2425" s="2" t="str">
        <x:v>ED</x:v>
      </x:c>
      <x:c r="C2425" s="2"/>
      <x:c r="D2425" s="2"/>
      <x:c r="E2425" s="10"/>
      <x:c r="F2425" s="11"/>
      <x:c r="G2425" s="11" t="n">
        <x:v>0</x:v>
      </x:c>
      <x:c r="H2425" s="11" t="n">
        <x:v>0</x:v>
      </x:c>
      <x:c r="I2425" s="11" t="n">
        <x:v>0</x:v>
      </x:c>
      <x:c r="J2425" s="11" t="n">
        <x:v>0</x:v>
      </x:c>
      <x:c r="K2425" s="11" t="n">
        <x:v>0</x:v>
      </x:c>
      <x:c r="L2425" s="11" t="n">
        <x:f>IF(B2425="NED",1,IF(OR(B2425="ED",B2425="UN"),0,""))</x:f>
        <x:v>0</x:v>
      </x:c>
      <x:c r="M2425" s="11" t="n">
        <x:f>IF(AND(K2425=1,OR(B2425="ED",B2425="NED")),1,0)</x:f>
        <x:v>0</x:v>
      </x:c>
      <x:c r="N2425" s="11" t="n">
        <x:f>IF(K2425=1,1,0)</x:f>
        <x:v>0</x:v>
      </x:c>
      <x:c r="O2425" s="12" t="str">
        <x:v>Require exact native accession match</x:v>
      </x:c>
      <x:c r="P2425" s="11" t="n">
        <x:v>0</x:v>
      </x:c>
      <x:c r="Q2425" s="12"/>
      <x:c r="R2425" s="12"/>
      <x:c r="S2425" s="11" t="n">
        <x:v>3245</x:v>
      </x:c>
      <x:c r="T2425" s="11" t="n">
        <x:v>390</x:v>
      </x:c>
    </x:row>
    <x:row r="2426" ht="23" customHeight="1">
      <x:c r="A2426" s="2" t="str">
        <x:v>Q91XD6</x:v>
      </x:c>
      <x:c r="B2426" s="2" t="str">
        <x:v>ED</x:v>
      </x:c>
      <x:c r="C2426" s="2" t="n">
        <x:v>1</x:v>
      </x:c>
      <x:c r="D2426" s="2" t="n">
        <x:v>1</x:v>
      </x:c>
      <x:c r="E2426" s="10"/>
      <x:c r="F2426" s="11" t="n">
        <x:v>386</x:v>
      </x:c>
      <x:c r="G2426" s="11" t="n">
        <x:v>0</x:v>
      </x:c>
      <x:c r="H2426" s="11" t="n">
        <x:v>0</x:v>
      </x:c>
      <x:c r="I2426" s="11" t="n">
        <x:v>1</x:v>
      </x:c>
      <x:c r="J2426" s="11" t="n">
        <x:v>0</x:v>
      </x:c>
      <x:c r="K2426" s="11" t="n">
        <x:v>0</x:v>
      </x:c>
      <x:c r="L2426" s="11" t="n">
        <x:f>IF(B2426="NED",1,IF(OR(B2426="ED",B2426="UN"),0,""))</x:f>
        <x:v>0</x:v>
      </x:c>
      <x:c r="M2426" s="11" t="n">
        <x:f>IF(AND(K2426=1,OR(B2426="ED",B2426="NED")),1,0)</x:f>
        <x:v>0</x:v>
      </x:c>
      <x:c r="N2426" s="11" t="n">
        <x:f>IF(K2426=1,1,0)</x:f>
        <x:v>0</x:v>
      </x:c>
      <x:c r="O2426" s="12" t="str">
        <x:v>Exclude UniProt Membrane keyword</x:v>
      </x:c>
      <x:c r="P2426" s="11" t="n">
        <x:v>0</x:v>
      </x:c>
      <x:c r="Q2426" s="12" t="str">
        <x:v>AF-Q91XD6-F1-model_v6</x:v>
      </x:c>
      <x:c r="R2426" s="12" t="str">
        <x:v>ok</x:v>
      </x:c>
      <x:c r="S2426" s="11" t="n">
        <x:v>1923</x:v>
      </x:c>
      <x:c r="T2426" s="11" t="n">
        <x:v>386</x:v>
      </x:c>
    </x:row>
    <x:row r="2427" ht="23" customHeight="1">
      <x:c r="A2427" s="2" t="str">
        <x:v>Q91XH5</x:v>
      </x:c>
      <x:c r="B2427" s="2" t="str">
        <x:v>UN</x:v>
      </x:c>
      <x:c r="C2427" s="2"/>
      <x:c r="D2427" s="2"/>
      <x:c r="E2427" s="10"/>
      <x:c r="F2427" s="11"/>
      <x:c r="G2427" s="11" t="n">
        <x:v>0</x:v>
      </x:c>
      <x:c r="H2427" s="11" t="n">
        <x:v>0</x:v>
      </x:c>
      <x:c r="I2427" s="11" t="n">
        <x:v>0</x:v>
      </x:c>
      <x:c r="J2427" s="11" t="n">
        <x:v>0</x:v>
      </x:c>
      <x:c r="K2427" s="11" t="n">
        <x:v>0</x:v>
      </x:c>
      <x:c r="L2427" s="11" t="n">
        <x:f>IF(B2427="NED",1,IF(OR(B2427="ED",B2427="UN"),0,""))</x:f>
        <x:v>0</x:v>
      </x:c>
      <x:c r="M2427" s="11" t="n">
        <x:f>IF(AND(K2427=1,OR(B2427="ED",B2427="NED")),1,0)</x:f>
        <x:v>0</x:v>
      </x:c>
      <x:c r="N2427" s="11" t="n">
        <x:f>IF(K2427=1,1,0)</x:f>
        <x:v>0</x:v>
      </x:c>
      <x:c r="O2427" s="12" t="str">
        <x:v>Require exact native accession match</x:v>
      </x:c>
      <x:c r="P2427" s="11" t="n">
        <x:v>0</x:v>
      </x:c>
      <x:c r="Q2427" s="12"/>
      <x:c r="R2427" s="12"/>
      <x:c r="S2427" s="11" t="n">
        <x:v>3246</x:v>
      </x:c>
      <x:c r="T2427" s="11" t="n">
        <x:v>262</x:v>
      </x:c>
    </x:row>
    <x:row r="2428" ht="23" customHeight="1">
      <x:c r="A2428" s="2" t="str">
        <x:v>Q91XI1</x:v>
      </x:c>
      <x:c r="B2428" s="2" t="str">
        <x:v>UN</x:v>
      </x:c>
      <x:c r="C2428" s="2" t="n">
        <x:v>1</x:v>
      </x:c>
      <x:c r="D2428" s="2" t="n">
        <x:v>1</x:v>
      </x:c>
      <x:c r="E2428" s="10" t="n">
        <x:v>81.45583987441131</x:v>
      </x:c>
      <x:c r="F2428" s="11" t="n">
        <x:v>637</x:v>
      </x:c>
      <x:c r="G2428" s="11" t="n">
        <x:v>0</x:v>
      </x:c>
      <x:c r="H2428" s="11" t="n">
        <x:v>0</x:v>
      </x:c>
      <x:c r="I2428" s="11" t="n">
        <x:v>0</x:v>
      </x:c>
      <x:c r="J2428" s="11" t="n">
        <x:v>0</x:v>
      </x:c>
      <x:c r="K2428" s="11" t="n">
        <x:v>1</x:v>
      </x:c>
      <x:c r="L2428" s="11" t="n">
        <x:f>IF(B2428="NED",1,IF(OR(B2428="ED",B2428="UN"),0,""))</x:f>
        <x:v>0</x:v>
      </x:c>
      <x:c r="M2428" s="11" t="n">
        <x:f>IF(AND(K2428=1,OR(B2428="ED",B2428="NED")),1,0)</x:f>
        <x:v>0</x:v>
      </x:c>
      <x:c r="N2428" s="11" t="n">
        <x:f>IF(K2428=1,1,0)</x:f>
        <x:v>1</x:v>
      </x:c>
      <x:c r="O2428" s="12"/>
      <x:c r="P2428" s="11" t="n">
        <x:v>0</x:v>
      </x:c>
      <x:c r="Q2428" s="12" t="str">
        <x:v>AF-Q91XI1-F1-model_v6</x:v>
      </x:c>
      <x:c r="R2428" s="12" t="str">
        <x:v>ok</x:v>
      </x:c>
      <x:c r="S2428" s="11" t="n">
        <x:v>1924</x:v>
      </x:c>
      <x:c r="T2428" s="11" t="n">
        <x:v>637</x:v>
      </x:c>
    </x:row>
    <x:row r="2429" ht="23" customHeight="1">
      <x:c r="A2429" s="2" t="str">
        <x:v>Q91XL2</x:v>
      </x:c>
      <x:c r="B2429" s="2" t="str">
        <x:v>ED</x:v>
      </x:c>
      <x:c r="C2429" s="2" t="n">
        <x:v>1</x:v>
      </x:c>
      <x:c r="D2429" s="2" t="n">
        <x:v>1</x:v>
      </x:c>
      <x:c r="E2429" s="10" t="n">
        <x:v>75.34042212518196</x:v>
      </x:c>
      <x:c r="F2429" s="11" t="n">
        <x:v>687</x:v>
      </x:c>
      <x:c r="G2429" s="11" t="n">
        <x:v>0</x:v>
      </x:c>
      <x:c r="H2429" s="11" t="n">
        <x:v>0</x:v>
      </x:c>
      <x:c r="I2429" s="11" t="n">
        <x:v>0</x:v>
      </x:c>
      <x:c r="J2429" s="11" t="n">
        <x:v>0</x:v>
      </x:c>
      <x:c r="K2429" s="11" t="n">
        <x:v>1</x:v>
      </x:c>
      <x:c r="L2429" s="11" t="n">
        <x:f>IF(B2429="NED",1,IF(OR(B2429="ED",B2429="UN"),0,""))</x:f>
        <x:v>0</x:v>
      </x:c>
      <x:c r="M2429" s="11" t="n">
        <x:f>IF(AND(K2429=1,OR(B2429="ED",B2429="NED")),1,0)</x:f>
        <x:v>1</x:v>
      </x:c>
      <x:c r="N2429" s="11" t="n">
        <x:f>IF(K2429=1,1,0)</x:f>
        <x:v>1</x:v>
      </x:c>
      <x:c r="O2429" s="12"/>
      <x:c r="P2429" s="11" t="n">
        <x:v>0</x:v>
      </x:c>
      <x:c r="Q2429" s="12" t="str">
        <x:v>AF-Q91XL2-F1-model_v6</x:v>
      </x:c>
      <x:c r="R2429" s="12" t="str">
        <x:v>ok</x:v>
      </x:c>
      <x:c r="S2429" s="11" t="n">
        <x:v>1925</x:v>
      </x:c>
      <x:c r="T2429" s="11" t="n">
        <x:v>687</x:v>
      </x:c>
    </x:row>
    <x:row r="2430" ht="23" customHeight="1">
      <x:c r="A2430" s="2" t="str">
        <x:v>Q91XL3</x:v>
      </x:c>
      <x:c r="B2430" s="2" t="str">
        <x:v>UN</x:v>
      </x:c>
      <x:c r="C2430" s="2" t="n">
        <x:v>1</x:v>
      </x:c>
      <x:c r="D2430" s="2" t="n">
        <x:v>1</x:v>
      </x:c>
      <x:c r="E2430" s="10"/>
      <x:c r="F2430" s="11" t="n">
        <x:v>420</x:v>
      </x:c>
      <x:c r="G2430" s="11" t="n">
        <x:v>0</x:v>
      </x:c>
      <x:c r="H2430" s="11" t="n">
        <x:v>0</x:v>
      </x:c>
      <x:c r="I2430" s="11" t="n">
        <x:v>1</x:v>
      </x:c>
      <x:c r="J2430" s="11" t="n">
        <x:v>0</x:v>
      </x:c>
      <x:c r="K2430" s="11" t="n">
        <x:v>0</x:v>
      </x:c>
      <x:c r="L2430" s="11" t="n">
        <x:f>IF(B2430="NED",1,IF(OR(B2430="ED",B2430="UN"),0,""))</x:f>
        <x:v>0</x:v>
      </x:c>
      <x:c r="M2430" s="11" t="n">
        <x:f>IF(AND(K2430=1,OR(B2430="ED",B2430="NED")),1,0)</x:f>
        <x:v>0</x:v>
      </x:c>
      <x:c r="N2430" s="11" t="n">
        <x:f>IF(K2430=1,1,0)</x:f>
        <x:v>0</x:v>
      </x:c>
      <x:c r="O2430" s="12" t="str">
        <x:v>Exclude UniProt Membrane keyword</x:v>
      </x:c>
      <x:c r="P2430" s="11" t="n">
        <x:v>0</x:v>
      </x:c>
      <x:c r="Q2430" s="12" t="str">
        <x:v>AF-Q91XL3-F1-model_v6</x:v>
      </x:c>
      <x:c r="R2430" s="12" t="str">
        <x:v>ok</x:v>
      </x:c>
      <x:c r="S2430" s="11" t="n">
        <x:v>1926</x:v>
      </x:c>
      <x:c r="T2430" s="11" t="n">
        <x:v>420</x:v>
      </x:c>
    </x:row>
    <x:row r="2431" ht="23" customHeight="1">
      <x:c r="A2431" s="2" t="str">
        <x:v>Q91XV3</x:v>
      </x:c>
      <x:c r="B2431" s="2" t="str">
        <x:v>UN</x:v>
      </x:c>
      <x:c r="C2431" s="2" t="n">
        <x:v>0</x:v>
      </x:c>
      <x:c r="D2431" s="2" t="n">
        <x:v>0</x:v>
      </x:c>
      <x:c r="E2431" s="10"/>
      <x:c r="F2431" s="11" t="n">
        <x:v>226</x:v>
      </x:c>
      <x:c r="G2431" s="11" t="n">
        <x:v>0</x:v>
      </x:c>
      <x:c r="H2431" s="11" t="n">
        <x:v>0</x:v>
      </x:c>
      <x:c r="I2431" s="11" t="n">
        <x:v>1</x:v>
      </x:c>
      <x:c r="J2431" s="11" t="n">
        <x:v>0</x:v>
      </x:c>
      <x:c r="K2431" s="11" t="n">
        <x:v>0</x:v>
      </x:c>
      <x:c r="L2431" s="11" t="n">
        <x:f>IF(B2431="NED",1,IF(OR(B2431="ED",B2431="UN"),0,""))</x:f>
        <x:v>0</x:v>
      </x:c>
      <x:c r="M2431" s="11" t="n">
        <x:f>IF(AND(K2431=1,OR(B2431="ED",B2431="NED")),1,0)</x:f>
        <x:v>0</x:v>
      </x:c>
      <x:c r="N2431" s="11" t="n">
        <x:f>IF(K2431=1,1,0)</x:f>
        <x:v>0</x:v>
      </x:c>
      <x:c r="O2431" s="12" t="str">
        <x:v>Exclude UniProt Membrane keyword</x:v>
      </x:c>
      <x:c r="P2431" s="11" t="n">
        <x:v>0</x:v>
      </x:c>
      <x:c r="Q2431" s="12" t="str">
        <x:v>AF-Q91XV3-F1-model_v6</x:v>
      </x:c>
      <x:c r="R2431" s="12" t="str">
        <x:v>ok</x:v>
      </x:c>
      <x:c r="S2431" s="11" t="n">
        <x:v>1927</x:v>
      </x:c>
      <x:c r="T2431" s="11" t="n">
        <x:v>226</x:v>
      </x:c>
    </x:row>
    <x:row r="2432" ht="23" customHeight="1">
      <x:c r="A2432" s="2" t="str">
        <x:v>Q91XX1</x:v>
      </x:c>
      <x:c r="B2432" s="2" t="str">
        <x:v>UN</x:v>
      </x:c>
      <x:c r="C2432" s="2" t="n">
        <x:v>1</x:v>
      </x:c>
      <x:c r="D2432" s="2" t="n">
        <x:v>1</x:v>
      </x:c>
      <x:c r="E2432" s="10"/>
      <x:c r="F2432" s="11" t="n">
        <x:v>934</x:v>
      </x:c>
      <x:c r="G2432" s="11" t="n">
        <x:v>0</x:v>
      </x:c>
      <x:c r="H2432" s="11" t="n">
        <x:v>0</x:v>
      </x:c>
      <x:c r="I2432" s="11" t="n">
        <x:v>1</x:v>
      </x:c>
      <x:c r="J2432" s="11" t="n">
        <x:v>0</x:v>
      </x:c>
      <x:c r="K2432" s="11" t="n">
        <x:v>0</x:v>
      </x:c>
      <x:c r="L2432" s="11" t="n">
        <x:f>IF(B2432="NED",1,IF(OR(B2432="ED",B2432="UN"),0,""))</x:f>
        <x:v>0</x:v>
      </x:c>
      <x:c r="M2432" s="11" t="n">
        <x:f>IF(AND(K2432=1,OR(B2432="ED",B2432="NED")),1,0)</x:f>
        <x:v>0</x:v>
      </x:c>
      <x:c r="N2432" s="11" t="n">
        <x:f>IF(K2432=1,1,0)</x:f>
        <x:v>0</x:v>
      </x:c>
      <x:c r="O2432" s="12" t="str">
        <x:v>Exclude UniProt Membrane keyword</x:v>
      </x:c>
      <x:c r="P2432" s="11" t="n">
        <x:v>0</x:v>
      </x:c>
      <x:c r="Q2432" s="12" t="str">
        <x:v>AF-Q91XX1-F1-model_v6</x:v>
      </x:c>
      <x:c r="R2432" s="12" t="str">
        <x:v>ok</x:v>
      </x:c>
      <x:c r="S2432" s="11" t="n">
        <x:v>3247</x:v>
      </x:c>
      <x:c r="T2432" s="11" t="n">
        <x:v>934</x:v>
      </x:c>
    </x:row>
    <x:row r="2433" ht="23" customHeight="1">
      <x:c r="A2433" s="2" t="str">
        <x:v>Q91YD3</x:v>
      </x:c>
      <x:c r="B2433" s="2" t="str">
        <x:v>ED</x:v>
      </x:c>
      <x:c r="C2433" s="2" t="n">
        <x:v>1</x:v>
      </x:c>
      <x:c r="D2433" s="2" t="n">
        <x:v>1</x:v>
      </x:c>
      <x:c r="E2433" s="10" t="n">
        <x:v>57.88451827242525</x:v>
      </x:c>
      <x:c r="F2433" s="11" t="n">
        <x:v>602</x:v>
      </x:c>
      <x:c r="G2433" s="11" t="n">
        <x:v>0</x:v>
      </x:c>
      <x:c r="H2433" s="11" t="n">
        <x:v>0</x:v>
      </x:c>
      <x:c r="I2433" s="11" t="n">
        <x:v>0</x:v>
      </x:c>
      <x:c r="J2433" s="11" t="n">
        <x:v>0</x:v>
      </x:c>
      <x:c r="K2433" s="11" t="n">
        <x:v>0</x:v>
      </x:c>
      <x:c r="L2433" s="11" t="n">
        <x:f>IF(B2433="NED",1,IF(OR(B2433="ED",B2433="UN"),0,""))</x:f>
        <x:v>0</x:v>
      </x:c>
      <x:c r="M2433" s="11" t="n">
        <x:f>IF(AND(K2433=1,OR(B2433="ED",B2433="NED")),1,0)</x:f>
        <x:v>0</x:v>
      </x:c>
      <x:c r="N2433" s="11" t="n">
        <x:f>IF(K2433=1,1,0)</x:f>
        <x:v>0</x:v>
      </x:c>
      <x:c r="O2433" s="12" t="str">
        <x:v>Retain protein mean pLDDT &gt;=70</x:v>
      </x:c>
      <x:c r="P2433" s="11" t="n">
        <x:v>0</x:v>
      </x:c>
      <x:c r="Q2433" s="12" t="str">
        <x:v>AF-Q91YD3-F1-model_v6</x:v>
      </x:c>
      <x:c r="R2433" s="12" t="str">
        <x:v>ok</x:v>
      </x:c>
      <x:c r="S2433" s="11" t="n">
        <x:v>1928</x:v>
      </x:c>
      <x:c r="T2433" s="11" t="n">
        <x:v>602</x:v>
      </x:c>
    </x:row>
    <x:row r="2434" ht="23" customHeight="1">
      <x:c r="A2434" s="2" t="str">
        <x:v>Q91YD9</x:v>
      </x:c>
      <x:c r="B2434" s="2" t="str">
        <x:v>UN</x:v>
      </x:c>
      <x:c r="C2434" s="2" t="n">
        <x:v>1</x:v>
      </x:c>
      <x:c r="D2434" s="2" t="n">
        <x:v>1</x:v>
      </x:c>
      <x:c r="E2434" s="10" t="n">
        <x:v>68.69041916167664</x:v>
      </x:c>
      <x:c r="F2434" s="11" t="n">
        <x:v>501</x:v>
      </x:c>
      <x:c r="G2434" s="11" t="n">
        <x:v>0</x:v>
      </x:c>
      <x:c r="H2434" s="11" t="n">
        <x:v>0</x:v>
      </x:c>
      <x:c r="I2434" s="11" t="n">
        <x:v>0</x:v>
      </x:c>
      <x:c r="J2434" s="11" t="n">
        <x:v>0</x:v>
      </x:c>
      <x:c r="K2434" s="11" t="n">
        <x:v>0</x:v>
      </x:c>
      <x:c r="L2434" s="11" t="n">
        <x:f>IF(B2434="NED",1,IF(OR(B2434="ED",B2434="UN"),0,""))</x:f>
        <x:v>0</x:v>
      </x:c>
      <x:c r="M2434" s="11" t="n">
        <x:f>IF(AND(K2434=1,OR(B2434="ED",B2434="NED")),1,0)</x:f>
        <x:v>0</x:v>
      </x:c>
      <x:c r="N2434" s="11" t="n">
        <x:f>IF(K2434=1,1,0)</x:f>
        <x:v>0</x:v>
      </x:c>
      <x:c r="O2434" s="12" t="str">
        <x:v>Retain protein mean pLDDT &gt;=70</x:v>
      </x:c>
      <x:c r="P2434" s="11" t="n">
        <x:v>0</x:v>
      </x:c>
      <x:c r="Q2434" s="12" t="str">
        <x:v>AF-Q91YD9-F1-model_v6</x:v>
      </x:c>
      <x:c r="R2434" s="12" t="str">
        <x:v>ok</x:v>
      </x:c>
      <x:c r="S2434" s="11" t="n">
        <x:v>1929</x:v>
      </x:c>
      <x:c r="T2434" s="11" t="n">
        <x:v>501</x:v>
      </x:c>
    </x:row>
    <x:row r="2435" ht="23" customHeight="1">
      <x:c r="A2435" s="2" t="str">
        <x:v>Q91YE7-2</x:v>
      </x:c>
      <x:c r="B2435" s="2" t="str">
        <x:v>UN</x:v>
      </x:c>
      <x:c r="C2435" s="2"/>
      <x:c r="D2435" s="2"/>
      <x:c r="E2435" s="10"/>
      <x:c r="F2435" s="11"/>
      <x:c r="G2435" s="11" t="n">
        <x:v>0</x:v>
      </x:c>
      <x:c r="H2435" s="11" t="n">
        <x:v>0</x:v>
      </x:c>
      <x:c r="I2435" s="11"/>
      <x:c r="J2435" s="11"/>
      <x:c r="K2435" s="11" t="n">
        <x:v>0</x:v>
      </x:c>
      <x:c r="L2435" s="11" t="n">
        <x:f>IF(B2435="NED",1,IF(OR(B2435="ED",B2435="UN"),0,""))</x:f>
        <x:v>0</x:v>
      </x:c>
      <x:c r="M2435" s="11" t="n">
        <x:f>IF(AND(K2435=1,OR(B2435="ED",B2435="NED")),1,0)</x:f>
        <x:v>0</x:v>
      </x:c>
      <x:c r="N2435" s="11" t="n">
        <x:f>IF(K2435=1,1,0)</x:f>
        <x:v>0</x:v>
      </x:c>
      <x:c r="O2435" s="12" t="str">
        <x:v>Require exact native accession match</x:v>
      </x:c>
      <x:c r="P2435" s="11" t="n">
        <x:v>0</x:v>
      </x:c>
      <x:c r="Q2435" s="12"/>
      <x:c r="R2435" s="12"/>
      <x:c r="S2435" s="11" t="n">
        <x:v>1930</x:v>
      </x:c>
      <x:c r="T2435" s="11"/>
    </x:row>
    <x:row r="2436" ht="23" customHeight="1">
      <x:c r="A2436" s="2" t="str">
        <x:v>Q91YH5</x:v>
      </x:c>
      <x:c r="B2436" s="2" t="str">
        <x:v>ED</x:v>
      </x:c>
      <x:c r="C2436" s="2" t="n">
        <x:v>1</x:v>
      </x:c>
      <x:c r="D2436" s="2" t="n">
        <x:v>1</x:v>
      </x:c>
      <x:c r="E2436" s="10"/>
      <x:c r="F2436" s="11" t="n">
        <x:v>541</x:v>
      </x:c>
      <x:c r="G2436" s="11" t="n">
        <x:v>0</x:v>
      </x:c>
      <x:c r="H2436" s="11" t="n">
        <x:v>0</x:v>
      </x:c>
      <x:c r="I2436" s="11" t="n">
        <x:v>1</x:v>
      </x:c>
      <x:c r="J2436" s="11" t="n">
        <x:v>0</x:v>
      </x:c>
      <x:c r="K2436" s="11" t="n">
        <x:v>0</x:v>
      </x:c>
      <x:c r="L2436" s="11" t="n">
        <x:f>IF(B2436="NED",1,IF(OR(B2436="ED",B2436="UN"),0,""))</x:f>
        <x:v>0</x:v>
      </x:c>
      <x:c r="M2436" s="11" t="n">
        <x:f>IF(AND(K2436=1,OR(B2436="ED",B2436="NED")),1,0)</x:f>
        <x:v>0</x:v>
      </x:c>
      <x:c r="N2436" s="11" t="n">
        <x:f>IF(K2436=1,1,0)</x:f>
        <x:v>0</x:v>
      </x:c>
      <x:c r="O2436" s="12" t="str">
        <x:v>Exclude UniProt Membrane keyword</x:v>
      </x:c>
      <x:c r="P2436" s="11" t="n">
        <x:v>0</x:v>
      </x:c>
      <x:c r="Q2436" s="12" t="str">
        <x:v>AF-Q91YH5-F1-model_v6</x:v>
      </x:c>
      <x:c r="R2436" s="12" t="str">
        <x:v>ok</x:v>
      </x:c>
      <x:c r="S2436" s="11" t="n">
        <x:v>1931</x:v>
      </x:c>
      <x:c r="T2436" s="11" t="n">
        <x:v>541</x:v>
      </x:c>
    </x:row>
    <x:row r="2437" ht="23" customHeight="1">
      <x:c r="A2437" s="2" t="str">
        <x:v>Q91YI0</x:v>
      </x:c>
      <x:c r="B2437" s="2" t="str">
        <x:v>UN</x:v>
      </x:c>
      <x:c r="C2437" s="2" t="n">
        <x:v>1</x:v>
      </x:c>
      <x:c r="D2437" s="2" t="n">
        <x:v>1</x:v>
      </x:c>
      <x:c r="E2437" s="10" t="n">
        <x:v>96.21618534482758</x:v>
      </x:c>
      <x:c r="F2437" s="11" t="n">
        <x:v>464</x:v>
      </x:c>
      <x:c r="G2437" s="11" t="n">
        <x:v>0</x:v>
      </x:c>
      <x:c r="H2437" s="11" t="n">
        <x:v>0</x:v>
      </x:c>
      <x:c r="I2437" s="11" t="n">
        <x:v>0</x:v>
      </x:c>
      <x:c r="J2437" s="11" t="n">
        <x:v>0</x:v>
      </x:c>
      <x:c r="K2437" s="11" t="n">
        <x:v>1</x:v>
      </x:c>
      <x:c r="L2437" s="11" t="n">
        <x:f>IF(B2437="NED",1,IF(OR(B2437="ED",B2437="UN"),0,""))</x:f>
        <x:v>0</x:v>
      </x:c>
      <x:c r="M2437" s="11" t="n">
        <x:f>IF(AND(K2437=1,OR(B2437="ED",B2437="NED")),1,0)</x:f>
        <x:v>0</x:v>
      </x:c>
      <x:c r="N2437" s="11" t="n">
        <x:f>IF(K2437=1,1,0)</x:f>
        <x:v>1</x:v>
      </x:c>
      <x:c r="O2437" s="12"/>
      <x:c r="P2437" s="11" t="n">
        <x:v>0</x:v>
      </x:c>
      <x:c r="Q2437" s="12" t="str">
        <x:v>AF-Q91YI0-F1-model_v6</x:v>
      </x:c>
      <x:c r="R2437" s="12" t="str">
        <x:v>ok</x:v>
      </x:c>
      <x:c r="S2437" s="11" t="n">
        <x:v>1932</x:v>
      </x:c>
      <x:c r="T2437" s="11" t="n">
        <x:v>464</x:v>
      </x:c>
    </x:row>
    <x:row r="2438" ht="23" customHeight="1">
      <x:c r="A2438" s="2" t="str">
        <x:v>Q91YI4</x:v>
      </x:c>
      <x:c r="B2438" s="2" t="str">
        <x:v>UN</x:v>
      </x:c>
      <x:c r="C2438" s="2" t="n">
        <x:v>1</x:v>
      </x:c>
      <x:c r="D2438" s="2" t="n">
        <x:v>1</x:v>
      </x:c>
      <x:c r="E2438" s="10"/>
      <x:c r="F2438" s="11" t="n">
        <x:v>410</x:v>
      </x:c>
      <x:c r="G2438" s="11" t="n">
        <x:v>0</x:v>
      </x:c>
      <x:c r="H2438" s="11" t="n">
        <x:v>0</x:v>
      </x:c>
      <x:c r="I2438" s="11" t="n">
        <x:v>1</x:v>
      </x:c>
      <x:c r="J2438" s="11" t="n">
        <x:v>0</x:v>
      </x:c>
      <x:c r="K2438" s="11" t="n">
        <x:v>0</x:v>
      </x:c>
      <x:c r="L2438" s="11" t="n">
        <x:f>IF(B2438="NED",1,IF(OR(B2438="ED",B2438="UN"),0,""))</x:f>
        <x:v>0</x:v>
      </x:c>
      <x:c r="M2438" s="11" t="n">
        <x:f>IF(AND(K2438=1,OR(B2438="ED",B2438="NED")),1,0)</x:f>
        <x:v>0</x:v>
      </x:c>
      <x:c r="N2438" s="11" t="n">
        <x:f>IF(K2438=1,1,0)</x:f>
        <x:v>0</x:v>
      </x:c>
      <x:c r="O2438" s="12" t="str">
        <x:v>Exclude UniProt Membrane keyword</x:v>
      </x:c>
      <x:c r="P2438" s="11" t="n">
        <x:v>0</x:v>
      </x:c>
      <x:c r="Q2438" s="12" t="str">
        <x:v>AF-Q91YI4-F1-model_v6</x:v>
      </x:c>
      <x:c r="R2438" s="12" t="str">
        <x:v>ok</x:v>
      </x:c>
      <x:c r="S2438" s="11" t="n">
        <x:v>1933</x:v>
      </x:c>
      <x:c r="T2438" s="11" t="n">
        <x:v>410</x:v>
      </x:c>
    </x:row>
    <x:row r="2439" ht="23" customHeight="1">
      <x:c r="A2439" s="2" t="str">
        <x:v>Q91YJ2</x:v>
      </x:c>
      <x:c r="B2439" s="2" t="str">
        <x:v>UN</x:v>
      </x:c>
      <x:c r="C2439" s="2" t="n">
        <x:v>1</x:v>
      </x:c>
      <x:c r="D2439" s="2" t="n">
        <x:v>1</x:v>
      </x:c>
      <x:c r="E2439" s="10"/>
      <x:c r="F2439" s="11" t="n">
        <x:v>450</x:v>
      </x:c>
      <x:c r="G2439" s="11" t="n">
        <x:v>0</x:v>
      </x:c>
      <x:c r="H2439" s="11" t="n">
        <x:v>0</x:v>
      </x:c>
      <x:c r="I2439" s="11" t="n">
        <x:v>1</x:v>
      </x:c>
      <x:c r="J2439" s="11" t="n">
        <x:v>0</x:v>
      </x:c>
      <x:c r="K2439" s="11" t="n">
        <x:v>0</x:v>
      </x:c>
      <x:c r="L2439" s="11" t="n">
        <x:f>IF(B2439="NED",1,IF(OR(B2439="ED",B2439="UN"),0,""))</x:f>
        <x:v>0</x:v>
      </x:c>
      <x:c r="M2439" s="11" t="n">
        <x:f>IF(AND(K2439=1,OR(B2439="ED",B2439="NED")),1,0)</x:f>
        <x:v>0</x:v>
      </x:c>
      <x:c r="N2439" s="11" t="n">
        <x:f>IF(K2439=1,1,0)</x:f>
        <x:v>0</x:v>
      </x:c>
      <x:c r="O2439" s="12" t="str">
        <x:v>Exclude UniProt Membrane keyword</x:v>
      </x:c>
      <x:c r="P2439" s="11" t="n">
        <x:v>0</x:v>
      </x:c>
      <x:c r="Q2439" s="12" t="str">
        <x:v>AF-Q91YJ2-F1-model_v6</x:v>
      </x:c>
      <x:c r="R2439" s="12" t="str">
        <x:v>ok</x:v>
      </x:c>
      <x:c r="S2439" s="11" t="n">
        <x:v>1934</x:v>
      </x:c>
      <x:c r="T2439" s="11" t="n">
        <x:v>450</x:v>
      </x:c>
    </x:row>
    <x:row r="2440" ht="23" customHeight="1">
      <x:c r="A2440" s="2" t="str">
        <x:v>Q91YM2</x:v>
      </x:c>
      <x:c r="B2440" s="2" t="str">
        <x:v>UN</x:v>
      </x:c>
      <x:c r="C2440" s="2" t="n">
        <x:v>1</x:v>
      </x:c>
      <x:c r="D2440" s="2" t="n">
        <x:v>1</x:v>
      </x:c>
      <x:c r="E2440" s="10"/>
      <x:c r="F2440" s="11" t="n">
        <x:v>1499</x:v>
      </x:c>
      <x:c r="G2440" s="11" t="n">
        <x:v>0</x:v>
      </x:c>
      <x:c r="H2440" s="11" t="n">
        <x:v>0</x:v>
      </x:c>
      <x:c r="I2440" s="11" t="n">
        <x:v>1</x:v>
      </x:c>
      <x:c r="J2440" s="11" t="n">
        <x:v>0</x:v>
      </x:c>
      <x:c r="K2440" s="11" t="n">
        <x:v>0</x:v>
      </x:c>
      <x:c r="L2440" s="11" t="n">
        <x:f>IF(B2440="NED",1,IF(OR(B2440="ED",B2440="UN"),0,""))</x:f>
        <x:v>0</x:v>
      </x:c>
      <x:c r="M2440" s="11" t="n">
        <x:f>IF(AND(K2440=1,OR(B2440="ED",B2440="NED")),1,0)</x:f>
        <x:v>0</x:v>
      </x:c>
      <x:c r="N2440" s="11" t="n">
        <x:f>IF(K2440=1,1,0)</x:f>
        <x:v>0</x:v>
      </x:c>
      <x:c r="O2440" s="12" t="str">
        <x:v>Exclude UniProt Membrane keyword</x:v>
      </x:c>
      <x:c r="P2440" s="11" t="n">
        <x:v>0</x:v>
      </x:c>
      <x:c r="Q2440" s="12" t="str">
        <x:v>AF-Q91YM2-F1-model_v6</x:v>
      </x:c>
      <x:c r="R2440" s="12" t="str">
        <x:v>ok</x:v>
      </x:c>
      <x:c r="S2440" s="11" t="n">
        <x:v>1935</x:v>
      </x:c>
      <x:c r="T2440" s="11" t="n">
        <x:v>1499</x:v>
      </x:c>
    </x:row>
    <x:row r="2441" ht="23" customHeight="1">
      <x:c r="A2441" s="2" t="str">
        <x:v>Q91YM4</x:v>
      </x:c>
      <x:c r="B2441" s="2" t="str">
        <x:v>UN</x:v>
      </x:c>
      <x:c r="C2441" s="2" t="n">
        <x:v>1</x:v>
      </x:c>
      <x:c r="D2441" s="2" t="n">
        <x:v>1</x:v>
      </x:c>
      <x:c r="E2441" s="10" t="n">
        <x:v>81.698</x:v>
      </x:c>
      <x:c r="F2441" s="11" t="n">
        <x:v>630</x:v>
      </x:c>
      <x:c r="G2441" s="11" t="n">
        <x:v>0</x:v>
      </x:c>
      <x:c r="H2441" s="11" t="n">
        <x:v>0</x:v>
      </x:c>
      <x:c r="I2441" s="11" t="n">
        <x:v>0</x:v>
      </x:c>
      <x:c r="J2441" s="11" t="n">
        <x:v>0</x:v>
      </x:c>
      <x:c r="K2441" s="11" t="n">
        <x:v>1</x:v>
      </x:c>
      <x:c r="L2441" s="11" t="n">
        <x:f>IF(B2441="NED",1,IF(OR(B2441="ED",B2441="UN"),0,""))</x:f>
        <x:v>0</x:v>
      </x:c>
      <x:c r="M2441" s="11" t="n">
        <x:f>IF(AND(K2441=1,OR(B2441="ED",B2441="NED")),1,0)</x:f>
        <x:v>0</x:v>
      </x:c>
      <x:c r="N2441" s="11" t="n">
        <x:f>IF(K2441=1,1,0)</x:f>
        <x:v>1</x:v>
      </x:c>
      <x:c r="O2441" s="12"/>
      <x:c r="P2441" s="11" t="n">
        <x:v>0</x:v>
      </x:c>
      <x:c r="Q2441" s="12" t="str">
        <x:v>AF-Q91YM4-F1-model_v6</x:v>
      </x:c>
      <x:c r="R2441" s="12" t="str">
        <x:v>ok</x:v>
      </x:c>
      <x:c r="S2441" s="11" t="n">
        <x:v>1936</x:v>
      </x:c>
      <x:c r="T2441" s="11" t="n">
        <x:v>630</x:v>
      </x:c>
    </x:row>
    <x:row r="2442" ht="23" customHeight="1">
      <x:c r="A2442" s="2" t="str">
        <x:v>Q91YN5-3</x:v>
      </x:c>
      <x:c r="B2442" s="2" t="str">
        <x:v>ED</x:v>
      </x:c>
      <x:c r="C2442" s="2"/>
      <x:c r="D2442" s="2"/>
      <x:c r="E2442" s="10"/>
      <x:c r="F2442" s="11"/>
      <x:c r="G2442" s="11" t="n">
        <x:v>0</x:v>
      </x:c>
      <x:c r="H2442" s="11" t="n">
        <x:v>0</x:v>
      </x:c>
      <x:c r="I2442" s="11"/>
      <x:c r="J2442" s="11"/>
      <x:c r="K2442" s="11" t="n">
        <x:v>0</x:v>
      </x:c>
      <x:c r="L2442" s="11" t="n">
        <x:f>IF(B2442="NED",1,IF(OR(B2442="ED",B2442="UN"),0,""))</x:f>
        <x:v>0</x:v>
      </x:c>
      <x:c r="M2442" s="11" t="n">
        <x:f>IF(AND(K2442=1,OR(B2442="ED",B2442="NED")),1,0)</x:f>
        <x:v>0</x:v>
      </x:c>
      <x:c r="N2442" s="11" t="n">
        <x:f>IF(K2442=1,1,0)</x:f>
        <x:v>0</x:v>
      </x:c>
      <x:c r="O2442" s="12" t="str">
        <x:v>Require exact native accession match</x:v>
      </x:c>
      <x:c r="P2442" s="11" t="n">
        <x:v>0</x:v>
      </x:c>
      <x:c r="Q2442" s="12"/>
      <x:c r="R2442" s="12"/>
      <x:c r="S2442" s="11" t="n">
        <x:v>1937</x:v>
      </x:c>
      <x:c r="T2442" s="11"/>
    </x:row>
    <x:row r="2443" ht="23" customHeight="1">
      <x:c r="A2443" s="2" t="str">
        <x:v>Q91YN9</x:v>
      </x:c>
      <x:c r="B2443" s="2" t="str">
        <x:v>ED</x:v>
      </x:c>
      <x:c r="C2443" s="2" t="n">
        <x:v>0</x:v>
      </x:c>
      <x:c r="D2443" s="2" t="n">
        <x:v>0</x:v>
      </x:c>
      <x:c r="E2443" s="10" t="n">
        <x:v>85.64909523809524</x:v>
      </x:c>
      <x:c r="F2443" s="11" t="n">
        <x:v>210</x:v>
      </x:c>
      <x:c r="G2443" s="11" t="n">
        <x:v>0</x:v>
      </x:c>
      <x:c r="H2443" s="11" t="n">
        <x:v>0</x:v>
      </x:c>
      <x:c r="I2443" s="11" t="n">
        <x:v>0</x:v>
      </x:c>
      <x:c r="J2443" s="11" t="n">
        <x:v>0</x:v>
      </x:c>
      <x:c r="K2443" s="11" t="n">
        <x:v>1</x:v>
      </x:c>
      <x:c r="L2443" s="11" t="n">
        <x:f>IF(B2443="NED",1,IF(OR(B2443="ED",B2443="UN"),0,""))</x:f>
        <x:v>0</x:v>
      </x:c>
      <x:c r="M2443" s="11" t="n">
        <x:f>IF(AND(K2443=1,OR(B2443="ED",B2443="NED")),1,0)</x:f>
        <x:v>1</x:v>
      </x:c>
      <x:c r="N2443" s="11" t="n">
        <x:f>IF(K2443=1,1,0)</x:f>
        <x:v>1</x:v>
      </x:c>
      <x:c r="O2443" s="12"/>
      <x:c r="P2443" s="11" t="n">
        <x:v>0</x:v>
      </x:c>
      <x:c r="Q2443" s="12" t="str">
        <x:v>AF-Q91YN9-F1-model_v6</x:v>
      </x:c>
      <x:c r="R2443" s="12" t="str">
        <x:v>ok</x:v>
      </x:c>
      <x:c r="S2443" s="11" t="n">
        <x:v>1938</x:v>
      </x:c>
      <x:c r="T2443" s="11" t="n">
        <x:v>210</x:v>
      </x:c>
    </x:row>
    <x:row r="2444" ht="23" customHeight="1">
      <x:c r="A2444" s="2" t="str">
        <x:v>Q91YP2</x:v>
      </x:c>
      <x:c r="B2444" s="2" t="str">
        <x:v>UN</x:v>
      </x:c>
      <x:c r="C2444" s="2" t="n">
        <x:v>1</x:v>
      </x:c>
      <x:c r="D2444" s="2" t="n">
        <x:v>1</x:v>
      </x:c>
      <x:c r="E2444" s="10" t="n">
        <x:v>92.67366477272728</x:v>
      </x:c>
      <x:c r="F2444" s="11" t="n">
        <x:v>704</x:v>
      </x:c>
      <x:c r="G2444" s="11" t="n">
        <x:v>0</x:v>
      </x:c>
      <x:c r="H2444" s="11" t="n">
        <x:v>0</x:v>
      </x:c>
      <x:c r="I2444" s="11" t="n">
        <x:v>0</x:v>
      </x:c>
      <x:c r="J2444" s="11" t="n">
        <x:v>0</x:v>
      </x:c>
      <x:c r="K2444" s="11" t="n">
        <x:v>1</x:v>
      </x:c>
      <x:c r="L2444" s="11" t="n">
        <x:f>IF(B2444="NED",1,IF(OR(B2444="ED",B2444="UN"),0,""))</x:f>
        <x:v>0</x:v>
      </x:c>
      <x:c r="M2444" s="11" t="n">
        <x:f>IF(AND(K2444=1,OR(B2444="ED",B2444="NED")),1,0)</x:f>
        <x:v>0</x:v>
      </x:c>
      <x:c r="N2444" s="11" t="n">
        <x:f>IF(K2444=1,1,0)</x:f>
        <x:v>1</x:v>
      </x:c>
      <x:c r="O2444" s="12"/>
      <x:c r="P2444" s="11" t="n">
        <x:v>0</x:v>
      </x:c>
      <x:c r="Q2444" s="12" t="str">
        <x:v>AF-Q91YP2-F1-model_v6</x:v>
      </x:c>
      <x:c r="R2444" s="12" t="str">
        <x:v>ok</x:v>
      </x:c>
      <x:c r="S2444" s="11" t="n">
        <x:v>1939</x:v>
      </x:c>
      <x:c r="T2444" s="11" t="n">
        <x:v>704</x:v>
      </x:c>
    </x:row>
    <x:row r="2445" ht="23" customHeight="1">
      <x:c r="A2445" s="2" t="str">
        <x:v>Q91YQ5</x:v>
      </x:c>
      <x:c r="B2445" s="2" t="str">
        <x:v>NED</x:v>
      </x:c>
      <x:c r="C2445" s="2" t="n">
        <x:v>1</x:v>
      </x:c>
      <x:c r="D2445" s="2" t="n">
        <x:v>1</x:v>
      </x:c>
      <x:c r="E2445" s="10"/>
      <x:c r="F2445" s="11" t="n">
        <x:v>608</x:v>
      </x:c>
      <x:c r="G2445" s="11" t="n">
        <x:v>0</x:v>
      </x:c>
      <x:c r="H2445" s="11" t="n">
        <x:v>0</x:v>
      </x:c>
      <x:c r="I2445" s="11" t="n">
        <x:v>1</x:v>
      </x:c>
      <x:c r="J2445" s="11" t="n">
        <x:v>0</x:v>
      </x:c>
      <x:c r="K2445" s="11" t="n">
        <x:v>0</x:v>
      </x:c>
      <x:c r="L2445" s="11" t="n">
        <x:f>IF(B2445="NED",1,IF(OR(B2445="ED",B2445="UN"),0,""))</x:f>
        <x:v>1</x:v>
      </x:c>
      <x:c r="M2445" s="11" t="n">
        <x:f>IF(AND(K2445=1,OR(B2445="ED",B2445="NED")),1,0)</x:f>
        <x:v>0</x:v>
      </x:c>
      <x:c r="N2445" s="11" t="n">
        <x:f>IF(K2445=1,1,0)</x:f>
        <x:v>0</x:v>
      </x:c>
      <x:c r="O2445" s="12" t="str">
        <x:v>Exclude UniProt Membrane keyword</x:v>
      </x:c>
      <x:c r="P2445" s="11" t="n">
        <x:v>0</x:v>
      </x:c>
      <x:c r="Q2445" s="12" t="str">
        <x:v>AF-Q91YQ5-F1-model_v6</x:v>
      </x:c>
      <x:c r="R2445" s="12" t="str">
        <x:v>ok</x:v>
      </x:c>
      <x:c r="S2445" s="11" t="n">
        <x:v>1940</x:v>
      </x:c>
      <x:c r="T2445" s="11" t="n">
        <x:v>608</x:v>
      </x:c>
    </x:row>
    <x:row r="2446" ht="23" customHeight="1">
      <x:c r="A2446" s="2" t="str">
        <x:v>Q91YR1</x:v>
      </x:c>
      <x:c r="B2446" s="2" t="str">
        <x:v>ED</x:v>
      </x:c>
      <x:c r="C2446" s="2" t="n">
        <x:v>0</x:v>
      </x:c>
      <x:c r="D2446" s="2" t="n">
        <x:v>0</x:v>
      </x:c>
      <x:c r="E2446" s="10" t="n">
        <x:v>91.41942857142855</x:v>
      </x:c>
      <x:c r="F2446" s="11" t="n">
        <x:v>350</x:v>
      </x:c>
      <x:c r="G2446" s="11" t="n">
        <x:v>0</x:v>
      </x:c>
      <x:c r="H2446" s="11" t="n">
        <x:v>0</x:v>
      </x:c>
      <x:c r="I2446" s="11" t="n">
        <x:v>0</x:v>
      </x:c>
      <x:c r="J2446" s="11" t="n">
        <x:v>0</x:v>
      </x:c>
      <x:c r="K2446" s="11" t="n">
        <x:v>1</x:v>
      </x:c>
      <x:c r="L2446" s="11" t="n">
        <x:f>IF(B2446="NED",1,IF(OR(B2446="ED",B2446="UN"),0,""))</x:f>
        <x:v>0</x:v>
      </x:c>
      <x:c r="M2446" s="11" t="n">
        <x:f>IF(AND(K2446=1,OR(B2446="ED",B2446="NED")),1,0)</x:f>
        <x:v>1</x:v>
      </x:c>
      <x:c r="N2446" s="11" t="n">
        <x:f>IF(K2446=1,1,0)</x:f>
        <x:v>1</x:v>
      </x:c>
      <x:c r="O2446" s="12"/>
      <x:c r="P2446" s="11" t="n">
        <x:v>0</x:v>
      </x:c>
      <x:c r="Q2446" s="12" t="str">
        <x:v>AF-Q91YR1-F1-model_v6</x:v>
      </x:c>
      <x:c r="R2446" s="12" t="str">
        <x:v>ok</x:v>
      </x:c>
      <x:c r="S2446" s="11" t="n">
        <x:v>1941</x:v>
      </x:c>
      <x:c r="T2446" s="11" t="n">
        <x:v>350</x:v>
      </x:c>
    </x:row>
    <x:row r="2447" ht="23" customHeight="1">
      <x:c r="A2447" s="2" t="str">
        <x:v>Q91YR5</x:v>
      </x:c>
      <x:c r="B2447" s="2" t="str">
        <x:v>ED</x:v>
      </x:c>
      <x:c r="C2447" s="2" t="n">
        <x:v>1</x:v>
      </x:c>
      <x:c r="D2447" s="2" t="n">
        <x:v>1</x:v>
      </x:c>
      <x:c r="E2447" s="10" t="n">
        <x:v>87.89795128939828</x:v>
      </x:c>
      <x:c r="F2447" s="11" t="n">
        <x:v>698</x:v>
      </x:c>
      <x:c r="G2447" s="11" t="n">
        <x:v>0</x:v>
      </x:c>
      <x:c r="H2447" s="11" t="n">
        <x:v>0</x:v>
      </x:c>
      <x:c r="I2447" s="11" t="n">
        <x:v>0</x:v>
      </x:c>
      <x:c r="J2447" s="11" t="n">
        <x:v>0</x:v>
      </x:c>
      <x:c r="K2447" s="11" t="n">
        <x:v>1</x:v>
      </x:c>
      <x:c r="L2447" s="11" t="n">
        <x:f>IF(B2447="NED",1,IF(OR(B2447="ED",B2447="UN"),0,""))</x:f>
        <x:v>0</x:v>
      </x:c>
      <x:c r="M2447" s="11" t="n">
        <x:f>IF(AND(K2447=1,OR(B2447="ED",B2447="NED")),1,0)</x:f>
        <x:v>1</x:v>
      </x:c>
      <x:c r="N2447" s="11" t="n">
        <x:f>IF(K2447=1,1,0)</x:f>
        <x:v>1</x:v>
      </x:c>
      <x:c r="O2447" s="12"/>
      <x:c r="P2447" s="11" t="n">
        <x:v>0</x:v>
      </x:c>
      <x:c r="Q2447" s="12" t="str">
        <x:v>AF-Q91YR5-F1-model_v6</x:v>
      </x:c>
      <x:c r="R2447" s="12" t="str">
        <x:v>ok</x:v>
      </x:c>
      <x:c r="S2447" s="11" t="n">
        <x:v>1942</x:v>
      </x:c>
      <x:c r="T2447" s="11" t="n">
        <x:v>698</x:v>
      </x:c>
    </x:row>
    <x:row r="2448" ht="23" customHeight="1">
      <x:c r="A2448" s="2" t="str">
        <x:v>Q91YR7</x:v>
      </x:c>
      <x:c r="B2448" s="2" t="str">
        <x:v>UN</x:v>
      </x:c>
      <x:c r="C2448" s="2" t="n">
        <x:v>0</x:v>
      </x:c>
      <x:c r="D2448" s="2" t="n">
        <x:v>0</x:v>
      </x:c>
      <x:c r="E2448" s="10" t="n">
        <x:v>80.23588735387885</x:v>
      </x:c>
      <x:c r="F2448" s="11" t="n">
        <x:v>941</x:v>
      </x:c>
      <x:c r="G2448" s="11" t="n">
        <x:v>0</x:v>
      </x:c>
      <x:c r="H2448" s="11" t="n">
        <x:v>0</x:v>
      </x:c>
      <x:c r="I2448" s="11" t="n">
        <x:v>0</x:v>
      </x:c>
      <x:c r="J2448" s="11" t="n">
        <x:v>0</x:v>
      </x:c>
      <x:c r="K2448" s="11" t="n">
        <x:v>1</x:v>
      </x:c>
      <x:c r="L2448" s="11" t="n">
        <x:f>IF(B2448="NED",1,IF(OR(B2448="ED",B2448="UN"),0,""))</x:f>
        <x:v>0</x:v>
      </x:c>
      <x:c r="M2448" s="11" t="n">
        <x:f>IF(AND(K2448=1,OR(B2448="ED",B2448="NED")),1,0)</x:f>
        <x:v>0</x:v>
      </x:c>
      <x:c r="N2448" s="11" t="n">
        <x:f>IF(K2448=1,1,0)</x:f>
        <x:v>1</x:v>
      </x:c>
      <x:c r="O2448" s="12"/>
      <x:c r="P2448" s="11" t="n">
        <x:v>0</x:v>
      </x:c>
      <x:c r="Q2448" s="12" t="str">
        <x:v>AF-Q91YR7-F1-model_v6</x:v>
      </x:c>
      <x:c r="R2448" s="12" t="str">
        <x:v>ok</x:v>
      </x:c>
      <x:c r="S2448" s="11" t="n">
        <x:v>1943</x:v>
      </x:c>
      <x:c r="T2448" s="11" t="n">
        <x:v>941</x:v>
      </x:c>
    </x:row>
    <x:row r="2449" ht="23" customHeight="1">
      <x:c r="A2449" s="2" t="str">
        <x:v>Q91YS7</x:v>
      </x:c>
      <x:c r="B2449" s="2" t="str">
        <x:v>ED</x:v>
      </x:c>
      <x:c r="C2449" s="2"/>
      <x:c r="D2449" s="2"/>
      <x:c r="E2449" s="10"/>
      <x:c r="F2449" s="11"/>
      <x:c r="G2449" s="11" t="n">
        <x:v>0</x:v>
      </x:c>
      <x:c r="H2449" s="11" t="n">
        <x:v>0</x:v>
      </x:c>
      <x:c r="I2449" s="11" t="n">
        <x:v>0</x:v>
      </x:c>
      <x:c r="J2449" s="11" t="n">
        <x:v>0</x:v>
      </x:c>
      <x:c r="K2449" s="11" t="n">
        <x:v>0</x:v>
      </x:c>
      <x:c r="L2449" s="11" t="n">
        <x:f>IF(B2449="NED",1,IF(OR(B2449="ED",B2449="UN"),0,""))</x:f>
        <x:v>0</x:v>
      </x:c>
      <x:c r="M2449" s="11" t="n">
        <x:f>IF(AND(K2449=1,OR(B2449="ED",B2449="NED")),1,0)</x:f>
        <x:v>0</x:v>
      </x:c>
      <x:c r="N2449" s="11" t="n">
        <x:f>IF(K2449=1,1,0)</x:f>
        <x:v>0</x:v>
      </x:c>
      <x:c r="O2449" s="12" t="str">
        <x:v>Require exact native accession match</x:v>
      </x:c>
      <x:c r="P2449" s="11" t="n">
        <x:v>0</x:v>
      </x:c>
      <x:c r="Q2449" s="12"/>
      <x:c r="R2449" s="12"/>
      <x:c r="S2449" s="11" t="n">
        <x:v>3248</x:v>
      </x:c>
      <x:c r="T2449" s="11" t="n">
        <x:v>400</x:v>
      </x:c>
    </x:row>
    <x:row r="2450" ht="23" customHeight="1">
      <x:c r="A2450" s="2" t="str">
        <x:v>Q91YT7</x:v>
      </x:c>
      <x:c r="B2450" s="2" t="str">
        <x:v>ED</x:v>
      </x:c>
      <x:c r="C2450" s="2" t="n">
        <x:v>1</x:v>
      </x:c>
      <x:c r="D2450" s="2" t="n">
        <x:v>1</x:v>
      </x:c>
      <x:c r="E2450" s="10" t="n">
        <x:v>59.52136442141624</x:v>
      </x:c>
      <x:c r="F2450" s="11" t="n">
        <x:v>579</x:v>
      </x:c>
      <x:c r="G2450" s="11" t="n">
        <x:v>0</x:v>
      </x:c>
      <x:c r="H2450" s="11" t="n">
        <x:v>0</x:v>
      </x:c>
      <x:c r="I2450" s="11" t="n">
        <x:v>0</x:v>
      </x:c>
      <x:c r="J2450" s="11" t="n">
        <x:v>0</x:v>
      </x:c>
      <x:c r="K2450" s="11" t="n">
        <x:v>0</x:v>
      </x:c>
      <x:c r="L2450" s="11" t="n">
        <x:f>IF(B2450="NED",1,IF(OR(B2450="ED",B2450="UN"),0,""))</x:f>
        <x:v>0</x:v>
      </x:c>
      <x:c r="M2450" s="11" t="n">
        <x:f>IF(AND(K2450=1,OR(B2450="ED",B2450="NED")),1,0)</x:f>
        <x:v>0</x:v>
      </x:c>
      <x:c r="N2450" s="11" t="n">
        <x:f>IF(K2450=1,1,0)</x:f>
        <x:v>0</x:v>
      </x:c>
      <x:c r="O2450" s="12" t="str">
        <x:v>Retain protein mean pLDDT &gt;=70</x:v>
      </x:c>
      <x:c r="P2450" s="11" t="n">
        <x:v>0</x:v>
      </x:c>
      <x:c r="Q2450" s="12" t="str">
        <x:v>AF-Q91YT7-F1-model_v6</x:v>
      </x:c>
      <x:c r="R2450" s="12" t="str">
        <x:v>ok</x:v>
      </x:c>
      <x:c r="S2450" s="11" t="n">
        <x:v>1944</x:v>
      </x:c>
      <x:c r="T2450" s="11" t="n">
        <x:v>579</x:v>
      </x:c>
    </x:row>
    <x:row r="2451" ht="23" customHeight="1">
      <x:c r="A2451" s="2" t="str">
        <x:v>Q91YU8</x:v>
      </x:c>
      <x:c r="B2451" s="2" t="str">
        <x:v>UN</x:v>
      </x:c>
      <x:c r="C2451" s="2" t="n">
        <x:v>1</x:v>
      </x:c>
      <x:c r="D2451" s="2" t="n">
        <x:v>1</x:v>
      </x:c>
      <x:c r="E2451" s="10" t="n">
        <x:v>71.94972340425532</x:v>
      </x:c>
      <x:c r="F2451" s="11" t="n">
        <x:v>470</x:v>
      </x:c>
      <x:c r="G2451" s="11" t="n">
        <x:v>0</x:v>
      </x:c>
      <x:c r="H2451" s="11" t="n">
        <x:v>0</x:v>
      </x:c>
      <x:c r="I2451" s="11" t="n">
        <x:v>0</x:v>
      </x:c>
      <x:c r="J2451" s="11" t="n">
        <x:v>0</x:v>
      </x:c>
      <x:c r="K2451" s="11" t="n">
        <x:v>1</x:v>
      </x:c>
      <x:c r="L2451" s="11" t="n">
        <x:f>IF(B2451="NED",1,IF(OR(B2451="ED",B2451="UN"),0,""))</x:f>
        <x:v>0</x:v>
      </x:c>
      <x:c r="M2451" s="11" t="n">
        <x:f>IF(AND(K2451=1,OR(B2451="ED",B2451="NED")),1,0)</x:f>
        <x:v>0</x:v>
      </x:c>
      <x:c r="N2451" s="11" t="n">
        <x:f>IF(K2451=1,1,0)</x:f>
        <x:v>1</x:v>
      </x:c>
      <x:c r="O2451" s="12"/>
      <x:c r="P2451" s="11" t="n">
        <x:v>0</x:v>
      </x:c>
      <x:c r="Q2451" s="12" t="str">
        <x:v>AF-Q91YU8-F1-model_v6</x:v>
      </x:c>
      <x:c r="R2451" s="12" t="str">
        <x:v>ok</x:v>
      </x:c>
      <x:c r="S2451" s="11" t="n">
        <x:v>1945</x:v>
      </x:c>
      <x:c r="T2451" s="11" t="n">
        <x:v>470</x:v>
      </x:c>
    </x:row>
    <x:row r="2452" ht="23" customHeight="1">
      <x:c r="A2452" s="2" t="str">
        <x:v>Q91YW3</x:v>
      </x:c>
      <x:c r="B2452" s="2" t="str">
        <x:v>ED</x:v>
      </x:c>
      <x:c r="C2452" s="2" t="n">
        <x:v>0</x:v>
      </x:c>
      <x:c r="D2452" s="2" t="n">
        <x:v>0</x:v>
      </x:c>
      <x:c r="E2452" s="10" t="n">
        <x:v>86.3847619047619</x:v>
      </x:c>
      <x:c r="F2452" s="11" t="n">
        <x:v>504</x:v>
      </x:c>
      <x:c r="G2452" s="11" t="n">
        <x:v>0</x:v>
      </x:c>
      <x:c r="H2452" s="11" t="n">
        <x:v>0</x:v>
      </x:c>
      <x:c r="I2452" s="11" t="n">
        <x:v>0</x:v>
      </x:c>
      <x:c r="J2452" s="11" t="n">
        <x:v>0</x:v>
      </x:c>
      <x:c r="K2452" s="11" t="n">
        <x:v>1</x:v>
      </x:c>
      <x:c r="L2452" s="11" t="n">
        <x:f>IF(B2452="NED",1,IF(OR(B2452="ED",B2452="UN"),0,""))</x:f>
        <x:v>0</x:v>
      </x:c>
      <x:c r="M2452" s="11" t="n">
        <x:f>IF(AND(K2452=1,OR(B2452="ED",B2452="NED")),1,0)</x:f>
        <x:v>1</x:v>
      </x:c>
      <x:c r="N2452" s="11" t="n">
        <x:f>IF(K2452=1,1,0)</x:f>
        <x:v>1</x:v>
      </x:c>
      <x:c r="O2452" s="12"/>
      <x:c r="P2452" s="11" t="n">
        <x:v>0</x:v>
      </x:c>
      <x:c r="Q2452" s="12" t="str">
        <x:v>AF-Q91YW3-F1-model_v6</x:v>
      </x:c>
      <x:c r="R2452" s="12" t="str">
        <x:v>ok</x:v>
      </x:c>
      <x:c r="S2452" s="11" t="n">
        <x:v>1946</x:v>
      </x:c>
      <x:c r="T2452" s="11" t="n">
        <x:v>504</x:v>
      </x:c>
    </x:row>
    <x:row r="2453" ht="23" customHeight="1">
      <x:c r="A2453" s="2" t="str">
        <x:v>Q91YX5</x:v>
      </x:c>
      <x:c r="B2453" s="2" t="str">
        <x:v>UN</x:v>
      </x:c>
      <x:c r="C2453" s="2" t="n">
        <x:v>1</x:v>
      </x:c>
      <x:c r="D2453" s="2" t="n">
        <x:v>1</x:v>
      </x:c>
      <x:c r="E2453" s="10"/>
      <x:c r="F2453" s="11" t="n">
        <x:v>370</x:v>
      </x:c>
      <x:c r="G2453" s="11" t="n">
        <x:v>0</x:v>
      </x:c>
      <x:c r="H2453" s="11" t="n">
        <x:v>0</x:v>
      </x:c>
      <x:c r="I2453" s="11" t="n">
        <x:v>1</x:v>
      </x:c>
      <x:c r="J2453" s="11" t="n">
        <x:v>0</x:v>
      </x:c>
      <x:c r="K2453" s="11" t="n">
        <x:v>0</x:v>
      </x:c>
      <x:c r="L2453" s="11" t="n">
        <x:f>IF(B2453="NED",1,IF(OR(B2453="ED",B2453="UN"),0,""))</x:f>
        <x:v>0</x:v>
      </x:c>
      <x:c r="M2453" s="11" t="n">
        <x:f>IF(AND(K2453=1,OR(B2453="ED",B2453="NED")),1,0)</x:f>
        <x:v>0</x:v>
      </x:c>
      <x:c r="N2453" s="11" t="n">
        <x:f>IF(K2453=1,1,0)</x:f>
        <x:v>0</x:v>
      </x:c>
      <x:c r="O2453" s="12" t="str">
        <x:v>Exclude UniProt Membrane keyword</x:v>
      </x:c>
      <x:c r="P2453" s="11" t="n">
        <x:v>0</x:v>
      </x:c>
      <x:c r="Q2453" s="12" t="str">
        <x:v>AF-Q91YX5-F1-model_v6</x:v>
      </x:c>
      <x:c r="R2453" s="12" t="str">
        <x:v>ok</x:v>
      </x:c>
      <x:c r="S2453" s="11" t="n">
        <x:v>1947</x:v>
      </x:c>
      <x:c r="T2453" s="11" t="n">
        <x:v>370</x:v>
      </x:c>
    </x:row>
    <x:row r="2454" ht="23" customHeight="1">
      <x:c r="A2454" s="2" t="str">
        <x:v>Q91YZ2</x:v>
      </x:c>
      <x:c r="B2454" s="2" t="str">
        <x:v>UN</x:v>
      </x:c>
      <x:c r="C2454" s="2"/>
      <x:c r="D2454" s="2"/>
      <x:c r="E2454" s="10"/>
      <x:c r="F2454" s="11"/>
      <x:c r="G2454" s="11" t="n">
        <x:v>0</x:v>
      </x:c>
      <x:c r="H2454" s="11" t="n">
        <x:v>0</x:v>
      </x:c>
      <x:c r="I2454" s="11" t="n">
        <x:v>0</x:v>
      </x:c>
      <x:c r="J2454" s="11" t="n">
        <x:v>0</x:v>
      </x:c>
      <x:c r="K2454" s="11" t="n">
        <x:v>0</x:v>
      </x:c>
      <x:c r="L2454" s="11" t="n">
        <x:f>IF(B2454="NED",1,IF(OR(B2454="ED",B2454="UN"),0,""))</x:f>
        <x:v>0</x:v>
      </x:c>
      <x:c r="M2454" s="11" t="n">
        <x:f>IF(AND(K2454=1,OR(B2454="ED",B2454="NED")),1,0)</x:f>
        <x:v>0</x:v>
      </x:c>
      <x:c r="N2454" s="11" t="n">
        <x:f>IF(K2454=1,1,0)</x:f>
        <x:v>0</x:v>
      </x:c>
      <x:c r="O2454" s="12" t="str">
        <x:v>Require exact native accession match</x:v>
      </x:c>
      <x:c r="P2454" s="11" t="n">
        <x:v>0</x:v>
      </x:c>
      <x:c r="Q2454" s="12"/>
      <x:c r="R2454" s="12"/>
      <x:c r="S2454" s="11" t="n">
        <x:v>3249</x:v>
      </x:c>
      <x:c r="T2454" s="11" t="n">
        <x:v>420</x:v>
      </x:c>
    </x:row>
    <x:row r="2455" ht="23" customHeight="1">
      <x:c r="A2455" s="2" t="str">
        <x:v>Q91Z31</x:v>
      </x:c>
      <x:c r="B2455" s="2" t="str">
        <x:v>UN</x:v>
      </x:c>
      <x:c r="C2455" s="2" t="n">
        <x:v>1</x:v>
      </x:c>
      <x:c r="D2455" s="2" t="n">
        <x:v>1</x:v>
      </x:c>
      <x:c r="E2455" s="10" t="n">
        <x:v>71.65764595103578</x:v>
      </x:c>
      <x:c r="F2455" s="11" t="n">
        <x:v>531</x:v>
      </x:c>
      <x:c r="G2455" s="11" t="n">
        <x:v>0</x:v>
      </x:c>
      <x:c r="H2455" s="11" t="n">
        <x:v>0</x:v>
      </x:c>
      <x:c r="I2455" s="11" t="n">
        <x:v>0</x:v>
      </x:c>
      <x:c r="J2455" s="11" t="n">
        <x:v>0</x:v>
      </x:c>
      <x:c r="K2455" s="11" t="n">
        <x:v>1</x:v>
      </x:c>
      <x:c r="L2455" s="11" t="n">
        <x:f>IF(B2455="NED",1,IF(OR(B2455="ED",B2455="UN"),0,""))</x:f>
        <x:v>0</x:v>
      </x:c>
      <x:c r="M2455" s="11" t="n">
        <x:f>IF(AND(K2455=1,OR(B2455="ED",B2455="NED")),1,0)</x:f>
        <x:v>0</x:v>
      </x:c>
      <x:c r="N2455" s="11" t="n">
        <x:f>IF(K2455=1,1,0)</x:f>
        <x:v>1</x:v>
      </x:c>
      <x:c r="O2455" s="12"/>
      <x:c r="P2455" s="11" t="n">
        <x:v>0</x:v>
      </x:c>
      <x:c r="Q2455" s="12" t="str">
        <x:v>AF-Q91Z31-F1-model_v6</x:v>
      </x:c>
      <x:c r="R2455" s="12" t="str">
        <x:v>ok</x:v>
      </x:c>
      <x:c r="S2455" s="11" t="n">
        <x:v>1948</x:v>
      </x:c>
      <x:c r="T2455" s="11" t="n">
        <x:v>531</x:v>
      </x:c>
    </x:row>
    <x:row r="2456" ht="23" customHeight="1">
      <x:c r="A2456" s="2" t="str">
        <x:v>Q91Z38</x:v>
      </x:c>
      <x:c r="B2456" s="2" t="str">
        <x:v>ED</x:v>
      </x:c>
      <x:c r="C2456" s="2" t="n">
        <x:v>1</x:v>
      </x:c>
      <x:c r="D2456" s="2"/>
      <x:c r="E2456" s="10" t="n">
        <x:v>77.62140410958904</x:v>
      </x:c>
      <x:c r="F2456" s="11" t="n">
        <x:v>292</x:v>
      </x:c>
      <x:c r="G2456" s="11" t="n">
        <x:v>0</x:v>
      </x:c>
      <x:c r="H2456" s="11" t="n">
        <x:v>0</x:v>
      </x:c>
      <x:c r="I2456" s="11" t="n">
        <x:v>0</x:v>
      </x:c>
      <x:c r="J2456" s="11" t="n">
        <x:v>0</x:v>
      </x:c>
      <x:c r="K2456" s="11" t="n">
        <x:v>1</x:v>
      </x:c>
      <x:c r="L2456" s="11" t="n">
        <x:f>IF(B2456="NED",1,IF(OR(B2456="ED",B2456="UN"),0,""))</x:f>
        <x:v>0</x:v>
      </x:c>
      <x:c r="M2456" s="11" t="n">
        <x:f>IF(AND(K2456=1,OR(B2456="ED",B2456="NED")),1,0)</x:f>
        <x:v>1</x:v>
      </x:c>
      <x:c r="N2456" s="11" t="n">
        <x:f>IF(K2456=1,1,0)</x:f>
        <x:v>1</x:v>
      </x:c>
      <x:c r="O2456" s="12"/>
      <x:c r="P2456" s="11" t="n">
        <x:v>0</x:v>
      </x:c>
      <x:c r="Q2456" s="12" t="str">
        <x:v>AF-Q91Z38-F1-model_v6</x:v>
      </x:c>
      <x:c r="R2456" s="12" t="str">
        <x:v>ok</x:v>
      </x:c>
      <x:c r="S2456" s="11" t="n">
        <x:v>1949</x:v>
      </x:c>
      <x:c r="T2456" s="11" t="n">
        <x:v>292</x:v>
      </x:c>
    </x:row>
    <x:row r="2457" ht="23" customHeight="1">
      <x:c r="A2457" s="2" t="str">
        <x:v>Q91Z50</x:v>
      </x:c>
      <x:c r="B2457" s="2" t="str">
        <x:v>NED</x:v>
      </x:c>
      <x:c r="C2457" s="2"/>
      <x:c r="D2457" s="2"/>
      <x:c r="E2457" s="10"/>
      <x:c r="F2457" s="11"/>
      <x:c r="G2457" s="11" t="n">
        <x:v>0</x:v>
      </x:c>
      <x:c r="H2457" s="11" t="n">
        <x:v>0</x:v>
      </x:c>
      <x:c r="I2457" s="11" t="n">
        <x:v>0</x:v>
      </x:c>
      <x:c r="J2457" s="11" t="n">
        <x:v>0</x:v>
      </x:c>
      <x:c r="K2457" s="11" t="n">
        <x:v>0</x:v>
      </x:c>
      <x:c r="L2457" s="11" t="n">
        <x:f>IF(B2457="NED",1,IF(OR(B2457="ED",B2457="UN"),0,""))</x:f>
        <x:v>1</x:v>
      </x:c>
      <x:c r="M2457" s="11" t="n">
        <x:f>IF(AND(K2457=1,OR(B2457="ED",B2457="NED")),1,0)</x:f>
        <x:v>0</x:v>
      </x:c>
      <x:c r="N2457" s="11" t="n">
        <x:f>IF(K2457=1,1,0)</x:f>
        <x:v>0</x:v>
      </x:c>
      <x:c r="O2457" s="12" t="str">
        <x:v>Require exact native accession match</x:v>
      </x:c>
      <x:c r="P2457" s="11" t="n">
        <x:v>0</x:v>
      </x:c>
      <x:c r="Q2457" s="12"/>
      <x:c r="R2457" s="12"/>
      <x:c r="S2457" s="11" t="n">
        <x:v>3250</x:v>
      </x:c>
      <x:c r="T2457" s="11" t="n">
        <x:v>380</x:v>
      </x:c>
    </x:row>
    <x:row r="2458" ht="23" customHeight="1">
      <x:c r="A2458" s="2" t="str">
        <x:v>Q91Z53</x:v>
      </x:c>
      <x:c r="B2458" s="2" t="str">
        <x:v>ED</x:v>
      </x:c>
      <x:c r="C2458" s="2" t="n">
        <x:v>1</x:v>
      </x:c>
      <x:c r="D2458" s="2" t="n">
        <x:v>1</x:v>
      </x:c>
      <x:c r="E2458" s="10" t="n">
        <x:v>97.47951219512194</x:v>
      </x:c>
      <x:c r="F2458" s="11" t="n">
        <x:v>328</x:v>
      </x:c>
      <x:c r="G2458" s="11" t="n">
        <x:v>0</x:v>
      </x:c>
      <x:c r="H2458" s="11" t="n">
        <x:v>0</x:v>
      </x:c>
      <x:c r="I2458" s="11" t="n">
        <x:v>0</x:v>
      </x:c>
      <x:c r="J2458" s="11" t="n">
        <x:v>0</x:v>
      </x:c>
      <x:c r="K2458" s="11" t="n">
        <x:v>1</x:v>
      </x:c>
      <x:c r="L2458" s="11" t="n">
        <x:f>IF(B2458="NED",1,IF(OR(B2458="ED",B2458="UN"),0,""))</x:f>
        <x:v>0</x:v>
      </x:c>
      <x:c r="M2458" s="11" t="n">
        <x:f>IF(AND(K2458=1,OR(B2458="ED",B2458="NED")),1,0)</x:f>
        <x:v>1</x:v>
      </x:c>
      <x:c r="N2458" s="11" t="n">
        <x:f>IF(K2458=1,1,0)</x:f>
        <x:v>1</x:v>
      </x:c>
      <x:c r="O2458" s="12"/>
      <x:c r="P2458" s="11" t="n">
        <x:v>0</x:v>
      </x:c>
      <x:c r="Q2458" s="12" t="str">
        <x:v>AF-Q91Z53-F1-model_v6</x:v>
      </x:c>
      <x:c r="R2458" s="12" t="str">
        <x:v>ok</x:v>
      </x:c>
      <x:c r="S2458" s="11" t="n">
        <x:v>1950</x:v>
      </x:c>
      <x:c r="T2458" s="11" t="n">
        <x:v>328</x:v>
      </x:c>
    </x:row>
    <x:row r="2459" ht="23" customHeight="1">
      <x:c r="A2459" s="2" t="str">
        <x:v>Q91Z67</x:v>
      </x:c>
      <x:c r="B2459" s="2" t="str">
        <x:v>ED</x:v>
      </x:c>
      <x:c r="C2459" s="2" t="n">
        <x:v>1</x:v>
      </x:c>
      <x:c r="D2459" s="2" t="n">
        <x:v>1</x:v>
      </x:c>
      <x:c r="E2459" s="10"/>
      <x:c r="F2459" s="11" t="n">
        <x:v>1071</x:v>
      </x:c>
      <x:c r="G2459" s="11" t="n">
        <x:v>0</x:v>
      </x:c>
      <x:c r="H2459" s="11" t="n">
        <x:v>0</x:v>
      </x:c>
      <x:c r="I2459" s="11" t="n">
        <x:v>1</x:v>
      </x:c>
      <x:c r="J2459" s="11" t="n">
        <x:v>0</x:v>
      </x:c>
      <x:c r="K2459" s="11" t="n">
        <x:v>0</x:v>
      </x:c>
      <x:c r="L2459" s="11" t="n">
        <x:f>IF(B2459="NED",1,IF(OR(B2459="ED",B2459="UN"),0,""))</x:f>
        <x:v>0</x:v>
      </x:c>
      <x:c r="M2459" s="11" t="n">
        <x:f>IF(AND(K2459=1,OR(B2459="ED",B2459="NED")),1,0)</x:f>
        <x:v>0</x:v>
      </x:c>
      <x:c r="N2459" s="11" t="n">
        <x:f>IF(K2459=1,1,0)</x:f>
        <x:v>0</x:v>
      </x:c>
      <x:c r="O2459" s="12" t="str">
        <x:v>Exclude UniProt Membrane keyword</x:v>
      </x:c>
      <x:c r="P2459" s="11" t="n">
        <x:v>0</x:v>
      </x:c>
      <x:c r="Q2459" s="12" t="str">
        <x:v>AF-Q91Z67-F1-model_v6</x:v>
      </x:c>
      <x:c r="R2459" s="12" t="str">
        <x:v>ok</x:v>
      </x:c>
      <x:c r="S2459" s="11" t="n">
        <x:v>1951</x:v>
      </x:c>
      <x:c r="T2459" s="11" t="n">
        <x:v>1071</x:v>
      </x:c>
    </x:row>
    <x:row r="2460" ht="23" customHeight="1">
      <x:c r="A2460" s="2" t="str">
        <x:v>Q91ZE0</x:v>
      </x:c>
      <x:c r="B2460" s="2" t="str">
        <x:v>UN</x:v>
      </x:c>
      <x:c r="C2460" s="2" t="n">
        <x:v>1</x:v>
      </x:c>
      <x:c r="D2460" s="2" t="n">
        <x:v>1</x:v>
      </x:c>
      <x:c r="E2460" s="10" t="n">
        <x:v>88.62042755344417</x:v>
      </x:c>
      <x:c r="F2460" s="11" t="n">
        <x:v>421</x:v>
      </x:c>
      <x:c r="G2460" s="11" t="n">
        <x:v>0</x:v>
      </x:c>
      <x:c r="H2460" s="11" t="n">
        <x:v>0</x:v>
      </x:c>
      <x:c r="I2460" s="11" t="n">
        <x:v>0</x:v>
      </x:c>
      <x:c r="J2460" s="11" t="n">
        <x:v>0</x:v>
      </x:c>
      <x:c r="K2460" s="11" t="n">
        <x:v>1</x:v>
      </x:c>
      <x:c r="L2460" s="11" t="n">
        <x:f>IF(B2460="NED",1,IF(OR(B2460="ED",B2460="UN"),0,""))</x:f>
        <x:v>0</x:v>
      </x:c>
      <x:c r="M2460" s="11" t="n">
        <x:f>IF(AND(K2460=1,OR(B2460="ED",B2460="NED")),1,0)</x:f>
        <x:v>0</x:v>
      </x:c>
      <x:c r="N2460" s="11" t="n">
        <x:f>IF(K2460=1,1,0)</x:f>
        <x:v>1</x:v>
      </x:c>
      <x:c r="O2460" s="12"/>
      <x:c r="P2460" s="11" t="n">
        <x:v>0</x:v>
      </x:c>
      <x:c r="Q2460" s="12" t="str">
        <x:v>AF-Q91ZE0-F1-model_v6</x:v>
      </x:c>
      <x:c r="R2460" s="12" t="str">
        <x:v>ok</x:v>
      </x:c>
      <x:c r="S2460" s="11" t="n">
        <x:v>1952</x:v>
      </x:c>
      <x:c r="T2460" s="11" t="n">
        <x:v>421</x:v>
      </x:c>
    </x:row>
    <x:row r="2461" ht="23" customHeight="1">
      <x:c r="A2461" s="2" t="str">
        <x:v>Q91ZJ5</x:v>
      </x:c>
      <x:c r="B2461" s="2" t="str">
        <x:v>ED</x:v>
      </x:c>
      <x:c r="C2461" s="2" t="n">
        <x:v>1</x:v>
      </x:c>
      <x:c r="D2461" s="2" t="n">
        <x:v>1</x:v>
      </x:c>
      <x:c r="E2461" s="10" t="n">
        <x:v>90.15653543307086</x:v>
      </x:c>
      <x:c r="F2461" s="11" t="n">
        <x:v>508</x:v>
      </x:c>
      <x:c r="G2461" s="11" t="n">
        <x:v>0</x:v>
      </x:c>
      <x:c r="H2461" s="11" t="n">
        <x:v>0</x:v>
      </x:c>
      <x:c r="I2461" s="11" t="n">
        <x:v>0</x:v>
      </x:c>
      <x:c r="J2461" s="11" t="n">
        <x:v>0</x:v>
      </x:c>
      <x:c r="K2461" s="11" t="n">
        <x:v>1</x:v>
      </x:c>
      <x:c r="L2461" s="11" t="n">
        <x:f>IF(B2461="NED",1,IF(OR(B2461="ED",B2461="UN"),0,""))</x:f>
        <x:v>0</x:v>
      </x:c>
      <x:c r="M2461" s="11" t="n">
        <x:f>IF(AND(K2461=1,OR(B2461="ED",B2461="NED")),1,0)</x:f>
        <x:v>1</x:v>
      </x:c>
      <x:c r="N2461" s="11" t="n">
        <x:f>IF(K2461=1,1,0)</x:f>
        <x:v>1</x:v>
      </x:c>
      <x:c r="O2461" s="12"/>
      <x:c r="P2461" s="11" t="n">
        <x:v>0</x:v>
      </x:c>
      <x:c r="Q2461" s="12" t="str">
        <x:v>AF-Q91ZJ5-F1-model_v6</x:v>
      </x:c>
      <x:c r="R2461" s="12" t="str">
        <x:v>ok</x:v>
      </x:c>
      <x:c r="S2461" s="11" t="n">
        <x:v>1953</x:v>
      </x:c>
      <x:c r="T2461" s="11" t="n">
        <x:v>508</x:v>
      </x:c>
    </x:row>
    <x:row r="2462" ht="23" customHeight="1">
      <x:c r="A2462" s="2" t="str">
        <x:v>Q91ZN5-2</x:v>
      </x:c>
      <x:c r="B2462" s="2" t="str">
        <x:v>UN</x:v>
      </x:c>
      <x:c r="C2462" s="2"/>
      <x:c r="D2462" s="2"/>
      <x:c r="E2462" s="10"/>
      <x:c r="F2462" s="11"/>
      <x:c r="G2462" s="11" t="n">
        <x:v>0</x:v>
      </x:c>
      <x:c r="H2462" s="11" t="n">
        <x:v>0</x:v>
      </x:c>
      <x:c r="I2462" s="11"/>
      <x:c r="J2462" s="11"/>
      <x:c r="K2462" s="11" t="n">
        <x:v>0</x:v>
      </x:c>
      <x:c r="L2462" s="11" t="n">
        <x:f>IF(B2462="NED",1,IF(OR(B2462="ED",B2462="UN"),0,""))</x:f>
        <x:v>0</x:v>
      </x:c>
      <x:c r="M2462" s="11" t="n">
        <x:f>IF(AND(K2462=1,OR(B2462="ED",B2462="NED")),1,0)</x:f>
        <x:v>0</x:v>
      </x:c>
      <x:c r="N2462" s="11" t="n">
        <x:f>IF(K2462=1,1,0)</x:f>
        <x:v>0</x:v>
      </x:c>
      <x:c r="O2462" s="12" t="str">
        <x:v>Require exact native accession match</x:v>
      </x:c>
      <x:c r="P2462" s="11" t="n">
        <x:v>0</x:v>
      </x:c>
      <x:c r="Q2462" s="12"/>
      <x:c r="R2462" s="12"/>
      <x:c r="S2462" s="11" t="n">
        <x:v>1954</x:v>
      </x:c>
      <x:c r="T2462" s="11"/>
    </x:row>
    <x:row r="2463" ht="23" customHeight="1">
      <x:c r="A2463" s="2" t="str">
        <x:v>Q91ZS8-5</x:v>
      </x:c>
      <x:c r="B2463" s="2" t="str">
        <x:v>ED</x:v>
      </x:c>
      <x:c r="C2463" s="2"/>
      <x:c r="D2463" s="2"/>
      <x:c r="E2463" s="10"/>
      <x:c r="F2463" s="11"/>
      <x:c r="G2463" s="11" t="n">
        <x:v>0</x:v>
      </x:c>
      <x:c r="H2463" s="11" t="n">
        <x:v>0</x:v>
      </x:c>
      <x:c r="I2463" s="11"/>
      <x:c r="J2463" s="11"/>
      <x:c r="K2463" s="11" t="n">
        <x:v>0</x:v>
      </x:c>
      <x:c r="L2463" s="11" t="n">
        <x:f>IF(B2463="NED",1,IF(OR(B2463="ED",B2463="UN"),0,""))</x:f>
        <x:v>0</x:v>
      </x:c>
      <x:c r="M2463" s="11" t="n">
        <x:f>IF(AND(K2463=1,OR(B2463="ED",B2463="NED")),1,0)</x:f>
        <x:v>0</x:v>
      </x:c>
      <x:c r="N2463" s="11" t="n">
        <x:f>IF(K2463=1,1,0)</x:f>
        <x:v>0</x:v>
      </x:c>
      <x:c r="O2463" s="12" t="str">
        <x:v>Require exact native accession match</x:v>
      </x:c>
      <x:c r="P2463" s="11" t="n">
        <x:v>0</x:v>
      </x:c>
      <x:c r="Q2463" s="12"/>
      <x:c r="R2463" s="12"/>
      <x:c r="S2463" s="11" t="n">
        <x:v>1955</x:v>
      </x:c>
      <x:c r="T2463" s="11"/>
    </x:row>
    <x:row r="2464" ht="23" customHeight="1">
      <x:c r="A2464" s="2" t="str">
        <x:v>Q91ZU1</x:v>
      </x:c>
      <x:c r="B2464" s="2" t="str">
        <x:v>ED</x:v>
      </x:c>
      <x:c r="C2464" s="2" t="n">
        <x:v>0</x:v>
      </x:c>
      <x:c r="D2464" s="2" t="n">
        <x:v>0</x:v>
      </x:c>
      <x:c r="E2464" s="10" t="n">
        <x:v>87.35444976076556</x:v>
      </x:c>
      <x:c r="F2464" s="11" t="n">
        <x:v>418</x:v>
      </x:c>
      <x:c r="G2464" s="11" t="n">
        <x:v>0</x:v>
      </x:c>
      <x:c r="H2464" s="11" t="n">
        <x:v>0</x:v>
      </x:c>
      <x:c r="I2464" s="11" t="n">
        <x:v>0</x:v>
      </x:c>
      <x:c r="J2464" s="11" t="n">
        <x:v>0</x:v>
      </x:c>
      <x:c r="K2464" s="11" t="n">
        <x:v>1</x:v>
      </x:c>
      <x:c r="L2464" s="11" t="n">
        <x:f>IF(B2464="NED",1,IF(OR(B2464="ED",B2464="UN"),0,""))</x:f>
        <x:v>0</x:v>
      </x:c>
      <x:c r="M2464" s="11" t="n">
        <x:f>IF(AND(K2464=1,OR(B2464="ED",B2464="NED")),1,0)</x:f>
        <x:v>1</x:v>
      </x:c>
      <x:c r="N2464" s="11" t="n">
        <x:f>IF(K2464=1,1,0)</x:f>
        <x:v>1</x:v>
      </x:c>
      <x:c r="O2464" s="12"/>
      <x:c r="P2464" s="11" t="n">
        <x:v>0</x:v>
      </x:c>
      <x:c r="Q2464" s="12" t="str">
        <x:v>AF-Q91ZU1-F1-model_v6</x:v>
      </x:c>
      <x:c r="R2464" s="12" t="str">
        <x:v>ok</x:v>
      </x:c>
      <x:c r="S2464" s="11" t="n">
        <x:v>1956</x:v>
      </x:c>
      <x:c r="T2464" s="11" t="n">
        <x:v>418</x:v>
      </x:c>
    </x:row>
    <x:row r="2465" ht="23" customHeight="1">
      <x:c r="A2465" s="2" t="str">
        <x:v>Q91ZW3</x:v>
      </x:c>
      <x:c r="B2465" s="2" t="str">
        <x:v>UN</x:v>
      </x:c>
      <x:c r="C2465" s="2" t="n">
        <x:v>1</x:v>
      </x:c>
      <x:c r="D2465" s="2" t="n">
        <x:v>1</x:v>
      </x:c>
      <x:c r="E2465" s="10" t="n">
        <x:v>74.64329210275928</x:v>
      </x:c>
      <x:c r="F2465" s="11" t="n">
        <x:v>1051</x:v>
      </x:c>
      <x:c r="G2465" s="11" t="n">
        <x:v>0</x:v>
      </x:c>
      <x:c r="H2465" s="11" t="n">
        <x:v>0</x:v>
      </x:c>
      <x:c r="I2465" s="11" t="n">
        <x:v>0</x:v>
      </x:c>
      <x:c r="J2465" s="11" t="n">
        <x:v>0</x:v>
      </x:c>
      <x:c r="K2465" s="11" t="n">
        <x:v>1</x:v>
      </x:c>
      <x:c r="L2465" s="11" t="n">
        <x:f>IF(B2465="NED",1,IF(OR(B2465="ED",B2465="UN"),0,""))</x:f>
        <x:v>0</x:v>
      </x:c>
      <x:c r="M2465" s="11" t="n">
        <x:f>IF(AND(K2465=1,OR(B2465="ED",B2465="NED")),1,0)</x:f>
        <x:v>0</x:v>
      </x:c>
      <x:c r="N2465" s="11" t="n">
        <x:f>IF(K2465=1,1,0)</x:f>
        <x:v>1</x:v>
      </x:c>
      <x:c r="O2465" s="12"/>
      <x:c r="P2465" s="11" t="n">
        <x:v>0</x:v>
      </x:c>
      <x:c r="Q2465" s="12" t="str">
        <x:v>AF-Q91ZW3-F1-model_v6</x:v>
      </x:c>
      <x:c r="R2465" s="12" t="str">
        <x:v>ok</x:v>
      </x:c>
      <x:c r="S2465" s="11" t="n">
        <x:v>1957</x:v>
      </x:c>
      <x:c r="T2465" s="11" t="n">
        <x:v>1051</x:v>
      </x:c>
    </x:row>
    <x:row r="2466" ht="23" customHeight="1">
      <x:c r="A2466" s="2" t="str">
        <x:v>Q91ZX7</x:v>
      </x:c>
      <x:c r="B2466" s="2" t="str">
        <x:v>UN</x:v>
      </x:c>
      <x:c r="C2466" s="2"/>
      <x:c r="D2466" s="2"/>
      <x:c r="E2466" s="10"/>
      <x:c r="F2466" s="11"/>
      <x:c r="G2466" s="11" t="n">
        <x:v>0</x:v>
      </x:c>
      <x:c r="H2466" s="11" t="n">
        <x:v>0</x:v>
      </x:c>
      <x:c r="I2466" s="11" t="n">
        <x:v>1</x:v>
      </x:c>
      <x:c r="J2466" s="11" t="n">
        <x:v>0</x:v>
      </x:c>
      <x:c r="K2466" s="11" t="n">
        <x:v>0</x:v>
      </x:c>
      <x:c r="L2466" s="11" t="n">
        <x:f>IF(B2466="NED",1,IF(OR(B2466="ED",B2466="UN"),0,""))</x:f>
        <x:v>0</x:v>
      </x:c>
      <x:c r="M2466" s="11" t="n">
        <x:f>IF(AND(K2466=1,OR(B2466="ED",B2466="NED")),1,0)</x:f>
        <x:v>0</x:v>
      </x:c>
      <x:c r="N2466" s="11" t="n">
        <x:f>IF(K2466=1,1,0)</x:f>
        <x:v>0</x:v>
      </x:c>
      <x:c r="O2466" s="12" t="str">
        <x:v>Require exact native accession match</x:v>
      </x:c>
      <x:c r="P2466" s="11" t="n">
        <x:v>0</x:v>
      </x:c>
      <x:c r="Q2466" s="12"/>
      <x:c r="R2466" s="12"/>
      <x:c r="S2466" s="11" t="n">
        <x:v>1958</x:v>
      </x:c>
      <x:c r="T2466" s="11" t="n">
        <x:v>4545</x:v>
      </x:c>
    </x:row>
    <x:row r="2467" ht="23" customHeight="1">
      <x:c r="A2467" s="2" t="str">
        <x:v>Q920A5</x:v>
      </x:c>
      <x:c r="B2467" s="2" t="str">
        <x:v>NED</x:v>
      </x:c>
      <x:c r="C2467" s="2" t="n">
        <x:v>1</x:v>
      </x:c>
      <x:c r="D2467" s="2" t="n">
        <x:v>1</x:v>
      </x:c>
      <x:c r="E2467" s="10"/>
      <x:c r="F2467" s="11" t="n">
        <x:v>452</x:v>
      </x:c>
      <x:c r="G2467" s="11" t="n">
        <x:v>0</x:v>
      </x:c>
      <x:c r="H2467" s="11" t="n">
        <x:v>0</x:v>
      </x:c>
      <x:c r="I2467" s="11" t="n">
        <x:v>0</x:v>
      </x:c>
      <x:c r="J2467" s="11" t="n">
        <x:v>1</x:v>
      </x:c>
      <x:c r="K2467" s="11" t="n">
        <x:v>0</x:v>
      </x:c>
      <x:c r="L2467" s="11" t="n">
        <x:f>IF(B2467="NED",1,IF(OR(B2467="ED",B2467="UN"),0,""))</x:f>
        <x:v>1</x:v>
      </x:c>
      <x:c r="M2467" s="11" t="n">
        <x:f>IF(AND(K2467=1,OR(B2467="ED",B2467="NED")),1,0)</x:f>
        <x:v>0</x:v>
      </x:c>
      <x:c r="N2467" s="11" t="n">
        <x:f>IF(K2467=1,1,0)</x:f>
        <x:v>0</x:v>
      </x:c>
      <x:c r="O2467" s="12" t="str">
        <x:v>Exclude UniProt Secreted keyword</x:v>
      </x:c>
      <x:c r="P2467" s="11" t="n">
        <x:v>0</x:v>
      </x:c>
      <x:c r="Q2467" s="12" t="str">
        <x:v>AF-Q920A5-F1-model_v6</x:v>
      </x:c>
      <x:c r="R2467" s="12" t="str">
        <x:v>ok</x:v>
      </x:c>
      <x:c r="S2467" s="11" t="n">
        <x:v>1959</x:v>
      </x:c>
      <x:c r="T2467" s="11" t="n">
        <x:v>452</x:v>
      </x:c>
    </x:row>
    <x:row r="2468" ht="23" customHeight="1">
      <x:c r="A2468" s="2" t="str">
        <x:v>Q920B9</x:v>
      </x:c>
      <x:c r="B2468" s="2" t="str">
        <x:v>UN</x:v>
      </x:c>
      <x:c r="C2468" s="2" t="n">
        <x:v>1</x:v>
      </x:c>
      <x:c r="D2468" s="2" t="n">
        <x:v>1</x:v>
      </x:c>
      <x:c r="E2468" s="10" t="n">
        <x:v>79.79350525310412</x:v>
      </x:c>
      <x:c r="F2468" s="11" t="n">
        <x:v>1047</x:v>
      </x:c>
      <x:c r="G2468" s="11" t="n">
        <x:v>0</x:v>
      </x:c>
      <x:c r="H2468" s="11" t="n">
        <x:v>0</x:v>
      </x:c>
      <x:c r="I2468" s="11" t="n">
        <x:v>0</x:v>
      </x:c>
      <x:c r="J2468" s="11" t="n">
        <x:v>0</x:v>
      </x:c>
      <x:c r="K2468" s="11" t="n">
        <x:v>1</x:v>
      </x:c>
      <x:c r="L2468" s="11" t="n">
        <x:f>IF(B2468="NED",1,IF(OR(B2468="ED",B2468="UN"),0,""))</x:f>
        <x:v>0</x:v>
      </x:c>
      <x:c r="M2468" s="11" t="n">
        <x:f>IF(AND(K2468=1,OR(B2468="ED",B2468="NED")),1,0)</x:f>
        <x:v>0</x:v>
      </x:c>
      <x:c r="N2468" s="11" t="n">
        <x:f>IF(K2468=1,1,0)</x:f>
        <x:v>1</x:v>
      </x:c>
      <x:c r="O2468" s="12"/>
      <x:c r="P2468" s="11" t="n">
        <x:v>0</x:v>
      </x:c>
      <x:c r="Q2468" s="12" t="str">
        <x:v>AF-Q920B9-F1-model_v6</x:v>
      </x:c>
      <x:c r="R2468" s="12" t="str">
        <x:v>ok</x:v>
      </x:c>
      <x:c r="S2468" s="11" t="n">
        <x:v>1960</x:v>
      </x:c>
      <x:c r="T2468" s="11" t="n">
        <x:v>1047</x:v>
      </x:c>
    </x:row>
    <x:row r="2469" ht="23" customHeight="1">
      <x:c r="A2469" s="2" t="str">
        <x:v>Q920E5</x:v>
      </x:c>
      <x:c r="B2469" s="2" t="str">
        <x:v>UN</x:v>
      </x:c>
      <x:c r="C2469" s="2" t="n">
        <x:v>1</x:v>
      </x:c>
      <x:c r="D2469" s="2" t="n">
        <x:v>1</x:v>
      </x:c>
      <x:c r="E2469" s="10" t="n">
        <x:v>95.38339943342775</x:v>
      </x:c>
      <x:c r="F2469" s="11" t="n">
        <x:v>353</x:v>
      </x:c>
      <x:c r="G2469" s="11" t="n">
        <x:v>0</x:v>
      </x:c>
      <x:c r="H2469" s="11" t="n">
        <x:v>0</x:v>
      </x:c>
      <x:c r="I2469" s="11" t="n">
        <x:v>0</x:v>
      </x:c>
      <x:c r="J2469" s="11" t="n">
        <x:v>0</x:v>
      </x:c>
      <x:c r="K2469" s="11" t="n">
        <x:v>1</x:v>
      </x:c>
      <x:c r="L2469" s="11" t="n">
        <x:f>IF(B2469="NED",1,IF(OR(B2469="ED",B2469="UN"),0,""))</x:f>
        <x:v>0</x:v>
      </x:c>
      <x:c r="M2469" s="11" t="n">
        <x:f>IF(AND(K2469=1,OR(B2469="ED",B2469="NED")),1,0)</x:f>
        <x:v>0</x:v>
      </x:c>
      <x:c r="N2469" s="11" t="n">
        <x:f>IF(K2469=1,1,0)</x:f>
        <x:v>1</x:v>
      </x:c>
      <x:c r="O2469" s="12"/>
      <x:c r="P2469" s="11" t="n">
        <x:v>0</x:v>
      </x:c>
      <x:c r="Q2469" s="12" t="str">
        <x:v>AF-Q920E5-F1-model_v6</x:v>
      </x:c>
      <x:c r="R2469" s="12" t="str">
        <x:v>ok</x:v>
      </x:c>
      <x:c r="S2469" s="11" t="n">
        <x:v>1961</x:v>
      </x:c>
      <x:c r="T2469" s="11" t="n">
        <x:v>353</x:v>
      </x:c>
    </x:row>
    <x:row r="2470" ht="23" customHeight="1">
      <x:c r="A2470" s="2" t="str">
        <x:v>Q920L1</x:v>
      </x:c>
      <x:c r="B2470" s="2" t="str">
        <x:v>UN</x:v>
      </x:c>
      <x:c r="C2470" s="2" t="n">
        <x:v>1</x:v>
      </x:c>
      <x:c r="D2470" s="2" t="n">
        <x:v>1</x:v>
      </x:c>
      <x:c r="E2470" s="10"/>
      <x:c r="F2470" s="11" t="n">
        <x:v>447</x:v>
      </x:c>
      <x:c r="G2470" s="11" t="n">
        <x:v>0</x:v>
      </x:c>
      <x:c r="H2470" s="11" t="n">
        <x:v>0</x:v>
      </x:c>
      <x:c r="I2470" s="11" t="n">
        <x:v>1</x:v>
      </x:c>
      <x:c r="J2470" s="11" t="n">
        <x:v>0</x:v>
      </x:c>
      <x:c r="K2470" s="11" t="n">
        <x:v>0</x:v>
      </x:c>
      <x:c r="L2470" s="11" t="n">
        <x:f>IF(B2470="NED",1,IF(OR(B2470="ED",B2470="UN"),0,""))</x:f>
        <x:v>0</x:v>
      </x:c>
      <x:c r="M2470" s="11" t="n">
        <x:f>IF(AND(K2470=1,OR(B2470="ED",B2470="NED")),1,0)</x:f>
        <x:v>0</x:v>
      </x:c>
      <x:c r="N2470" s="11" t="n">
        <x:f>IF(K2470=1,1,0)</x:f>
        <x:v>0</x:v>
      </x:c>
      <x:c r="O2470" s="12" t="str">
        <x:v>Exclude UniProt Membrane keyword</x:v>
      </x:c>
      <x:c r="P2470" s="11" t="n">
        <x:v>0</x:v>
      </x:c>
      <x:c r="Q2470" s="12" t="str">
        <x:v>AF-Q920L1-F1-model_v6</x:v>
      </x:c>
      <x:c r="R2470" s="12" t="str">
        <x:v>ok</x:v>
      </x:c>
      <x:c r="S2470" s="11" t="n">
        <x:v>1962</x:v>
      </x:c>
      <x:c r="T2470" s="11" t="n">
        <x:v>447</x:v>
      </x:c>
    </x:row>
    <x:row r="2471" ht="23" customHeight="1">
      <x:c r="A2471" s="2" t="str">
        <x:v>Q920Q4</x:v>
      </x:c>
      <x:c r="B2471" s="2" t="str">
        <x:v>UN</x:v>
      </x:c>
      <x:c r="C2471" s="2" t="n">
        <x:v>1</x:v>
      </x:c>
      <x:c r="D2471" s="2" t="n">
        <x:v>1</x:v>
      </x:c>
      <x:c r="E2471" s="10"/>
      <x:c r="F2471" s="11" t="n">
        <x:v>839</x:v>
      </x:c>
      <x:c r="G2471" s="11" t="n">
        <x:v>0</x:v>
      </x:c>
      <x:c r="H2471" s="11" t="n">
        <x:v>0</x:v>
      </x:c>
      <x:c r="I2471" s="11" t="n">
        <x:v>1</x:v>
      </x:c>
      <x:c r="J2471" s="11" t="n">
        <x:v>0</x:v>
      </x:c>
      <x:c r="K2471" s="11" t="n">
        <x:v>0</x:v>
      </x:c>
      <x:c r="L2471" s="11" t="n">
        <x:f>IF(B2471="NED",1,IF(OR(B2471="ED",B2471="UN"),0,""))</x:f>
        <x:v>0</x:v>
      </x:c>
      <x:c r="M2471" s="11" t="n">
        <x:f>IF(AND(K2471=1,OR(B2471="ED",B2471="NED")),1,0)</x:f>
        <x:v>0</x:v>
      </x:c>
      <x:c r="N2471" s="11" t="n">
        <x:f>IF(K2471=1,1,0)</x:f>
        <x:v>0</x:v>
      </x:c>
      <x:c r="O2471" s="12" t="str">
        <x:v>Exclude UniProt Membrane keyword</x:v>
      </x:c>
      <x:c r="P2471" s="11" t="n">
        <x:v>0</x:v>
      </x:c>
      <x:c r="Q2471" s="12" t="str">
        <x:v>AF-Q920Q4-F1-model_v6</x:v>
      </x:c>
      <x:c r="R2471" s="12" t="str">
        <x:v>ok</x:v>
      </x:c>
      <x:c r="S2471" s="11" t="n">
        <x:v>1963</x:v>
      </x:c>
      <x:c r="T2471" s="11" t="n">
        <x:v>839</x:v>
      </x:c>
    </x:row>
    <x:row r="2472" ht="23" customHeight="1">
      <x:c r="A2472" s="2" t="str">
        <x:v>Q921C5</x:v>
      </x:c>
      <x:c r="B2472" s="2" t="str">
        <x:v>ED</x:v>
      </x:c>
      <x:c r="C2472" s="2" t="n">
        <x:v>0</x:v>
      </x:c>
      <x:c r="D2472" s="2" t="n">
        <x:v>0</x:v>
      </x:c>
      <x:c r="E2472" s="10" t="n">
        <x:v>78.58284146341464</x:v>
      </x:c>
      <x:c r="F2472" s="11" t="n">
        <x:v>820</x:v>
      </x:c>
      <x:c r="G2472" s="11" t="n">
        <x:v>0</x:v>
      </x:c>
      <x:c r="H2472" s="11" t="n">
        <x:v>0</x:v>
      </x:c>
      <x:c r="I2472" s="11" t="n">
        <x:v>0</x:v>
      </x:c>
      <x:c r="J2472" s="11" t="n">
        <x:v>0</x:v>
      </x:c>
      <x:c r="K2472" s="11" t="n">
        <x:v>1</x:v>
      </x:c>
      <x:c r="L2472" s="11" t="n">
        <x:f>IF(B2472="NED",1,IF(OR(B2472="ED",B2472="UN"),0,""))</x:f>
        <x:v>0</x:v>
      </x:c>
      <x:c r="M2472" s="11" t="n">
        <x:f>IF(AND(K2472=1,OR(B2472="ED",B2472="NED")),1,0)</x:f>
        <x:v>1</x:v>
      </x:c>
      <x:c r="N2472" s="11" t="n">
        <x:f>IF(K2472=1,1,0)</x:f>
        <x:v>1</x:v>
      </x:c>
      <x:c r="O2472" s="12"/>
      <x:c r="P2472" s="11" t="n">
        <x:v>0</x:v>
      </x:c>
      <x:c r="Q2472" s="12" t="str">
        <x:v>AF-Q921C5-F1-model_v6</x:v>
      </x:c>
      <x:c r="R2472" s="12" t="str">
        <x:v>ok</x:v>
      </x:c>
      <x:c r="S2472" s="11" t="n">
        <x:v>1964</x:v>
      </x:c>
      <x:c r="T2472" s="11" t="n">
        <x:v>820</x:v>
      </x:c>
    </x:row>
    <x:row r="2473" ht="23" customHeight="1">
      <x:c r="A2473" s="2" t="str">
        <x:v>Q921E2</x:v>
      </x:c>
      <x:c r="B2473" s="2" t="str">
        <x:v>ED</x:v>
      </x:c>
      <x:c r="C2473" s="2" t="n">
        <x:v>1</x:v>
      </x:c>
      <x:c r="D2473" s="2" t="n">
        <x:v>1</x:v>
      </x:c>
      <x:c r="E2473" s="10"/>
      <x:c r="F2473" s="11" t="n">
        <x:v>195</x:v>
      </x:c>
      <x:c r="G2473" s="11" t="n">
        <x:v>0</x:v>
      </x:c>
      <x:c r="H2473" s="11" t="n">
        <x:v>0</x:v>
      </x:c>
      <x:c r="I2473" s="11" t="n">
        <x:v>1</x:v>
      </x:c>
      <x:c r="J2473" s="11" t="n">
        <x:v>0</x:v>
      </x:c>
      <x:c r="K2473" s="11" t="n">
        <x:v>0</x:v>
      </x:c>
      <x:c r="L2473" s="11" t="n">
        <x:f>IF(B2473="NED",1,IF(OR(B2473="ED",B2473="UN"),0,""))</x:f>
        <x:v>0</x:v>
      </x:c>
      <x:c r="M2473" s="11" t="n">
        <x:f>IF(AND(K2473=1,OR(B2473="ED",B2473="NED")),1,0)</x:f>
        <x:v>0</x:v>
      </x:c>
      <x:c r="N2473" s="11" t="n">
        <x:f>IF(K2473=1,1,0)</x:f>
        <x:v>0</x:v>
      </x:c>
      <x:c r="O2473" s="12" t="str">
        <x:v>Exclude UniProt Membrane keyword</x:v>
      </x:c>
      <x:c r="P2473" s="11" t="n">
        <x:v>0</x:v>
      </x:c>
      <x:c r="Q2473" s="12" t="str">
        <x:v>AF-Q921E2-F1-model_v6</x:v>
      </x:c>
      <x:c r="R2473" s="12" t="str">
        <x:v>ok</x:v>
      </x:c>
      <x:c r="S2473" s="11" t="n">
        <x:v>1965</x:v>
      </x:c>
      <x:c r="T2473" s="11" t="n">
        <x:v>195</x:v>
      </x:c>
    </x:row>
    <x:row r="2474" ht="23" customHeight="1">
      <x:c r="A2474" s="2" t="str">
        <x:v>Q921E6-3</x:v>
      </x:c>
      <x:c r="B2474" s="2" t="str">
        <x:v>ED</x:v>
      </x:c>
      <x:c r="C2474" s="2"/>
      <x:c r="D2474" s="2"/>
      <x:c r="E2474" s="10"/>
      <x:c r="F2474" s="11"/>
      <x:c r="G2474" s="11" t="n">
        <x:v>0</x:v>
      </x:c>
      <x:c r="H2474" s="11" t="n">
        <x:v>0</x:v>
      </x:c>
      <x:c r="I2474" s="11"/>
      <x:c r="J2474" s="11"/>
      <x:c r="K2474" s="11" t="n">
        <x:v>0</x:v>
      </x:c>
      <x:c r="L2474" s="11" t="n">
        <x:f>IF(B2474="NED",1,IF(OR(B2474="ED",B2474="UN"),0,""))</x:f>
        <x:v>0</x:v>
      </x:c>
      <x:c r="M2474" s="11" t="n">
        <x:f>IF(AND(K2474=1,OR(B2474="ED",B2474="NED")),1,0)</x:f>
        <x:v>0</x:v>
      </x:c>
      <x:c r="N2474" s="11" t="n">
        <x:f>IF(K2474=1,1,0)</x:f>
        <x:v>0</x:v>
      </x:c>
      <x:c r="O2474" s="12" t="str">
        <x:v>Require exact native accession match</x:v>
      </x:c>
      <x:c r="P2474" s="11" t="n">
        <x:v>0</x:v>
      </x:c>
      <x:c r="Q2474" s="12"/>
      <x:c r="R2474" s="12"/>
      <x:c r="S2474" s="11" t="n">
        <x:v>1966</x:v>
      </x:c>
      <x:c r="T2474" s="11"/>
    </x:row>
    <x:row r="2475" ht="23" customHeight="1">
      <x:c r="A2475" s="2" t="str">
        <x:v>Q921F2</x:v>
      </x:c>
      <x:c r="B2475" s="2" t="str">
        <x:v>ED</x:v>
      </x:c>
      <x:c r="C2475" s="2" t="n">
        <x:v>1</x:v>
      </x:c>
      <x:c r="D2475" s="2" t="n">
        <x:v>1</x:v>
      </x:c>
      <x:c r="E2475" s="10" t="n">
        <x:v>63.75492753623189</x:v>
      </x:c>
      <x:c r="F2475" s="11" t="n">
        <x:v>414</x:v>
      </x:c>
      <x:c r="G2475" s="11" t="n">
        <x:v>0</x:v>
      </x:c>
      <x:c r="H2475" s="11" t="n">
        <x:v>0</x:v>
      </x:c>
      <x:c r="I2475" s="11" t="n">
        <x:v>0</x:v>
      </x:c>
      <x:c r="J2475" s="11" t="n">
        <x:v>0</x:v>
      </x:c>
      <x:c r="K2475" s="11" t="n">
        <x:v>0</x:v>
      </x:c>
      <x:c r="L2475" s="11" t="n">
        <x:f>IF(B2475="NED",1,IF(OR(B2475="ED",B2475="UN"),0,""))</x:f>
        <x:v>0</x:v>
      </x:c>
      <x:c r="M2475" s="11" t="n">
        <x:f>IF(AND(K2475=1,OR(B2475="ED",B2475="NED")),1,0)</x:f>
        <x:v>0</x:v>
      </x:c>
      <x:c r="N2475" s="11" t="n">
        <x:f>IF(K2475=1,1,0)</x:f>
        <x:v>0</x:v>
      </x:c>
      <x:c r="O2475" s="12" t="str">
        <x:v>Retain protein mean pLDDT &gt;=70</x:v>
      </x:c>
      <x:c r="P2475" s="11" t="n">
        <x:v>0</x:v>
      </x:c>
      <x:c r="Q2475" s="12" t="str">
        <x:v>AF-Q921F2-F1-model_v6</x:v>
      </x:c>
      <x:c r="R2475" s="12" t="str">
        <x:v>ok</x:v>
      </x:c>
      <x:c r="S2475" s="11" t="n">
        <x:v>1967</x:v>
      </x:c>
      <x:c r="T2475" s="11" t="n">
        <x:v>414</x:v>
      </x:c>
    </x:row>
    <x:row r="2476" ht="23" customHeight="1">
      <x:c r="A2476" s="2" t="str">
        <x:v>Q921F4</x:v>
      </x:c>
      <x:c r="B2476" s="2" t="str">
        <x:v>ED</x:v>
      </x:c>
      <x:c r="C2476" s="2" t="n">
        <x:v>1</x:v>
      </x:c>
      <x:c r="D2476" s="2" t="n">
        <x:v>1</x:v>
      </x:c>
      <x:c r="E2476" s="10" t="n">
        <x:v>72.76077834179357</x:v>
      </x:c>
      <x:c r="F2476" s="11" t="n">
        <x:v>591</x:v>
      </x:c>
      <x:c r="G2476" s="11" t="n">
        <x:v>0</x:v>
      </x:c>
      <x:c r="H2476" s="11" t="n">
        <x:v>0</x:v>
      </x:c>
      <x:c r="I2476" s="11" t="n">
        <x:v>0</x:v>
      </x:c>
      <x:c r="J2476" s="11" t="n">
        <x:v>0</x:v>
      </x:c>
      <x:c r="K2476" s="11" t="n">
        <x:v>1</x:v>
      </x:c>
      <x:c r="L2476" s="11" t="n">
        <x:f>IF(B2476="NED",1,IF(OR(B2476="ED",B2476="UN"),0,""))</x:f>
        <x:v>0</x:v>
      </x:c>
      <x:c r="M2476" s="11" t="n">
        <x:f>IF(AND(K2476=1,OR(B2476="ED",B2476="NED")),1,0)</x:f>
        <x:v>1</x:v>
      </x:c>
      <x:c r="N2476" s="11" t="n">
        <x:f>IF(K2476=1,1,0)</x:f>
        <x:v>1</x:v>
      </x:c>
      <x:c r="O2476" s="12"/>
      <x:c r="P2476" s="11" t="n">
        <x:v>0</x:v>
      </x:c>
      <x:c r="Q2476" s="12" t="str">
        <x:v>AF-Q921F4-F1-model_v6</x:v>
      </x:c>
      <x:c r="R2476" s="12" t="str">
        <x:v>ok</x:v>
      </x:c>
      <x:c r="S2476" s="11" t="n">
        <x:v>1968</x:v>
      </x:c>
      <x:c r="T2476" s="11" t="n">
        <x:v>591</x:v>
      </x:c>
    </x:row>
    <x:row r="2477" ht="23" customHeight="1">
      <x:c r="A2477" s="2" t="str">
        <x:v>Q921G8</x:v>
      </x:c>
      <x:c r="B2477" s="2" t="str">
        <x:v>UN</x:v>
      </x:c>
      <x:c r="C2477" s="2" t="n">
        <x:v>1</x:v>
      </x:c>
      <x:c r="D2477" s="2" t="n">
        <x:v>1</x:v>
      </x:c>
      <x:c r="E2477" s="10" t="n">
        <x:v>76.62734806629834</x:v>
      </x:c>
      <x:c r="F2477" s="11" t="n">
        <x:v>905</x:v>
      </x:c>
      <x:c r="G2477" s="11" t="n">
        <x:v>0</x:v>
      </x:c>
      <x:c r="H2477" s="11" t="n">
        <x:v>0</x:v>
      </x:c>
      <x:c r="I2477" s="11" t="n">
        <x:v>0</x:v>
      </x:c>
      <x:c r="J2477" s="11" t="n">
        <x:v>0</x:v>
      </x:c>
      <x:c r="K2477" s="11" t="n">
        <x:v>1</x:v>
      </x:c>
      <x:c r="L2477" s="11" t="n">
        <x:f>IF(B2477="NED",1,IF(OR(B2477="ED",B2477="UN"),0,""))</x:f>
        <x:v>0</x:v>
      </x:c>
      <x:c r="M2477" s="11" t="n">
        <x:f>IF(AND(K2477=1,OR(B2477="ED",B2477="NED")),1,0)</x:f>
        <x:v>0</x:v>
      </x:c>
      <x:c r="N2477" s="11" t="n">
        <x:f>IF(K2477=1,1,0)</x:f>
        <x:v>1</x:v>
      </x:c>
      <x:c r="O2477" s="12"/>
      <x:c r="P2477" s="11" t="n">
        <x:v>0</x:v>
      </x:c>
      <x:c r="Q2477" s="12" t="str">
        <x:v>AF-Q921G8-F1-model_v6</x:v>
      </x:c>
      <x:c r="R2477" s="12" t="str">
        <x:v>ok</x:v>
      </x:c>
      <x:c r="S2477" s="11" t="n">
        <x:v>1969</x:v>
      </x:c>
      <x:c r="T2477" s="11" t="n">
        <x:v>905</x:v>
      </x:c>
    </x:row>
    <x:row r="2478" ht="23" customHeight="1">
      <x:c r="A2478" s="2" t="str">
        <x:v>Q921H8</x:v>
      </x:c>
      <x:c r="B2478" s="2" t="str">
        <x:v>NED</x:v>
      </x:c>
      <x:c r="C2478" s="2" t="n">
        <x:v>1</x:v>
      </x:c>
      <x:c r="D2478" s="2" t="n">
        <x:v>1</x:v>
      </x:c>
      <x:c r="E2478" s="10" t="n">
        <x:v>94.21245283018868</x:v>
      </x:c>
      <x:c r="F2478" s="11" t="n">
        <x:v>424</x:v>
      </x:c>
      <x:c r="G2478" s="11" t="n">
        <x:v>0</x:v>
      </x:c>
      <x:c r="H2478" s="11" t="n">
        <x:v>0</x:v>
      </x:c>
      <x:c r="I2478" s="11" t="n">
        <x:v>0</x:v>
      </x:c>
      <x:c r="J2478" s="11" t="n">
        <x:v>0</x:v>
      </x:c>
      <x:c r="K2478" s="11" t="n">
        <x:v>1</x:v>
      </x:c>
      <x:c r="L2478" s="11" t="n">
        <x:f>IF(B2478="NED",1,IF(OR(B2478="ED",B2478="UN"),0,""))</x:f>
        <x:v>1</x:v>
      </x:c>
      <x:c r="M2478" s="11" t="n">
        <x:f>IF(AND(K2478=1,OR(B2478="ED",B2478="NED")),1,0)</x:f>
        <x:v>1</x:v>
      </x:c>
      <x:c r="N2478" s="11" t="n">
        <x:f>IF(K2478=1,1,0)</x:f>
        <x:v>1</x:v>
      </x:c>
      <x:c r="O2478" s="12"/>
      <x:c r="P2478" s="11" t="n">
        <x:v>0</x:v>
      </x:c>
      <x:c r="Q2478" s="12" t="str">
        <x:v>AF-Q921H8-F1-model_v6</x:v>
      </x:c>
      <x:c r="R2478" s="12" t="str">
        <x:v>ok</x:v>
      </x:c>
      <x:c r="S2478" s="11" t="n">
        <x:v>1970</x:v>
      </x:c>
      <x:c r="T2478" s="11" t="n">
        <x:v>424</x:v>
      </x:c>
    </x:row>
    <x:row r="2479" ht="23" customHeight="1">
      <x:c r="A2479" s="2" t="str">
        <x:v>Q921I6</x:v>
      </x:c>
      <x:c r="B2479" s="2" t="str">
        <x:v>ED</x:v>
      </x:c>
      <x:c r="C2479" s="2" t="n">
        <x:v>1</x:v>
      </x:c>
      <x:c r="D2479" s="2" t="n">
        <x:v>1</x:v>
      </x:c>
      <x:c r="E2479" s="10"/>
      <x:c r="F2479" s="11" t="n">
        <x:v>962</x:v>
      </x:c>
      <x:c r="G2479" s="11" t="n">
        <x:v>0</x:v>
      </x:c>
      <x:c r="H2479" s="11" t="n">
        <x:v>0</x:v>
      </x:c>
      <x:c r="I2479" s="11" t="n">
        <x:v>1</x:v>
      </x:c>
      <x:c r="J2479" s="11" t="n">
        <x:v>0</x:v>
      </x:c>
      <x:c r="K2479" s="11" t="n">
        <x:v>0</x:v>
      </x:c>
      <x:c r="L2479" s="11" t="n">
        <x:f>IF(B2479="NED",1,IF(OR(B2479="ED",B2479="UN"),0,""))</x:f>
        <x:v>0</x:v>
      </x:c>
      <x:c r="M2479" s="11" t="n">
        <x:f>IF(AND(K2479=1,OR(B2479="ED",B2479="NED")),1,0)</x:f>
        <x:v>0</x:v>
      </x:c>
      <x:c r="N2479" s="11" t="n">
        <x:f>IF(K2479=1,1,0)</x:f>
        <x:v>0</x:v>
      </x:c>
      <x:c r="O2479" s="12" t="str">
        <x:v>Exclude UniProt Membrane keyword</x:v>
      </x:c>
      <x:c r="P2479" s="11" t="n">
        <x:v>0</x:v>
      </x:c>
      <x:c r="Q2479" s="12" t="str">
        <x:v>AF-Q921I6-F1-model_v6</x:v>
      </x:c>
      <x:c r="R2479" s="12" t="str">
        <x:v>ok</x:v>
      </x:c>
      <x:c r="S2479" s="11" t="n">
        <x:v>1971</x:v>
      </x:c>
      <x:c r="T2479" s="11" t="n">
        <x:v>962</x:v>
      </x:c>
    </x:row>
    <x:row r="2480" ht="23" customHeight="1">
      <x:c r="A2480" s="2" t="str">
        <x:v>Q921I9</x:v>
      </x:c>
      <x:c r="B2480" s="2" t="str">
        <x:v>NED</x:v>
      </x:c>
      <x:c r="C2480" s="2" t="n">
        <x:v>1</x:v>
      </x:c>
      <x:c r="D2480" s="2" t="n">
        <x:v>1</x:v>
      </x:c>
      <x:c r="E2480" s="10" t="n">
        <x:v>91.91395918367346</x:v>
      </x:c>
      <x:c r="F2480" s="11" t="n">
        <x:v>245</x:v>
      </x:c>
      <x:c r="G2480" s="11" t="n">
        <x:v>0</x:v>
      </x:c>
      <x:c r="H2480" s="11" t="n">
        <x:v>0</x:v>
      </x:c>
      <x:c r="I2480" s="11" t="n">
        <x:v>0</x:v>
      </x:c>
      <x:c r="J2480" s="11" t="n">
        <x:v>0</x:v>
      </x:c>
      <x:c r="K2480" s="11" t="n">
        <x:v>1</x:v>
      </x:c>
      <x:c r="L2480" s="11" t="n">
        <x:f>IF(B2480="NED",1,IF(OR(B2480="ED",B2480="UN"),0,""))</x:f>
        <x:v>1</x:v>
      </x:c>
      <x:c r="M2480" s="11" t="n">
        <x:f>IF(AND(K2480=1,OR(B2480="ED",B2480="NED")),1,0)</x:f>
        <x:v>1</x:v>
      </x:c>
      <x:c r="N2480" s="11" t="n">
        <x:f>IF(K2480=1,1,0)</x:f>
        <x:v>1</x:v>
      </x:c>
      <x:c r="O2480" s="12"/>
      <x:c r="P2480" s="11" t="n">
        <x:v>0</x:v>
      </x:c>
      <x:c r="Q2480" s="12" t="str">
        <x:v>AF-Q921I9-F1-model_v6</x:v>
      </x:c>
      <x:c r="R2480" s="12" t="str">
        <x:v>ok</x:v>
      </x:c>
      <x:c r="S2480" s="11" t="n">
        <x:v>1972</x:v>
      </x:c>
      <x:c r="T2480" s="11" t="n">
        <x:v>245</x:v>
      </x:c>
    </x:row>
    <x:row r="2481" ht="23" customHeight="1">
      <x:c r="A2481" s="2" t="str">
        <x:v>Q921J2</x:v>
      </x:c>
      <x:c r="B2481" s="2" t="str">
        <x:v>ED</x:v>
      </x:c>
      <x:c r="C2481" s="2" t="n">
        <x:v>1</x:v>
      </x:c>
      <x:c r="D2481" s="2" t="n">
        <x:v>1</x:v>
      </x:c>
      <x:c r="E2481" s="10"/>
      <x:c r="F2481" s="11" t="n">
        <x:v>184</x:v>
      </x:c>
      <x:c r="G2481" s="11" t="n">
        <x:v>0</x:v>
      </x:c>
      <x:c r="H2481" s="11" t="n">
        <x:v>0</x:v>
      </x:c>
      <x:c r="I2481" s="11" t="n">
        <x:v>1</x:v>
      </x:c>
      <x:c r="J2481" s="11" t="n">
        <x:v>0</x:v>
      </x:c>
      <x:c r="K2481" s="11" t="n">
        <x:v>0</x:v>
      </x:c>
      <x:c r="L2481" s="11" t="n">
        <x:f>IF(B2481="NED",1,IF(OR(B2481="ED",B2481="UN"),0,""))</x:f>
        <x:v>0</x:v>
      </x:c>
      <x:c r="M2481" s="11" t="n">
        <x:f>IF(AND(K2481=1,OR(B2481="ED",B2481="NED")),1,0)</x:f>
        <x:v>0</x:v>
      </x:c>
      <x:c r="N2481" s="11" t="n">
        <x:f>IF(K2481=1,1,0)</x:f>
        <x:v>0</x:v>
      </x:c>
      <x:c r="O2481" s="12" t="str">
        <x:v>Exclude UniProt Membrane keyword</x:v>
      </x:c>
      <x:c r="P2481" s="11" t="n">
        <x:v>0</x:v>
      </x:c>
      <x:c r="Q2481" s="12" t="str">
        <x:v>AF-Q921J2-F1-model_v6</x:v>
      </x:c>
      <x:c r="R2481" s="12" t="str">
        <x:v>ok</x:v>
      </x:c>
      <x:c r="S2481" s="11" t="n">
        <x:v>1973</x:v>
      </x:c>
      <x:c r="T2481" s="11" t="n">
        <x:v>184</x:v>
      </x:c>
    </x:row>
    <x:row r="2482" ht="23" customHeight="1">
      <x:c r="A2482" s="2" t="str">
        <x:v>Q921J4</x:v>
      </x:c>
      <x:c r="B2482" s="2" t="str">
        <x:v>UN</x:v>
      </x:c>
      <x:c r="C2482" s="2" t="n">
        <x:v>0</x:v>
      </x:c>
      <x:c r="D2482" s="2" t="n">
        <x:v>0</x:v>
      </x:c>
      <x:c r="E2482" s="10" t="n">
        <x:v>79.64964125560537</x:v>
      </x:c>
      <x:c r="F2482" s="11" t="n">
        <x:v>223</x:v>
      </x:c>
      <x:c r="G2482" s="11" t="n">
        <x:v>0</x:v>
      </x:c>
      <x:c r="H2482" s="11" t="n">
        <x:v>0</x:v>
      </x:c>
      <x:c r="I2482" s="11" t="n">
        <x:v>0</x:v>
      </x:c>
      <x:c r="J2482" s="11" t="n">
        <x:v>0</x:v>
      </x:c>
      <x:c r="K2482" s="11" t="n">
        <x:v>1</x:v>
      </x:c>
      <x:c r="L2482" s="11" t="n">
        <x:f>IF(B2482="NED",1,IF(OR(B2482="ED",B2482="UN"),0,""))</x:f>
        <x:v>0</x:v>
      </x:c>
      <x:c r="M2482" s="11" t="n">
        <x:f>IF(AND(K2482=1,OR(B2482="ED",B2482="NED")),1,0)</x:f>
        <x:v>0</x:v>
      </x:c>
      <x:c r="N2482" s="11" t="n">
        <x:f>IF(K2482=1,1,0)</x:f>
        <x:v>1</x:v>
      </x:c>
      <x:c r="O2482" s="12"/>
      <x:c r="P2482" s="11" t="n">
        <x:v>0</x:v>
      </x:c>
      <x:c r="Q2482" s="12" t="str">
        <x:v>AF-Q921J4-F1-model_v6</x:v>
      </x:c>
      <x:c r="R2482" s="12" t="str">
        <x:v>ok</x:v>
      </x:c>
      <x:c r="S2482" s="11" t="n">
        <x:v>1974</x:v>
      </x:c>
      <x:c r="T2482" s="11" t="n">
        <x:v>223</x:v>
      </x:c>
    </x:row>
    <x:row r="2483" ht="23" customHeight="1">
      <x:c r="A2483" s="2" t="str">
        <x:v>Q921K2</x:v>
      </x:c>
      <x:c r="B2483" s="2" t="str">
        <x:v>ED</x:v>
      </x:c>
      <x:c r="C2483" s="2"/>
      <x:c r="D2483" s="2"/>
      <x:c r="E2483" s="10"/>
      <x:c r="F2483" s="11"/>
      <x:c r="G2483" s="11" t="n">
        <x:v>0</x:v>
      </x:c>
      <x:c r="H2483" s="11" t="n">
        <x:v>0</x:v>
      </x:c>
      <x:c r="I2483" s="11" t="n">
        <x:v>0</x:v>
      </x:c>
      <x:c r="J2483" s="11" t="n">
        <x:v>0</x:v>
      </x:c>
      <x:c r="K2483" s="11" t="n">
        <x:v>0</x:v>
      </x:c>
      <x:c r="L2483" s="11" t="n">
        <x:f>IF(B2483="NED",1,IF(OR(B2483="ED",B2483="UN"),0,""))</x:f>
        <x:v>0</x:v>
      </x:c>
      <x:c r="M2483" s="11" t="n">
        <x:f>IF(AND(K2483=1,OR(B2483="ED",B2483="NED")),1,0)</x:f>
        <x:v>0</x:v>
      </x:c>
      <x:c r="N2483" s="11" t="n">
        <x:f>IF(K2483=1,1,0)</x:f>
        <x:v>0</x:v>
      </x:c>
      <x:c r="O2483" s="12" t="str">
        <x:v>Require exact native accession match</x:v>
      </x:c>
      <x:c r="P2483" s="11" t="n">
        <x:v>0</x:v>
      </x:c>
      <x:c r="Q2483" s="12"/>
      <x:c r="R2483" s="12"/>
      <x:c r="S2483" s="11" t="n">
        <x:v>3251</x:v>
      </x:c>
      <x:c r="T2483" s="11" t="n">
        <x:v>1014</x:v>
      </x:c>
    </x:row>
    <x:row r="2484" ht="23" customHeight="1">
      <x:c r="A2484" s="2" t="str">
        <x:v>Q921K8</x:v>
      </x:c>
      <x:c r="B2484" s="2" t="str">
        <x:v>UN</x:v>
      </x:c>
      <x:c r="C2484" s="2" t="n">
        <x:v>1</x:v>
      </x:c>
      <x:c r="D2484" s="2" t="n">
        <x:v>1</x:v>
      </x:c>
      <x:c r="E2484" s="10"/>
      <x:c r="F2484" s="11" t="n">
        <x:v>919</x:v>
      </x:c>
      <x:c r="G2484" s="11" t="n">
        <x:v>0</x:v>
      </x:c>
      <x:c r="H2484" s="11" t="n">
        <x:v>0</x:v>
      </x:c>
      <x:c r="I2484" s="11" t="n">
        <x:v>1</x:v>
      </x:c>
      <x:c r="J2484" s="11" t="n">
        <x:v>0</x:v>
      </x:c>
      <x:c r="K2484" s="11" t="n">
        <x:v>0</x:v>
      </x:c>
      <x:c r="L2484" s="11" t="n">
        <x:f>IF(B2484="NED",1,IF(OR(B2484="ED",B2484="UN"),0,""))</x:f>
        <x:v>0</x:v>
      </x:c>
      <x:c r="M2484" s="11" t="n">
        <x:f>IF(AND(K2484=1,OR(B2484="ED",B2484="NED")),1,0)</x:f>
        <x:v>0</x:v>
      </x:c>
      <x:c r="N2484" s="11" t="n">
        <x:f>IF(K2484=1,1,0)</x:f>
        <x:v>0</x:v>
      </x:c>
      <x:c r="O2484" s="12" t="str">
        <x:v>Exclude UniProt Membrane keyword</x:v>
      </x:c>
      <x:c r="P2484" s="11" t="n">
        <x:v>0</x:v>
      </x:c>
      <x:c r="Q2484" s="12" t="str">
        <x:v>AF-Q921K8-F1-model_v6</x:v>
      </x:c>
      <x:c r="R2484" s="12" t="str">
        <x:v>ok</x:v>
      </x:c>
      <x:c r="S2484" s="11" t="n">
        <x:v>1975</x:v>
      </x:c>
      <x:c r="T2484" s="11" t="n">
        <x:v>919</x:v>
      </x:c>
    </x:row>
    <x:row r="2485" ht="23" customHeight="1">
      <x:c r="A2485" s="2" t="str">
        <x:v>Q921M3</x:v>
      </x:c>
      <x:c r="B2485" s="2" t="str">
        <x:v>UN</x:v>
      </x:c>
      <x:c r="C2485" s="2" t="n">
        <x:v>1</x:v>
      </x:c>
      <x:c r="D2485" s="2" t="n">
        <x:v>1</x:v>
      </x:c>
      <x:c r="E2485" s="10" t="n">
        <x:v>92.58650780608052</x:v>
      </x:c>
      <x:c r="F2485" s="11" t="n">
        <x:v>1217</x:v>
      </x:c>
      <x:c r="G2485" s="11" t="n">
        <x:v>0</x:v>
      </x:c>
      <x:c r="H2485" s="11" t="n">
        <x:v>0</x:v>
      </x:c>
      <x:c r="I2485" s="11" t="n">
        <x:v>0</x:v>
      </x:c>
      <x:c r="J2485" s="11" t="n">
        <x:v>0</x:v>
      </x:c>
      <x:c r="K2485" s="11" t="n">
        <x:v>1</x:v>
      </x:c>
      <x:c r="L2485" s="11" t="n">
        <x:f>IF(B2485="NED",1,IF(OR(B2485="ED",B2485="UN"),0,""))</x:f>
        <x:v>0</x:v>
      </x:c>
      <x:c r="M2485" s="11" t="n">
        <x:f>IF(AND(K2485=1,OR(B2485="ED",B2485="NED")),1,0)</x:f>
        <x:v>0</x:v>
      </x:c>
      <x:c r="N2485" s="11" t="n">
        <x:f>IF(K2485=1,1,0)</x:f>
        <x:v>1</x:v>
      </x:c>
      <x:c r="O2485" s="12"/>
      <x:c r="P2485" s="11" t="n">
        <x:v>0</x:v>
      </x:c>
      <x:c r="Q2485" s="12" t="str">
        <x:v>AF-Q921M3-F1-model_v6</x:v>
      </x:c>
      <x:c r="R2485" s="12" t="str">
        <x:v>ok</x:v>
      </x:c>
      <x:c r="S2485" s="11" t="n">
        <x:v>1976</x:v>
      </x:c>
      <x:c r="T2485" s="11" t="n">
        <x:v>1217</x:v>
      </x:c>
    </x:row>
    <x:row r="2486" ht="23" customHeight="1">
      <x:c r="A2486" s="2" t="str">
        <x:v>Q921M7</x:v>
      </x:c>
      <x:c r="B2486" s="2" t="str">
        <x:v>UN</x:v>
      </x:c>
      <x:c r="C2486" s="2" t="n">
        <x:v>0</x:v>
      </x:c>
      <x:c r="D2486" s="2" t="n">
        <x:v>0</x:v>
      </x:c>
      <x:c r="E2486" s="10"/>
      <x:c r="F2486" s="11" t="n">
        <x:v>324</x:v>
      </x:c>
      <x:c r="G2486" s="11" t="n">
        <x:v>0</x:v>
      </x:c>
      <x:c r="H2486" s="11" t="n">
        <x:v>0</x:v>
      </x:c>
      <x:c r="I2486" s="11" t="n">
        <x:v>1</x:v>
      </x:c>
      <x:c r="J2486" s="11" t="n">
        <x:v>0</x:v>
      </x:c>
      <x:c r="K2486" s="11" t="n">
        <x:v>0</x:v>
      </x:c>
      <x:c r="L2486" s="11" t="n">
        <x:f>IF(B2486="NED",1,IF(OR(B2486="ED",B2486="UN"),0,""))</x:f>
        <x:v>0</x:v>
      </x:c>
      <x:c r="M2486" s="11" t="n">
        <x:f>IF(AND(K2486=1,OR(B2486="ED",B2486="NED")),1,0)</x:f>
        <x:v>0</x:v>
      </x:c>
      <x:c r="N2486" s="11" t="n">
        <x:f>IF(K2486=1,1,0)</x:f>
        <x:v>0</x:v>
      </x:c>
      <x:c r="O2486" s="12" t="str">
        <x:v>Exclude UniProt Membrane keyword</x:v>
      </x:c>
      <x:c r="P2486" s="11" t="n">
        <x:v>0</x:v>
      </x:c>
      <x:c r="Q2486" s="12" t="str">
        <x:v>AF-Q921M7-F1-model_v6</x:v>
      </x:c>
      <x:c r="R2486" s="12" t="str">
        <x:v>ok</x:v>
      </x:c>
      <x:c r="S2486" s="11" t="n">
        <x:v>1977</x:v>
      </x:c>
      <x:c r="T2486" s="11" t="n">
        <x:v>324</x:v>
      </x:c>
    </x:row>
    <x:row r="2487" ht="23" customHeight="1">
      <x:c r="A2487" s="2" t="str">
        <x:v>Q921N6</x:v>
      </x:c>
      <x:c r="B2487" s="2" t="str">
        <x:v>UN</x:v>
      </x:c>
      <x:c r="C2487" s="2" t="n">
        <x:v>1</x:v>
      </x:c>
      <x:c r="D2487" s="2" t="n">
        <x:v>1</x:v>
      </x:c>
      <x:c r="E2487" s="10" t="n">
        <x:v>72.35101315789473</x:v>
      </x:c>
      <x:c r="F2487" s="11" t="n">
        <x:v>760</x:v>
      </x:c>
      <x:c r="G2487" s="11" t="n">
        <x:v>0</x:v>
      </x:c>
      <x:c r="H2487" s="11" t="n">
        <x:v>0</x:v>
      </x:c>
      <x:c r="I2487" s="11" t="n">
        <x:v>0</x:v>
      </x:c>
      <x:c r="J2487" s="11" t="n">
        <x:v>0</x:v>
      </x:c>
      <x:c r="K2487" s="11" t="n">
        <x:v>1</x:v>
      </x:c>
      <x:c r="L2487" s="11" t="n">
        <x:f>IF(B2487="NED",1,IF(OR(B2487="ED",B2487="UN"),0,""))</x:f>
        <x:v>0</x:v>
      </x:c>
      <x:c r="M2487" s="11" t="n">
        <x:f>IF(AND(K2487=1,OR(B2487="ED",B2487="NED")),1,0)</x:f>
        <x:v>0</x:v>
      </x:c>
      <x:c r="N2487" s="11" t="n">
        <x:f>IF(K2487=1,1,0)</x:f>
        <x:v>1</x:v>
      </x:c>
      <x:c r="O2487" s="12"/>
      <x:c r="P2487" s="11" t="n">
        <x:v>0</x:v>
      </x:c>
      <x:c r="Q2487" s="12" t="str">
        <x:v>AF-Q921N6-F1-model_v6</x:v>
      </x:c>
      <x:c r="R2487" s="12" t="str">
        <x:v>ok</x:v>
      </x:c>
      <x:c r="S2487" s="11" t="n">
        <x:v>1978</x:v>
      </x:c>
      <x:c r="T2487" s="11" t="n">
        <x:v>760</x:v>
      </x:c>
    </x:row>
    <x:row r="2488" ht="23" customHeight="1">
      <x:c r="A2488" s="2" t="str">
        <x:v>Q921Q7</x:v>
      </x:c>
      <x:c r="B2488" s="2" t="str">
        <x:v>UN</x:v>
      </x:c>
      <x:c r="C2488" s="2" t="n">
        <x:v>1</x:v>
      </x:c>
      <x:c r="D2488" s="2" t="n">
        <x:v>1</x:v>
      </x:c>
      <x:c r="E2488" s="10"/>
      <x:c r="F2488" s="11" t="n">
        <x:v>763</x:v>
      </x:c>
      <x:c r="G2488" s="11" t="n">
        <x:v>0</x:v>
      </x:c>
      <x:c r="H2488" s="11" t="n">
        <x:v>0</x:v>
      </x:c>
      <x:c r="I2488" s="11" t="n">
        <x:v>1</x:v>
      </x:c>
      <x:c r="J2488" s="11" t="n">
        <x:v>0</x:v>
      </x:c>
      <x:c r="K2488" s="11" t="n">
        <x:v>0</x:v>
      </x:c>
      <x:c r="L2488" s="11" t="n">
        <x:f>IF(B2488="NED",1,IF(OR(B2488="ED",B2488="UN"),0,""))</x:f>
        <x:v>0</x:v>
      </x:c>
      <x:c r="M2488" s="11" t="n">
        <x:f>IF(AND(K2488=1,OR(B2488="ED",B2488="NED")),1,0)</x:f>
        <x:v>0</x:v>
      </x:c>
      <x:c r="N2488" s="11" t="n">
        <x:f>IF(K2488=1,1,0)</x:f>
        <x:v>0</x:v>
      </x:c>
      <x:c r="O2488" s="12" t="str">
        <x:v>Exclude UniProt Membrane keyword</x:v>
      </x:c>
      <x:c r="P2488" s="11" t="n">
        <x:v>0</x:v>
      </x:c>
      <x:c r="Q2488" s="12" t="str">
        <x:v>AF-Q921Q7-F1-model_v6</x:v>
      </x:c>
      <x:c r="R2488" s="12" t="str">
        <x:v>ok</x:v>
      </x:c>
      <x:c r="S2488" s="11" t="n">
        <x:v>1979</x:v>
      </x:c>
      <x:c r="T2488" s="11" t="n">
        <x:v>763</x:v>
      </x:c>
    </x:row>
    <x:row r="2489" ht="23" customHeight="1">
      <x:c r="A2489" s="2" t="str">
        <x:v>Q921T2</x:v>
      </x:c>
      <x:c r="B2489" s="2" t="str">
        <x:v>ED</x:v>
      </x:c>
      <x:c r="C2489" s="2"/>
      <x:c r="D2489" s="2"/>
      <x:c r="E2489" s="10"/>
      <x:c r="F2489" s="11" t="n">
        <x:v>595</x:v>
      </x:c>
      <x:c r="G2489" s="11" t="n">
        <x:v>0</x:v>
      </x:c>
      <x:c r="H2489" s="11" t="n">
        <x:v>1</x:v>
      </x:c>
      <x:c r="I2489" s="11" t="n">
        <x:v>1</x:v>
      </x:c>
      <x:c r="J2489" s="11" t="n">
        <x:v>0</x:v>
      </x:c>
      <x:c r="K2489" s="11" t="n">
        <x:v>0</x:v>
      </x:c>
      <x:c r="L2489" s="11" t="n">
        <x:f>IF(B2489="NED",1,IF(OR(B2489="ED",B2489="UN"),0,""))</x:f>
        <x:v>0</x:v>
      </x:c>
      <x:c r="M2489" s="11" t="n">
        <x:f>IF(AND(K2489=1,OR(B2489="ED",B2489="NED")),1,0)</x:f>
        <x:v>0</x:v>
      </x:c>
      <x:c r="N2489" s="11" t="n">
        <x:f>IF(K2489=1,1,0)</x:f>
        <x:v>0</x:v>
      </x:c>
      <x:c r="O2489" s="12" t="str">
        <x:v>Require binary native NCLE status</x:v>
      </x:c>
      <x:c r="P2489" s="11" t="n">
        <x:v>0</x:v>
      </x:c>
      <x:c r="Q2489" s="12" t="str">
        <x:v>AF-Q921T2-F1-model_v6</x:v>
      </x:c>
      <x:c r="R2489" s="12" t="str">
        <x:v>ok</x:v>
      </x:c>
      <x:c r="S2489" s="11" t="n">
        <x:v>1980</x:v>
      </x:c>
      <x:c r="T2489" s="11" t="n">
        <x:v>595</x:v>
      </x:c>
    </x:row>
    <x:row r="2490" ht="23" customHeight="1">
      <x:c r="A2490" s="2" t="str">
        <x:v>Q921U8-2</x:v>
      </x:c>
      <x:c r="B2490" s="2" t="str">
        <x:v>ED</x:v>
      </x:c>
      <x:c r="C2490" s="2"/>
      <x:c r="D2490" s="2"/>
      <x:c r="E2490" s="10"/>
      <x:c r="F2490" s="11"/>
      <x:c r="G2490" s="11" t="n">
        <x:v>0</x:v>
      </x:c>
      <x:c r="H2490" s="11" t="n">
        <x:v>0</x:v>
      </x:c>
      <x:c r="I2490" s="11"/>
      <x:c r="J2490" s="11"/>
      <x:c r="K2490" s="11" t="n">
        <x:v>0</x:v>
      </x:c>
      <x:c r="L2490" s="11" t="n">
        <x:f>IF(B2490="NED",1,IF(OR(B2490="ED",B2490="UN"),0,""))</x:f>
        <x:v>0</x:v>
      </x:c>
      <x:c r="M2490" s="11" t="n">
        <x:f>IF(AND(K2490=1,OR(B2490="ED",B2490="NED")),1,0)</x:f>
        <x:v>0</x:v>
      </x:c>
      <x:c r="N2490" s="11" t="n">
        <x:f>IF(K2490=1,1,0)</x:f>
        <x:v>0</x:v>
      </x:c>
      <x:c r="O2490" s="12" t="str">
        <x:v>Require exact native accession match</x:v>
      </x:c>
      <x:c r="P2490" s="11" t="n">
        <x:v>0</x:v>
      </x:c>
      <x:c r="Q2490" s="12"/>
      <x:c r="R2490" s="12"/>
      <x:c r="S2490" s="11" t="n">
        <x:v>1981</x:v>
      </x:c>
      <x:c r="T2490" s="11"/>
    </x:row>
    <x:row r="2491" ht="23" customHeight="1">
      <x:c r="A2491" s="2" t="str">
        <x:v>Q921W4</x:v>
      </x:c>
      <x:c r="B2491" s="2" t="str">
        <x:v>UN</x:v>
      </x:c>
      <x:c r="C2491" s="2" t="n">
        <x:v>1</x:v>
      </x:c>
      <x:c r="D2491" s="2" t="n">
        <x:v>1</x:v>
      </x:c>
      <x:c r="E2491" s="10" t="n">
        <x:v>91.6839367816092</x:v>
      </x:c>
      <x:c r="F2491" s="11" t="n">
        <x:v>348</x:v>
      </x:c>
      <x:c r="G2491" s="11" t="n">
        <x:v>0</x:v>
      </x:c>
      <x:c r="H2491" s="11" t="n">
        <x:v>0</x:v>
      </x:c>
      <x:c r="I2491" s="11" t="n">
        <x:v>0</x:v>
      </x:c>
      <x:c r="J2491" s="11" t="n">
        <x:v>0</x:v>
      </x:c>
      <x:c r="K2491" s="11" t="n">
        <x:v>1</x:v>
      </x:c>
      <x:c r="L2491" s="11" t="n">
        <x:f>IF(B2491="NED",1,IF(OR(B2491="ED",B2491="UN"),0,""))</x:f>
        <x:v>0</x:v>
      </x:c>
      <x:c r="M2491" s="11" t="n">
        <x:f>IF(AND(K2491=1,OR(B2491="ED",B2491="NED")),1,0)</x:f>
        <x:v>0</x:v>
      </x:c>
      <x:c r="N2491" s="11" t="n">
        <x:f>IF(K2491=1,1,0)</x:f>
        <x:v>1</x:v>
      </x:c>
      <x:c r="O2491" s="12"/>
      <x:c r="P2491" s="11" t="n">
        <x:v>0</x:v>
      </x:c>
      <x:c r="Q2491" s="12" t="str">
        <x:v>AF-Q921W4-F1-model_v6</x:v>
      </x:c>
      <x:c r="R2491" s="12" t="str">
        <x:v>ok</x:v>
      </x:c>
      <x:c r="S2491" s="11" t="n">
        <x:v>1982</x:v>
      </x:c>
      <x:c r="T2491" s="11" t="n">
        <x:v>348</x:v>
      </x:c>
    </x:row>
    <x:row r="2492" ht="23" customHeight="1">
      <x:c r="A2492" s="2" t="str">
        <x:v>Q921X9</x:v>
      </x:c>
      <x:c r="B2492" s="2" t="str">
        <x:v>UN</x:v>
      </x:c>
      <x:c r="C2492" s="2" t="n">
        <x:v>1</x:v>
      </x:c>
      <x:c r="D2492" s="2" t="n">
        <x:v>1</x:v>
      </x:c>
      <x:c r="E2492" s="10" t="n">
        <x:v>90.55251450676982</x:v>
      </x:c>
      <x:c r="F2492" s="11" t="n">
        <x:v>517</x:v>
      </x:c>
      <x:c r="G2492" s="11" t="n">
        <x:v>0</x:v>
      </x:c>
      <x:c r="H2492" s="11" t="n">
        <x:v>0</x:v>
      </x:c>
      <x:c r="I2492" s="11" t="n">
        <x:v>0</x:v>
      </x:c>
      <x:c r="J2492" s="11" t="n">
        <x:v>0</x:v>
      </x:c>
      <x:c r="K2492" s="11" t="n">
        <x:v>1</x:v>
      </x:c>
      <x:c r="L2492" s="11" t="n">
        <x:f>IF(B2492="NED",1,IF(OR(B2492="ED",B2492="UN"),0,""))</x:f>
        <x:v>0</x:v>
      </x:c>
      <x:c r="M2492" s="11" t="n">
        <x:f>IF(AND(K2492=1,OR(B2492="ED",B2492="NED")),1,0)</x:f>
        <x:v>0</x:v>
      </x:c>
      <x:c r="N2492" s="11" t="n">
        <x:f>IF(K2492=1,1,0)</x:f>
        <x:v>1</x:v>
      </x:c>
      <x:c r="O2492" s="12"/>
      <x:c r="P2492" s="11" t="n">
        <x:v>0</x:v>
      </x:c>
      <x:c r="Q2492" s="12" t="str">
        <x:v>AF-Q921X9-F1-model_v6</x:v>
      </x:c>
      <x:c r="R2492" s="12" t="str">
        <x:v>ok</x:v>
      </x:c>
      <x:c r="S2492" s="11" t="n">
        <x:v>1983</x:v>
      </x:c>
      <x:c r="T2492" s="11" t="n">
        <x:v>517</x:v>
      </x:c>
    </x:row>
    <x:row r="2493" ht="23" customHeight="1">
      <x:c r="A2493" s="2" t="str">
        <x:v>Q921Y0</x:v>
      </x:c>
      <x:c r="B2493" s="2" t="str">
        <x:v>ED</x:v>
      </x:c>
      <x:c r="C2493" s="2" t="n">
        <x:v>0</x:v>
      </x:c>
      <x:c r="D2493" s="2" t="n">
        <x:v>0</x:v>
      </x:c>
      <x:c r="E2493" s="10" t="n">
        <x:v>87.99986111111112</x:v>
      </x:c>
      <x:c r="F2493" s="11" t="n">
        <x:v>216</x:v>
      </x:c>
      <x:c r="G2493" s="11" t="n">
        <x:v>0</x:v>
      </x:c>
      <x:c r="H2493" s="11" t="n">
        <x:v>0</x:v>
      </x:c>
      <x:c r="I2493" s="11" t="n">
        <x:v>0</x:v>
      </x:c>
      <x:c r="J2493" s="11" t="n">
        <x:v>0</x:v>
      </x:c>
      <x:c r="K2493" s="11" t="n">
        <x:v>1</x:v>
      </x:c>
      <x:c r="L2493" s="11" t="n">
        <x:f>IF(B2493="NED",1,IF(OR(B2493="ED",B2493="UN"),0,""))</x:f>
        <x:v>0</x:v>
      </x:c>
      <x:c r="M2493" s="11" t="n">
        <x:f>IF(AND(K2493=1,OR(B2493="ED",B2493="NED")),1,0)</x:f>
        <x:v>1</x:v>
      </x:c>
      <x:c r="N2493" s="11" t="n">
        <x:f>IF(K2493=1,1,0)</x:f>
        <x:v>1</x:v>
      </x:c>
      <x:c r="O2493" s="12"/>
      <x:c r="P2493" s="11" t="n">
        <x:v>0</x:v>
      </x:c>
      <x:c r="Q2493" s="12" t="str">
        <x:v>AF-Q921Y0-F1-model_v6</x:v>
      </x:c>
      <x:c r="R2493" s="12" t="str">
        <x:v>ok</x:v>
      </x:c>
      <x:c r="S2493" s="11" t="n">
        <x:v>1984</x:v>
      </x:c>
      <x:c r="T2493" s="11" t="n">
        <x:v>216</x:v>
      </x:c>
    </x:row>
    <x:row r="2494" ht="23" customHeight="1">
      <x:c r="A2494" s="2" t="str">
        <x:v>Q922B2</x:v>
      </x:c>
      <x:c r="B2494" s="2" t="str">
        <x:v>ED</x:v>
      </x:c>
      <x:c r="C2494" s="2" t="n">
        <x:v>1</x:v>
      </x:c>
      <x:c r="D2494" s="2" t="n">
        <x:v>1</x:v>
      </x:c>
      <x:c r="E2494" s="10" t="n">
        <x:v>93.09187624750498</x:v>
      </x:c>
      <x:c r="F2494" s="11" t="n">
        <x:v>501</x:v>
      </x:c>
      <x:c r="G2494" s="11" t="n">
        <x:v>0</x:v>
      </x:c>
      <x:c r="H2494" s="11" t="n">
        <x:v>0</x:v>
      </x:c>
      <x:c r="I2494" s="11" t="n">
        <x:v>0</x:v>
      </x:c>
      <x:c r="J2494" s="11" t="n">
        <x:v>0</x:v>
      </x:c>
      <x:c r="K2494" s="11" t="n">
        <x:v>1</x:v>
      </x:c>
      <x:c r="L2494" s="11" t="n">
        <x:f>IF(B2494="NED",1,IF(OR(B2494="ED",B2494="UN"),0,""))</x:f>
        <x:v>0</x:v>
      </x:c>
      <x:c r="M2494" s="11" t="n">
        <x:f>IF(AND(K2494=1,OR(B2494="ED",B2494="NED")),1,0)</x:f>
        <x:v>1</x:v>
      </x:c>
      <x:c r="N2494" s="11" t="n">
        <x:f>IF(K2494=1,1,0)</x:f>
        <x:v>1</x:v>
      </x:c>
      <x:c r="O2494" s="12"/>
      <x:c r="P2494" s="11" t="n">
        <x:v>0</x:v>
      </x:c>
      <x:c r="Q2494" s="12" t="str">
        <x:v>AF-Q922B2-F1-model_v6</x:v>
      </x:c>
      <x:c r="R2494" s="12" t="str">
        <x:v>ok</x:v>
      </x:c>
      <x:c r="S2494" s="11" t="n">
        <x:v>1985</x:v>
      </x:c>
      <x:c r="T2494" s="11" t="n">
        <x:v>501</x:v>
      </x:c>
    </x:row>
    <x:row r="2495" ht="23" customHeight="1">
      <x:c r="A2495" s="2" t="str">
        <x:v>Q922D4-2</x:v>
      </x:c>
      <x:c r="B2495" s="2" t="str">
        <x:v>UN</x:v>
      </x:c>
      <x:c r="C2495" s="2"/>
      <x:c r="D2495" s="2"/>
      <x:c r="E2495" s="10"/>
      <x:c r="F2495" s="11"/>
      <x:c r="G2495" s="11" t="n">
        <x:v>0</x:v>
      </x:c>
      <x:c r="H2495" s="11" t="n">
        <x:v>0</x:v>
      </x:c>
      <x:c r="I2495" s="11"/>
      <x:c r="J2495" s="11"/>
      <x:c r="K2495" s="11" t="n">
        <x:v>0</x:v>
      </x:c>
      <x:c r="L2495" s="11" t="n">
        <x:f>IF(B2495="NED",1,IF(OR(B2495="ED",B2495="UN"),0,""))</x:f>
        <x:v>0</x:v>
      </x:c>
      <x:c r="M2495" s="11" t="n">
        <x:f>IF(AND(K2495=1,OR(B2495="ED",B2495="NED")),1,0)</x:f>
        <x:v>0</x:v>
      </x:c>
      <x:c r="N2495" s="11" t="n">
        <x:f>IF(K2495=1,1,0)</x:f>
        <x:v>0</x:v>
      </x:c>
      <x:c r="O2495" s="12" t="str">
        <x:v>Require exact native accession match</x:v>
      </x:c>
      <x:c r="P2495" s="11" t="n">
        <x:v>0</x:v>
      </x:c>
      <x:c r="Q2495" s="12"/>
      <x:c r="R2495" s="12"/>
      <x:c r="S2495" s="11" t="n">
        <x:v>1986</x:v>
      </x:c>
      <x:c r="T2495" s="11"/>
    </x:row>
    <x:row r="2496" ht="23" customHeight="1">
      <x:c r="A2496" s="2" t="str">
        <x:v>Q922D8</x:v>
      </x:c>
      <x:c r="B2496" s="2" t="str">
        <x:v>UN</x:v>
      </x:c>
      <x:c r="C2496" s="2" t="n">
        <x:v>1</x:v>
      </x:c>
      <x:c r="D2496" s="2" t="n">
        <x:v>1</x:v>
      </x:c>
      <x:c r="E2496" s="10" t="n">
        <x:v>94.32372192513368</x:v>
      </x:c>
      <x:c r="F2496" s="11" t="n">
        <x:v>935</x:v>
      </x:c>
      <x:c r="G2496" s="11" t="n">
        <x:v>0</x:v>
      </x:c>
      <x:c r="H2496" s="11" t="n">
        <x:v>0</x:v>
      </x:c>
      <x:c r="I2496" s="11" t="n">
        <x:v>0</x:v>
      </x:c>
      <x:c r="J2496" s="11" t="n">
        <x:v>0</x:v>
      </x:c>
      <x:c r="K2496" s="11" t="n">
        <x:v>1</x:v>
      </x:c>
      <x:c r="L2496" s="11" t="n">
        <x:f>IF(B2496="NED",1,IF(OR(B2496="ED",B2496="UN"),0,""))</x:f>
        <x:v>0</x:v>
      </x:c>
      <x:c r="M2496" s="11" t="n">
        <x:f>IF(AND(K2496=1,OR(B2496="ED",B2496="NED")),1,0)</x:f>
        <x:v>0</x:v>
      </x:c>
      <x:c r="N2496" s="11" t="n">
        <x:f>IF(K2496=1,1,0)</x:f>
        <x:v>1</x:v>
      </x:c>
      <x:c r="O2496" s="12"/>
      <x:c r="P2496" s="11" t="n">
        <x:v>0</x:v>
      </x:c>
      <x:c r="Q2496" s="12" t="str">
        <x:v>AF-Q922D8-F1-model_v6</x:v>
      </x:c>
      <x:c r="R2496" s="12" t="str">
        <x:v>ok</x:v>
      </x:c>
      <x:c r="S2496" s="11" t="n">
        <x:v>1987</x:v>
      </x:c>
      <x:c r="T2496" s="11" t="n">
        <x:v>935</x:v>
      </x:c>
    </x:row>
    <x:row r="2497" ht="23" customHeight="1">
      <x:c r="A2497" s="2" t="str">
        <x:v>Q922F4</x:v>
      </x:c>
      <x:c r="B2497" s="2" t="str">
        <x:v>UN</x:v>
      </x:c>
      <x:c r="C2497" s="2" t="n">
        <x:v>1</x:v>
      </x:c>
      <x:c r="D2497" s="2" t="n">
        <x:v>1</x:v>
      </x:c>
      <x:c r="E2497" s="10" t="n">
        <x:v>91.84937360178972</x:v>
      </x:c>
      <x:c r="F2497" s="11" t="n">
        <x:v>447</x:v>
      </x:c>
      <x:c r="G2497" s="11" t="n">
        <x:v>0</x:v>
      </x:c>
      <x:c r="H2497" s="11" t="n">
        <x:v>0</x:v>
      </x:c>
      <x:c r="I2497" s="11" t="n">
        <x:v>0</x:v>
      </x:c>
      <x:c r="J2497" s="11" t="n">
        <x:v>0</x:v>
      </x:c>
      <x:c r="K2497" s="11" t="n">
        <x:v>1</x:v>
      </x:c>
      <x:c r="L2497" s="11" t="n">
        <x:f>IF(B2497="NED",1,IF(OR(B2497="ED",B2497="UN"),0,""))</x:f>
        <x:v>0</x:v>
      </x:c>
      <x:c r="M2497" s="11" t="n">
        <x:f>IF(AND(K2497=1,OR(B2497="ED",B2497="NED")),1,0)</x:f>
        <x:v>0</x:v>
      </x:c>
      <x:c r="N2497" s="11" t="n">
        <x:f>IF(K2497=1,1,0)</x:f>
        <x:v>1</x:v>
      </x:c>
      <x:c r="O2497" s="12"/>
      <x:c r="P2497" s="11" t="n">
        <x:v>0</x:v>
      </x:c>
      <x:c r="Q2497" s="12" t="str">
        <x:v>AF-Q922F4-F1-model_v6</x:v>
      </x:c>
      <x:c r="R2497" s="12" t="str">
        <x:v>ok</x:v>
      </x:c>
      <x:c r="S2497" s="11" t="n">
        <x:v>1988</x:v>
      </x:c>
      <x:c r="T2497" s="11" t="n">
        <x:v>447</x:v>
      </x:c>
    </x:row>
    <x:row r="2498" ht="23" customHeight="1">
      <x:c r="A2498" s="2" t="str">
        <x:v>Q922H1-2</x:v>
      </x:c>
      <x:c r="B2498" s="2" t="str">
        <x:v>ED</x:v>
      </x:c>
      <x:c r="C2498" s="2"/>
      <x:c r="D2498" s="2"/>
      <x:c r="E2498" s="10"/>
      <x:c r="F2498" s="11"/>
      <x:c r="G2498" s="11" t="n">
        <x:v>0</x:v>
      </x:c>
      <x:c r="H2498" s="11" t="n">
        <x:v>0</x:v>
      </x:c>
      <x:c r="I2498" s="11"/>
      <x:c r="J2498" s="11"/>
      <x:c r="K2498" s="11" t="n">
        <x:v>0</x:v>
      </x:c>
      <x:c r="L2498" s="11" t="n">
        <x:f>IF(B2498="NED",1,IF(OR(B2498="ED",B2498="UN"),0,""))</x:f>
        <x:v>0</x:v>
      </x:c>
      <x:c r="M2498" s="11" t="n">
        <x:f>IF(AND(K2498=1,OR(B2498="ED",B2498="NED")),1,0)</x:f>
        <x:v>0</x:v>
      </x:c>
      <x:c r="N2498" s="11" t="n">
        <x:f>IF(K2498=1,1,0)</x:f>
        <x:v>0</x:v>
      </x:c>
      <x:c r="O2498" s="12" t="str">
        <x:v>Require exact native accession match</x:v>
      </x:c>
      <x:c r="P2498" s="11" t="n">
        <x:v>0</x:v>
      </x:c>
      <x:c r="Q2498" s="12"/>
      <x:c r="R2498" s="12"/>
      <x:c r="S2498" s="11" t="n">
        <x:v>1989</x:v>
      </x:c>
      <x:c r="T2498" s="11"/>
    </x:row>
    <x:row r="2499" ht="23" customHeight="1">
      <x:c r="A2499" s="2" t="str">
        <x:v>Q922H2</x:v>
      </x:c>
      <x:c r="B2499" s="2" t="str">
        <x:v>ED</x:v>
      </x:c>
      <x:c r="C2499" s="2" t="n">
        <x:v>1</x:v>
      </x:c>
      <x:c r="D2499" s="2" t="n">
        <x:v>1</x:v>
      </x:c>
      <x:c r="E2499" s="10" t="n">
        <x:v>90.4332530120482</x:v>
      </x:c>
      <x:c r="F2499" s="11" t="n">
        <x:v>415</x:v>
      </x:c>
      <x:c r="G2499" s="11" t="n">
        <x:v>0</x:v>
      </x:c>
      <x:c r="H2499" s="11" t="n">
        <x:v>0</x:v>
      </x:c>
      <x:c r="I2499" s="11" t="n">
        <x:v>0</x:v>
      </x:c>
      <x:c r="J2499" s="11" t="n">
        <x:v>0</x:v>
      </x:c>
      <x:c r="K2499" s="11" t="n">
        <x:v>1</x:v>
      </x:c>
      <x:c r="L2499" s="11" t="n">
        <x:f>IF(B2499="NED",1,IF(OR(B2499="ED",B2499="UN"),0,""))</x:f>
        <x:v>0</x:v>
      </x:c>
      <x:c r="M2499" s="11" t="n">
        <x:f>IF(AND(K2499=1,OR(B2499="ED",B2499="NED")),1,0)</x:f>
        <x:v>1</x:v>
      </x:c>
      <x:c r="N2499" s="11" t="n">
        <x:f>IF(K2499=1,1,0)</x:f>
        <x:v>1</x:v>
      </x:c>
      <x:c r="O2499" s="12"/>
      <x:c r="P2499" s="11" t="n">
        <x:v>0</x:v>
      </x:c>
      <x:c r="Q2499" s="12" t="str">
        <x:v>AF-Q922H2-F1-model_v6</x:v>
      </x:c>
      <x:c r="R2499" s="12" t="str">
        <x:v>ok</x:v>
      </x:c>
      <x:c r="S2499" s="11" t="n">
        <x:v>1990</x:v>
      </x:c>
      <x:c r="T2499" s="11" t="n">
        <x:v>415</x:v>
      </x:c>
    </x:row>
    <x:row r="2500" ht="23" customHeight="1">
      <x:c r="A2500" s="2" t="str">
        <x:v>Q922H4</x:v>
      </x:c>
      <x:c r="B2500" s="2" t="str">
        <x:v>UN</x:v>
      </x:c>
      <x:c r="C2500" s="2" t="n">
        <x:v>1</x:v>
      </x:c>
      <x:c r="D2500" s="2" t="n">
        <x:v>1</x:v>
      </x:c>
      <x:c r="E2500" s="10" t="n">
        <x:v>93.46778571428572</x:v>
      </x:c>
      <x:c r="F2500" s="11" t="n">
        <x:v>420</x:v>
      </x:c>
      <x:c r="G2500" s="11" t="n">
        <x:v>0</x:v>
      </x:c>
      <x:c r="H2500" s="11" t="n">
        <x:v>0</x:v>
      </x:c>
      <x:c r="I2500" s="11" t="n">
        <x:v>0</x:v>
      </x:c>
      <x:c r="J2500" s="11" t="n">
        <x:v>0</x:v>
      </x:c>
      <x:c r="K2500" s="11" t="n">
        <x:v>1</x:v>
      </x:c>
      <x:c r="L2500" s="11" t="n">
        <x:f>IF(B2500="NED",1,IF(OR(B2500="ED",B2500="UN"),0,""))</x:f>
        <x:v>0</x:v>
      </x:c>
      <x:c r="M2500" s="11" t="n">
        <x:f>IF(AND(K2500=1,OR(B2500="ED",B2500="NED")),1,0)</x:f>
        <x:v>0</x:v>
      </x:c>
      <x:c r="N2500" s="11" t="n">
        <x:f>IF(K2500=1,1,0)</x:f>
        <x:v>1</x:v>
      </x:c>
      <x:c r="O2500" s="12"/>
      <x:c r="P2500" s="11" t="n">
        <x:v>0</x:v>
      </x:c>
      <x:c r="Q2500" s="12" t="str">
        <x:v>AF-Q922H4-F1-model_v6</x:v>
      </x:c>
      <x:c r="R2500" s="12" t="str">
        <x:v>ok</x:v>
      </x:c>
      <x:c r="S2500" s="11" t="n">
        <x:v>1991</x:v>
      </x:c>
      <x:c r="T2500" s="11" t="n">
        <x:v>420</x:v>
      </x:c>
    </x:row>
    <x:row r="2501" ht="23" customHeight="1">
      <x:c r="A2501" s="2" t="str">
        <x:v>Q922J3</x:v>
      </x:c>
      <x:c r="B2501" s="2" t="str">
        <x:v>ED</x:v>
      </x:c>
      <x:c r="C2501" s="2" t="n">
        <x:v>1</x:v>
      </x:c>
      <x:c r="D2501" s="2" t="n">
        <x:v>1</x:v>
      </x:c>
      <x:c r="E2501" s="10"/>
      <x:c r="F2501" s="11" t="n">
        <x:v>1391</x:v>
      </x:c>
      <x:c r="G2501" s="11" t="n">
        <x:v>0</x:v>
      </x:c>
      <x:c r="H2501" s="11" t="n">
        <x:v>0</x:v>
      </x:c>
      <x:c r="I2501" s="11" t="n">
        <x:v>1</x:v>
      </x:c>
      <x:c r="J2501" s="11" t="n">
        <x:v>0</x:v>
      </x:c>
      <x:c r="K2501" s="11" t="n">
        <x:v>0</x:v>
      </x:c>
      <x:c r="L2501" s="11" t="n">
        <x:f>IF(B2501="NED",1,IF(OR(B2501="ED",B2501="UN"),0,""))</x:f>
        <x:v>0</x:v>
      </x:c>
      <x:c r="M2501" s="11" t="n">
        <x:f>IF(AND(K2501=1,OR(B2501="ED",B2501="NED")),1,0)</x:f>
        <x:v>0</x:v>
      </x:c>
      <x:c r="N2501" s="11" t="n">
        <x:f>IF(K2501=1,1,0)</x:f>
        <x:v>0</x:v>
      </x:c>
      <x:c r="O2501" s="12" t="str">
        <x:v>Exclude UniProt Membrane keyword</x:v>
      </x:c>
      <x:c r="P2501" s="11" t="n">
        <x:v>0</x:v>
      </x:c>
      <x:c r="Q2501" s="12" t="str">
        <x:v>AF-Q922J3-F1-model_v6</x:v>
      </x:c>
      <x:c r="R2501" s="12" t="str">
        <x:v>ok</x:v>
      </x:c>
      <x:c r="S2501" s="11" t="n">
        <x:v>1992</x:v>
      </x:c>
      <x:c r="T2501" s="11" t="n">
        <x:v>1391</x:v>
      </x:c>
    </x:row>
    <x:row r="2502" ht="23" customHeight="1">
      <x:c r="A2502" s="2" t="str">
        <x:v>Q922J9</x:v>
      </x:c>
      <x:c r="B2502" s="2" t="str">
        <x:v>NED</x:v>
      </x:c>
      <x:c r="C2502" s="2" t="n">
        <x:v>1</x:v>
      </x:c>
      <x:c r="D2502" s="2" t="n">
        <x:v>1</x:v>
      </x:c>
      <x:c r="E2502" s="10"/>
      <x:c r="F2502" s="11" t="n">
        <x:v>515</x:v>
      </x:c>
      <x:c r="G2502" s="11" t="n">
        <x:v>0</x:v>
      </x:c>
      <x:c r="H2502" s="11" t="n">
        <x:v>0</x:v>
      </x:c>
      <x:c r="I2502" s="11" t="n">
        <x:v>1</x:v>
      </x:c>
      <x:c r="J2502" s="11" t="n">
        <x:v>0</x:v>
      </x:c>
      <x:c r="K2502" s="11" t="n">
        <x:v>0</x:v>
      </x:c>
      <x:c r="L2502" s="11" t="n">
        <x:f>IF(B2502="NED",1,IF(OR(B2502="ED",B2502="UN"),0,""))</x:f>
        <x:v>1</x:v>
      </x:c>
      <x:c r="M2502" s="11" t="n">
        <x:f>IF(AND(K2502=1,OR(B2502="ED",B2502="NED")),1,0)</x:f>
        <x:v>0</x:v>
      </x:c>
      <x:c r="N2502" s="11" t="n">
        <x:f>IF(K2502=1,1,0)</x:f>
        <x:v>0</x:v>
      </x:c>
      <x:c r="O2502" s="12" t="str">
        <x:v>Exclude UniProt Membrane keyword</x:v>
      </x:c>
      <x:c r="P2502" s="11" t="n">
        <x:v>0</x:v>
      </x:c>
      <x:c r="Q2502" s="12" t="str">
        <x:v>AF-Q922J9-F1-model_v6</x:v>
      </x:c>
      <x:c r="R2502" s="12" t="str">
        <x:v>ok</x:v>
      </x:c>
      <x:c r="S2502" s="11" t="n">
        <x:v>1993</x:v>
      </x:c>
      <x:c r="T2502" s="11" t="n">
        <x:v>515</x:v>
      </x:c>
    </x:row>
    <x:row r="2503" ht="23" customHeight="1">
      <x:c r="A2503" s="2" t="str">
        <x:v>Q922L6</x:v>
      </x:c>
      <x:c r="B2503" s="2" t="str">
        <x:v>UN</x:v>
      </x:c>
      <x:c r="C2503" s="2" t="n">
        <x:v>0</x:v>
      </x:c>
      <x:c r="D2503" s="2" t="n">
        <x:v>0</x:v>
      </x:c>
      <x:c r="E2503" s="10" t="n">
        <x:v>86.32230118443317</x:v>
      </x:c>
      <x:c r="F2503" s="11" t="n">
        <x:v>591</x:v>
      </x:c>
      <x:c r="G2503" s="11" t="n">
        <x:v>0</x:v>
      </x:c>
      <x:c r="H2503" s="11" t="n">
        <x:v>0</x:v>
      </x:c>
      <x:c r="I2503" s="11" t="n">
        <x:v>0</x:v>
      </x:c>
      <x:c r="J2503" s="11" t="n">
        <x:v>0</x:v>
      </x:c>
      <x:c r="K2503" s="11" t="n">
        <x:v>1</x:v>
      </x:c>
      <x:c r="L2503" s="11" t="n">
        <x:f>IF(B2503="NED",1,IF(OR(B2503="ED",B2503="UN"),0,""))</x:f>
        <x:v>0</x:v>
      </x:c>
      <x:c r="M2503" s="11" t="n">
        <x:f>IF(AND(K2503=1,OR(B2503="ED",B2503="NED")),1,0)</x:f>
        <x:v>0</x:v>
      </x:c>
      <x:c r="N2503" s="11" t="n">
        <x:f>IF(K2503=1,1,0)</x:f>
        <x:v>1</x:v>
      </x:c>
      <x:c r="O2503" s="12"/>
      <x:c r="P2503" s="11" t="n">
        <x:v>0</x:v>
      </x:c>
      <x:c r="Q2503" s="12" t="str">
        <x:v>AF-Q922L6-F1-model_v6</x:v>
      </x:c>
      <x:c r="R2503" s="12" t="str">
        <x:v>ok</x:v>
      </x:c>
      <x:c r="S2503" s="11" t="n">
        <x:v>1994</x:v>
      </x:c>
      <x:c r="T2503" s="11" t="n">
        <x:v>591</x:v>
      </x:c>
    </x:row>
    <x:row r="2504" ht="23" customHeight="1">
      <x:c r="A2504" s="2" t="str">
        <x:v>Q922M3</x:v>
      </x:c>
      <x:c r="B2504" s="2" t="str">
        <x:v>UN</x:v>
      </x:c>
      <x:c r="C2504" s="2" t="n">
        <x:v>1</x:v>
      </x:c>
      <x:c r="D2504" s="2" t="n">
        <x:v>1</x:v>
      </x:c>
      <x:c r="E2504" s="10" t="n">
        <x:v>81.48066666666666</x:v>
      </x:c>
      <x:c r="F2504" s="11" t="n">
        <x:v>315</x:v>
      </x:c>
      <x:c r="G2504" s="11" t="n">
        <x:v>0</x:v>
      </x:c>
      <x:c r="H2504" s="11" t="n">
        <x:v>0</x:v>
      </x:c>
      <x:c r="I2504" s="11" t="n">
        <x:v>0</x:v>
      </x:c>
      <x:c r="J2504" s="11" t="n">
        <x:v>0</x:v>
      </x:c>
      <x:c r="K2504" s="11" t="n">
        <x:v>1</x:v>
      </x:c>
      <x:c r="L2504" s="11" t="n">
        <x:f>IF(B2504="NED",1,IF(OR(B2504="ED",B2504="UN"),0,""))</x:f>
        <x:v>0</x:v>
      </x:c>
      <x:c r="M2504" s="11" t="n">
        <x:f>IF(AND(K2504=1,OR(B2504="ED",B2504="NED")),1,0)</x:f>
        <x:v>0</x:v>
      </x:c>
      <x:c r="N2504" s="11" t="n">
        <x:f>IF(K2504=1,1,0)</x:f>
        <x:v>1</x:v>
      </x:c>
      <x:c r="O2504" s="12"/>
      <x:c r="P2504" s="11" t="n">
        <x:v>0</x:v>
      </x:c>
      <x:c r="Q2504" s="12" t="str">
        <x:v>AF-Q922M3-F1-model_v6</x:v>
      </x:c>
      <x:c r="R2504" s="12" t="str">
        <x:v>ok</x:v>
      </x:c>
      <x:c r="S2504" s="11" t="n">
        <x:v>1995</x:v>
      </x:c>
      <x:c r="T2504" s="11" t="n">
        <x:v>315</x:v>
      </x:c>
    </x:row>
    <x:row r="2505" ht="23" customHeight="1">
      <x:c r="A2505" s="2" t="str">
        <x:v>Q922Q4</x:v>
      </x:c>
      <x:c r="B2505" s="2" t="str">
        <x:v>UN</x:v>
      </x:c>
      <x:c r="C2505" s="2" t="n">
        <x:v>1</x:v>
      </x:c>
      <x:c r="D2505" s="2"/>
      <x:c r="E2505" s="10" t="n">
        <x:v>89.30081249999999</x:v>
      </x:c>
      <x:c r="F2505" s="11" t="n">
        <x:v>320</x:v>
      </x:c>
      <x:c r="G2505" s="11" t="n">
        <x:v>0</x:v>
      </x:c>
      <x:c r="H2505" s="11" t="n">
        <x:v>0</x:v>
      </x:c>
      <x:c r="I2505" s="11" t="n">
        <x:v>0</x:v>
      </x:c>
      <x:c r="J2505" s="11" t="n">
        <x:v>0</x:v>
      </x:c>
      <x:c r="K2505" s="11" t="n">
        <x:v>1</x:v>
      </x:c>
      <x:c r="L2505" s="11" t="n">
        <x:f>IF(B2505="NED",1,IF(OR(B2505="ED",B2505="UN"),0,""))</x:f>
        <x:v>0</x:v>
      </x:c>
      <x:c r="M2505" s="11" t="n">
        <x:f>IF(AND(K2505=1,OR(B2505="ED",B2505="NED")),1,0)</x:f>
        <x:v>0</x:v>
      </x:c>
      <x:c r="N2505" s="11" t="n">
        <x:f>IF(K2505=1,1,0)</x:f>
        <x:v>1</x:v>
      </x:c>
      <x:c r="O2505" s="12"/>
      <x:c r="P2505" s="11" t="n">
        <x:v>0</x:v>
      </x:c>
      <x:c r="Q2505" s="12" t="str">
        <x:v>AF-Q922Q4-F1-model_v6</x:v>
      </x:c>
      <x:c r="R2505" s="12" t="str">
        <x:v>ok</x:v>
      </x:c>
      <x:c r="S2505" s="11" t="n">
        <x:v>1996</x:v>
      </x:c>
      <x:c r="T2505" s="11" t="n">
        <x:v>320</x:v>
      </x:c>
    </x:row>
    <x:row r="2506" ht="23" customHeight="1">
      <x:c r="A2506" s="2" t="str">
        <x:v>Q922Q8</x:v>
      </x:c>
      <x:c r="B2506" s="2" t="str">
        <x:v>UN</x:v>
      </x:c>
      <x:c r="C2506" s="2" t="n">
        <x:v>0</x:v>
      </x:c>
      <x:c r="D2506" s="2" t="n">
        <x:v>0</x:v>
      </x:c>
      <x:c r="E2506" s="10"/>
      <x:c r="F2506" s="11" t="n">
        <x:v>307</x:v>
      </x:c>
      <x:c r="G2506" s="11" t="n">
        <x:v>0</x:v>
      </x:c>
      <x:c r="H2506" s="11" t="n">
        <x:v>0</x:v>
      </x:c>
      <x:c r="I2506" s="11" t="n">
        <x:v>1</x:v>
      </x:c>
      <x:c r="J2506" s="11" t="n">
        <x:v>0</x:v>
      </x:c>
      <x:c r="K2506" s="11" t="n">
        <x:v>0</x:v>
      </x:c>
      <x:c r="L2506" s="11" t="n">
        <x:f>IF(B2506="NED",1,IF(OR(B2506="ED",B2506="UN"),0,""))</x:f>
        <x:v>0</x:v>
      </x:c>
      <x:c r="M2506" s="11" t="n">
        <x:f>IF(AND(K2506=1,OR(B2506="ED",B2506="NED")),1,0)</x:f>
        <x:v>0</x:v>
      </x:c>
      <x:c r="N2506" s="11" t="n">
        <x:f>IF(K2506=1,1,0)</x:f>
        <x:v>0</x:v>
      </x:c>
      <x:c r="O2506" s="12" t="str">
        <x:v>Exclude UniProt Membrane keyword</x:v>
      </x:c>
      <x:c r="P2506" s="11" t="n">
        <x:v>0</x:v>
      </x:c>
      <x:c r="Q2506" s="12" t="str">
        <x:v>AF-Q922Q8-F1-model_v6</x:v>
      </x:c>
      <x:c r="R2506" s="12" t="str">
        <x:v>ok</x:v>
      </x:c>
      <x:c r="S2506" s="11" t="n">
        <x:v>1997</x:v>
      </x:c>
      <x:c r="T2506" s="11" t="n">
        <x:v>307</x:v>
      </x:c>
    </x:row>
    <x:row r="2507" ht="23" customHeight="1">
      <x:c r="A2507" s="2" t="str">
        <x:v>Q922R8</x:v>
      </x:c>
      <x:c r="B2507" s="2" t="str">
        <x:v>ED</x:v>
      </x:c>
      <x:c r="C2507" s="2" t="n">
        <x:v>1</x:v>
      </x:c>
      <x:c r="D2507" s="2" t="n">
        <x:v>1</x:v>
      </x:c>
      <x:c r="E2507" s="10"/>
      <x:c r="F2507" s="11" t="n">
        <x:v>440</x:v>
      </x:c>
      <x:c r="G2507" s="11" t="n">
        <x:v>0</x:v>
      </x:c>
      <x:c r="H2507" s="11" t="n">
        <x:v>0</x:v>
      </x:c>
      <x:c r="I2507" s="11" t="n">
        <x:v>1</x:v>
      </x:c>
      <x:c r="J2507" s="11" t="n">
        <x:v>0</x:v>
      </x:c>
      <x:c r="K2507" s="11" t="n">
        <x:v>0</x:v>
      </x:c>
      <x:c r="L2507" s="11" t="n">
        <x:f>IF(B2507="NED",1,IF(OR(B2507="ED",B2507="UN"),0,""))</x:f>
        <x:v>0</x:v>
      </x:c>
      <x:c r="M2507" s="11" t="n">
        <x:f>IF(AND(K2507=1,OR(B2507="ED",B2507="NED")),1,0)</x:f>
        <x:v>0</x:v>
      </x:c>
      <x:c r="N2507" s="11" t="n">
        <x:f>IF(K2507=1,1,0)</x:f>
        <x:v>0</x:v>
      </x:c>
      <x:c r="O2507" s="12" t="str">
        <x:v>Exclude UniProt Membrane keyword</x:v>
      </x:c>
      <x:c r="P2507" s="11" t="n">
        <x:v>0</x:v>
      </x:c>
      <x:c r="Q2507" s="12" t="str">
        <x:v>AF-Q922R8-F1-model_v6</x:v>
      </x:c>
      <x:c r="R2507" s="12" t="str">
        <x:v>ok</x:v>
      </x:c>
      <x:c r="S2507" s="11" t="n">
        <x:v>1998</x:v>
      </x:c>
      <x:c r="T2507" s="11" t="n">
        <x:v>440</x:v>
      </x:c>
    </x:row>
    <x:row r="2508" ht="23" customHeight="1">
      <x:c r="A2508" s="2" t="str">
        <x:v>Q922S8</x:v>
      </x:c>
      <x:c r="B2508" s="2" t="str">
        <x:v>ED</x:v>
      </x:c>
      <x:c r="C2508" s="2" t="n">
        <x:v>1</x:v>
      </x:c>
      <x:c r="D2508" s="2" t="n">
        <x:v>1</x:v>
      </x:c>
      <x:c r="E2508" s="10" t="n">
        <x:v>74.90868238557559</x:v>
      </x:c>
      <x:c r="F2508" s="11" t="n">
        <x:v>721</x:v>
      </x:c>
      <x:c r="G2508" s="11" t="n">
        <x:v>0</x:v>
      </x:c>
      <x:c r="H2508" s="11" t="n">
        <x:v>0</x:v>
      </x:c>
      <x:c r="I2508" s="11" t="n">
        <x:v>0</x:v>
      </x:c>
      <x:c r="J2508" s="11" t="n">
        <x:v>0</x:v>
      </x:c>
      <x:c r="K2508" s="11" t="n">
        <x:v>1</x:v>
      </x:c>
      <x:c r="L2508" s="11" t="n">
        <x:f>IF(B2508="NED",1,IF(OR(B2508="ED",B2508="UN"),0,""))</x:f>
        <x:v>0</x:v>
      </x:c>
      <x:c r="M2508" s="11" t="n">
        <x:f>IF(AND(K2508=1,OR(B2508="ED",B2508="NED")),1,0)</x:f>
        <x:v>1</x:v>
      </x:c>
      <x:c r="N2508" s="11" t="n">
        <x:f>IF(K2508=1,1,0)</x:f>
        <x:v>1</x:v>
      </x:c>
      <x:c r="O2508" s="12"/>
      <x:c r="P2508" s="11" t="n">
        <x:v>0</x:v>
      </x:c>
      <x:c r="Q2508" s="12" t="str">
        <x:v>AF-Q922S8-F1-model_v6</x:v>
      </x:c>
      <x:c r="R2508" s="12" t="str">
        <x:v>ok</x:v>
      </x:c>
      <x:c r="S2508" s="11" t="n">
        <x:v>1999</x:v>
      </x:c>
      <x:c r="T2508" s="11" t="n">
        <x:v>721</x:v>
      </x:c>
    </x:row>
    <x:row r="2509" ht="23" customHeight="1">
      <x:c r="A2509" s="2" t="str">
        <x:v>Q922U1</x:v>
      </x:c>
      <x:c r="B2509" s="2" t="str">
        <x:v>UN</x:v>
      </x:c>
      <x:c r="C2509" s="2" t="n">
        <x:v>1</x:v>
      </x:c>
      <x:c r="D2509" s="2" t="n">
        <x:v>1</x:v>
      </x:c>
      <x:c r="E2509" s="10" t="n">
        <x:v>74.63582723279649</x:v>
      </x:c>
      <x:c r="F2509" s="11" t="n">
        <x:v>683</x:v>
      </x:c>
      <x:c r="G2509" s="11" t="n">
        <x:v>0</x:v>
      </x:c>
      <x:c r="H2509" s="11" t="n">
        <x:v>0</x:v>
      </x:c>
      <x:c r="I2509" s="11" t="n">
        <x:v>0</x:v>
      </x:c>
      <x:c r="J2509" s="11" t="n">
        <x:v>0</x:v>
      </x:c>
      <x:c r="K2509" s="11" t="n">
        <x:v>1</x:v>
      </x:c>
      <x:c r="L2509" s="11" t="n">
        <x:f>IF(B2509="NED",1,IF(OR(B2509="ED",B2509="UN"),0,""))</x:f>
        <x:v>0</x:v>
      </x:c>
      <x:c r="M2509" s="11" t="n">
        <x:f>IF(AND(K2509=1,OR(B2509="ED",B2509="NED")),1,0)</x:f>
        <x:v>0</x:v>
      </x:c>
      <x:c r="N2509" s="11" t="n">
        <x:f>IF(K2509=1,1,0)</x:f>
        <x:v>1</x:v>
      </x:c>
      <x:c r="O2509" s="12"/>
      <x:c r="P2509" s="11" t="n">
        <x:v>0</x:v>
      </x:c>
      <x:c r="Q2509" s="12" t="str">
        <x:v>AF-Q922U1-F1-model_v6</x:v>
      </x:c>
      <x:c r="R2509" s="12" t="str">
        <x:v>ok</x:v>
      </x:c>
      <x:c r="S2509" s="11" t="n">
        <x:v>2000</x:v>
      </x:c>
      <x:c r="T2509" s="11" t="n">
        <x:v>683</x:v>
      </x:c>
    </x:row>
    <x:row r="2510" ht="23" customHeight="1">
      <x:c r="A2510" s="2" t="str">
        <x:v>Q922V4</x:v>
      </x:c>
      <x:c r="B2510" s="2" t="str">
        <x:v>UN</x:v>
      </x:c>
      <x:c r="C2510" s="2" t="n">
        <x:v>1</x:v>
      </x:c>
      <x:c r="D2510" s="2" t="n">
        <x:v>1</x:v>
      </x:c>
      <x:c r="E2510" s="10" t="n">
        <x:v>77.666432748538</x:v>
      </x:c>
      <x:c r="F2510" s="11" t="n">
        <x:v>513</x:v>
      </x:c>
      <x:c r="G2510" s="11" t="n">
        <x:v>0</x:v>
      </x:c>
      <x:c r="H2510" s="11" t="n">
        <x:v>0</x:v>
      </x:c>
      <x:c r="I2510" s="11" t="n">
        <x:v>0</x:v>
      </x:c>
      <x:c r="J2510" s="11" t="n">
        <x:v>0</x:v>
      </x:c>
      <x:c r="K2510" s="11" t="n">
        <x:v>1</x:v>
      </x:c>
      <x:c r="L2510" s="11" t="n">
        <x:f>IF(B2510="NED",1,IF(OR(B2510="ED",B2510="UN"),0,""))</x:f>
        <x:v>0</x:v>
      </x:c>
      <x:c r="M2510" s="11" t="n">
        <x:f>IF(AND(K2510=1,OR(B2510="ED",B2510="NED")),1,0)</x:f>
        <x:v>0</x:v>
      </x:c>
      <x:c r="N2510" s="11" t="n">
        <x:f>IF(K2510=1,1,0)</x:f>
        <x:v>1</x:v>
      </x:c>
      <x:c r="O2510" s="12"/>
      <x:c r="P2510" s="11" t="n">
        <x:v>0</x:v>
      </x:c>
      <x:c r="Q2510" s="12" t="str">
        <x:v>AF-Q922V4-F1-model_v6</x:v>
      </x:c>
      <x:c r="R2510" s="12" t="str">
        <x:v>ok</x:v>
      </x:c>
      <x:c r="S2510" s="11" t="n">
        <x:v>2001</x:v>
      </x:c>
      <x:c r="T2510" s="11" t="n">
        <x:v>513</x:v>
      </x:c>
    </x:row>
    <x:row r="2511" ht="23" customHeight="1">
      <x:c r="A2511" s="2" t="str">
        <x:v>Q922W5</x:v>
      </x:c>
      <x:c r="B2511" s="2" t="str">
        <x:v>ED</x:v>
      </x:c>
      <x:c r="C2511" s="2" t="n">
        <x:v>1</x:v>
      </x:c>
      <x:c r="D2511" s="2"/>
      <x:c r="E2511" s="10" t="n">
        <x:v>90.94996763754044</x:v>
      </x:c>
      <x:c r="F2511" s="11" t="n">
        <x:v>309</x:v>
      </x:c>
      <x:c r="G2511" s="11" t="n">
        <x:v>0</x:v>
      </x:c>
      <x:c r="H2511" s="11" t="n">
        <x:v>0</x:v>
      </x:c>
      <x:c r="I2511" s="11" t="n">
        <x:v>0</x:v>
      </x:c>
      <x:c r="J2511" s="11" t="n">
        <x:v>0</x:v>
      </x:c>
      <x:c r="K2511" s="11" t="n">
        <x:v>1</x:v>
      </x:c>
      <x:c r="L2511" s="11" t="n">
        <x:f>IF(B2511="NED",1,IF(OR(B2511="ED",B2511="UN"),0,""))</x:f>
        <x:v>0</x:v>
      </x:c>
      <x:c r="M2511" s="11" t="n">
        <x:f>IF(AND(K2511=1,OR(B2511="ED",B2511="NED")),1,0)</x:f>
        <x:v>1</x:v>
      </x:c>
      <x:c r="N2511" s="11" t="n">
        <x:f>IF(K2511=1,1,0)</x:f>
        <x:v>1</x:v>
      </x:c>
      <x:c r="O2511" s="12"/>
      <x:c r="P2511" s="11" t="n">
        <x:v>0</x:v>
      </x:c>
      <x:c r="Q2511" s="12" t="str">
        <x:v>AF-Q922W5-F1-model_v6</x:v>
      </x:c>
      <x:c r="R2511" s="12" t="str">
        <x:v>ok</x:v>
      </x:c>
      <x:c r="S2511" s="11" t="n">
        <x:v>2002</x:v>
      </x:c>
      <x:c r="T2511" s="11" t="n">
        <x:v>309</x:v>
      </x:c>
    </x:row>
    <x:row r="2512" ht="23" customHeight="1">
      <x:c r="A2512" s="2" t="str">
        <x:v>Q922Y1</x:v>
      </x:c>
      <x:c r="B2512" s="2" t="str">
        <x:v>ED</x:v>
      </x:c>
      <x:c r="C2512" s="2" t="n">
        <x:v>0</x:v>
      </x:c>
      <x:c r="D2512" s="2" t="n">
        <x:v>0</x:v>
      </x:c>
      <x:c r="E2512" s="10" t="n">
        <x:v>77.10188552188552</x:v>
      </x:c>
      <x:c r="F2512" s="11" t="n">
        <x:v>297</x:v>
      </x:c>
      <x:c r="G2512" s="11" t="n">
        <x:v>0</x:v>
      </x:c>
      <x:c r="H2512" s="11" t="n">
        <x:v>0</x:v>
      </x:c>
      <x:c r="I2512" s="11" t="n">
        <x:v>0</x:v>
      </x:c>
      <x:c r="J2512" s="11" t="n">
        <x:v>0</x:v>
      </x:c>
      <x:c r="K2512" s="11" t="n">
        <x:v>1</x:v>
      </x:c>
      <x:c r="L2512" s="11" t="n">
        <x:f>IF(B2512="NED",1,IF(OR(B2512="ED",B2512="UN"),0,""))</x:f>
        <x:v>0</x:v>
      </x:c>
      <x:c r="M2512" s="11" t="n">
        <x:f>IF(AND(K2512=1,OR(B2512="ED",B2512="NED")),1,0)</x:f>
        <x:v>1</x:v>
      </x:c>
      <x:c r="N2512" s="11" t="n">
        <x:f>IF(K2512=1,1,0)</x:f>
        <x:v>1</x:v>
      </x:c>
      <x:c r="O2512" s="12"/>
      <x:c r="P2512" s="11" t="n">
        <x:v>0</x:v>
      </x:c>
      <x:c r="Q2512" s="12" t="str">
        <x:v>AF-Q922Y1-F1-model_v6</x:v>
      </x:c>
      <x:c r="R2512" s="12" t="str">
        <x:v>ok</x:v>
      </x:c>
      <x:c r="S2512" s="11" t="n">
        <x:v>2003</x:v>
      </x:c>
      <x:c r="T2512" s="11" t="n">
        <x:v>297</x:v>
      </x:c>
    </x:row>
    <x:row r="2513" ht="23" customHeight="1">
      <x:c r="A2513" s="2" t="str">
        <x:v>Q923B1</x:v>
      </x:c>
      <x:c r="B2513" s="2" t="str">
        <x:v>UN</x:v>
      </x:c>
      <x:c r="C2513" s="2" t="n">
        <x:v>1</x:v>
      </x:c>
      <x:c r="D2513" s="2" t="n">
        <x:v>1</x:v>
      </x:c>
      <x:c r="E2513" s="10" t="n">
        <x:v>78.34938181818183</x:v>
      </x:c>
      <x:c r="F2513" s="11" t="n">
        <x:v>550</x:v>
      </x:c>
      <x:c r="G2513" s="11" t="n">
        <x:v>0</x:v>
      </x:c>
      <x:c r="H2513" s="11" t="n">
        <x:v>0</x:v>
      </x:c>
      <x:c r="I2513" s="11" t="n">
        <x:v>0</x:v>
      </x:c>
      <x:c r="J2513" s="11" t="n">
        <x:v>0</x:v>
      </x:c>
      <x:c r="K2513" s="11" t="n">
        <x:v>1</x:v>
      </x:c>
      <x:c r="L2513" s="11" t="n">
        <x:f>IF(B2513="NED",1,IF(OR(B2513="ED",B2513="UN"),0,""))</x:f>
        <x:v>0</x:v>
      </x:c>
      <x:c r="M2513" s="11" t="n">
        <x:f>IF(AND(K2513=1,OR(B2513="ED",B2513="NED")),1,0)</x:f>
        <x:v>0</x:v>
      </x:c>
      <x:c r="N2513" s="11" t="n">
        <x:f>IF(K2513=1,1,0)</x:f>
        <x:v>1</x:v>
      </x:c>
      <x:c r="O2513" s="12"/>
      <x:c r="P2513" s="11" t="n">
        <x:v>0</x:v>
      </x:c>
      <x:c r="Q2513" s="12" t="str">
        <x:v>AF-Q923B1-F1-model_v6</x:v>
      </x:c>
      <x:c r="R2513" s="12" t="str">
        <x:v>ok</x:v>
      </x:c>
      <x:c r="S2513" s="11" t="n">
        <x:v>2004</x:v>
      </x:c>
      <x:c r="T2513" s="11" t="n">
        <x:v>550</x:v>
      </x:c>
    </x:row>
    <x:row r="2514" ht="23" customHeight="1">
      <x:c r="A2514" s="2" t="str">
        <x:v>Q923D2</x:v>
      </x:c>
      <x:c r="B2514" s="2" t="str">
        <x:v>UN</x:v>
      </x:c>
      <x:c r="C2514" s="2" t="n">
        <x:v>0</x:v>
      </x:c>
      <x:c r="D2514" s="2" t="n">
        <x:v>0</x:v>
      </x:c>
      <x:c r="E2514" s="10" t="n">
        <x:v>97.96815533980582</x:v>
      </x:c>
      <x:c r="F2514" s="11" t="n">
        <x:v>206</x:v>
      </x:c>
      <x:c r="G2514" s="11" t="n">
        <x:v>0</x:v>
      </x:c>
      <x:c r="H2514" s="11" t="n">
        <x:v>0</x:v>
      </x:c>
      <x:c r="I2514" s="11" t="n">
        <x:v>0</x:v>
      </x:c>
      <x:c r="J2514" s="11" t="n">
        <x:v>0</x:v>
      </x:c>
      <x:c r="K2514" s="11" t="n">
        <x:v>1</x:v>
      </x:c>
      <x:c r="L2514" s="11" t="n">
        <x:f>IF(B2514="NED",1,IF(OR(B2514="ED",B2514="UN"),0,""))</x:f>
        <x:v>0</x:v>
      </x:c>
      <x:c r="M2514" s="11" t="n">
        <x:f>IF(AND(K2514=1,OR(B2514="ED",B2514="NED")),1,0)</x:f>
        <x:v>0</x:v>
      </x:c>
      <x:c r="N2514" s="11" t="n">
        <x:f>IF(K2514=1,1,0)</x:f>
        <x:v>1</x:v>
      </x:c>
      <x:c r="O2514" s="12"/>
      <x:c r="P2514" s="11" t="n">
        <x:v>0</x:v>
      </x:c>
      <x:c r="Q2514" s="12" t="str">
        <x:v>AF-Q923D2-F1-model_v6</x:v>
      </x:c>
      <x:c r="R2514" s="12" t="str">
        <x:v>ok</x:v>
      </x:c>
      <x:c r="S2514" s="11" t="n">
        <x:v>2005</x:v>
      </x:c>
      <x:c r="T2514" s="11" t="n">
        <x:v>206</x:v>
      </x:c>
    </x:row>
    <x:row r="2515" ht="23" customHeight="1">
      <x:c r="A2515" s="2" t="str">
        <x:v>Q923D5</x:v>
      </x:c>
      <x:c r="B2515" s="2" t="str">
        <x:v>ED</x:v>
      </x:c>
      <x:c r="C2515" s="2" t="n">
        <x:v>0</x:v>
      </x:c>
      <x:c r="D2515" s="2" t="n">
        <x:v>0</x:v>
      </x:c>
      <x:c r="E2515" s="10" t="n">
        <x:v>63.15120124804992</x:v>
      </x:c>
      <x:c r="F2515" s="11" t="n">
        <x:v>641</x:v>
      </x:c>
      <x:c r="G2515" s="11" t="n">
        <x:v>0</x:v>
      </x:c>
      <x:c r="H2515" s="11" t="n">
        <x:v>0</x:v>
      </x:c>
      <x:c r="I2515" s="11" t="n">
        <x:v>0</x:v>
      </x:c>
      <x:c r="J2515" s="11" t="n">
        <x:v>0</x:v>
      </x:c>
      <x:c r="K2515" s="11" t="n">
        <x:v>0</x:v>
      </x:c>
      <x:c r="L2515" s="11" t="n">
        <x:f>IF(B2515="NED",1,IF(OR(B2515="ED",B2515="UN"),0,""))</x:f>
        <x:v>0</x:v>
      </x:c>
      <x:c r="M2515" s="11" t="n">
        <x:f>IF(AND(K2515=1,OR(B2515="ED",B2515="NED")),1,0)</x:f>
        <x:v>0</x:v>
      </x:c>
      <x:c r="N2515" s="11" t="n">
        <x:f>IF(K2515=1,1,0)</x:f>
        <x:v>0</x:v>
      </x:c>
      <x:c r="O2515" s="12" t="str">
        <x:v>Retain protein mean pLDDT &gt;=70</x:v>
      </x:c>
      <x:c r="P2515" s="11" t="n">
        <x:v>0</x:v>
      </x:c>
      <x:c r="Q2515" s="12" t="str">
        <x:v>AF-Q923D5-F1-model_v6</x:v>
      </x:c>
      <x:c r="R2515" s="12" t="str">
        <x:v>ok</x:v>
      </x:c>
      <x:c r="S2515" s="11" t="n">
        <x:v>2006</x:v>
      </x:c>
      <x:c r="T2515" s="11" t="n">
        <x:v>641</x:v>
      </x:c>
    </x:row>
    <x:row r="2516" ht="23" customHeight="1">
      <x:c r="A2516" s="2" t="str">
        <x:v>Q923F1</x:v>
      </x:c>
      <x:c r="B2516" s="2" t="str">
        <x:v>ED</x:v>
      </x:c>
      <x:c r="C2516" s="2"/>
      <x:c r="D2516" s="2"/>
      <x:c r="E2516" s="10"/>
      <x:c r="F2516" s="11"/>
      <x:c r="G2516" s="11" t="n">
        <x:v>0</x:v>
      </x:c>
      <x:c r="H2516" s="11" t="n">
        <x:v>0</x:v>
      </x:c>
      <x:c r="I2516" s="11" t="n">
        <x:v>0</x:v>
      </x:c>
      <x:c r="J2516" s="11" t="n">
        <x:v>0</x:v>
      </x:c>
      <x:c r="K2516" s="11" t="n">
        <x:v>0</x:v>
      </x:c>
      <x:c r="L2516" s="11" t="n">
        <x:f>IF(B2516="NED",1,IF(OR(B2516="ED",B2516="UN"),0,""))</x:f>
        <x:v>0</x:v>
      </x:c>
      <x:c r="M2516" s="11" t="n">
        <x:f>IF(AND(K2516=1,OR(B2516="ED",B2516="NED")),1,0)</x:f>
        <x:v>0</x:v>
      </x:c>
      <x:c r="N2516" s="11" t="n">
        <x:f>IF(K2516=1,1,0)</x:f>
        <x:v>0</x:v>
      </x:c>
      <x:c r="O2516" s="12" t="str">
        <x:v>Require exact native accession match</x:v>
      </x:c>
      <x:c r="P2516" s="11" t="n">
        <x:v>0</x:v>
      </x:c>
      <x:c r="Q2516" s="12"/>
      <x:c r="R2516" s="12"/>
      <x:c r="S2516" s="11" t="n">
        <x:v>3252</x:v>
      </x:c>
      <x:c r="T2516" s="11" t="n">
        <x:v>241</x:v>
      </x:c>
    </x:row>
    <x:row r="2517" ht="23" customHeight="1">
      <x:c r="A2517" s="2" t="str">
        <x:v>Q923T9-3</x:v>
      </x:c>
      <x:c r="B2517" s="2" t="str">
        <x:v>ED</x:v>
      </x:c>
      <x:c r="C2517" s="2"/>
      <x:c r="D2517" s="2"/>
      <x:c r="E2517" s="10"/>
      <x:c r="F2517" s="11"/>
      <x:c r="G2517" s="11" t="n">
        <x:v>0</x:v>
      </x:c>
      <x:c r="H2517" s="11" t="n">
        <x:v>0</x:v>
      </x:c>
      <x:c r="I2517" s="11"/>
      <x:c r="J2517" s="11"/>
      <x:c r="K2517" s="11" t="n">
        <x:v>0</x:v>
      </x:c>
      <x:c r="L2517" s="11" t="n">
        <x:f>IF(B2517="NED",1,IF(OR(B2517="ED",B2517="UN"),0,""))</x:f>
        <x:v>0</x:v>
      </x:c>
      <x:c r="M2517" s="11" t="n">
        <x:f>IF(AND(K2517=1,OR(B2517="ED",B2517="NED")),1,0)</x:f>
        <x:v>0</x:v>
      </x:c>
      <x:c r="N2517" s="11" t="n">
        <x:f>IF(K2517=1,1,0)</x:f>
        <x:v>0</x:v>
      </x:c>
      <x:c r="O2517" s="12" t="str">
        <x:v>Require exact native accession match</x:v>
      </x:c>
      <x:c r="P2517" s="11" t="n">
        <x:v>0</x:v>
      </x:c>
      <x:c r="Q2517" s="12"/>
      <x:c r="R2517" s="12"/>
      <x:c r="S2517" s="11" t="n">
        <x:v>2007</x:v>
      </x:c>
      <x:c r="T2517" s="11"/>
    </x:row>
    <x:row r="2518" ht="23" customHeight="1">
      <x:c r="A2518" s="2" t="str">
        <x:v>Q924C1</x:v>
      </x:c>
      <x:c r="B2518" s="2" t="str">
        <x:v>NED</x:v>
      </x:c>
      <x:c r="C2518" s="2" t="n">
        <x:v>1</x:v>
      </x:c>
      <x:c r="D2518" s="2"/>
      <x:c r="E2518" s="10" t="n">
        <x:v>87.30878737541528</x:v>
      </x:c>
      <x:c r="F2518" s="11" t="n">
        <x:v>1204</x:v>
      </x:c>
      <x:c r="G2518" s="11" t="n">
        <x:v>0</x:v>
      </x:c>
      <x:c r="H2518" s="11" t="n">
        <x:v>0</x:v>
      </x:c>
      <x:c r="I2518" s="11" t="n">
        <x:v>0</x:v>
      </x:c>
      <x:c r="J2518" s="11" t="n">
        <x:v>0</x:v>
      </x:c>
      <x:c r="K2518" s="11" t="n">
        <x:v>1</x:v>
      </x:c>
      <x:c r="L2518" s="11" t="n">
        <x:f>IF(B2518="NED",1,IF(OR(B2518="ED",B2518="UN"),0,""))</x:f>
        <x:v>1</x:v>
      </x:c>
      <x:c r="M2518" s="11" t="n">
        <x:f>IF(AND(K2518=1,OR(B2518="ED",B2518="NED")),1,0)</x:f>
        <x:v>1</x:v>
      </x:c>
      <x:c r="N2518" s="11" t="n">
        <x:f>IF(K2518=1,1,0)</x:f>
        <x:v>1</x:v>
      </x:c>
      <x:c r="O2518" s="12"/>
      <x:c r="P2518" s="11" t="n">
        <x:v>0</x:v>
      </x:c>
      <x:c r="Q2518" s="12" t="str">
        <x:v>AF-Q924C1-F1-model_v6</x:v>
      </x:c>
      <x:c r="R2518" s="12" t="str">
        <x:v>ok</x:v>
      </x:c>
      <x:c r="S2518" s="11" t="n">
        <x:v>2008</x:v>
      </x:c>
      <x:c r="T2518" s="11" t="n">
        <x:v>1204</x:v>
      </x:c>
    </x:row>
    <x:row r="2519" ht="23" customHeight="1">
      <x:c r="A2519" s="2" t="str">
        <x:v>Q924H7</x:v>
      </x:c>
      <x:c r="B2519" s="2" t="str">
        <x:v>ED</x:v>
      </x:c>
      <x:c r="C2519" s="2" t="n">
        <x:v>1</x:v>
      </x:c>
      <x:c r="D2519" s="2"/>
      <x:c r="E2519" s="10"/>
      <x:c r="F2519" s="11" t="n">
        <x:v>646</x:v>
      </x:c>
      <x:c r="G2519" s="11" t="n">
        <x:v>1</x:v>
      </x:c>
      <x:c r="H2519" s="11" t="n">
        <x:v>0</x:v>
      </x:c>
      <x:c r="I2519" s="11" t="n">
        <x:v>0</x:v>
      </x:c>
      <x:c r="J2519" s="11" t="n">
        <x:v>0</x:v>
      </x:c>
      <x:c r="K2519" s="11" t="n">
        <x:v>0</x:v>
      </x:c>
      <x:c r="L2519" s="11" t="n">
        <x:f>IF(B2519="NED",1,IF(OR(B2519="ED",B2519="UN"),0,""))</x:f>
        <x:v>0</x:v>
      </x:c>
      <x:c r="M2519" s="11" t="n">
        <x:f>IF(AND(K2519=1,OR(B2519="ED",B2519="NED")),1,0)</x:f>
        <x:v>0</x:v>
      </x:c>
      <x:c r="N2519" s="11" t="n">
        <x:f>IF(K2519=1,1,0)</x:f>
        <x:v>0</x:v>
      </x:c>
      <x:c r="O2519" s="12" t="str">
        <x:v>Exclude supplied knotted proteins</x:v>
      </x:c>
      <x:c r="P2519" s="11" t="n">
        <x:v>0</x:v>
      </x:c>
      <x:c r="Q2519" s="12" t="str">
        <x:v>AF-Q924H7-F1-model_v6</x:v>
      </x:c>
      <x:c r="R2519" s="12" t="str">
        <x:v>ok</x:v>
      </x:c>
      <x:c r="S2519" s="11" t="n">
        <x:v>2009</x:v>
      </x:c>
      <x:c r="T2519" s="11" t="n">
        <x:v>646</x:v>
      </x:c>
    </x:row>
    <x:row r="2520" ht="23" customHeight="1">
      <x:c r="A2520" s="2" t="str">
        <x:v>Q924M7</x:v>
      </x:c>
      <x:c r="B2520" s="2" t="str">
        <x:v>ED</x:v>
      </x:c>
      <x:c r="C2520" s="2" t="n">
        <x:v>1</x:v>
      </x:c>
      <x:c r="D2520" s="2" t="n">
        <x:v>1</x:v>
      </x:c>
      <x:c r="E2520" s="10" t="n">
        <x:v>96.79621749408984</x:v>
      </x:c>
      <x:c r="F2520" s="11" t="n">
        <x:v>423</x:v>
      </x:c>
      <x:c r="G2520" s="11" t="n">
        <x:v>0</x:v>
      </x:c>
      <x:c r="H2520" s="11" t="n">
        <x:v>0</x:v>
      </x:c>
      <x:c r="I2520" s="11" t="n">
        <x:v>0</x:v>
      </x:c>
      <x:c r="J2520" s="11" t="n">
        <x:v>0</x:v>
      </x:c>
      <x:c r="K2520" s="11" t="n">
        <x:v>1</x:v>
      </x:c>
      <x:c r="L2520" s="11" t="n">
        <x:f>IF(B2520="NED",1,IF(OR(B2520="ED",B2520="UN"),0,""))</x:f>
        <x:v>0</x:v>
      </x:c>
      <x:c r="M2520" s="11" t="n">
        <x:f>IF(AND(K2520=1,OR(B2520="ED",B2520="NED")),1,0)</x:f>
        <x:v>1</x:v>
      </x:c>
      <x:c r="N2520" s="11" t="n">
        <x:f>IF(K2520=1,1,0)</x:f>
        <x:v>1</x:v>
      </x:c>
      <x:c r="O2520" s="12"/>
      <x:c r="P2520" s="11" t="n">
        <x:v>0</x:v>
      </x:c>
      <x:c r="Q2520" s="12" t="str">
        <x:v>AF-Q924M7-F1-model_v6</x:v>
      </x:c>
      <x:c r="R2520" s="12" t="str">
        <x:v>ok</x:v>
      </x:c>
      <x:c r="S2520" s="11" t="n">
        <x:v>2010</x:v>
      </x:c>
      <x:c r="T2520" s="11" t="n">
        <x:v>423</x:v>
      </x:c>
    </x:row>
    <x:row r="2521" ht="23" customHeight="1">
      <x:c r="A2521" s="2" t="str">
        <x:v>Q924T2</x:v>
      </x:c>
      <x:c r="B2521" s="2" t="str">
        <x:v>ED</x:v>
      </x:c>
      <x:c r="C2521" s="2" t="n">
        <x:v>1</x:v>
      </x:c>
      <x:c r="D2521" s="2" t="n">
        <x:v>1</x:v>
      </x:c>
      <x:c r="E2521" s="10" t="n">
        <x:v>82.99178694158076</x:v>
      </x:c>
      <x:c r="F2521" s="11" t="n">
        <x:v>291</x:v>
      </x:c>
      <x:c r="G2521" s="11" t="n">
        <x:v>0</x:v>
      </x:c>
      <x:c r="H2521" s="11" t="n">
        <x:v>0</x:v>
      </x:c>
      <x:c r="I2521" s="11" t="n">
        <x:v>0</x:v>
      </x:c>
      <x:c r="J2521" s="11" t="n">
        <x:v>0</x:v>
      </x:c>
      <x:c r="K2521" s="11" t="n">
        <x:v>1</x:v>
      </x:c>
      <x:c r="L2521" s="11" t="n">
        <x:f>IF(B2521="NED",1,IF(OR(B2521="ED",B2521="UN"),0,""))</x:f>
        <x:v>0</x:v>
      </x:c>
      <x:c r="M2521" s="11" t="n">
        <x:f>IF(AND(K2521=1,OR(B2521="ED",B2521="NED")),1,0)</x:f>
        <x:v>1</x:v>
      </x:c>
      <x:c r="N2521" s="11" t="n">
        <x:f>IF(K2521=1,1,0)</x:f>
        <x:v>1</x:v>
      </x:c>
      <x:c r="O2521" s="12"/>
      <x:c r="P2521" s="11" t="n">
        <x:v>0</x:v>
      </x:c>
      <x:c r="Q2521" s="12" t="str">
        <x:v>AF-Q924T2-F1-model_v6</x:v>
      </x:c>
      <x:c r="R2521" s="12" t="str">
        <x:v>ok</x:v>
      </x:c>
      <x:c r="S2521" s="11" t="n">
        <x:v>2011</x:v>
      </x:c>
      <x:c r="T2521" s="11" t="n">
        <x:v>291</x:v>
      </x:c>
    </x:row>
    <x:row r="2522" ht="23" customHeight="1">
      <x:c r="A2522" s="2" t="str">
        <x:v>Q924W5</x:v>
      </x:c>
      <x:c r="B2522" s="2" t="str">
        <x:v>UN</x:v>
      </x:c>
      <x:c r="C2522" s="2" t="n">
        <x:v>1</x:v>
      </x:c>
      <x:c r="D2522" s="2" t="n">
        <x:v>1</x:v>
      </x:c>
      <x:c r="E2522" s="10" t="n">
        <x:v>80.01288969917958</x:v>
      </x:c>
      <x:c r="F2522" s="11" t="n">
        <x:v>1097</x:v>
      </x:c>
      <x:c r="G2522" s="11" t="n">
        <x:v>0</x:v>
      </x:c>
      <x:c r="H2522" s="11" t="n">
        <x:v>0</x:v>
      </x:c>
      <x:c r="I2522" s="11" t="n">
        <x:v>0</x:v>
      </x:c>
      <x:c r="J2522" s="11" t="n">
        <x:v>0</x:v>
      </x:c>
      <x:c r="K2522" s="11" t="n">
        <x:v>1</x:v>
      </x:c>
      <x:c r="L2522" s="11" t="n">
        <x:f>IF(B2522="NED",1,IF(OR(B2522="ED",B2522="UN"),0,""))</x:f>
        <x:v>0</x:v>
      </x:c>
      <x:c r="M2522" s="11" t="n">
        <x:f>IF(AND(K2522=1,OR(B2522="ED",B2522="NED")),1,0)</x:f>
        <x:v>0</x:v>
      </x:c>
      <x:c r="N2522" s="11" t="n">
        <x:f>IF(K2522=1,1,0)</x:f>
        <x:v>1</x:v>
      </x:c>
      <x:c r="O2522" s="12"/>
      <x:c r="P2522" s="11" t="n">
        <x:v>0</x:v>
      </x:c>
      <x:c r="Q2522" s="12" t="str">
        <x:v>AF-Q924W5-F1-model_v6</x:v>
      </x:c>
      <x:c r="R2522" s="12" t="str">
        <x:v>ok</x:v>
      </x:c>
      <x:c r="S2522" s="11" t="n">
        <x:v>2012</x:v>
      </x:c>
      <x:c r="T2522" s="11" t="n">
        <x:v>1097</x:v>
      </x:c>
    </x:row>
    <x:row r="2523" ht="23" customHeight="1">
      <x:c r="A2523" s="2" t="str">
        <x:v>Q924W7</x:v>
      </x:c>
      <x:c r="B2523" s="2" t="str">
        <x:v>UN</x:v>
      </x:c>
      <x:c r="C2523" s="2" t="n">
        <x:v>1</x:v>
      </x:c>
      <x:c r="D2523" s="2" t="n">
        <x:v>1</x:v>
      </x:c>
      <x:c r="E2523" s="10"/>
      <x:c r="F2523" s="11" t="n">
        <x:v>1134</x:v>
      </x:c>
      <x:c r="G2523" s="11" t="n">
        <x:v>0</x:v>
      </x:c>
      <x:c r="H2523" s="11" t="n">
        <x:v>0</x:v>
      </x:c>
      <x:c r="I2523" s="11" t="n">
        <x:v>1</x:v>
      </x:c>
      <x:c r="J2523" s="11" t="n">
        <x:v>0</x:v>
      </x:c>
      <x:c r="K2523" s="11" t="n">
        <x:v>0</x:v>
      </x:c>
      <x:c r="L2523" s="11" t="n">
        <x:f>IF(B2523="NED",1,IF(OR(B2523="ED",B2523="UN"),0,""))</x:f>
        <x:v>0</x:v>
      </x:c>
      <x:c r="M2523" s="11" t="n">
        <x:f>IF(AND(K2523=1,OR(B2523="ED",B2523="NED")),1,0)</x:f>
        <x:v>0</x:v>
      </x:c>
      <x:c r="N2523" s="11" t="n">
        <x:f>IF(K2523=1,1,0)</x:f>
        <x:v>0</x:v>
      </x:c>
      <x:c r="O2523" s="12" t="str">
        <x:v>Exclude UniProt Membrane keyword</x:v>
      </x:c>
      <x:c r="P2523" s="11" t="n">
        <x:v>0</x:v>
      </x:c>
      <x:c r="Q2523" s="12" t="str">
        <x:v>AF-Q924W7-F1-model_v6</x:v>
      </x:c>
      <x:c r="R2523" s="12" t="str">
        <x:v>ok</x:v>
      </x:c>
      <x:c r="S2523" s="11" t="n">
        <x:v>2013</x:v>
      </x:c>
      <x:c r="T2523" s="11" t="n">
        <x:v>1134</x:v>
      </x:c>
    </x:row>
    <x:row r="2524" ht="23" customHeight="1">
      <x:c r="A2524" s="2" t="str">
        <x:v>Q924Z6-2</x:v>
      </x:c>
      <x:c r="B2524" s="2" t="str">
        <x:v>ED</x:v>
      </x:c>
      <x:c r="C2524" s="2"/>
      <x:c r="D2524" s="2"/>
      <x:c r="E2524" s="10"/>
      <x:c r="F2524" s="11"/>
      <x:c r="G2524" s="11" t="n">
        <x:v>0</x:v>
      </x:c>
      <x:c r="H2524" s="11" t="n">
        <x:v>0</x:v>
      </x:c>
      <x:c r="I2524" s="11"/>
      <x:c r="J2524" s="11"/>
      <x:c r="K2524" s="11" t="n">
        <x:v>0</x:v>
      </x:c>
      <x:c r="L2524" s="11" t="n">
        <x:f>IF(B2524="NED",1,IF(OR(B2524="ED",B2524="UN"),0,""))</x:f>
        <x:v>0</x:v>
      </x:c>
      <x:c r="M2524" s="11" t="n">
        <x:f>IF(AND(K2524=1,OR(B2524="ED",B2524="NED")),1,0)</x:f>
        <x:v>0</x:v>
      </x:c>
      <x:c r="N2524" s="11" t="n">
        <x:f>IF(K2524=1,1,0)</x:f>
        <x:v>0</x:v>
      </x:c>
      <x:c r="O2524" s="12" t="str">
        <x:v>Require exact native accession match</x:v>
      </x:c>
      <x:c r="P2524" s="11" t="n">
        <x:v>0</x:v>
      </x:c>
      <x:c r="Q2524" s="12"/>
      <x:c r="R2524" s="12"/>
      <x:c r="S2524" s="11" t="n">
        <x:v>2014</x:v>
      </x:c>
      <x:c r="T2524" s="11"/>
    </x:row>
    <x:row r="2525" ht="23" customHeight="1">
      <x:c r="A2525" s="2" t="str">
        <x:v>Q925B0</x:v>
      </x:c>
      <x:c r="B2525" s="2" t="str">
        <x:v>ED</x:v>
      </x:c>
      <x:c r="C2525" s="2" t="n">
        <x:v>0</x:v>
      </x:c>
      <x:c r="D2525" s="2" t="n">
        <x:v>0</x:v>
      </x:c>
      <x:c r="E2525" s="10" t="n">
        <x:v>64.00315315315315</x:v>
      </x:c>
      <x:c r="F2525" s="11" t="n">
        <x:v>333</x:v>
      </x:c>
      <x:c r="G2525" s="11" t="n">
        <x:v>0</x:v>
      </x:c>
      <x:c r="H2525" s="11" t="n">
        <x:v>0</x:v>
      </x:c>
      <x:c r="I2525" s="11" t="n">
        <x:v>0</x:v>
      </x:c>
      <x:c r="J2525" s="11" t="n">
        <x:v>0</x:v>
      </x:c>
      <x:c r="K2525" s="11" t="n">
        <x:v>0</x:v>
      </x:c>
      <x:c r="L2525" s="11" t="n">
        <x:f>IF(B2525="NED",1,IF(OR(B2525="ED",B2525="UN"),0,""))</x:f>
        <x:v>0</x:v>
      </x:c>
      <x:c r="M2525" s="11" t="n">
        <x:f>IF(AND(K2525=1,OR(B2525="ED",B2525="NED")),1,0)</x:f>
        <x:v>0</x:v>
      </x:c>
      <x:c r="N2525" s="11" t="n">
        <x:f>IF(K2525=1,1,0)</x:f>
        <x:v>0</x:v>
      </x:c>
      <x:c r="O2525" s="12" t="str">
        <x:v>Retain protein mean pLDDT &gt;=70</x:v>
      </x:c>
      <x:c r="P2525" s="11" t="n">
        <x:v>0</x:v>
      </x:c>
      <x:c r="Q2525" s="12" t="str">
        <x:v>AF-Q925B0-F1-model_v6</x:v>
      </x:c>
      <x:c r="R2525" s="12" t="str">
        <x:v>ok</x:v>
      </x:c>
      <x:c r="S2525" s="11" t="n">
        <x:v>2015</x:v>
      </x:c>
      <x:c r="T2525" s="11" t="n">
        <x:v>333</x:v>
      </x:c>
    </x:row>
    <x:row r="2526" ht="23" customHeight="1">
      <x:c r="A2526" s="2" t="str">
        <x:v>Q925I1</x:v>
      </x:c>
      <x:c r="B2526" s="2" t="str">
        <x:v>ED</x:v>
      </x:c>
      <x:c r="C2526" s="2" t="n">
        <x:v>1</x:v>
      </x:c>
      <x:c r="D2526" s="2" t="n">
        <x:v>1</x:v>
      </x:c>
      <x:c r="E2526" s="10"/>
      <x:c r="F2526" s="11" t="n">
        <x:v>591</x:v>
      </x:c>
      <x:c r="G2526" s="11" t="n">
        <x:v>0</x:v>
      </x:c>
      <x:c r="H2526" s="11" t="n">
        <x:v>0</x:v>
      </x:c>
      <x:c r="I2526" s="11" t="n">
        <x:v>1</x:v>
      </x:c>
      <x:c r="J2526" s="11" t="n">
        <x:v>0</x:v>
      </x:c>
      <x:c r="K2526" s="11" t="n">
        <x:v>0</x:v>
      </x:c>
      <x:c r="L2526" s="11" t="n">
        <x:f>IF(B2526="NED",1,IF(OR(B2526="ED",B2526="UN"),0,""))</x:f>
        <x:v>0</x:v>
      </x:c>
      <x:c r="M2526" s="11" t="n">
        <x:f>IF(AND(K2526=1,OR(B2526="ED",B2526="NED")),1,0)</x:f>
        <x:v>0</x:v>
      </x:c>
      <x:c r="N2526" s="11" t="n">
        <x:f>IF(K2526=1,1,0)</x:f>
        <x:v>0</x:v>
      </x:c>
      <x:c r="O2526" s="12" t="str">
        <x:v>Exclude UniProt Membrane keyword</x:v>
      </x:c>
      <x:c r="P2526" s="11" t="n">
        <x:v>0</x:v>
      </x:c>
      <x:c r="Q2526" s="12" t="str">
        <x:v>AF-Q925I1-F1-model_v6</x:v>
      </x:c>
      <x:c r="R2526" s="12" t="str">
        <x:v>ok</x:v>
      </x:c>
      <x:c r="S2526" s="11" t="n">
        <x:v>2016</x:v>
      </x:c>
      <x:c r="T2526" s="11" t="n">
        <x:v>591</x:v>
      </x:c>
    </x:row>
    <x:row r="2527" ht="23" customHeight="1">
      <x:c r="A2527" s="2" t="str">
        <x:v>Q925J9-4</x:v>
      </x:c>
      <x:c r="B2527" s="2" t="str">
        <x:v>UN</x:v>
      </x:c>
      <x:c r="C2527" s="2"/>
      <x:c r="D2527" s="2"/>
      <x:c r="E2527" s="10"/>
      <x:c r="F2527" s="11"/>
      <x:c r="G2527" s="11" t="n">
        <x:v>0</x:v>
      </x:c>
      <x:c r="H2527" s="11" t="n">
        <x:v>0</x:v>
      </x:c>
      <x:c r="I2527" s="11"/>
      <x:c r="J2527" s="11"/>
      <x:c r="K2527" s="11" t="n">
        <x:v>0</x:v>
      </x:c>
      <x:c r="L2527" s="11" t="n">
        <x:f>IF(B2527="NED",1,IF(OR(B2527="ED",B2527="UN"),0,""))</x:f>
        <x:v>0</x:v>
      </x:c>
      <x:c r="M2527" s="11" t="n">
        <x:f>IF(AND(K2527=1,OR(B2527="ED",B2527="NED")),1,0)</x:f>
        <x:v>0</x:v>
      </x:c>
      <x:c r="N2527" s="11" t="n">
        <x:f>IF(K2527=1,1,0)</x:f>
        <x:v>0</x:v>
      </x:c>
      <x:c r="O2527" s="12" t="str">
        <x:v>Require exact native accession match</x:v>
      </x:c>
      <x:c r="P2527" s="11" t="n">
        <x:v>0</x:v>
      </x:c>
      <x:c r="Q2527" s="12"/>
      <x:c r="R2527" s="12"/>
      <x:c r="S2527" s="11" t="n">
        <x:v>2017</x:v>
      </x:c>
      <x:c r="T2527" s="11"/>
    </x:row>
    <x:row r="2528" ht="23" customHeight="1">
      <x:c r="A2528" s="2" t="str">
        <x:v>Q93092</x:v>
      </x:c>
      <x:c r="B2528" s="2" t="str">
        <x:v>ED</x:v>
      </x:c>
      <x:c r="C2528" s="2" t="n">
        <x:v>1</x:v>
      </x:c>
      <x:c r="D2528" s="2" t="n">
        <x:v>1</x:v>
      </x:c>
      <x:c r="E2528" s="10" t="n">
        <x:v>95.63982195845698</x:v>
      </x:c>
      <x:c r="F2528" s="11" t="n">
        <x:v>337</x:v>
      </x:c>
      <x:c r="G2528" s="11" t="n">
        <x:v>0</x:v>
      </x:c>
      <x:c r="H2528" s="11" t="n">
        <x:v>0</x:v>
      </x:c>
      <x:c r="I2528" s="11" t="n">
        <x:v>0</x:v>
      </x:c>
      <x:c r="J2528" s="11" t="n">
        <x:v>0</x:v>
      </x:c>
      <x:c r="K2528" s="11" t="n">
        <x:v>1</x:v>
      </x:c>
      <x:c r="L2528" s="11" t="n">
        <x:f>IF(B2528="NED",1,IF(OR(B2528="ED",B2528="UN"),0,""))</x:f>
        <x:v>0</x:v>
      </x:c>
      <x:c r="M2528" s="11" t="n">
        <x:f>IF(AND(K2528=1,OR(B2528="ED",B2528="NED")),1,0)</x:f>
        <x:v>1</x:v>
      </x:c>
      <x:c r="N2528" s="11" t="n">
        <x:f>IF(K2528=1,1,0)</x:f>
        <x:v>1</x:v>
      </x:c>
      <x:c r="O2528" s="12"/>
      <x:c r="P2528" s="11" t="n">
        <x:v>0</x:v>
      </x:c>
      <x:c r="Q2528" s="12" t="str">
        <x:v>AF-Q93092-F1-model_v6</x:v>
      </x:c>
      <x:c r="R2528" s="12" t="str">
        <x:v>ok</x:v>
      </x:c>
      <x:c r="S2528" s="11" t="n">
        <x:v>2018</x:v>
      </x:c>
      <x:c r="T2528" s="11" t="n">
        <x:v>337</x:v>
      </x:c>
    </x:row>
    <x:row r="2529" ht="23" customHeight="1">
      <x:c r="A2529" s="2" t="str">
        <x:v>Q99020</x:v>
      </x:c>
      <x:c r="B2529" s="2" t="str">
        <x:v>ED</x:v>
      </x:c>
      <x:c r="C2529" s="2" t="n">
        <x:v>1</x:v>
      </x:c>
      <x:c r="D2529" s="2" t="n">
        <x:v>1</x:v>
      </x:c>
      <x:c r="E2529" s="10" t="n">
        <x:v>70.49940350877193</x:v>
      </x:c>
      <x:c r="F2529" s="11" t="n">
        <x:v>285</x:v>
      </x:c>
      <x:c r="G2529" s="11" t="n">
        <x:v>0</x:v>
      </x:c>
      <x:c r="H2529" s="11" t="n">
        <x:v>0</x:v>
      </x:c>
      <x:c r="I2529" s="11" t="n">
        <x:v>0</x:v>
      </x:c>
      <x:c r="J2529" s="11" t="n">
        <x:v>0</x:v>
      </x:c>
      <x:c r="K2529" s="11" t="n">
        <x:v>1</x:v>
      </x:c>
      <x:c r="L2529" s="11" t="n">
        <x:f>IF(B2529="NED",1,IF(OR(B2529="ED",B2529="UN"),0,""))</x:f>
        <x:v>0</x:v>
      </x:c>
      <x:c r="M2529" s="11" t="n">
        <x:f>IF(AND(K2529=1,OR(B2529="ED",B2529="NED")),1,0)</x:f>
        <x:v>1</x:v>
      </x:c>
      <x:c r="N2529" s="11" t="n">
        <x:f>IF(K2529=1,1,0)</x:f>
        <x:v>1</x:v>
      </x:c>
      <x:c r="O2529" s="12"/>
      <x:c r="P2529" s="11" t="n">
        <x:v>0</x:v>
      </x:c>
      <x:c r="Q2529" s="12" t="str">
        <x:v>AF-Q99020-F1-model_v6</x:v>
      </x:c>
      <x:c r="R2529" s="12" t="str">
        <x:v>ok</x:v>
      </x:c>
      <x:c r="S2529" s="11" t="n">
        <x:v>2019</x:v>
      </x:c>
      <x:c r="T2529" s="11" t="n">
        <x:v>285</x:v>
      </x:c>
    </x:row>
    <x:row r="2530" ht="23" customHeight="1">
      <x:c r="A2530" s="2" t="str">
        <x:v>Q99J09</x:v>
      </x:c>
      <x:c r="B2530" s="2" t="str">
        <x:v>NED</x:v>
      </x:c>
      <x:c r="C2530" s="2" t="n">
        <x:v>1</x:v>
      </x:c>
      <x:c r="D2530" s="2" t="n">
        <x:v>1</x:v>
      </x:c>
      <x:c r="E2530" s="10" t="n">
        <x:v>90.60932748538012</x:v>
      </x:c>
      <x:c r="F2530" s="11" t="n">
        <x:v>342</x:v>
      </x:c>
      <x:c r="G2530" s="11" t="n">
        <x:v>0</x:v>
      </x:c>
      <x:c r="H2530" s="11" t="n">
        <x:v>0</x:v>
      </x:c>
      <x:c r="I2530" s="11" t="n">
        <x:v>0</x:v>
      </x:c>
      <x:c r="J2530" s="11" t="n">
        <x:v>0</x:v>
      </x:c>
      <x:c r="K2530" s="11" t="n">
        <x:v>1</x:v>
      </x:c>
      <x:c r="L2530" s="11" t="n">
        <x:f>IF(B2530="NED",1,IF(OR(B2530="ED",B2530="UN"),0,""))</x:f>
        <x:v>1</x:v>
      </x:c>
      <x:c r="M2530" s="11" t="n">
        <x:f>IF(AND(K2530=1,OR(B2530="ED",B2530="NED")),1,0)</x:f>
        <x:v>1</x:v>
      </x:c>
      <x:c r="N2530" s="11" t="n">
        <x:f>IF(K2530=1,1,0)</x:f>
        <x:v>1</x:v>
      </x:c>
      <x:c r="O2530" s="12"/>
      <x:c r="P2530" s="11" t="n">
        <x:v>0</x:v>
      </x:c>
      <x:c r="Q2530" s="12" t="str">
        <x:v>AF-Q99J09-F1-model_v6</x:v>
      </x:c>
      <x:c r="R2530" s="12" t="str">
        <x:v>ok</x:v>
      </x:c>
      <x:c r="S2530" s="11" t="n">
        <x:v>2020</x:v>
      </x:c>
      <x:c r="T2530" s="11" t="n">
        <x:v>342</x:v>
      </x:c>
    </x:row>
    <x:row r="2531" ht="23" customHeight="1">
      <x:c r="A2531" s="2" t="str">
        <x:v>Q99J10</x:v>
      </x:c>
      <x:c r="B2531" s="2" t="str">
        <x:v>UN</x:v>
      </x:c>
      <x:c r="C2531" s="2" t="n">
        <x:v>1</x:v>
      </x:c>
      <x:c r="D2531" s="2" t="n">
        <x:v>1</x:v>
      </x:c>
      <x:c r="E2531" s="10" t="n">
        <x:v>73.48266666666667</x:v>
      </x:c>
      <x:c r="F2531" s="11" t="n">
        <x:v>420</x:v>
      </x:c>
      <x:c r="G2531" s="11" t="n">
        <x:v>0</x:v>
      </x:c>
      <x:c r="H2531" s="11" t="n">
        <x:v>0</x:v>
      </x:c>
      <x:c r="I2531" s="11" t="n">
        <x:v>0</x:v>
      </x:c>
      <x:c r="J2531" s="11" t="n">
        <x:v>0</x:v>
      </x:c>
      <x:c r="K2531" s="11" t="n">
        <x:v>1</x:v>
      </x:c>
      <x:c r="L2531" s="11" t="n">
        <x:f>IF(B2531="NED",1,IF(OR(B2531="ED",B2531="UN"),0,""))</x:f>
        <x:v>0</x:v>
      </x:c>
      <x:c r="M2531" s="11" t="n">
        <x:f>IF(AND(K2531=1,OR(B2531="ED",B2531="NED")),1,0)</x:f>
        <x:v>0</x:v>
      </x:c>
      <x:c r="N2531" s="11" t="n">
        <x:f>IF(K2531=1,1,0)</x:f>
        <x:v>1</x:v>
      </x:c>
      <x:c r="O2531" s="12"/>
      <x:c r="P2531" s="11" t="n">
        <x:v>0</x:v>
      </x:c>
      <x:c r="Q2531" s="12" t="str">
        <x:v>AF-Q99J10-F1-model_v6</x:v>
      </x:c>
      <x:c r="R2531" s="12" t="str">
        <x:v>ok</x:v>
      </x:c>
      <x:c r="S2531" s="11" t="n">
        <x:v>2021</x:v>
      </x:c>
      <x:c r="T2531" s="11" t="n">
        <x:v>420</x:v>
      </x:c>
    </x:row>
    <x:row r="2532" ht="23" customHeight="1">
      <x:c r="A2532" s="2" t="str">
        <x:v>Q99J27</x:v>
      </x:c>
      <x:c r="B2532" s="2" t="str">
        <x:v>UN</x:v>
      </x:c>
      <x:c r="C2532" s="2" t="n">
        <x:v>1</x:v>
      </x:c>
      <x:c r="D2532" s="2" t="n">
        <x:v>1</x:v>
      </x:c>
      <x:c r="E2532" s="10"/>
      <x:c r="F2532" s="11" t="n">
        <x:v>550</x:v>
      </x:c>
      <x:c r="G2532" s="11" t="n">
        <x:v>0</x:v>
      </x:c>
      <x:c r="H2532" s="11" t="n">
        <x:v>0</x:v>
      </x:c>
      <x:c r="I2532" s="11" t="n">
        <x:v>1</x:v>
      </x:c>
      <x:c r="J2532" s="11" t="n">
        <x:v>0</x:v>
      </x:c>
      <x:c r="K2532" s="11" t="n">
        <x:v>0</x:v>
      </x:c>
      <x:c r="L2532" s="11" t="n">
        <x:f>IF(B2532="NED",1,IF(OR(B2532="ED",B2532="UN"),0,""))</x:f>
        <x:v>0</x:v>
      </x:c>
      <x:c r="M2532" s="11" t="n">
        <x:f>IF(AND(K2532=1,OR(B2532="ED",B2532="NED")),1,0)</x:f>
        <x:v>0</x:v>
      </x:c>
      <x:c r="N2532" s="11" t="n">
        <x:f>IF(K2532=1,1,0)</x:f>
        <x:v>0</x:v>
      </x:c>
      <x:c r="O2532" s="12" t="str">
        <x:v>Exclude UniProt Membrane keyword</x:v>
      </x:c>
      <x:c r="P2532" s="11" t="n">
        <x:v>0</x:v>
      </x:c>
      <x:c r="Q2532" s="12" t="str">
        <x:v>AF-Q99J27-F1-model_v6</x:v>
      </x:c>
      <x:c r="R2532" s="12" t="str">
        <x:v>ok</x:v>
      </x:c>
      <x:c r="S2532" s="11" t="n">
        <x:v>2022</x:v>
      </x:c>
      <x:c r="T2532" s="11" t="n">
        <x:v>550</x:v>
      </x:c>
    </x:row>
    <x:row r="2533" ht="23" customHeight="1">
      <x:c r="A2533" s="2" t="str">
        <x:v>Q99J36</x:v>
      </x:c>
      <x:c r="B2533" s="2" t="str">
        <x:v>ED</x:v>
      </x:c>
      <x:c r="C2533" s="2" t="n">
        <x:v>1</x:v>
      </x:c>
      <x:c r="D2533" s="2" t="n">
        <x:v>1</x:v>
      </x:c>
      <x:c r="E2533" s="10" t="n">
        <x:v>74.90868571428571</x:v>
      </x:c>
      <x:c r="F2533" s="11" t="n">
        <x:v>350</x:v>
      </x:c>
      <x:c r="G2533" s="11" t="n">
        <x:v>0</x:v>
      </x:c>
      <x:c r="H2533" s="11" t="n">
        <x:v>0</x:v>
      </x:c>
      <x:c r="I2533" s="11" t="n">
        <x:v>0</x:v>
      </x:c>
      <x:c r="J2533" s="11" t="n">
        <x:v>0</x:v>
      </x:c>
      <x:c r="K2533" s="11" t="n">
        <x:v>1</x:v>
      </x:c>
      <x:c r="L2533" s="11" t="n">
        <x:f>IF(B2533="NED",1,IF(OR(B2533="ED",B2533="UN"),0,""))</x:f>
        <x:v>0</x:v>
      </x:c>
      <x:c r="M2533" s="11" t="n">
        <x:f>IF(AND(K2533=1,OR(B2533="ED",B2533="NED")),1,0)</x:f>
        <x:v>1</x:v>
      </x:c>
      <x:c r="N2533" s="11" t="n">
        <x:f>IF(K2533=1,1,0)</x:f>
        <x:v>1</x:v>
      </x:c>
      <x:c r="O2533" s="12"/>
      <x:c r="P2533" s="11" t="n">
        <x:v>0</x:v>
      </x:c>
      <x:c r="Q2533" s="12" t="str">
        <x:v>AF-Q99J36-F1-model_v6</x:v>
      </x:c>
      <x:c r="R2533" s="12" t="str">
        <x:v>ok</x:v>
      </x:c>
      <x:c r="S2533" s="11" t="n">
        <x:v>2023</x:v>
      </x:c>
      <x:c r="T2533" s="11" t="n">
        <x:v>350</x:v>
      </x:c>
    </x:row>
    <x:row r="2534" ht="23" customHeight="1">
      <x:c r="A2534" s="2" t="str">
        <x:v>Q99J45</x:v>
      </x:c>
      <x:c r="B2534" s="2" t="str">
        <x:v>ED</x:v>
      </x:c>
      <x:c r="C2534" s="2" t="n">
        <x:v>1</x:v>
      </x:c>
      <x:c r="D2534" s="2" t="n">
        <x:v>1</x:v>
      </x:c>
      <x:c r="E2534" s="10"/>
      <x:c r="F2534" s="11" t="n">
        <x:v>535</x:v>
      </x:c>
      <x:c r="G2534" s="11" t="n">
        <x:v>0</x:v>
      </x:c>
      <x:c r="H2534" s="11" t="n">
        <x:v>0</x:v>
      </x:c>
      <x:c r="I2534" s="11" t="n">
        <x:v>1</x:v>
      </x:c>
      <x:c r="J2534" s="11" t="n">
        <x:v>0</x:v>
      </x:c>
      <x:c r="K2534" s="11" t="n">
        <x:v>0</x:v>
      </x:c>
      <x:c r="L2534" s="11" t="n">
        <x:f>IF(B2534="NED",1,IF(OR(B2534="ED",B2534="UN"),0,""))</x:f>
        <x:v>0</x:v>
      </x:c>
      <x:c r="M2534" s="11" t="n">
        <x:f>IF(AND(K2534=1,OR(B2534="ED",B2534="NED")),1,0)</x:f>
        <x:v>0</x:v>
      </x:c>
      <x:c r="N2534" s="11" t="n">
        <x:f>IF(K2534=1,1,0)</x:f>
        <x:v>0</x:v>
      </x:c>
      <x:c r="O2534" s="12" t="str">
        <x:v>Exclude UniProt Membrane keyword</x:v>
      </x:c>
      <x:c r="P2534" s="11" t="n">
        <x:v>0</x:v>
      </x:c>
      <x:c r="Q2534" s="12" t="str">
        <x:v>AF-Q99J45-F1-model_v6</x:v>
      </x:c>
      <x:c r="R2534" s="12" t="str">
        <x:v>ok</x:v>
      </x:c>
      <x:c r="S2534" s="11" t="n">
        <x:v>2024</x:v>
      </x:c>
      <x:c r="T2534" s="11" t="n">
        <x:v>535</x:v>
      </x:c>
    </x:row>
    <x:row r="2535" ht="23" customHeight="1">
      <x:c r="A2535" s="2" t="str">
        <x:v>Q99J56</x:v>
      </x:c>
      <x:c r="B2535" s="2" t="str">
        <x:v>NED</x:v>
      </x:c>
      <x:c r="C2535" s="2" t="n">
        <x:v>0</x:v>
      </x:c>
      <x:c r="D2535" s="2" t="n">
        <x:v>0</x:v>
      </x:c>
      <x:c r="E2535" s="10"/>
      <x:c r="F2535" s="11" t="n">
        <x:v>251</x:v>
      </x:c>
      <x:c r="G2535" s="11" t="n">
        <x:v>0</x:v>
      </x:c>
      <x:c r="H2535" s="11" t="n">
        <x:v>0</x:v>
      </x:c>
      <x:c r="I2535" s="11" t="n">
        <x:v>1</x:v>
      </x:c>
      <x:c r="J2535" s="11" t="n">
        <x:v>0</x:v>
      </x:c>
      <x:c r="K2535" s="11" t="n">
        <x:v>0</x:v>
      </x:c>
      <x:c r="L2535" s="11" t="n">
        <x:f>IF(B2535="NED",1,IF(OR(B2535="ED",B2535="UN"),0,""))</x:f>
        <x:v>1</x:v>
      </x:c>
      <x:c r="M2535" s="11" t="n">
        <x:f>IF(AND(K2535=1,OR(B2535="ED",B2535="NED")),1,0)</x:f>
        <x:v>0</x:v>
      </x:c>
      <x:c r="N2535" s="11" t="n">
        <x:f>IF(K2535=1,1,0)</x:f>
        <x:v>0</x:v>
      </x:c>
      <x:c r="O2535" s="12" t="str">
        <x:v>Exclude UniProt Membrane keyword</x:v>
      </x:c>
      <x:c r="P2535" s="11" t="n">
        <x:v>0</x:v>
      </x:c>
      <x:c r="Q2535" s="12" t="str">
        <x:v>AF-Q99J56-F1-model_v6</x:v>
      </x:c>
      <x:c r="R2535" s="12" t="str">
        <x:v>ok</x:v>
      </x:c>
      <x:c r="S2535" s="11" t="n">
        <x:v>2025</x:v>
      </x:c>
      <x:c r="T2535" s="11" t="n">
        <x:v>251</x:v>
      </x:c>
    </x:row>
    <x:row r="2536" ht="23" customHeight="1">
      <x:c r="A2536" s="2" t="str">
        <x:v>Q99J62</x:v>
      </x:c>
      <x:c r="B2536" s="2" t="str">
        <x:v>UN</x:v>
      </x:c>
      <x:c r="C2536" s="2" t="n">
        <x:v>1</x:v>
      </x:c>
      <x:c r="D2536" s="2" t="n">
        <x:v>1</x:v>
      </x:c>
      <x:c r="E2536" s="10" t="n">
        <x:v>81.566510989011</x:v>
      </x:c>
      <x:c r="F2536" s="11" t="n">
        <x:v>364</x:v>
      </x:c>
      <x:c r="G2536" s="11" t="n">
        <x:v>0</x:v>
      </x:c>
      <x:c r="H2536" s="11" t="n">
        <x:v>0</x:v>
      </x:c>
      <x:c r="I2536" s="11" t="n">
        <x:v>0</x:v>
      </x:c>
      <x:c r="J2536" s="11" t="n">
        <x:v>0</x:v>
      </x:c>
      <x:c r="K2536" s="11" t="n">
        <x:v>1</x:v>
      </x:c>
      <x:c r="L2536" s="11" t="n">
        <x:f>IF(B2536="NED",1,IF(OR(B2536="ED",B2536="UN"),0,""))</x:f>
        <x:v>0</x:v>
      </x:c>
      <x:c r="M2536" s="11" t="n">
        <x:f>IF(AND(K2536=1,OR(B2536="ED",B2536="NED")),1,0)</x:f>
        <x:v>0</x:v>
      </x:c>
      <x:c r="N2536" s="11" t="n">
        <x:f>IF(K2536=1,1,0)</x:f>
        <x:v>1</x:v>
      </x:c>
      <x:c r="O2536" s="12"/>
      <x:c r="P2536" s="11" t="n">
        <x:v>0</x:v>
      </x:c>
      <x:c r="Q2536" s="12" t="str">
        <x:v>AF-Q99J62-F1-model_v6</x:v>
      </x:c>
      <x:c r="R2536" s="12" t="str">
        <x:v>ok</x:v>
      </x:c>
      <x:c r="S2536" s="11" t="n">
        <x:v>2026</x:v>
      </x:c>
      <x:c r="T2536" s="11" t="n">
        <x:v>364</x:v>
      </x:c>
    </x:row>
    <x:row r="2537" ht="23" customHeight="1">
      <x:c r="A2537" s="2" t="str">
        <x:v>Q99J72-2</x:v>
      </x:c>
      <x:c r="B2537" s="2" t="str">
        <x:v>UN</x:v>
      </x:c>
      <x:c r="C2537" s="2"/>
      <x:c r="D2537" s="2"/>
      <x:c r="E2537" s="10"/>
      <x:c r="F2537" s="11"/>
      <x:c r="G2537" s="11" t="n">
        <x:v>0</x:v>
      </x:c>
      <x:c r="H2537" s="11" t="n">
        <x:v>0</x:v>
      </x:c>
      <x:c r="I2537" s="11"/>
      <x:c r="J2537" s="11"/>
      <x:c r="K2537" s="11" t="n">
        <x:v>0</x:v>
      </x:c>
      <x:c r="L2537" s="11" t="n">
        <x:f>IF(B2537="NED",1,IF(OR(B2537="ED",B2537="UN"),0,""))</x:f>
        <x:v>0</x:v>
      </x:c>
      <x:c r="M2537" s="11" t="n">
        <x:f>IF(AND(K2537=1,OR(B2537="ED",B2537="NED")),1,0)</x:f>
        <x:v>0</x:v>
      </x:c>
      <x:c r="N2537" s="11" t="n">
        <x:f>IF(K2537=1,1,0)</x:f>
        <x:v>0</x:v>
      </x:c>
      <x:c r="O2537" s="12" t="str">
        <x:v>Require exact native accession match</x:v>
      </x:c>
      <x:c r="P2537" s="11" t="n">
        <x:v>0</x:v>
      </x:c>
      <x:c r="Q2537" s="12"/>
      <x:c r="R2537" s="12"/>
      <x:c r="S2537" s="11" t="n">
        <x:v>2027</x:v>
      </x:c>
      <x:c r="T2537" s="11"/>
    </x:row>
    <x:row r="2538" ht="23" customHeight="1">
      <x:c r="A2538" s="2" t="str">
        <x:v>Q99J77</x:v>
      </x:c>
      <x:c r="B2538" s="2" t="str">
        <x:v>ED</x:v>
      </x:c>
      <x:c r="C2538" s="2" t="n">
        <x:v>1</x:v>
      </x:c>
      <x:c r="D2538" s="2" t="n">
        <x:v>1</x:v>
      </x:c>
      <x:c r="E2538" s="10" t="n">
        <x:v>95.93729805013928</x:v>
      </x:c>
      <x:c r="F2538" s="11" t="n">
        <x:v>359</x:v>
      </x:c>
      <x:c r="G2538" s="11" t="n">
        <x:v>0</x:v>
      </x:c>
      <x:c r="H2538" s="11" t="n">
        <x:v>0</x:v>
      </x:c>
      <x:c r="I2538" s="11" t="n">
        <x:v>0</x:v>
      </x:c>
      <x:c r="J2538" s="11" t="n">
        <x:v>0</x:v>
      </x:c>
      <x:c r="K2538" s="11" t="n">
        <x:v>1</x:v>
      </x:c>
      <x:c r="L2538" s="11" t="n">
        <x:f>IF(B2538="NED",1,IF(OR(B2538="ED",B2538="UN"),0,""))</x:f>
        <x:v>0</x:v>
      </x:c>
      <x:c r="M2538" s="11" t="n">
        <x:f>IF(AND(K2538=1,OR(B2538="ED",B2538="NED")),1,0)</x:f>
        <x:v>1</x:v>
      </x:c>
      <x:c r="N2538" s="11" t="n">
        <x:f>IF(K2538=1,1,0)</x:f>
        <x:v>1</x:v>
      </x:c>
      <x:c r="O2538" s="12"/>
      <x:c r="P2538" s="11" t="n">
        <x:v>0</x:v>
      </x:c>
      <x:c r="Q2538" s="12" t="str">
        <x:v>AF-Q99J77-F1-model_v6</x:v>
      </x:c>
      <x:c r="R2538" s="12" t="str">
        <x:v>ok</x:v>
      </x:c>
      <x:c r="S2538" s="11" t="n">
        <x:v>3253</x:v>
      </x:c>
      <x:c r="T2538" s="11" t="n">
        <x:v>359</x:v>
      </x:c>
    </x:row>
    <x:row r="2539" ht="23" customHeight="1">
      <x:c r="A2539" s="2" t="str">
        <x:v>Q99J99</x:v>
      </x:c>
      <x:c r="B2539" s="2" t="str">
        <x:v>ED</x:v>
      </x:c>
      <x:c r="C2539" s="2" t="n">
        <x:v>1</x:v>
      </x:c>
      <x:c r="D2539" s="2" t="n">
        <x:v>1</x:v>
      </x:c>
      <x:c r="E2539" s="10" t="n">
        <x:v>96.44801346801349</x:v>
      </x:c>
      <x:c r="F2539" s="11" t="n">
        <x:v>297</x:v>
      </x:c>
      <x:c r="G2539" s="11" t="n">
        <x:v>0</x:v>
      </x:c>
      <x:c r="H2539" s="11" t="n">
        <x:v>0</x:v>
      </x:c>
      <x:c r="I2539" s="11" t="n">
        <x:v>0</x:v>
      </x:c>
      <x:c r="J2539" s="11" t="n">
        <x:v>0</x:v>
      </x:c>
      <x:c r="K2539" s="11" t="n">
        <x:v>1</x:v>
      </x:c>
      <x:c r="L2539" s="11" t="n">
        <x:f>IF(B2539="NED",1,IF(OR(B2539="ED",B2539="UN"),0,""))</x:f>
        <x:v>0</x:v>
      </x:c>
      <x:c r="M2539" s="11" t="n">
        <x:f>IF(AND(K2539=1,OR(B2539="ED",B2539="NED")),1,0)</x:f>
        <x:v>1</x:v>
      </x:c>
      <x:c r="N2539" s="11" t="n">
        <x:f>IF(K2539=1,1,0)</x:f>
        <x:v>1</x:v>
      </x:c>
      <x:c r="O2539" s="12"/>
      <x:c r="P2539" s="11" t="n">
        <x:v>0</x:v>
      </x:c>
      <x:c r="Q2539" s="12" t="str">
        <x:v>AF-Q99J99-F1-model_v6</x:v>
      </x:c>
      <x:c r="R2539" s="12" t="str">
        <x:v>ok</x:v>
      </x:c>
      <x:c r="S2539" s="11" t="n">
        <x:v>2028</x:v>
      </x:c>
      <x:c r="T2539" s="11" t="n">
        <x:v>297</x:v>
      </x:c>
    </x:row>
    <x:row r="2540" ht="23" customHeight="1">
      <x:c r="A2540" s="2" t="str">
        <x:v>Q99JB2</x:v>
      </x:c>
      <x:c r="B2540" s="2" t="str">
        <x:v>NED</x:v>
      </x:c>
      <x:c r="C2540" s="2" t="n">
        <x:v>1</x:v>
      </x:c>
      <x:c r="D2540" s="2" t="n">
        <x:v>1</x:v>
      </x:c>
      <x:c r="E2540" s="10"/>
      <x:c r="F2540" s="11" t="n">
        <x:v>353</x:v>
      </x:c>
      <x:c r="G2540" s="11" t="n">
        <x:v>0</x:v>
      </x:c>
      <x:c r="H2540" s="11" t="n">
        <x:v>0</x:v>
      </x:c>
      <x:c r="I2540" s="11" t="n">
        <x:v>1</x:v>
      </x:c>
      <x:c r="J2540" s="11" t="n">
        <x:v>0</x:v>
      </x:c>
      <x:c r="K2540" s="11" t="n">
        <x:v>0</x:v>
      </x:c>
      <x:c r="L2540" s="11" t="n">
        <x:f>IF(B2540="NED",1,IF(OR(B2540="ED",B2540="UN"),0,""))</x:f>
        <x:v>1</x:v>
      </x:c>
      <x:c r="M2540" s="11" t="n">
        <x:f>IF(AND(K2540=1,OR(B2540="ED",B2540="NED")),1,0)</x:f>
        <x:v>0</x:v>
      </x:c>
      <x:c r="N2540" s="11" t="n">
        <x:f>IF(K2540=1,1,0)</x:f>
        <x:v>0</x:v>
      </x:c>
      <x:c r="O2540" s="12" t="str">
        <x:v>Exclude UniProt Membrane keyword</x:v>
      </x:c>
      <x:c r="P2540" s="11" t="n">
        <x:v>0</x:v>
      </x:c>
      <x:c r="Q2540" s="12" t="str">
        <x:v>AF-Q99JB2-F1-model_v6</x:v>
      </x:c>
      <x:c r="R2540" s="12" t="str">
        <x:v>ok</x:v>
      </x:c>
      <x:c r="S2540" s="11" t="n">
        <x:v>2029</x:v>
      </x:c>
      <x:c r="T2540" s="11" t="n">
        <x:v>353</x:v>
      </x:c>
    </x:row>
    <x:row r="2541" ht="23" customHeight="1">
      <x:c r="A2541" s="2" t="str">
        <x:v>Q99JF8</x:v>
      </x:c>
      <x:c r="B2541" s="2" t="str">
        <x:v>ED</x:v>
      </x:c>
      <x:c r="C2541" s="2" t="n">
        <x:v>1</x:v>
      </x:c>
      <x:c r="D2541" s="2" t="n">
        <x:v>1</x:v>
      </x:c>
      <x:c r="E2541" s="10" t="n">
        <x:v>62.07446969696969</x:v>
      </x:c>
      <x:c r="F2541" s="11" t="n">
        <x:v>528</x:v>
      </x:c>
      <x:c r="G2541" s="11" t="n">
        <x:v>0</x:v>
      </x:c>
      <x:c r="H2541" s="11" t="n">
        <x:v>0</x:v>
      </x:c>
      <x:c r="I2541" s="11" t="n">
        <x:v>0</x:v>
      </x:c>
      <x:c r="J2541" s="11" t="n">
        <x:v>0</x:v>
      </x:c>
      <x:c r="K2541" s="11" t="n">
        <x:v>0</x:v>
      </x:c>
      <x:c r="L2541" s="11" t="n">
        <x:f>IF(B2541="NED",1,IF(OR(B2541="ED",B2541="UN"),0,""))</x:f>
        <x:v>0</x:v>
      </x:c>
      <x:c r="M2541" s="11" t="n">
        <x:f>IF(AND(K2541=1,OR(B2541="ED",B2541="NED")),1,0)</x:f>
        <x:v>0</x:v>
      </x:c>
      <x:c r="N2541" s="11" t="n">
        <x:f>IF(K2541=1,1,0)</x:f>
        <x:v>0</x:v>
      </x:c>
      <x:c r="O2541" s="12" t="str">
        <x:v>Retain protein mean pLDDT &gt;=70</x:v>
      </x:c>
      <x:c r="P2541" s="11" t="n">
        <x:v>0</x:v>
      </x:c>
      <x:c r="Q2541" s="12" t="str">
        <x:v>AF-Q99JF8-F1-model_v6</x:v>
      </x:c>
      <x:c r="R2541" s="12" t="str">
        <x:v>ok</x:v>
      </x:c>
      <x:c r="S2541" s="11" t="n">
        <x:v>2030</x:v>
      </x:c>
      <x:c r="T2541" s="11" t="n">
        <x:v>528</x:v>
      </x:c>
    </x:row>
    <x:row r="2542" ht="23" customHeight="1">
      <x:c r="A2542" s="2" t="str">
        <x:v>Q99JH1</x:v>
      </x:c>
      <x:c r="B2542" s="2" t="str">
        <x:v>ED</x:v>
      </x:c>
      <x:c r="C2542" s="2" t="n">
        <x:v>1</x:v>
      </x:c>
      <x:c r="D2542" s="2" t="n">
        <x:v>1</x:v>
      </x:c>
      <x:c r="E2542" s="10" t="n">
        <x:v>88.29766871165644</x:v>
      </x:c>
      <x:c r="F2542" s="11" t="n">
        <x:v>163</x:v>
      </x:c>
      <x:c r="G2542" s="11" t="n">
        <x:v>0</x:v>
      </x:c>
      <x:c r="H2542" s="11" t="n">
        <x:v>0</x:v>
      </x:c>
      <x:c r="I2542" s="11" t="n">
        <x:v>0</x:v>
      </x:c>
      <x:c r="J2542" s="11" t="n">
        <x:v>0</x:v>
      </x:c>
      <x:c r="K2542" s="11" t="n">
        <x:v>1</x:v>
      </x:c>
      <x:c r="L2542" s="11" t="n">
        <x:f>IF(B2542="NED",1,IF(OR(B2542="ED",B2542="UN"),0,""))</x:f>
        <x:v>0</x:v>
      </x:c>
      <x:c r="M2542" s="11" t="n">
        <x:f>IF(AND(K2542=1,OR(B2542="ED",B2542="NED")),1,0)</x:f>
        <x:v>1</x:v>
      </x:c>
      <x:c r="N2542" s="11" t="n">
        <x:f>IF(K2542=1,1,0)</x:f>
        <x:v>1</x:v>
      </x:c>
      <x:c r="O2542" s="12"/>
      <x:c r="P2542" s="11" t="n">
        <x:v>0</x:v>
      </x:c>
      <x:c r="Q2542" s="12" t="str">
        <x:v>AF-Q99JH1-F1-model_v6</x:v>
      </x:c>
      <x:c r="R2542" s="12" t="str">
        <x:v>ok</x:v>
      </x:c>
      <x:c r="S2542" s="11" t="n">
        <x:v>2031</x:v>
      </x:c>
      <x:c r="T2542" s="11" t="n">
        <x:v>163</x:v>
      </x:c>
    </x:row>
    <x:row r="2543" ht="23" customHeight="1">
      <x:c r="A2543" s="2" t="str">
        <x:v>Q99JI4</x:v>
      </x:c>
      <x:c r="B2543" s="2" t="str">
        <x:v>ED</x:v>
      </x:c>
      <x:c r="C2543" s="2" t="n">
        <x:v>0</x:v>
      </x:c>
      <x:c r="D2543" s="2" t="n">
        <x:v>0</x:v>
      </x:c>
      <x:c r="E2543" s="10" t="n">
        <x:v>85.2414910025707</x:v>
      </x:c>
      <x:c r="F2543" s="11" t="n">
        <x:v>389</x:v>
      </x:c>
      <x:c r="G2543" s="11" t="n">
        <x:v>0</x:v>
      </x:c>
      <x:c r="H2543" s="11" t="n">
        <x:v>0</x:v>
      </x:c>
      <x:c r="I2543" s="11" t="n">
        <x:v>0</x:v>
      </x:c>
      <x:c r="J2543" s="11" t="n">
        <x:v>0</x:v>
      </x:c>
      <x:c r="K2543" s="11" t="n">
        <x:v>1</x:v>
      </x:c>
      <x:c r="L2543" s="11" t="n">
        <x:f>IF(B2543="NED",1,IF(OR(B2543="ED",B2543="UN"),0,""))</x:f>
        <x:v>0</x:v>
      </x:c>
      <x:c r="M2543" s="11" t="n">
        <x:f>IF(AND(K2543=1,OR(B2543="ED",B2543="NED")),1,0)</x:f>
        <x:v>1</x:v>
      </x:c>
      <x:c r="N2543" s="11" t="n">
        <x:f>IF(K2543=1,1,0)</x:f>
        <x:v>1</x:v>
      </x:c>
      <x:c r="O2543" s="12"/>
      <x:c r="P2543" s="11" t="n">
        <x:v>0</x:v>
      </x:c>
      <x:c r="Q2543" s="12" t="str">
        <x:v>AF-Q99JI4-F1-model_v6</x:v>
      </x:c>
      <x:c r="R2543" s="12" t="str">
        <x:v>ok</x:v>
      </x:c>
      <x:c r="S2543" s="11" t="n">
        <x:v>2032</x:v>
      </x:c>
      <x:c r="T2543" s="11" t="n">
        <x:v>389</x:v>
      </x:c>
    </x:row>
    <x:row r="2544" ht="23" customHeight="1">
      <x:c r="A2544" s="2" t="str">
        <x:v>Q99JI6</x:v>
      </x:c>
      <x:c r="B2544" s="2" t="str">
        <x:v>ED</x:v>
      </x:c>
      <x:c r="C2544" s="2" t="n">
        <x:v>1</x:v>
      </x:c>
      <x:c r="D2544" s="2" t="n">
        <x:v>1</x:v>
      </x:c>
      <x:c r="E2544" s="10"/>
      <x:c r="F2544" s="11" t="n">
        <x:v>184</x:v>
      </x:c>
      <x:c r="G2544" s="11" t="n">
        <x:v>0</x:v>
      </x:c>
      <x:c r="H2544" s="11" t="n">
        <x:v>0</x:v>
      </x:c>
      <x:c r="I2544" s="11" t="n">
        <x:v>1</x:v>
      </x:c>
      <x:c r="J2544" s="11" t="n">
        <x:v>0</x:v>
      </x:c>
      <x:c r="K2544" s="11" t="n">
        <x:v>0</x:v>
      </x:c>
      <x:c r="L2544" s="11" t="n">
        <x:f>IF(B2544="NED",1,IF(OR(B2544="ED",B2544="UN"),0,""))</x:f>
        <x:v>0</x:v>
      </x:c>
      <x:c r="M2544" s="11" t="n">
        <x:f>IF(AND(K2544=1,OR(B2544="ED",B2544="NED")),1,0)</x:f>
        <x:v>0</x:v>
      </x:c>
      <x:c r="N2544" s="11" t="n">
        <x:f>IF(K2544=1,1,0)</x:f>
        <x:v>0</x:v>
      </x:c>
      <x:c r="O2544" s="12" t="str">
        <x:v>Exclude UniProt Membrane keyword</x:v>
      </x:c>
      <x:c r="P2544" s="11" t="n">
        <x:v>0</x:v>
      </x:c>
      <x:c r="Q2544" s="12" t="str">
        <x:v>AF-Q99JI6-F1-model_v6</x:v>
      </x:c>
      <x:c r="R2544" s="12" t="str">
        <x:v>ok</x:v>
      </x:c>
      <x:c r="S2544" s="11" t="n">
        <x:v>2033</x:v>
      </x:c>
      <x:c r="T2544" s="11" t="n">
        <x:v>184</x:v>
      </x:c>
    </x:row>
    <x:row r="2545" ht="23" customHeight="1">
      <x:c r="A2545" s="2" t="str">
        <x:v>Q99JN2</x:v>
      </x:c>
      <x:c r="B2545" s="2" t="str">
        <x:v>UN</x:v>
      </x:c>
      <x:c r="C2545" s="2" t="n">
        <x:v>1</x:v>
      </x:c>
      <x:c r="D2545" s="2" t="n">
        <x:v>1</x:v>
      </x:c>
      <x:c r="E2545" s="10" t="n">
        <x:v>88.81564668769717</x:v>
      </x:c>
      <x:c r="F2545" s="11" t="n">
        <x:v>634</x:v>
      </x:c>
      <x:c r="G2545" s="11" t="n">
        <x:v>0</x:v>
      </x:c>
      <x:c r="H2545" s="11" t="n">
        <x:v>0</x:v>
      </x:c>
      <x:c r="I2545" s="11" t="n">
        <x:v>0</x:v>
      </x:c>
      <x:c r="J2545" s="11" t="n">
        <x:v>0</x:v>
      </x:c>
      <x:c r="K2545" s="11" t="n">
        <x:v>1</x:v>
      </x:c>
      <x:c r="L2545" s="11" t="n">
        <x:f>IF(B2545="NED",1,IF(OR(B2545="ED",B2545="UN"),0,""))</x:f>
        <x:v>0</x:v>
      </x:c>
      <x:c r="M2545" s="11" t="n">
        <x:f>IF(AND(K2545=1,OR(B2545="ED",B2545="NED")),1,0)</x:f>
        <x:v>0</x:v>
      </x:c>
      <x:c r="N2545" s="11" t="n">
        <x:f>IF(K2545=1,1,0)</x:f>
        <x:v>1</x:v>
      </x:c>
      <x:c r="O2545" s="12"/>
      <x:c r="P2545" s="11" t="n">
        <x:v>0</x:v>
      </x:c>
      <x:c r="Q2545" s="12" t="str">
        <x:v>AF-Q99JN2-F1-model_v6</x:v>
      </x:c>
      <x:c r="R2545" s="12" t="str">
        <x:v>ok</x:v>
      </x:c>
      <x:c r="S2545" s="11" t="n">
        <x:v>2034</x:v>
      </x:c>
      <x:c r="T2545" s="11" t="n">
        <x:v>634</x:v>
      </x:c>
    </x:row>
    <x:row r="2546" ht="23" customHeight="1">
      <x:c r="A2546" s="2" t="str">
        <x:v>Q99JR8-2</x:v>
      </x:c>
      <x:c r="B2546" s="2" t="str">
        <x:v>ED</x:v>
      </x:c>
      <x:c r="C2546" s="2"/>
      <x:c r="D2546" s="2"/>
      <x:c r="E2546" s="10"/>
      <x:c r="F2546" s="11"/>
      <x:c r="G2546" s="11" t="n">
        <x:v>0</x:v>
      </x:c>
      <x:c r="H2546" s="11" t="n">
        <x:v>0</x:v>
      </x:c>
      <x:c r="I2546" s="11"/>
      <x:c r="J2546" s="11"/>
      <x:c r="K2546" s="11" t="n">
        <x:v>0</x:v>
      </x:c>
      <x:c r="L2546" s="11" t="n">
        <x:f>IF(B2546="NED",1,IF(OR(B2546="ED",B2546="UN"),0,""))</x:f>
        <x:v>0</x:v>
      </x:c>
      <x:c r="M2546" s="11" t="n">
        <x:f>IF(AND(K2546=1,OR(B2546="ED",B2546="NED")),1,0)</x:f>
        <x:v>0</x:v>
      </x:c>
      <x:c r="N2546" s="11" t="n">
        <x:f>IF(K2546=1,1,0)</x:f>
        <x:v>0</x:v>
      </x:c>
      <x:c r="O2546" s="12" t="str">
        <x:v>Require exact native accession match</x:v>
      </x:c>
      <x:c r="P2546" s="11" t="n">
        <x:v>0</x:v>
      </x:c>
      <x:c r="Q2546" s="12"/>
      <x:c r="R2546" s="12"/>
      <x:c r="S2546" s="11" t="n">
        <x:v>2035</x:v>
      </x:c>
      <x:c r="T2546" s="11"/>
    </x:row>
    <x:row r="2547" ht="23" customHeight="1">
      <x:c r="A2547" s="2" t="str">
        <x:v>Q99JT9</x:v>
      </x:c>
      <x:c r="B2547" s="2" t="str">
        <x:v>UN</x:v>
      </x:c>
      <x:c r="C2547" s="2" t="n">
        <x:v>1</x:v>
      </x:c>
      <x:c r="D2547" s="2" t="n">
        <x:v>1</x:v>
      </x:c>
      <x:c r="E2547" s="10"/>
      <x:c r="F2547" s="11" t="n">
        <x:v>179</x:v>
      </x:c>
      <x:c r="G2547" s="11" t="n">
        <x:v>0</x:v>
      </x:c>
      <x:c r="H2547" s="11" t="n">
        <x:v>0</x:v>
      </x:c>
      <x:c r="I2547" s="11" t="n">
        <x:v>1</x:v>
      </x:c>
      <x:c r="J2547" s="11" t="n">
        <x:v>0</x:v>
      </x:c>
      <x:c r="K2547" s="11" t="n">
        <x:v>0</x:v>
      </x:c>
      <x:c r="L2547" s="11" t="n">
        <x:f>IF(B2547="NED",1,IF(OR(B2547="ED",B2547="UN"),0,""))</x:f>
        <x:v>0</x:v>
      </x:c>
      <x:c r="M2547" s="11" t="n">
        <x:f>IF(AND(K2547=1,OR(B2547="ED",B2547="NED")),1,0)</x:f>
        <x:v>0</x:v>
      </x:c>
      <x:c r="N2547" s="11" t="n">
        <x:f>IF(K2547=1,1,0)</x:f>
        <x:v>0</x:v>
      </x:c>
      <x:c r="O2547" s="12" t="str">
        <x:v>Exclude UniProt Membrane keyword</x:v>
      </x:c>
      <x:c r="P2547" s="11" t="n">
        <x:v>0</x:v>
      </x:c>
      <x:c r="Q2547" s="12" t="str">
        <x:v>AF-Q99JT9-F1-model_v6</x:v>
      </x:c>
      <x:c r="R2547" s="12" t="str">
        <x:v>ok</x:v>
      </x:c>
      <x:c r="S2547" s="11" t="n">
        <x:v>2036</x:v>
      </x:c>
      <x:c r="T2547" s="11" t="n">
        <x:v>179</x:v>
      </x:c>
    </x:row>
    <x:row r="2548" ht="23" customHeight="1">
      <x:c r="A2548" s="2" t="str">
        <x:v>Q99JW4</x:v>
      </x:c>
      <x:c r="B2548" s="2" t="str">
        <x:v>ED</x:v>
      </x:c>
      <x:c r="C2548" s="2" t="n">
        <x:v>0</x:v>
      </x:c>
      <x:c r="D2548" s="2" t="n">
        <x:v>0</x:v>
      </x:c>
      <x:c r="E2548" s="10"/>
      <x:c r="F2548" s="11" t="n">
        <x:v>325</x:v>
      </x:c>
      <x:c r="G2548" s="11" t="n">
        <x:v>0</x:v>
      </x:c>
      <x:c r="H2548" s="11" t="n">
        <x:v>0</x:v>
      </x:c>
      <x:c r="I2548" s="11" t="n">
        <x:v>1</x:v>
      </x:c>
      <x:c r="J2548" s="11" t="n">
        <x:v>0</x:v>
      </x:c>
      <x:c r="K2548" s="11" t="n">
        <x:v>0</x:v>
      </x:c>
      <x:c r="L2548" s="11" t="n">
        <x:f>IF(B2548="NED",1,IF(OR(B2548="ED",B2548="UN"),0,""))</x:f>
        <x:v>0</x:v>
      </x:c>
      <x:c r="M2548" s="11" t="n">
        <x:f>IF(AND(K2548=1,OR(B2548="ED",B2548="NED")),1,0)</x:f>
        <x:v>0</x:v>
      </x:c>
      <x:c r="N2548" s="11" t="n">
        <x:f>IF(K2548=1,1,0)</x:f>
        <x:v>0</x:v>
      </x:c>
      <x:c r="O2548" s="12" t="str">
        <x:v>Exclude UniProt Membrane keyword</x:v>
      </x:c>
      <x:c r="P2548" s="11" t="n">
        <x:v>0</x:v>
      </x:c>
      <x:c r="Q2548" s="12" t="str">
        <x:v>AF-Q99JW4-F1-model_v6</x:v>
      </x:c>
      <x:c r="R2548" s="12" t="str">
        <x:v>ok</x:v>
      </x:c>
      <x:c r="S2548" s="11" t="n">
        <x:v>2037</x:v>
      </x:c>
      <x:c r="T2548" s="11" t="n">
        <x:v>325</x:v>
      </x:c>
    </x:row>
    <x:row r="2549" ht="23" customHeight="1">
      <x:c r="A2549" s="2" t="str">
        <x:v>Q99JX3-2</x:v>
      </x:c>
      <x:c r="B2549" s="2" t="str">
        <x:v>ED</x:v>
      </x:c>
      <x:c r="C2549" s="2"/>
      <x:c r="D2549" s="2"/>
      <x:c r="E2549" s="10"/>
      <x:c r="F2549" s="11"/>
      <x:c r="G2549" s="11" t="n">
        <x:v>0</x:v>
      </x:c>
      <x:c r="H2549" s="11" t="n">
        <x:v>0</x:v>
      </x:c>
      <x:c r="I2549" s="11"/>
      <x:c r="J2549" s="11"/>
      <x:c r="K2549" s="11" t="n">
        <x:v>0</x:v>
      </x:c>
      <x:c r="L2549" s="11" t="n">
        <x:f>IF(B2549="NED",1,IF(OR(B2549="ED",B2549="UN"),0,""))</x:f>
        <x:v>0</x:v>
      </x:c>
      <x:c r="M2549" s="11" t="n">
        <x:f>IF(AND(K2549=1,OR(B2549="ED",B2549="NED")),1,0)</x:f>
        <x:v>0</x:v>
      </x:c>
      <x:c r="N2549" s="11" t="n">
        <x:f>IF(K2549=1,1,0)</x:f>
        <x:v>0</x:v>
      </x:c>
      <x:c r="O2549" s="12" t="str">
        <x:v>Require exact native accession match</x:v>
      </x:c>
      <x:c r="P2549" s="11" t="n">
        <x:v>0</x:v>
      </x:c>
      <x:c r="Q2549" s="12"/>
      <x:c r="R2549" s="12"/>
      <x:c r="S2549" s="11" t="n">
        <x:v>2038</x:v>
      </x:c>
      <x:c r="T2549" s="11"/>
    </x:row>
    <x:row r="2550" ht="23" customHeight="1">
      <x:c r="A2550" s="2" t="str">
        <x:v>Q99JX4</x:v>
      </x:c>
      <x:c r="B2550" s="2" t="str">
        <x:v>NED</x:v>
      </x:c>
      <x:c r="C2550" s="2" t="n">
        <x:v>0</x:v>
      </x:c>
      <x:c r="D2550" s="2" t="n">
        <x:v>0</x:v>
      </x:c>
      <x:c r="E2550" s="10" t="n">
        <x:v>59.41689839572192</x:v>
      </x:c>
      <x:c r="F2550" s="11" t="n">
        <x:v>374</x:v>
      </x:c>
      <x:c r="G2550" s="11" t="n">
        <x:v>0</x:v>
      </x:c>
      <x:c r="H2550" s="11" t="n">
        <x:v>0</x:v>
      </x:c>
      <x:c r="I2550" s="11" t="n">
        <x:v>0</x:v>
      </x:c>
      <x:c r="J2550" s="11" t="n">
        <x:v>0</x:v>
      </x:c>
      <x:c r="K2550" s="11" t="n">
        <x:v>0</x:v>
      </x:c>
      <x:c r="L2550" s="11" t="n">
        <x:f>IF(B2550="NED",1,IF(OR(B2550="ED",B2550="UN"),0,""))</x:f>
        <x:v>1</x:v>
      </x:c>
      <x:c r="M2550" s="11" t="n">
        <x:f>IF(AND(K2550=1,OR(B2550="ED",B2550="NED")),1,0)</x:f>
        <x:v>0</x:v>
      </x:c>
      <x:c r="N2550" s="11" t="n">
        <x:f>IF(K2550=1,1,0)</x:f>
        <x:v>0</x:v>
      </x:c>
      <x:c r="O2550" s="12" t="str">
        <x:v>Retain protein mean pLDDT &gt;=70</x:v>
      </x:c>
      <x:c r="P2550" s="11" t="n">
        <x:v>0</x:v>
      </x:c>
      <x:c r="Q2550" s="12" t="str">
        <x:v>AF-Q99JX4-F1-model_v6</x:v>
      </x:c>
      <x:c r="R2550" s="12" t="str">
        <x:v>ok</x:v>
      </x:c>
      <x:c r="S2550" s="11" t="n">
        <x:v>2039</x:v>
      </x:c>
      <x:c r="T2550" s="11" t="n">
        <x:v>374</x:v>
      </x:c>
    </x:row>
    <x:row r="2551" ht="23" customHeight="1">
      <x:c r="A2551" s="2" t="str">
        <x:v>Q99JX7</x:v>
      </x:c>
      <x:c r="B2551" s="2" t="str">
        <x:v>ED</x:v>
      </x:c>
      <x:c r="C2551" s="2" t="n">
        <x:v>1</x:v>
      </x:c>
      <x:c r="D2551" s="2" t="n">
        <x:v>1</x:v>
      </x:c>
      <x:c r="E2551" s="10" t="n">
        <x:v>79.00580906148866</x:v>
      </x:c>
      <x:c r="F2551" s="11" t="n">
        <x:v>618</x:v>
      </x:c>
      <x:c r="G2551" s="11" t="n">
        <x:v>0</x:v>
      </x:c>
      <x:c r="H2551" s="11" t="n">
        <x:v>0</x:v>
      </x:c>
      <x:c r="I2551" s="11" t="n">
        <x:v>0</x:v>
      </x:c>
      <x:c r="J2551" s="11" t="n">
        <x:v>0</x:v>
      </x:c>
      <x:c r="K2551" s="11" t="n">
        <x:v>1</x:v>
      </x:c>
      <x:c r="L2551" s="11" t="n">
        <x:f>IF(B2551="NED",1,IF(OR(B2551="ED",B2551="UN"),0,""))</x:f>
        <x:v>0</x:v>
      </x:c>
      <x:c r="M2551" s="11" t="n">
        <x:f>IF(AND(K2551=1,OR(B2551="ED",B2551="NED")),1,0)</x:f>
        <x:v>1</x:v>
      </x:c>
      <x:c r="N2551" s="11" t="n">
        <x:f>IF(K2551=1,1,0)</x:f>
        <x:v>1</x:v>
      </x:c>
      <x:c r="O2551" s="12"/>
      <x:c r="P2551" s="11" t="n">
        <x:v>0</x:v>
      </x:c>
      <x:c r="Q2551" s="12" t="str">
        <x:v>AF-Q99JX7-F1-model_v6</x:v>
      </x:c>
      <x:c r="R2551" s="12" t="str">
        <x:v>ok</x:v>
      </x:c>
      <x:c r="S2551" s="11" t="n">
        <x:v>2040</x:v>
      </x:c>
      <x:c r="T2551" s="11" t="n">
        <x:v>618</x:v>
      </x:c>
    </x:row>
    <x:row r="2552" ht="23" customHeight="1">
      <x:c r="A2552" s="2" t="str">
        <x:v>Q99JY0</x:v>
      </x:c>
      <x:c r="B2552" s="2" t="str">
        <x:v>NED</x:v>
      </x:c>
      <x:c r="C2552" s="2" t="n">
        <x:v>1</x:v>
      </x:c>
      <x:c r="D2552" s="2" t="n">
        <x:v>1</x:v>
      </x:c>
      <x:c r="E2552" s="10"/>
      <x:c r="F2552" s="11" t="n">
        <x:v>475</x:v>
      </x:c>
      <x:c r="G2552" s="11" t="n">
        <x:v>0</x:v>
      </x:c>
      <x:c r="H2552" s="11" t="n">
        <x:v>0</x:v>
      </x:c>
      <x:c r="I2552" s="11" t="n">
        <x:v>1</x:v>
      </x:c>
      <x:c r="J2552" s="11" t="n">
        <x:v>0</x:v>
      </x:c>
      <x:c r="K2552" s="11" t="n">
        <x:v>0</x:v>
      </x:c>
      <x:c r="L2552" s="11" t="n">
        <x:f>IF(B2552="NED",1,IF(OR(B2552="ED",B2552="UN"),0,""))</x:f>
        <x:v>1</x:v>
      </x:c>
      <x:c r="M2552" s="11" t="n">
        <x:f>IF(AND(K2552=1,OR(B2552="ED",B2552="NED")),1,0)</x:f>
        <x:v>0</x:v>
      </x:c>
      <x:c r="N2552" s="11" t="n">
        <x:f>IF(K2552=1,1,0)</x:f>
        <x:v>0</x:v>
      </x:c>
      <x:c r="O2552" s="12" t="str">
        <x:v>Exclude UniProt Membrane keyword</x:v>
      </x:c>
      <x:c r="P2552" s="11" t="n">
        <x:v>0</x:v>
      </x:c>
      <x:c r="Q2552" s="12" t="str">
        <x:v>AF-Q99JY0-F1-model_v6</x:v>
      </x:c>
      <x:c r="R2552" s="12" t="str">
        <x:v>ok</x:v>
      </x:c>
      <x:c r="S2552" s="11" t="n">
        <x:v>2041</x:v>
      </x:c>
      <x:c r="T2552" s="11" t="n">
        <x:v>475</x:v>
      </x:c>
    </x:row>
    <x:row r="2553" ht="23" customHeight="1">
      <x:c r="A2553" s="2" t="str">
        <x:v>Q99JY8</x:v>
      </x:c>
      <x:c r="B2553" s="2" t="str">
        <x:v>ED</x:v>
      </x:c>
      <x:c r="C2553" s="2"/>
      <x:c r="D2553" s="2"/>
      <x:c r="E2553" s="10"/>
      <x:c r="F2553" s="11" t="n">
        <x:v>312</x:v>
      </x:c>
      <x:c r="G2553" s="11" t="n">
        <x:v>0</x:v>
      </x:c>
      <x:c r="H2553" s="11" t="n">
        <x:v>1</x:v>
      </x:c>
      <x:c r="I2553" s="11" t="n">
        <x:v>1</x:v>
      </x:c>
      <x:c r="J2553" s="11" t="n">
        <x:v>0</x:v>
      </x:c>
      <x:c r="K2553" s="11" t="n">
        <x:v>0</x:v>
      </x:c>
      <x:c r="L2553" s="11" t="n">
        <x:f>IF(B2553="NED",1,IF(OR(B2553="ED",B2553="UN"),0,""))</x:f>
        <x:v>0</x:v>
      </x:c>
      <x:c r="M2553" s="11" t="n">
        <x:f>IF(AND(K2553=1,OR(B2553="ED",B2553="NED")),1,0)</x:f>
        <x:v>0</x:v>
      </x:c>
      <x:c r="N2553" s="11" t="n">
        <x:f>IF(K2553=1,1,0)</x:f>
        <x:v>0</x:v>
      </x:c>
      <x:c r="O2553" s="12" t="str">
        <x:v>Require binary native NCLE status</x:v>
      </x:c>
      <x:c r="P2553" s="11" t="n">
        <x:v>0</x:v>
      </x:c>
      <x:c r="Q2553" s="12" t="str">
        <x:v>AF-Q99JY8-F1-model_v6</x:v>
      </x:c>
      <x:c r="R2553" s="12" t="str">
        <x:v>ok</x:v>
      </x:c>
      <x:c r="S2553" s="11" t="n">
        <x:v>2042</x:v>
      </x:c>
      <x:c r="T2553" s="11" t="n">
        <x:v>312</x:v>
      </x:c>
    </x:row>
    <x:row r="2554" ht="23" customHeight="1">
      <x:c r="A2554" s="2" t="str">
        <x:v>Q99JY9</x:v>
      </x:c>
      <x:c r="B2554" s="2" t="str">
        <x:v>UN</x:v>
      </x:c>
      <x:c r="C2554" s="2" t="n">
        <x:v>1</x:v>
      </x:c>
      <x:c r="D2554" s="2" t="n">
        <x:v>1</x:v>
      </x:c>
      <x:c r="E2554" s="10" t="n">
        <x:v>93.47562200956938</x:v>
      </x:c>
      <x:c r="F2554" s="11" t="n">
        <x:v>418</x:v>
      </x:c>
      <x:c r="G2554" s="11" t="n">
        <x:v>0</x:v>
      </x:c>
      <x:c r="H2554" s="11" t="n">
        <x:v>0</x:v>
      </x:c>
      <x:c r="I2554" s="11" t="n">
        <x:v>0</x:v>
      </x:c>
      <x:c r="J2554" s="11" t="n">
        <x:v>0</x:v>
      </x:c>
      <x:c r="K2554" s="11" t="n">
        <x:v>1</x:v>
      </x:c>
      <x:c r="L2554" s="11" t="n">
        <x:f>IF(B2554="NED",1,IF(OR(B2554="ED",B2554="UN"),0,""))</x:f>
        <x:v>0</x:v>
      </x:c>
      <x:c r="M2554" s="11" t="n">
        <x:f>IF(AND(K2554=1,OR(B2554="ED",B2554="NED")),1,0)</x:f>
        <x:v>0</x:v>
      </x:c>
      <x:c r="N2554" s="11" t="n">
        <x:f>IF(K2554=1,1,0)</x:f>
        <x:v>1</x:v>
      </x:c>
      <x:c r="O2554" s="12"/>
      <x:c r="P2554" s="11" t="n">
        <x:v>0</x:v>
      </x:c>
      <x:c r="Q2554" s="12" t="str">
        <x:v>AF-Q99JY9-F1-model_v6</x:v>
      </x:c>
      <x:c r="R2554" s="12" t="str">
        <x:v>ok</x:v>
      </x:c>
      <x:c r="S2554" s="11" t="n">
        <x:v>2043</x:v>
      </x:c>
      <x:c r="T2554" s="11" t="n">
        <x:v>418</x:v>
      </x:c>
    </x:row>
    <x:row r="2555" ht="23" customHeight="1">
      <x:c r="A2555" s="2" t="str">
        <x:v>Q99JZ4</x:v>
      </x:c>
      <x:c r="B2555" s="2" t="str">
        <x:v>UN</x:v>
      </x:c>
      <x:c r="C2555" s="2"/>
      <x:c r="D2555" s="2"/>
      <x:c r="E2555" s="10"/>
      <x:c r="F2555" s="11"/>
      <x:c r="G2555" s="11" t="n">
        <x:v>0</x:v>
      </x:c>
      <x:c r="H2555" s="11" t="n">
        <x:v>0</x:v>
      </x:c>
      <x:c r="I2555" s="11" t="n">
        <x:v>1</x:v>
      </x:c>
      <x:c r="J2555" s="11" t="n">
        <x:v>0</x:v>
      </x:c>
      <x:c r="K2555" s="11" t="n">
        <x:v>0</x:v>
      </x:c>
      <x:c r="L2555" s="11" t="n">
        <x:f>IF(B2555="NED",1,IF(OR(B2555="ED",B2555="UN"),0,""))</x:f>
        <x:v>0</x:v>
      </x:c>
      <x:c r="M2555" s="11" t="n">
        <x:f>IF(AND(K2555=1,OR(B2555="ED",B2555="NED")),1,0)</x:f>
        <x:v>0</x:v>
      </x:c>
      <x:c r="N2555" s="11" t="n">
        <x:f>IF(K2555=1,1,0)</x:f>
        <x:v>0</x:v>
      </x:c>
      <x:c r="O2555" s="12" t="str">
        <x:v>Require exact native accession match</x:v>
      </x:c>
      <x:c r="P2555" s="11" t="n">
        <x:v>0</x:v>
      </x:c>
      <x:c r="Q2555" s="12"/>
      <x:c r="R2555" s="12"/>
      <x:c r="S2555" s="11" t="n">
        <x:v>3254</x:v>
      </x:c>
      <x:c r="T2555" s="11" t="n">
        <x:v>198</x:v>
      </x:c>
    </x:row>
    <x:row r="2556" ht="23" customHeight="1">
      <x:c r="A2556" s="2" t="str">
        <x:v>Q99JZ7</x:v>
      </x:c>
      <x:c r="B2556" s="2" t="str">
        <x:v>ED</x:v>
      </x:c>
      <x:c r="C2556" s="2" t="n">
        <x:v>0</x:v>
      </x:c>
      <x:c r="D2556" s="2" t="n">
        <x:v>0</x:v>
      </x:c>
      <x:c r="E2556" s="10"/>
      <x:c r="F2556" s="11" t="n">
        <x:v>461</x:v>
      </x:c>
      <x:c r="G2556" s="11" t="n">
        <x:v>0</x:v>
      </x:c>
      <x:c r="H2556" s="11" t="n">
        <x:v>0</x:v>
      </x:c>
      <x:c r="I2556" s="11" t="n">
        <x:v>1</x:v>
      </x:c>
      <x:c r="J2556" s="11" t="n">
        <x:v>0</x:v>
      </x:c>
      <x:c r="K2556" s="11" t="n">
        <x:v>0</x:v>
      </x:c>
      <x:c r="L2556" s="11" t="n">
        <x:f>IF(B2556="NED",1,IF(OR(B2556="ED",B2556="UN"),0,""))</x:f>
        <x:v>0</x:v>
      </x:c>
      <x:c r="M2556" s="11" t="n">
        <x:f>IF(AND(K2556=1,OR(B2556="ED",B2556="NED")),1,0)</x:f>
        <x:v>0</x:v>
      </x:c>
      <x:c r="N2556" s="11" t="n">
        <x:f>IF(K2556=1,1,0)</x:f>
        <x:v>0</x:v>
      </x:c>
      <x:c r="O2556" s="12" t="str">
        <x:v>Exclude UniProt Membrane keyword</x:v>
      </x:c>
      <x:c r="P2556" s="11" t="n">
        <x:v>0</x:v>
      </x:c>
      <x:c r="Q2556" s="12" t="str">
        <x:v>AF-Q99JZ7-F1-model_v6</x:v>
      </x:c>
      <x:c r="R2556" s="12" t="str">
        <x:v>ok</x:v>
      </x:c>
      <x:c r="S2556" s="11" t="n">
        <x:v>2044</x:v>
      </x:c>
      <x:c r="T2556" s="11" t="n">
        <x:v>461</x:v>
      </x:c>
    </x:row>
    <x:row r="2557" ht="23" customHeight="1">
      <x:c r="A2557" s="2" t="str">
        <x:v>Q99K01</x:v>
      </x:c>
      <x:c r="B2557" s="2" t="str">
        <x:v>ED</x:v>
      </x:c>
      <x:c r="C2557" s="2" t="n">
        <x:v>1</x:v>
      </x:c>
      <x:c r="D2557" s="2" t="n">
        <x:v>1</x:v>
      </x:c>
      <x:c r="E2557" s="10" t="n">
        <x:v>75.03890724269378</x:v>
      </x:c>
      <x:c r="F2557" s="11" t="n">
        <x:v>787</x:v>
      </x:c>
      <x:c r="G2557" s="11" t="n">
        <x:v>0</x:v>
      </x:c>
      <x:c r="H2557" s="11" t="n">
        <x:v>0</x:v>
      </x:c>
      <x:c r="I2557" s="11" t="n">
        <x:v>0</x:v>
      </x:c>
      <x:c r="J2557" s="11" t="n">
        <x:v>0</x:v>
      </x:c>
      <x:c r="K2557" s="11" t="n">
        <x:v>1</x:v>
      </x:c>
      <x:c r="L2557" s="11" t="n">
        <x:f>IF(B2557="NED",1,IF(OR(B2557="ED",B2557="UN"),0,""))</x:f>
        <x:v>0</x:v>
      </x:c>
      <x:c r="M2557" s="11" t="n">
        <x:f>IF(AND(K2557=1,OR(B2557="ED",B2557="NED")),1,0)</x:f>
        <x:v>1</x:v>
      </x:c>
      <x:c r="N2557" s="11" t="n">
        <x:f>IF(K2557=1,1,0)</x:f>
        <x:v>1</x:v>
      </x:c>
      <x:c r="O2557" s="12"/>
      <x:c r="P2557" s="11" t="n">
        <x:v>0</x:v>
      </x:c>
      <x:c r="Q2557" s="12" t="str">
        <x:v>AF-Q99K01-F1-model_v6</x:v>
      </x:c>
      <x:c r="R2557" s="12" t="str">
        <x:v>ok</x:v>
      </x:c>
      <x:c r="S2557" s="11" t="n">
        <x:v>2045</x:v>
      </x:c>
      <x:c r="T2557" s="11" t="n">
        <x:v>787</x:v>
      </x:c>
    </x:row>
    <x:row r="2558" ht="23" customHeight="1">
      <x:c r="A2558" s="2" t="str">
        <x:v>Q99K23</x:v>
      </x:c>
      <x:c r="B2558" s="2" t="str">
        <x:v>UN</x:v>
      </x:c>
      <x:c r="C2558" s="2" t="n">
        <x:v>1</x:v>
      </x:c>
      <x:c r="D2558" s="2" t="n">
        <x:v>1</x:v>
      </x:c>
      <x:c r="E2558" s="10" t="n">
        <x:v>91.8461388286334</x:v>
      </x:c>
      <x:c r="F2558" s="11" t="n">
        <x:v>461</x:v>
      </x:c>
      <x:c r="G2558" s="11" t="n">
        <x:v>0</x:v>
      </x:c>
      <x:c r="H2558" s="11" t="n">
        <x:v>0</x:v>
      </x:c>
      <x:c r="I2558" s="11" t="n">
        <x:v>0</x:v>
      </x:c>
      <x:c r="J2558" s="11" t="n">
        <x:v>0</x:v>
      </x:c>
      <x:c r="K2558" s="11" t="n">
        <x:v>1</x:v>
      </x:c>
      <x:c r="L2558" s="11" t="n">
        <x:f>IF(B2558="NED",1,IF(OR(B2558="ED",B2558="UN"),0,""))</x:f>
        <x:v>0</x:v>
      </x:c>
      <x:c r="M2558" s="11" t="n">
        <x:f>IF(AND(K2558=1,OR(B2558="ED",B2558="NED")),1,0)</x:f>
        <x:v>0</x:v>
      </x:c>
      <x:c r="N2558" s="11" t="n">
        <x:f>IF(K2558=1,1,0)</x:f>
        <x:v>1</x:v>
      </x:c>
      <x:c r="O2558" s="12"/>
      <x:c r="P2558" s="11" t="n">
        <x:v>0</x:v>
      </x:c>
      <x:c r="Q2558" s="12" t="str">
        <x:v>AF-Q99K23-F1-model_v6</x:v>
      </x:c>
      <x:c r="R2558" s="12" t="str">
        <x:v>ok</x:v>
      </x:c>
      <x:c r="S2558" s="11" t="n">
        <x:v>2046</x:v>
      </x:c>
      <x:c r="T2558" s="11" t="n">
        <x:v>461</x:v>
      </x:c>
    </x:row>
    <x:row r="2559" ht="23" customHeight="1">
      <x:c r="A2559" s="2" t="str">
        <x:v>Q99K28</x:v>
      </x:c>
      <x:c r="B2559" s="2" t="str">
        <x:v>ED</x:v>
      </x:c>
      <x:c r="C2559" s="2" t="n">
        <x:v>1</x:v>
      </x:c>
      <x:c r="D2559" s="2" t="n">
        <x:v>1</x:v>
      </x:c>
      <x:c r="E2559" s="10"/>
      <x:c r="F2559" s="11" t="n">
        <x:v>520</x:v>
      </x:c>
      <x:c r="G2559" s="11" t="n">
        <x:v>0</x:v>
      </x:c>
      <x:c r="H2559" s="11" t="n">
        <x:v>0</x:v>
      </x:c>
      <x:c r="I2559" s="11" t="n">
        <x:v>1</x:v>
      </x:c>
      <x:c r="J2559" s="11" t="n">
        <x:v>0</x:v>
      </x:c>
      <x:c r="K2559" s="11" t="n">
        <x:v>0</x:v>
      </x:c>
      <x:c r="L2559" s="11" t="n">
        <x:f>IF(B2559="NED",1,IF(OR(B2559="ED",B2559="UN"),0,""))</x:f>
        <x:v>0</x:v>
      </x:c>
      <x:c r="M2559" s="11" t="n">
        <x:f>IF(AND(K2559=1,OR(B2559="ED",B2559="NED")),1,0)</x:f>
        <x:v>0</x:v>
      </x:c>
      <x:c r="N2559" s="11" t="n">
        <x:f>IF(K2559=1,1,0)</x:f>
        <x:v>0</x:v>
      </x:c>
      <x:c r="O2559" s="12" t="str">
        <x:v>Exclude UniProt Membrane keyword</x:v>
      </x:c>
      <x:c r="P2559" s="11" t="n">
        <x:v>0</x:v>
      </x:c>
      <x:c r="Q2559" s="12" t="str">
        <x:v>AF-Q99K28-F1-model_v6</x:v>
      </x:c>
      <x:c r="R2559" s="12" t="str">
        <x:v>ok</x:v>
      </x:c>
      <x:c r="S2559" s="11" t="n">
        <x:v>2047</x:v>
      </x:c>
      <x:c r="T2559" s="11" t="n">
        <x:v>520</x:v>
      </x:c>
    </x:row>
    <x:row r="2560" ht="23" customHeight="1">
      <x:c r="A2560" s="2" t="str">
        <x:v>Q99K30</x:v>
      </x:c>
      <x:c r="B2560" s="2" t="str">
        <x:v>ED</x:v>
      </x:c>
      <x:c r="C2560" s="2" t="n">
        <x:v>1</x:v>
      </x:c>
      <x:c r="D2560" s="2" t="n">
        <x:v>1</x:v>
      </x:c>
      <x:c r="E2560" s="10" t="n">
        <x:v>72.22567901234568</x:v>
      </x:c>
      <x:c r="F2560" s="11" t="n">
        <x:v>729</x:v>
      </x:c>
      <x:c r="G2560" s="11" t="n">
        <x:v>0</x:v>
      </x:c>
      <x:c r="H2560" s="11" t="n">
        <x:v>0</x:v>
      </x:c>
      <x:c r="I2560" s="11" t="n">
        <x:v>0</x:v>
      </x:c>
      <x:c r="J2560" s="11" t="n">
        <x:v>0</x:v>
      </x:c>
      <x:c r="K2560" s="11" t="n">
        <x:v>1</x:v>
      </x:c>
      <x:c r="L2560" s="11" t="n">
        <x:f>IF(B2560="NED",1,IF(OR(B2560="ED",B2560="UN"),0,""))</x:f>
        <x:v>0</x:v>
      </x:c>
      <x:c r="M2560" s="11" t="n">
        <x:f>IF(AND(K2560=1,OR(B2560="ED",B2560="NED")),1,0)</x:f>
        <x:v>1</x:v>
      </x:c>
      <x:c r="N2560" s="11" t="n">
        <x:f>IF(K2560=1,1,0)</x:f>
        <x:v>1</x:v>
      </x:c>
      <x:c r="O2560" s="12"/>
      <x:c r="P2560" s="11" t="n">
        <x:v>0</x:v>
      </x:c>
      <x:c r="Q2560" s="12" t="str">
        <x:v>AF-Q99K30-F1-model_v6</x:v>
      </x:c>
      <x:c r="R2560" s="12" t="str">
        <x:v>ok</x:v>
      </x:c>
      <x:c r="S2560" s="11" t="n">
        <x:v>2048</x:v>
      </x:c>
      <x:c r="T2560" s="11" t="n">
        <x:v>729</x:v>
      </x:c>
    </x:row>
    <x:row r="2561" ht="23" customHeight="1">
      <x:c r="A2561" s="2" t="str">
        <x:v>Q99K51</x:v>
      </x:c>
      <x:c r="B2561" s="2" t="str">
        <x:v>ED</x:v>
      </x:c>
      <x:c r="C2561" s="2" t="n">
        <x:v>1</x:v>
      </x:c>
      <x:c r="D2561" s="2" t="n">
        <x:v>1</x:v>
      </x:c>
      <x:c r="E2561" s="10" t="n">
        <x:v>88.91926984126984</x:v>
      </x:c>
      <x:c r="F2561" s="11" t="n">
        <x:v>630</x:v>
      </x:c>
      <x:c r="G2561" s="11" t="n">
        <x:v>0</x:v>
      </x:c>
      <x:c r="H2561" s="11" t="n">
        <x:v>0</x:v>
      </x:c>
      <x:c r="I2561" s="11" t="n">
        <x:v>0</x:v>
      </x:c>
      <x:c r="J2561" s="11" t="n">
        <x:v>0</x:v>
      </x:c>
      <x:c r="K2561" s="11" t="n">
        <x:v>1</x:v>
      </x:c>
      <x:c r="L2561" s="11" t="n">
        <x:f>IF(B2561="NED",1,IF(OR(B2561="ED",B2561="UN"),0,""))</x:f>
        <x:v>0</x:v>
      </x:c>
      <x:c r="M2561" s="11" t="n">
        <x:f>IF(AND(K2561=1,OR(B2561="ED",B2561="NED")),1,0)</x:f>
        <x:v>1</x:v>
      </x:c>
      <x:c r="N2561" s="11" t="n">
        <x:f>IF(K2561=1,1,0)</x:f>
        <x:v>1</x:v>
      </x:c>
      <x:c r="O2561" s="12"/>
      <x:c r="P2561" s="11" t="n">
        <x:v>0</x:v>
      </x:c>
      <x:c r="Q2561" s="12" t="str">
        <x:v>AF-Q99K51-F1-model_v6</x:v>
      </x:c>
      <x:c r="R2561" s="12" t="str">
        <x:v>ok</x:v>
      </x:c>
      <x:c r="S2561" s="11" t="n">
        <x:v>2049</x:v>
      </x:c>
      <x:c r="T2561" s="11" t="n">
        <x:v>630</x:v>
      </x:c>
    </x:row>
    <x:row r="2562" ht="23" customHeight="1">
      <x:c r="A2562" s="2" t="str">
        <x:v>Q99K70</x:v>
      </x:c>
      <x:c r="B2562" s="2" t="str">
        <x:v>ED</x:v>
      </x:c>
      <x:c r="C2562" s="2" t="n">
        <x:v>1</x:v>
      </x:c>
      <x:c r="D2562" s="2" t="n">
        <x:v>1</x:v>
      </x:c>
      <x:c r="E2562" s="10"/>
      <x:c r="F2562" s="11" t="n">
        <x:v>398</x:v>
      </x:c>
      <x:c r="G2562" s="11" t="n">
        <x:v>0</x:v>
      </x:c>
      <x:c r="H2562" s="11" t="n">
        <x:v>0</x:v>
      </x:c>
      <x:c r="I2562" s="11" t="n">
        <x:v>1</x:v>
      </x:c>
      <x:c r="J2562" s="11" t="n">
        <x:v>0</x:v>
      </x:c>
      <x:c r="K2562" s="11" t="n">
        <x:v>0</x:v>
      </x:c>
      <x:c r="L2562" s="11" t="n">
        <x:f>IF(B2562="NED",1,IF(OR(B2562="ED",B2562="UN"),0,""))</x:f>
        <x:v>0</x:v>
      </x:c>
      <x:c r="M2562" s="11" t="n">
        <x:f>IF(AND(K2562=1,OR(B2562="ED",B2562="NED")),1,0)</x:f>
        <x:v>0</x:v>
      </x:c>
      <x:c r="N2562" s="11" t="n">
        <x:f>IF(K2562=1,1,0)</x:f>
        <x:v>0</x:v>
      </x:c>
      <x:c r="O2562" s="12" t="str">
        <x:v>Exclude UniProt Membrane keyword</x:v>
      </x:c>
      <x:c r="P2562" s="11" t="n">
        <x:v>0</x:v>
      </x:c>
      <x:c r="Q2562" s="12" t="str">
        <x:v>AF-Q99K70-F1-model_v6</x:v>
      </x:c>
      <x:c r="R2562" s="12" t="str">
        <x:v>ok</x:v>
      </x:c>
      <x:c r="S2562" s="11" t="n">
        <x:v>2050</x:v>
      </x:c>
      <x:c r="T2562" s="11" t="n">
        <x:v>398</x:v>
      </x:c>
    </x:row>
    <x:row r="2563" ht="23" customHeight="1">
      <x:c r="A2563" s="2" t="str">
        <x:v>Q99K85</x:v>
      </x:c>
      <x:c r="B2563" s="2" t="str">
        <x:v>NED</x:v>
      </x:c>
      <x:c r="C2563" s="2" t="n">
        <x:v>1</x:v>
      </x:c>
      <x:c r="D2563" s="2" t="n">
        <x:v>1</x:v>
      </x:c>
      <x:c r="E2563" s="10" t="n">
        <x:v>97.08275675675677</x:v>
      </x:c>
      <x:c r="F2563" s="11" t="n">
        <x:v>370</x:v>
      </x:c>
      <x:c r="G2563" s="11" t="n">
        <x:v>0</x:v>
      </x:c>
      <x:c r="H2563" s="11" t="n">
        <x:v>0</x:v>
      </x:c>
      <x:c r="I2563" s="11" t="n">
        <x:v>0</x:v>
      </x:c>
      <x:c r="J2563" s="11" t="n">
        <x:v>0</x:v>
      </x:c>
      <x:c r="K2563" s="11" t="n">
        <x:v>1</x:v>
      </x:c>
      <x:c r="L2563" s="11" t="n">
        <x:f>IF(B2563="NED",1,IF(OR(B2563="ED",B2563="UN"),0,""))</x:f>
        <x:v>1</x:v>
      </x:c>
      <x:c r="M2563" s="11" t="n">
        <x:f>IF(AND(K2563=1,OR(B2563="ED",B2563="NED")),1,0)</x:f>
        <x:v>1</x:v>
      </x:c>
      <x:c r="N2563" s="11" t="n">
        <x:f>IF(K2563=1,1,0)</x:f>
        <x:v>1</x:v>
      </x:c>
      <x:c r="O2563" s="12"/>
      <x:c r="P2563" s="11" t="n">
        <x:v>0</x:v>
      </x:c>
      <x:c r="Q2563" s="12" t="str">
        <x:v>AF-Q99K85-F1-model_v6</x:v>
      </x:c>
      <x:c r="R2563" s="12" t="str">
        <x:v>ok</x:v>
      </x:c>
      <x:c r="S2563" s="11" t="n">
        <x:v>2051</x:v>
      </x:c>
      <x:c r="T2563" s="11" t="n">
        <x:v>370</x:v>
      </x:c>
    </x:row>
    <x:row r="2564" ht="23" customHeight="1">
      <x:c r="A2564" s="2" t="str">
        <x:v>Q99KB8-2</x:v>
      </x:c>
      <x:c r="B2564" s="2" t="str">
        <x:v>ED</x:v>
      </x:c>
      <x:c r="C2564" s="2"/>
      <x:c r="D2564" s="2"/>
      <x:c r="E2564" s="10"/>
      <x:c r="F2564" s="11"/>
      <x:c r="G2564" s="11" t="n">
        <x:v>0</x:v>
      </x:c>
      <x:c r="H2564" s="11" t="n">
        <x:v>0</x:v>
      </x:c>
      <x:c r="I2564" s="11"/>
      <x:c r="J2564" s="11"/>
      <x:c r="K2564" s="11" t="n">
        <x:v>0</x:v>
      </x:c>
      <x:c r="L2564" s="11" t="n">
        <x:f>IF(B2564="NED",1,IF(OR(B2564="ED",B2564="UN"),0,""))</x:f>
        <x:v>0</x:v>
      </x:c>
      <x:c r="M2564" s="11" t="n">
        <x:f>IF(AND(K2564=1,OR(B2564="ED",B2564="NED")),1,0)</x:f>
        <x:v>0</x:v>
      </x:c>
      <x:c r="N2564" s="11" t="n">
        <x:f>IF(K2564=1,1,0)</x:f>
        <x:v>0</x:v>
      </x:c>
      <x:c r="O2564" s="12" t="str">
        <x:v>Require exact native accession match</x:v>
      </x:c>
      <x:c r="P2564" s="11" t="n">
        <x:v>0</x:v>
      </x:c>
      <x:c r="Q2564" s="12"/>
      <x:c r="R2564" s="12"/>
      <x:c r="S2564" s="11" t="n">
        <x:v>2052</x:v>
      </x:c>
      <x:c r="T2564" s="11"/>
    </x:row>
    <x:row r="2565" ht="23" customHeight="1">
      <x:c r="A2565" s="2" t="str">
        <x:v>Q99KC8</x:v>
      </x:c>
      <x:c r="B2565" s="2" t="str">
        <x:v>ED</x:v>
      </x:c>
      <x:c r="C2565" s="2" t="n">
        <x:v>1</x:v>
      </x:c>
      <x:c r="D2565" s="2" t="n">
        <x:v>1</x:v>
      </x:c>
      <x:c r="E2565" s="10"/>
      <x:c r="F2565" s="11" t="n">
        <x:v>793</x:v>
      </x:c>
      <x:c r="G2565" s="11" t="n">
        <x:v>1</x:v>
      </x:c>
      <x:c r="H2565" s="11" t="n">
        <x:v>0</x:v>
      </x:c>
      <x:c r="I2565" s="11" t="n">
        <x:v>0</x:v>
      </x:c>
      <x:c r="J2565" s="11" t="n">
        <x:v>0</x:v>
      </x:c>
      <x:c r="K2565" s="11" t="n">
        <x:v>0</x:v>
      </x:c>
      <x:c r="L2565" s="11" t="n">
        <x:f>IF(B2565="NED",1,IF(OR(B2565="ED",B2565="UN"),0,""))</x:f>
        <x:v>0</x:v>
      </x:c>
      <x:c r="M2565" s="11" t="n">
        <x:f>IF(AND(K2565=1,OR(B2565="ED",B2565="NED")),1,0)</x:f>
        <x:v>0</x:v>
      </x:c>
      <x:c r="N2565" s="11" t="n">
        <x:f>IF(K2565=1,1,0)</x:f>
        <x:v>0</x:v>
      </x:c>
      <x:c r="O2565" s="12" t="str">
        <x:v>Exclude supplied knotted proteins</x:v>
      </x:c>
      <x:c r="P2565" s="11" t="n">
        <x:v>0</x:v>
      </x:c>
      <x:c r="Q2565" s="12" t="str">
        <x:v>AF-Q99KC8-F1-model_v6</x:v>
      </x:c>
      <x:c r="R2565" s="12" t="str">
        <x:v>ok</x:v>
      </x:c>
      <x:c r="S2565" s="11" t="n">
        <x:v>2053</x:v>
      </x:c>
      <x:c r="T2565" s="11" t="n">
        <x:v>793</x:v>
      </x:c>
    </x:row>
    <x:row r="2566" ht="23" customHeight="1">
      <x:c r="A2566" s="2" t="str">
        <x:v>Q99KD5</x:v>
      </x:c>
      <x:c r="B2566" s="2" t="str">
        <x:v>ED</x:v>
      </x:c>
      <x:c r="C2566" s="2" t="n">
        <x:v>0</x:v>
      </x:c>
      <x:c r="D2566" s="2" t="n">
        <x:v>0</x:v>
      </x:c>
      <x:c r="E2566" s="10" t="n">
        <x:v>86.32658898305085</x:v>
      </x:c>
      <x:c r="F2566" s="11" t="n">
        <x:v>944</x:v>
      </x:c>
      <x:c r="G2566" s="11" t="n">
        <x:v>0</x:v>
      </x:c>
      <x:c r="H2566" s="11" t="n">
        <x:v>0</x:v>
      </x:c>
      <x:c r="I2566" s="11" t="n">
        <x:v>0</x:v>
      </x:c>
      <x:c r="J2566" s="11" t="n">
        <x:v>0</x:v>
      </x:c>
      <x:c r="K2566" s="11" t="n">
        <x:v>1</x:v>
      </x:c>
      <x:c r="L2566" s="11" t="n">
        <x:f>IF(B2566="NED",1,IF(OR(B2566="ED",B2566="UN"),0,""))</x:f>
        <x:v>0</x:v>
      </x:c>
      <x:c r="M2566" s="11" t="n">
        <x:f>IF(AND(K2566=1,OR(B2566="ED",B2566="NED")),1,0)</x:f>
        <x:v>1</x:v>
      </x:c>
      <x:c r="N2566" s="11" t="n">
        <x:f>IF(K2566=1,1,0)</x:f>
        <x:v>1</x:v>
      </x:c>
      <x:c r="O2566" s="12"/>
      <x:c r="P2566" s="11" t="n">
        <x:v>0</x:v>
      </x:c>
      <x:c r="Q2566" s="12" t="str">
        <x:v>AF-Q99KD5-F1-model_v6</x:v>
      </x:c>
      <x:c r="R2566" s="12" t="str">
        <x:v>ok</x:v>
      </x:c>
      <x:c r="S2566" s="11" t="n">
        <x:v>2054</x:v>
      </x:c>
      <x:c r="T2566" s="11" t="n">
        <x:v>944</x:v>
      </x:c>
    </x:row>
    <x:row r="2567" ht="23" customHeight="1">
      <x:c r="A2567" s="2" t="str">
        <x:v>Q99KE1</x:v>
      </x:c>
      <x:c r="B2567" s="2" t="str">
        <x:v>UN</x:v>
      </x:c>
      <x:c r="C2567" s="2" t="n">
        <x:v>1</x:v>
      </x:c>
      <x:c r="D2567" s="2" t="n">
        <x:v>1</x:v>
      </x:c>
      <x:c r="E2567" s="10" t="n">
        <x:v>93.18307300509338</x:v>
      </x:c>
      <x:c r="F2567" s="11" t="n">
        <x:v>589</x:v>
      </x:c>
      <x:c r="G2567" s="11" t="n">
        <x:v>0</x:v>
      </x:c>
      <x:c r="H2567" s="11" t="n">
        <x:v>0</x:v>
      </x:c>
      <x:c r="I2567" s="11" t="n">
        <x:v>0</x:v>
      </x:c>
      <x:c r="J2567" s="11" t="n">
        <x:v>0</x:v>
      </x:c>
      <x:c r="K2567" s="11" t="n">
        <x:v>1</x:v>
      </x:c>
      <x:c r="L2567" s="11" t="n">
        <x:f>IF(B2567="NED",1,IF(OR(B2567="ED",B2567="UN"),0,""))</x:f>
        <x:v>0</x:v>
      </x:c>
      <x:c r="M2567" s="11" t="n">
        <x:f>IF(AND(K2567=1,OR(B2567="ED",B2567="NED")),1,0)</x:f>
        <x:v>0</x:v>
      </x:c>
      <x:c r="N2567" s="11" t="n">
        <x:f>IF(K2567=1,1,0)</x:f>
        <x:v>1</x:v>
      </x:c>
      <x:c r="O2567" s="12"/>
      <x:c r="P2567" s="11" t="n">
        <x:v>0</x:v>
      </x:c>
      <x:c r="Q2567" s="12" t="str">
        <x:v>AF-Q99KE1-F1-model_v6</x:v>
      </x:c>
      <x:c r="R2567" s="12" t="str">
        <x:v>ok</x:v>
      </x:c>
      <x:c r="S2567" s="11" t="n">
        <x:v>2055</x:v>
      </x:c>
      <x:c r="T2567" s="11" t="n">
        <x:v>589</x:v>
      </x:c>
    </x:row>
    <x:row r="2568" ht="23" customHeight="1">
      <x:c r="A2568" s="2" t="str">
        <x:v>Q99KF1</x:v>
      </x:c>
      <x:c r="B2568" s="2" t="str">
        <x:v>UN</x:v>
      </x:c>
      <x:c r="C2568" s="2" t="n">
        <x:v>1</x:v>
      </x:c>
      <x:c r="D2568" s="2" t="n">
        <x:v>1</x:v>
      </x:c>
      <x:c r="E2568" s="10"/>
      <x:c r="F2568" s="11" t="n">
        <x:v>235</x:v>
      </x:c>
      <x:c r="G2568" s="11" t="n">
        <x:v>0</x:v>
      </x:c>
      <x:c r="H2568" s="11" t="n">
        <x:v>0</x:v>
      </x:c>
      <x:c r="I2568" s="11" t="n">
        <x:v>1</x:v>
      </x:c>
      <x:c r="J2568" s="11" t="n">
        <x:v>0</x:v>
      </x:c>
      <x:c r="K2568" s="11" t="n">
        <x:v>0</x:v>
      </x:c>
      <x:c r="L2568" s="11" t="n">
        <x:f>IF(B2568="NED",1,IF(OR(B2568="ED",B2568="UN"),0,""))</x:f>
        <x:v>0</x:v>
      </x:c>
      <x:c r="M2568" s="11" t="n">
        <x:f>IF(AND(K2568=1,OR(B2568="ED",B2568="NED")),1,0)</x:f>
        <x:v>0</x:v>
      </x:c>
      <x:c r="N2568" s="11" t="n">
        <x:f>IF(K2568=1,1,0)</x:f>
        <x:v>0</x:v>
      </x:c>
      <x:c r="O2568" s="12" t="str">
        <x:v>Exclude UniProt Membrane keyword</x:v>
      </x:c>
      <x:c r="P2568" s="11" t="n">
        <x:v>0</x:v>
      </x:c>
      <x:c r="Q2568" s="12" t="str">
        <x:v>AF-Q99KF1-F1-model_v6</x:v>
      </x:c>
      <x:c r="R2568" s="12" t="str">
        <x:v>ok</x:v>
      </x:c>
      <x:c r="S2568" s="11" t="n">
        <x:v>2056</x:v>
      </x:c>
      <x:c r="T2568" s="11" t="n">
        <x:v>235</x:v>
      </x:c>
    </x:row>
    <x:row r="2569" ht="23" customHeight="1">
      <x:c r="A2569" s="2" t="str">
        <x:v>Q99KG3-2</x:v>
      </x:c>
      <x:c r="B2569" s="2" t="str">
        <x:v>ED</x:v>
      </x:c>
      <x:c r="C2569" s="2"/>
      <x:c r="D2569" s="2"/>
      <x:c r="E2569" s="10"/>
      <x:c r="F2569" s="11"/>
      <x:c r="G2569" s="11" t="n">
        <x:v>0</x:v>
      </x:c>
      <x:c r="H2569" s="11" t="n">
        <x:v>0</x:v>
      </x:c>
      <x:c r="I2569" s="11"/>
      <x:c r="J2569" s="11"/>
      <x:c r="K2569" s="11" t="n">
        <x:v>0</x:v>
      </x:c>
      <x:c r="L2569" s="11" t="n">
        <x:f>IF(B2569="NED",1,IF(OR(B2569="ED",B2569="UN"),0,""))</x:f>
        <x:v>0</x:v>
      </x:c>
      <x:c r="M2569" s="11" t="n">
        <x:f>IF(AND(K2569=1,OR(B2569="ED",B2569="NED")),1,0)</x:f>
        <x:v>0</x:v>
      </x:c>
      <x:c r="N2569" s="11" t="n">
        <x:f>IF(K2569=1,1,0)</x:f>
        <x:v>0</x:v>
      </x:c>
      <x:c r="O2569" s="12" t="str">
        <x:v>Require exact native accession match</x:v>
      </x:c>
      <x:c r="P2569" s="11" t="n">
        <x:v>0</x:v>
      </x:c>
      <x:c r="Q2569" s="12"/>
      <x:c r="R2569" s="12"/>
      <x:c r="S2569" s="11" t="n">
        <x:v>2057</x:v>
      </x:c>
      <x:c r="T2569" s="11"/>
    </x:row>
    <x:row r="2570" ht="23" customHeight="1">
      <x:c r="A2570" s="2" t="str">
        <x:v>Q99KH8</x:v>
      </x:c>
      <x:c r="B2570" s="2" t="str">
        <x:v>ED</x:v>
      </x:c>
      <x:c r="C2570" s="2" t="n">
        <x:v>1</x:v>
      </x:c>
      <x:c r="D2570" s="2" t="n">
        <x:v>1</x:v>
      </x:c>
      <x:c r="E2570" s="10"/>
      <x:c r="F2570" s="11" t="n">
        <x:v>431</x:v>
      </x:c>
      <x:c r="G2570" s="11" t="n">
        <x:v>0</x:v>
      </x:c>
      <x:c r="H2570" s="11" t="n">
        <x:v>0</x:v>
      </x:c>
      <x:c r="I2570" s="11" t="n">
        <x:v>1</x:v>
      </x:c>
      <x:c r="J2570" s="11" t="n">
        <x:v>0</x:v>
      </x:c>
      <x:c r="K2570" s="11" t="n">
        <x:v>0</x:v>
      </x:c>
      <x:c r="L2570" s="11" t="n">
        <x:f>IF(B2570="NED",1,IF(OR(B2570="ED",B2570="UN"),0,""))</x:f>
        <x:v>0</x:v>
      </x:c>
      <x:c r="M2570" s="11" t="n">
        <x:f>IF(AND(K2570=1,OR(B2570="ED",B2570="NED")),1,0)</x:f>
        <x:v>0</x:v>
      </x:c>
      <x:c r="N2570" s="11" t="n">
        <x:f>IF(K2570=1,1,0)</x:f>
        <x:v>0</x:v>
      </x:c>
      <x:c r="O2570" s="12" t="str">
        <x:v>Exclude UniProt Membrane keyword</x:v>
      </x:c>
      <x:c r="P2570" s="11" t="n">
        <x:v>0</x:v>
      </x:c>
      <x:c r="Q2570" s="12" t="str">
        <x:v>AF-Q99KH8-F1-model_v6</x:v>
      </x:c>
      <x:c r="R2570" s="12" t="str">
        <x:v>ok</x:v>
      </x:c>
      <x:c r="S2570" s="11" t="n">
        <x:v>2058</x:v>
      </x:c>
      <x:c r="T2570" s="11" t="n">
        <x:v>431</x:v>
      </x:c>
    </x:row>
    <x:row r="2571" ht="23" customHeight="1">
      <x:c r="A2571" s="2" t="str">
        <x:v>Q99KI0</x:v>
      </x:c>
      <x:c r="B2571" s="2" t="str">
        <x:v>UN</x:v>
      </x:c>
      <x:c r="C2571" s="2" t="n">
        <x:v>1</x:v>
      </x:c>
      <x:c r="D2571" s="2" t="n">
        <x:v>1</x:v>
      </x:c>
      <x:c r="E2571" s="10" t="n">
        <x:v>95.41142307692309</x:v>
      </x:c>
      <x:c r="F2571" s="11" t="n">
        <x:v>780</x:v>
      </x:c>
      <x:c r="G2571" s="11" t="n">
        <x:v>0</x:v>
      </x:c>
      <x:c r="H2571" s="11" t="n">
        <x:v>0</x:v>
      </x:c>
      <x:c r="I2571" s="11" t="n">
        <x:v>0</x:v>
      </x:c>
      <x:c r="J2571" s="11" t="n">
        <x:v>0</x:v>
      </x:c>
      <x:c r="K2571" s="11" t="n">
        <x:v>1</x:v>
      </x:c>
      <x:c r="L2571" s="11" t="n">
        <x:f>IF(B2571="NED",1,IF(OR(B2571="ED",B2571="UN"),0,""))</x:f>
        <x:v>0</x:v>
      </x:c>
      <x:c r="M2571" s="11" t="n">
        <x:f>IF(AND(K2571=1,OR(B2571="ED",B2571="NED")),1,0)</x:f>
        <x:v>0</x:v>
      </x:c>
      <x:c r="N2571" s="11" t="n">
        <x:f>IF(K2571=1,1,0)</x:f>
        <x:v>1</x:v>
      </x:c>
      <x:c r="O2571" s="12"/>
      <x:c r="P2571" s="11" t="n">
        <x:v>0</x:v>
      </x:c>
      <x:c r="Q2571" s="12" t="str">
        <x:v>AF-Q99KI0-F1-model_v6</x:v>
      </x:c>
      <x:c r="R2571" s="12" t="str">
        <x:v>ok</x:v>
      </x:c>
      <x:c r="S2571" s="11" t="n">
        <x:v>2059</x:v>
      </x:c>
      <x:c r="T2571" s="11" t="n">
        <x:v>780</x:v>
      </x:c>
    </x:row>
    <x:row r="2572" ht="23" customHeight="1">
      <x:c r="A2572" s="2" t="str">
        <x:v>Q99KI3</x:v>
      </x:c>
      <x:c r="B2572" s="2" t="str">
        <x:v>ED</x:v>
      </x:c>
      <x:c r="C2572" s="2" t="n">
        <x:v>1</x:v>
      </x:c>
      <x:c r="D2572" s="2" t="n">
        <x:v>1</x:v>
      </x:c>
      <x:c r="E2572" s="10"/>
      <x:c r="F2572" s="11" t="n">
        <x:v>261</x:v>
      </x:c>
      <x:c r="G2572" s="11" t="n">
        <x:v>0</x:v>
      </x:c>
      <x:c r="H2572" s="11" t="n">
        <x:v>0</x:v>
      </x:c>
      <x:c r="I2572" s="11" t="n">
        <x:v>1</x:v>
      </x:c>
      <x:c r="J2572" s="11" t="n">
        <x:v>0</x:v>
      </x:c>
      <x:c r="K2572" s="11" t="n">
        <x:v>0</x:v>
      </x:c>
      <x:c r="L2572" s="11" t="n">
        <x:f>IF(B2572="NED",1,IF(OR(B2572="ED",B2572="UN"),0,""))</x:f>
        <x:v>0</x:v>
      </x:c>
      <x:c r="M2572" s="11" t="n">
        <x:f>IF(AND(K2572=1,OR(B2572="ED",B2572="NED")),1,0)</x:f>
        <x:v>0</x:v>
      </x:c>
      <x:c r="N2572" s="11" t="n">
        <x:f>IF(K2572=1,1,0)</x:f>
        <x:v>0</x:v>
      </x:c>
      <x:c r="O2572" s="12" t="str">
        <x:v>Exclude UniProt Membrane keyword</x:v>
      </x:c>
      <x:c r="P2572" s="11" t="n">
        <x:v>0</x:v>
      </x:c>
      <x:c r="Q2572" s="12" t="str">
        <x:v>AF-Q99KI3-F1-model_v6</x:v>
      </x:c>
      <x:c r="R2572" s="12" t="str">
        <x:v>ok</x:v>
      </x:c>
      <x:c r="S2572" s="11" t="n">
        <x:v>2060</x:v>
      </x:c>
      <x:c r="T2572" s="11" t="n">
        <x:v>261</x:v>
      </x:c>
    </x:row>
    <x:row r="2573" ht="23" customHeight="1">
      <x:c r="A2573" s="2" t="str">
        <x:v>Q99KJ8</x:v>
      </x:c>
      <x:c r="B2573" s="2" t="str">
        <x:v>UN</x:v>
      </x:c>
      <x:c r="C2573" s="2" t="n">
        <x:v>0</x:v>
      </x:c>
      <x:c r="D2573" s="2" t="n">
        <x:v>0</x:v>
      </x:c>
      <x:c r="E2573" s="10"/>
      <x:c r="F2573" s="11" t="n">
        <x:v>402</x:v>
      </x:c>
      <x:c r="G2573" s="11" t="n">
        <x:v>0</x:v>
      </x:c>
      <x:c r="H2573" s="11" t="n">
        <x:v>0</x:v>
      </x:c>
      <x:c r="I2573" s="11" t="n">
        <x:v>1</x:v>
      </x:c>
      <x:c r="J2573" s="11" t="n">
        <x:v>0</x:v>
      </x:c>
      <x:c r="K2573" s="11" t="n">
        <x:v>0</x:v>
      </x:c>
      <x:c r="L2573" s="11" t="n">
        <x:f>IF(B2573="NED",1,IF(OR(B2573="ED",B2573="UN"),0,""))</x:f>
        <x:v>0</x:v>
      </x:c>
      <x:c r="M2573" s="11" t="n">
        <x:f>IF(AND(K2573=1,OR(B2573="ED",B2573="NED")),1,0)</x:f>
        <x:v>0</x:v>
      </x:c>
      <x:c r="N2573" s="11" t="n">
        <x:f>IF(K2573=1,1,0)</x:f>
        <x:v>0</x:v>
      </x:c>
      <x:c r="O2573" s="12" t="str">
        <x:v>Exclude UniProt Membrane keyword</x:v>
      </x:c>
      <x:c r="P2573" s="11" t="n">
        <x:v>0</x:v>
      </x:c>
      <x:c r="Q2573" s="12" t="str">
        <x:v>AF-Q99KJ8-F1-model_v6</x:v>
      </x:c>
      <x:c r="R2573" s="12" t="str">
        <x:v>ok</x:v>
      </x:c>
      <x:c r="S2573" s="11" t="n">
        <x:v>2061</x:v>
      </x:c>
      <x:c r="T2573" s="11" t="n">
        <x:v>402</x:v>
      </x:c>
    </x:row>
    <x:row r="2574" ht="23" customHeight="1">
      <x:c r="A2574" s="2" t="str">
        <x:v>Q99KK7</x:v>
      </x:c>
      <x:c r="B2574" s="2" t="str">
        <x:v>ED</x:v>
      </x:c>
      <x:c r="C2574" s="2" t="n">
        <x:v>1</x:v>
      </x:c>
      <x:c r="D2574" s="2" t="n">
        <x:v>1</x:v>
      </x:c>
      <x:c r="E2574" s="10" t="n">
        <x:v>94.50149051490516</x:v>
      </x:c>
      <x:c r="F2574" s="11" t="n">
        <x:v>738</x:v>
      </x:c>
      <x:c r="G2574" s="11" t="n">
        <x:v>0</x:v>
      </x:c>
      <x:c r="H2574" s="11" t="n">
        <x:v>0</x:v>
      </x:c>
      <x:c r="I2574" s="11" t="n">
        <x:v>0</x:v>
      </x:c>
      <x:c r="J2574" s="11" t="n">
        <x:v>0</x:v>
      </x:c>
      <x:c r="K2574" s="11" t="n">
        <x:v>1</x:v>
      </x:c>
      <x:c r="L2574" s="11" t="n">
        <x:f>IF(B2574="NED",1,IF(OR(B2574="ED",B2574="UN"),0,""))</x:f>
        <x:v>0</x:v>
      </x:c>
      <x:c r="M2574" s="11" t="n">
        <x:f>IF(AND(K2574=1,OR(B2574="ED",B2574="NED")),1,0)</x:f>
        <x:v>1</x:v>
      </x:c>
      <x:c r="N2574" s="11" t="n">
        <x:f>IF(K2574=1,1,0)</x:f>
        <x:v>1</x:v>
      </x:c>
      <x:c r="O2574" s="12"/>
      <x:c r="P2574" s="11" t="n">
        <x:v>0</x:v>
      </x:c>
      <x:c r="Q2574" s="12" t="str">
        <x:v>AF-Q99KK7-F1-model_v6</x:v>
      </x:c>
      <x:c r="R2574" s="12" t="str">
        <x:v>ok</x:v>
      </x:c>
      <x:c r="S2574" s="11" t="n">
        <x:v>2062</x:v>
      </x:c>
      <x:c r="T2574" s="11" t="n">
        <x:v>738</x:v>
      </x:c>
    </x:row>
    <x:row r="2575" ht="23" customHeight="1">
      <x:c r="A2575" s="2" t="str">
        <x:v>Q99KK9</x:v>
      </x:c>
      <x:c r="B2575" s="2" t="str">
        <x:v>UN</x:v>
      </x:c>
      <x:c r="C2575" s="2" t="n">
        <x:v>1</x:v>
      </x:c>
      <x:c r="D2575" s="2" t="n">
        <x:v>1</x:v>
      </x:c>
      <x:c r="E2575" s="10" t="n">
        <x:v>86.53437623762376</x:v>
      </x:c>
      <x:c r="F2575" s="11" t="n">
        <x:v>505</x:v>
      </x:c>
      <x:c r="G2575" s="11" t="n">
        <x:v>0</x:v>
      </x:c>
      <x:c r="H2575" s="11" t="n">
        <x:v>0</x:v>
      </x:c>
      <x:c r="I2575" s="11" t="n">
        <x:v>0</x:v>
      </x:c>
      <x:c r="J2575" s="11" t="n">
        <x:v>0</x:v>
      </x:c>
      <x:c r="K2575" s="11" t="n">
        <x:v>1</x:v>
      </x:c>
      <x:c r="L2575" s="11" t="n">
        <x:f>IF(B2575="NED",1,IF(OR(B2575="ED",B2575="UN"),0,""))</x:f>
        <x:v>0</x:v>
      </x:c>
      <x:c r="M2575" s="11" t="n">
        <x:f>IF(AND(K2575=1,OR(B2575="ED",B2575="NED")),1,0)</x:f>
        <x:v>0</x:v>
      </x:c>
      <x:c r="N2575" s="11" t="n">
        <x:f>IF(K2575=1,1,0)</x:f>
        <x:v>1</x:v>
      </x:c>
      <x:c r="O2575" s="12"/>
      <x:c r="P2575" s="11" t="n">
        <x:v>0</x:v>
      </x:c>
      <x:c r="Q2575" s="12" t="str">
        <x:v>AF-Q99KK9-F1-model_v6</x:v>
      </x:c>
      <x:c r="R2575" s="12" t="str">
        <x:v>ok</x:v>
      </x:c>
      <x:c r="S2575" s="11" t="n">
        <x:v>2063</x:v>
      </x:c>
      <x:c r="T2575" s="11" t="n">
        <x:v>505</x:v>
      </x:c>
    </x:row>
    <x:row r="2576" ht="23" customHeight="1">
      <x:c r="A2576" s="2" t="str">
        <x:v>Q99KP6</x:v>
      </x:c>
      <x:c r="B2576" s="2" t="str">
        <x:v>UN</x:v>
      </x:c>
      <x:c r="C2576" s="2" t="n">
        <x:v>1</x:v>
      </x:c>
      <x:c r="D2576" s="2" t="n">
        <x:v>1</x:v>
      </x:c>
      <x:c r="E2576" s="10" t="n">
        <x:v>89.44998015873016</x:v>
      </x:c>
      <x:c r="F2576" s="11" t="n">
        <x:v>504</x:v>
      </x:c>
      <x:c r="G2576" s="11" t="n">
        <x:v>0</x:v>
      </x:c>
      <x:c r="H2576" s="11" t="n">
        <x:v>0</x:v>
      </x:c>
      <x:c r="I2576" s="11" t="n">
        <x:v>0</x:v>
      </x:c>
      <x:c r="J2576" s="11" t="n">
        <x:v>0</x:v>
      </x:c>
      <x:c r="K2576" s="11" t="n">
        <x:v>1</x:v>
      </x:c>
      <x:c r="L2576" s="11" t="n">
        <x:f>IF(B2576="NED",1,IF(OR(B2576="ED",B2576="UN"),0,""))</x:f>
        <x:v>0</x:v>
      </x:c>
      <x:c r="M2576" s="11" t="n">
        <x:f>IF(AND(K2576=1,OR(B2576="ED",B2576="NED")),1,0)</x:f>
        <x:v>0</x:v>
      </x:c>
      <x:c r="N2576" s="11" t="n">
        <x:f>IF(K2576=1,1,0)</x:f>
        <x:v>1</x:v>
      </x:c>
      <x:c r="O2576" s="12"/>
      <x:c r="P2576" s="11" t="n">
        <x:v>0</x:v>
      </x:c>
      <x:c r="Q2576" s="12" t="str">
        <x:v>AF-Q99KP6-F1-model_v6</x:v>
      </x:c>
      <x:c r="R2576" s="12" t="str">
        <x:v>ok</x:v>
      </x:c>
      <x:c r="S2576" s="11" t="n">
        <x:v>2064</x:v>
      </x:c>
      <x:c r="T2576" s="11" t="n">
        <x:v>504</x:v>
      </x:c>
    </x:row>
    <x:row r="2577" ht="23" customHeight="1">
      <x:c r="A2577" s="2" t="str">
        <x:v>Q99KQ4</x:v>
      </x:c>
      <x:c r="B2577" s="2" t="str">
        <x:v>ED</x:v>
      </x:c>
      <x:c r="C2577" s="2" t="n">
        <x:v>1</x:v>
      </x:c>
      <x:c r="D2577" s="2" t="n">
        <x:v>1</x:v>
      </x:c>
      <x:c r="E2577" s="10"/>
      <x:c r="F2577" s="11" t="n">
        <x:v>491</x:v>
      </x:c>
      <x:c r="G2577" s="11" t="n">
        <x:v>0</x:v>
      </x:c>
      <x:c r="H2577" s="11" t="n">
        <x:v>0</x:v>
      </x:c>
      <x:c r="I2577" s="11" t="n">
        <x:v>0</x:v>
      </x:c>
      <x:c r="J2577" s="11" t="n">
        <x:v>1</x:v>
      </x:c>
      <x:c r="K2577" s="11" t="n">
        <x:v>0</x:v>
      </x:c>
      <x:c r="L2577" s="11" t="n">
        <x:f>IF(B2577="NED",1,IF(OR(B2577="ED",B2577="UN"),0,""))</x:f>
        <x:v>0</x:v>
      </x:c>
      <x:c r="M2577" s="11" t="n">
        <x:f>IF(AND(K2577=1,OR(B2577="ED",B2577="NED")),1,0)</x:f>
        <x:v>0</x:v>
      </x:c>
      <x:c r="N2577" s="11" t="n">
        <x:f>IF(K2577=1,1,0)</x:f>
        <x:v>0</x:v>
      </x:c>
      <x:c r="O2577" s="12" t="str">
        <x:v>Exclude UniProt Secreted keyword</x:v>
      </x:c>
      <x:c r="P2577" s="11" t="n">
        <x:v>0</x:v>
      </x:c>
      <x:c r="Q2577" s="12" t="str">
        <x:v>AF-Q99KQ4-F1-model_v6</x:v>
      </x:c>
      <x:c r="R2577" s="12" t="str">
        <x:v>ok</x:v>
      </x:c>
      <x:c r="S2577" s="11" t="n">
        <x:v>2065</x:v>
      </x:c>
      <x:c r="T2577" s="11" t="n">
        <x:v>491</x:v>
      </x:c>
    </x:row>
    <x:row r="2578" ht="23" customHeight="1">
      <x:c r="A2578" s="2" t="str">
        <x:v>Q99KW3-1</x:v>
      </x:c>
      <x:c r="B2578" s="2" t="str">
        <x:v>ED</x:v>
      </x:c>
      <x:c r="C2578" s="2"/>
      <x:c r="D2578" s="2"/>
      <x:c r="E2578" s="10"/>
      <x:c r="F2578" s="11"/>
      <x:c r="G2578" s="11" t="n">
        <x:v>0</x:v>
      </x:c>
      <x:c r="H2578" s="11" t="n">
        <x:v>0</x:v>
      </x:c>
      <x:c r="I2578" s="11"/>
      <x:c r="J2578" s="11"/>
      <x:c r="K2578" s="11" t="n">
        <x:v>0</x:v>
      </x:c>
      <x:c r="L2578" s="11" t="n">
        <x:f>IF(B2578="NED",1,IF(OR(B2578="ED",B2578="UN"),0,""))</x:f>
        <x:v>0</x:v>
      </x:c>
      <x:c r="M2578" s="11" t="n">
        <x:f>IF(AND(K2578=1,OR(B2578="ED",B2578="NED")),1,0)</x:f>
        <x:v>0</x:v>
      </x:c>
      <x:c r="N2578" s="11" t="n">
        <x:f>IF(K2578=1,1,0)</x:f>
        <x:v>0</x:v>
      </x:c>
      <x:c r="O2578" s="12" t="str">
        <x:v>Require exact native accession match</x:v>
      </x:c>
      <x:c r="P2578" s="11" t="n">
        <x:v>0</x:v>
      </x:c>
      <x:c r="Q2578" s="12"/>
      <x:c r="R2578" s="12"/>
      <x:c r="S2578" s="11" t="n">
        <x:v>2066</x:v>
      </x:c>
      <x:c r="T2578" s="11"/>
    </x:row>
    <x:row r="2579" ht="23" customHeight="1">
      <x:c r="A2579" s="2" t="str">
        <x:v>Q99KY4</x:v>
      </x:c>
      <x:c r="B2579" s="2" t="str">
        <x:v>ED</x:v>
      </x:c>
      <x:c r="C2579" s="2" t="n">
        <x:v>1</x:v>
      </x:c>
      <x:c r="D2579" s="2" t="n">
        <x:v>1</x:v>
      </x:c>
      <x:c r="E2579" s="10" t="n">
        <x:v>65.18119540229885</x:v>
      </x:c>
      <x:c r="F2579" s="11" t="n">
        <x:v>1305</x:v>
      </x:c>
      <x:c r="G2579" s="11" t="n">
        <x:v>0</x:v>
      </x:c>
      <x:c r="H2579" s="11" t="n">
        <x:v>0</x:v>
      </x:c>
      <x:c r="I2579" s="11" t="n">
        <x:v>0</x:v>
      </x:c>
      <x:c r="J2579" s="11" t="n">
        <x:v>0</x:v>
      </x:c>
      <x:c r="K2579" s="11" t="n">
        <x:v>0</x:v>
      </x:c>
      <x:c r="L2579" s="11" t="n">
        <x:f>IF(B2579="NED",1,IF(OR(B2579="ED",B2579="UN"),0,""))</x:f>
        <x:v>0</x:v>
      </x:c>
      <x:c r="M2579" s="11" t="n">
        <x:f>IF(AND(K2579=1,OR(B2579="ED",B2579="NED")),1,0)</x:f>
        <x:v>0</x:v>
      </x:c>
      <x:c r="N2579" s="11" t="n">
        <x:f>IF(K2579=1,1,0)</x:f>
        <x:v>0</x:v>
      </x:c>
      <x:c r="O2579" s="12" t="str">
        <x:v>Retain protein mean pLDDT &gt;=70</x:v>
      </x:c>
      <x:c r="P2579" s="11" t="n">
        <x:v>0</x:v>
      </x:c>
      <x:c r="Q2579" s="12" t="str">
        <x:v>AF-Q99KY4-F1-model_v6</x:v>
      </x:c>
      <x:c r="R2579" s="12" t="str">
        <x:v>ok</x:v>
      </x:c>
      <x:c r="S2579" s="11" t="n">
        <x:v>2067</x:v>
      </x:c>
      <x:c r="T2579" s="11" t="n">
        <x:v>1305</x:v>
      </x:c>
    </x:row>
    <x:row r="2580" ht="23" customHeight="1">
      <x:c r="A2580" s="2" t="str">
        <x:v>Q99L04</x:v>
      </x:c>
      <x:c r="B2580" s="2" t="str">
        <x:v>ED</x:v>
      </x:c>
      <x:c r="C2580" s="2" t="n">
        <x:v>1</x:v>
      </x:c>
      <x:c r="D2580" s="2" t="n">
        <x:v>1</x:v>
      </x:c>
      <x:c r="E2580" s="10" t="n">
        <x:v>92.61948881789138</x:v>
      </x:c>
      <x:c r="F2580" s="11" t="n">
        <x:v>313</x:v>
      </x:c>
      <x:c r="G2580" s="11" t="n">
        <x:v>0</x:v>
      </x:c>
      <x:c r="H2580" s="11" t="n">
        <x:v>0</x:v>
      </x:c>
      <x:c r="I2580" s="11" t="n">
        <x:v>0</x:v>
      </x:c>
      <x:c r="J2580" s="11" t="n">
        <x:v>0</x:v>
      </x:c>
      <x:c r="K2580" s="11" t="n">
        <x:v>1</x:v>
      </x:c>
      <x:c r="L2580" s="11" t="n">
        <x:f>IF(B2580="NED",1,IF(OR(B2580="ED",B2580="UN"),0,""))</x:f>
        <x:v>0</x:v>
      </x:c>
      <x:c r="M2580" s="11" t="n">
        <x:f>IF(AND(K2580=1,OR(B2580="ED",B2580="NED")),1,0)</x:f>
        <x:v>1</x:v>
      </x:c>
      <x:c r="N2580" s="11" t="n">
        <x:f>IF(K2580=1,1,0)</x:f>
        <x:v>1</x:v>
      </x:c>
      <x:c r="O2580" s="12"/>
      <x:c r="P2580" s="11" t="n">
        <x:v>0</x:v>
      </x:c>
      <x:c r="Q2580" s="12" t="str">
        <x:v>AF-Q99L04-F1-model_v6</x:v>
      </x:c>
      <x:c r="R2580" s="12" t="str">
        <x:v>ok</x:v>
      </x:c>
      <x:c r="S2580" s="11" t="n">
        <x:v>2068</x:v>
      </x:c>
      <x:c r="T2580" s="11" t="n">
        <x:v>313</x:v>
      </x:c>
    </x:row>
    <x:row r="2581" ht="23" customHeight="1">
      <x:c r="A2581" s="2" t="str">
        <x:v>Q99L13</x:v>
      </x:c>
      <x:c r="B2581" s="2" t="str">
        <x:v>NED</x:v>
      </x:c>
      <x:c r="C2581" s="2" t="n">
        <x:v>1</x:v>
      </x:c>
      <x:c r="D2581" s="2" t="n">
        <x:v>1</x:v>
      </x:c>
      <x:c r="E2581" s="10" t="n">
        <x:v>90.52859701492538</x:v>
      </x:c>
      <x:c r="F2581" s="11" t="n">
        <x:v>335</x:v>
      </x:c>
      <x:c r="G2581" s="11" t="n">
        <x:v>0</x:v>
      </x:c>
      <x:c r="H2581" s="11" t="n">
        <x:v>0</x:v>
      </x:c>
      <x:c r="I2581" s="11" t="n">
        <x:v>0</x:v>
      </x:c>
      <x:c r="J2581" s="11" t="n">
        <x:v>0</x:v>
      </x:c>
      <x:c r="K2581" s="11" t="n">
        <x:v>1</x:v>
      </x:c>
      <x:c r="L2581" s="11" t="n">
        <x:f>IF(B2581="NED",1,IF(OR(B2581="ED",B2581="UN"),0,""))</x:f>
        <x:v>1</x:v>
      </x:c>
      <x:c r="M2581" s="11" t="n">
        <x:f>IF(AND(K2581=1,OR(B2581="ED",B2581="NED")),1,0)</x:f>
        <x:v>1</x:v>
      </x:c>
      <x:c r="N2581" s="11" t="n">
        <x:f>IF(K2581=1,1,0)</x:f>
        <x:v>1</x:v>
      </x:c>
      <x:c r="O2581" s="12"/>
      <x:c r="P2581" s="11" t="n">
        <x:v>0</x:v>
      </x:c>
      <x:c r="Q2581" s="12" t="str">
        <x:v>AF-Q99L13-F1-model_v6</x:v>
      </x:c>
      <x:c r="R2581" s="12" t="str">
        <x:v>ok</x:v>
      </x:c>
      <x:c r="S2581" s="11" t="n">
        <x:v>2069</x:v>
      </x:c>
      <x:c r="T2581" s="11" t="n">
        <x:v>335</x:v>
      </x:c>
    </x:row>
    <x:row r="2582" ht="23" customHeight="1">
      <x:c r="A2582" s="2" t="str">
        <x:v>Q99L20</x:v>
      </x:c>
      <x:c r="B2582" s="2" t="str">
        <x:v>ED</x:v>
      </x:c>
      <x:c r="C2582" s="2" t="n">
        <x:v>1</x:v>
      </x:c>
      <x:c r="D2582" s="2" t="n">
        <x:v>1</x:v>
      </x:c>
      <x:c r="E2582" s="10" t="n">
        <x:v>96.12829875518672</x:v>
      </x:c>
      <x:c r="F2582" s="11" t="n">
        <x:v>241</x:v>
      </x:c>
      <x:c r="G2582" s="11" t="n">
        <x:v>0</x:v>
      </x:c>
      <x:c r="H2582" s="11" t="n">
        <x:v>0</x:v>
      </x:c>
      <x:c r="I2582" s="11" t="n">
        <x:v>0</x:v>
      </x:c>
      <x:c r="J2582" s="11" t="n">
        <x:v>0</x:v>
      </x:c>
      <x:c r="K2582" s="11" t="n">
        <x:v>1</x:v>
      </x:c>
      <x:c r="L2582" s="11" t="n">
        <x:f>IF(B2582="NED",1,IF(OR(B2582="ED",B2582="UN"),0,""))</x:f>
        <x:v>0</x:v>
      </x:c>
      <x:c r="M2582" s="11" t="n">
        <x:f>IF(AND(K2582=1,OR(B2582="ED",B2582="NED")),1,0)</x:f>
        <x:v>1</x:v>
      </x:c>
      <x:c r="N2582" s="11" t="n">
        <x:f>IF(K2582=1,1,0)</x:f>
        <x:v>1</x:v>
      </x:c>
      <x:c r="O2582" s="12"/>
      <x:c r="P2582" s="11" t="n">
        <x:v>0</x:v>
      </x:c>
      <x:c r="Q2582" s="12" t="str">
        <x:v>AF-Q99L20-F1-model_v6</x:v>
      </x:c>
      <x:c r="R2582" s="12" t="str">
        <x:v>ok</x:v>
      </x:c>
      <x:c r="S2582" s="11" t="n">
        <x:v>3255</x:v>
      </x:c>
      <x:c r="T2582" s="11" t="n">
        <x:v>241</x:v>
      </x:c>
    </x:row>
    <x:row r="2583" ht="23" customHeight="1">
      <x:c r="A2583" s="2" t="str">
        <x:v>Q99L45</x:v>
      </x:c>
      <x:c r="B2583" s="2" t="str">
        <x:v>ED</x:v>
      </x:c>
      <x:c r="C2583" s="2" t="n">
        <x:v>0</x:v>
      </x:c>
      <x:c r="D2583" s="2" t="n">
        <x:v>0</x:v>
      </x:c>
      <x:c r="E2583" s="10" t="n">
        <x:v>65.11800604229607</x:v>
      </x:c>
      <x:c r="F2583" s="11" t="n">
        <x:v>331</x:v>
      </x:c>
      <x:c r="G2583" s="11" t="n">
        <x:v>0</x:v>
      </x:c>
      <x:c r="H2583" s="11" t="n">
        <x:v>0</x:v>
      </x:c>
      <x:c r="I2583" s="11" t="n">
        <x:v>0</x:v>
      </x:c>
      <x:c r="J2583" s="11" t="n">
        <x:v>0</x:v>
      </x:c>
      <x:c r="K2583" s="11" t="n">
        <x:v>0</x:v>
      </x:c>
      <x:c r="L2583" s="11" t="n">
        <x:f>IF(B2583="NED",1,IF(OR(B2583="ED",B2583="UN"),0,""))</x:f>
        <x:v>0</x:v>
      </x:c>
      <x:c r="M2583" s="11" t="n">
        <x:f>IF(AND(K2583=1,OR(B2583="ED",B2583="NED")),1,0)</x:f>
        <x:v>0</x:v>
      </x:c>
      <x:c r="N2583" s="11" t="n">
        <x:f>IF(K2583=1,1,0)</x:f>
        <x:v>0</x:v>
      </x:c>
      <x:c r="O2583" s="12" t="str">
        <x:v>Retain protein mean pLDDT &gt;=70</x:v>
      </x:c>
      <x:c r="P2583" s="11" t="n">
        <x:v>0</x:v>
      </x:c>
      <x:c r="Q2583" s="12" t="str">
        <x:v>AF-Q99L45-F1-model_v6</x:v>
      </x:c>
      <x:c r="R2583" s="12" t="str">
        <x:v>ok</x:v>
      </x:c>
      <x:c r="S2583" s="11" t="n">
        <x:v>2070</x:v>
      </x:c>
      <x:c r="T2583" s="11" t="n">
        <x:v>331</x:v>
      </x:c>
    </x:row>
    <x:row r="2584" ht="23" customHeight="1">
      <x:c r="A2584" s="2" t="str">
        <x:v>Q99L48</x:v>
      </x:c>
      <x:c r="B2584" s="2" t="str">
        <x:v>ED</x:v>
      </x:c>
      <x:c r="C2584" s="2" t="n">
        <x:v>1</x:v>
      </x:c>
      <x:c r="D2584" s="2" t="n">
        <x:v>1</x:v>
      </x:c>
      <x:c r="E2584" s="10" t="n">
        <x:v>86.21453280318092</x:v>
      </x:c>
      <x:c r="F2584" s="11" t="n">
        <x:v>503</x:v>
      </x:c>
      <x:c r="G2584" s="11" t="n">
        <x:v>0</x:v>
      </x:c>
      <x:c r="H2584" s="11" t="n">
        <x:v>0</x:v>
      </x:c>
      <x:c r="I2584" s="11" t="n">
        <x:v>0</x:v>
      </x:c>
      <x:c r="J2584" s="11" t="n">
        <x:v>0</x:v>
      </x:c>
      <x:c r="K2584" s="11" t="n">
        <x:v>1</x:v>
      </x:c>
      <x:c r="L2584" s="11" t="n">
        <x:f>IF(B2584="NED",1,IF(OR(B2584="ED",B2584="UN"),0,""))</x:f>
        <x:v>0</x:v>
      </x:c>
      <x:c r="M2584" s="11" t="n">
        <x:f>IF(AND(K2584=1,OR(B2584="ED",B2584="NED")),1,0)</x:f>
        <x:v>1</x:v>
      </x:c>
      <x:c r="N2584" s="11" t="n">
        <x:f>IF(K2584=1,1,0)</x:f>
        <x:v>1</x:v>
      </x:c>
      <x:c r="O2584" s="12"/>
      <x:c r="P2584" s="11" t="n">
        <x:v>0</x:v>
      </x:c>
      <x:c r="Q2584" s="12" t="str">
        <x:v>AF-Q99L48-F1-model_v6</x:v>
      </x:c>
      <x:c r="R2584" s="12" t="str">
        <x:v>ok</x:v>
      </x:c>
      <x:c r="S2584" s="11" t="n">
        <x:v>2071</x:v>
      </x:c>
      <x:c r="T2584" s="11" t="n">
        <x:v>503</x:v>
      </x:c>
    </x:row>
    <x:row r="2585" ht="23" customHeight="1">
      <x:c r="A2585" s="2" t="str">
        <x:v>Q99LB2</x:v>
      </x:c>
      <x:c r="B2585" s="2" t="str">
        <x:v>UN</x:v>
      </x:c>
      <x:c r="C2585" s="2" t="n">
        <x:v>1</x:v>
      </x:c>
      <x:c r="D2585" s="2" t="n">
        <x:v>1</x:v>
      </x:c>
      <x:c r="E2585" s="10" t="n">
        <x:v>91.89867383512544</x:v>
      </x:c>
      <x:c r="F2585" s="11" t="n">
        <x:v>279</x:v>
      </x:c>
      <x:c r="G2585" s="11" t="n">
        <x:v>0</x:v>
      </x:c>
      <x:c r="H2585" s="11" t="n">
        <x:v>0</x:v>
      </x:c>
      <x:c r="I2585" s="11" t="n">
        <x:v>0</x:v>
      </x:c>
      <x:c r="J2585" s="11" t="n">
        <x:v>0</x:v>
      </x:c>
      <x:c r="K2585" s="11" t="n">
        <x:v>1</x:v>
      </x:c>
      <x:c r="L2585" s="11" t="n">
        <x:f>IF(B2585="NED",1,IF(OR(B2585="ED",B2585="UN"),0,""))</x:f>
        <x:v>0</x:v>
      </x:c>
      <x:c r="M2585" s="11" t="n">
        <x:f>IF(AND(K2585=1,OR(B2585="ED",B2585="NED")),1,0)</x:f>
        <x:v>0</x:v>
      </x:c>
      <x:c r="N2585" s="11" t="n">
        <x:f>IF(K2585=1,1,0)</x:f>
        <x:v>1</x:v>
      </x:c>
      <x:c r="O2585" s="12"/>
      <x:c r="P2585" s="11" t="n">
        <x:v>0</x:v>
      </x:c>
      <x:c r="Q2585" s="12" t="str">
        <x:v>AF-Q99LB2-F1-model_v6</x:v>
      </x:c>
      <x:c r="R2585" s="12" t="str">
        <x:v>ok</x:v>
      </x:c>
      <x:c r="S2585" s="11" t="n">
        <x:v>2072</x:v>
      </x:c>
      <x:c r="T2585" s="11" t="n">
        <x:v>279</x:v>
      </x:c>
    </x:row>
    <x:row r="2586" ht="23" customHeight="1">
      <x:c r="A2586" s="2" t="str">
        <x:v>Q99LB4</x:v>
      </x:c>
      <x:c r="B2586" s="2" t="str">
        <x:v>ED</x:v>
      </x:c>
      <x:c r="C2586" s="2"/>
      <x:c r="D2586" s="2"/>
      <x:c r="E2586" s="10"/>
      <x:c r="F2586" s="11"/>
      <x:c r="G2586" s="11" t="n">
        <x:v>0</x:v>
      </x:c>
      <x:c r="H2586" s="11" t="n">
        <x:v>0</x:v>
      </x:c>
      <x:c r="I2586" s="11" t="n">
        <x:v>0</x:v>
      </x:c>
      <x:c r="J2586" s="11" t="n">
        <x:v>0</x:v>
      </x:c>
      <x:c r="K2586" s="11" t="n">
        <x:v>0</x:v>
      </x:c>
      <x:c r="L2586" s="11" t="n">
        <x:f>IF(B2586="NED",1,IF(OR(B2586="ED",B2586="UN"),0,""))</x:f>
        <x:v>0</x:v>
      </x:c>
      <x:c r="M2586" s="11" t="n">
        <x:f>IF(AND(K2586=1,OR(B2586="ED",B2586="NED")),1,0)</x:f>
        <x:v>0</x:v>
      </x:c>
      <x:c r="N2586" s="11" t="n">
        <x:f>IF(K2586=1,1,0)</x:f>
        <x:v>0</x:v>
      </x:c>
      <x:c r="O2586" s="12" t="str">
        <x:v>Require exact native accession match</x:v>
      </x:c>
      <x:c r="P2586" s="11" t="n">
        <x:v>0</x:v>
      </x:c>
      <x:c r="Q2586" s="12"/>
      <x:c r="R2586" s="12"/>
      <x:c r="S2586" s="11" t="n">
        <x:v>3256</x:v>
      </x:c>
      <x:c r="T2586" s="11" t="n">
        <x:v>349</x:v>
      </x:c>
    </x:row>
    <x:row r="2587" ht="23" customHeight="1">
      <x:c r="A2587" s="2" t="str">
        <x:v>Q99LB6-2</x:v>
      </x:c>
      <x:c r="B2587" s="2" t="str">
        <x:v>ED</x:v>
      </x:c>
      <x:c r="C2587" s="2"/>
      <x:c r="D2587" s="2"/>
      <x:c r="E2587" s="10"/>
      <x:c r="F2587" s="11"/>
      <x:c r="G2587" s="11" t="n">
        <x:v>0</x:v>
      </x:c>
      <x:c r="H2587" s="11" t="n">
        <x:v>0</x:v>
      </x:c>
      <x:c r="I2587" s="11"/>
      <x:c r="J2587" s="11"/>
      <x:c r="K2587" s="11" t="n">
        <x:v>0</x:v>
      </x:c>
      <x:c r="L2587" s="11" t="n">
        <x:f>IF(B2587="NED",1,IF(OR(B2587="ED",B2587="UN"),0,""))</x:f>
        <x:v>0</x:v>
      </x:c>
      <x:c r="M2587" s="11" t="n">
        <x:f>IF(AND(K2587=1,OR(B2587="ED",B2587="NED")),1,0)</x:f>
        <x:v>0</x:v>
      </x:c>
      <x:c r="N2587" s="11" t="n">
        <x:f>IF(K2587=1,1,0)</x:f>
        <x:v>0</x:v>
      </x:c>
      <x:c r="O2587" s="12" t="str">
        <x:v>Require exact native accession match</x:v>
      </x:c>
      <x:c r="P2587" s="11" t="n">
        <x:v>0</x:v>
      </x:c>
      <x:c r="Q2587" s="12"/>
      <x:c r="R2587" s="12"/>
      <x:c r="S2587" s="11" t="n">
        <x:v>2073</x:v>
      </x:c>
      <x:c r="T2587" s="11"/>
    </x:row>
    <x:row r="2588" ht="23" customHeight="1">
      <x:c r="A2588" s="2" t="str">
        <x:v>Q99LB7</x:v>
      </x:c>
      <x:c r="B2588" s="2" t="str">
        <x:v>ED</x:v>
      </x:c>
      <x:c r="C2588" s="2" t="n">
        <x:v>1</x:v>
      </x:c>
      <x:c r="D2588" s="2" t="n">
        <x:v>1</x:v>
      </x:c>
      <x:c r="E2588" s="10" t="n">
        <x:v>92.6040478781284</x:v>
      </x:c>
      <x:c r="F2588" s="11" t="n">
        <x:v>919</x:v>
      </x:c>
      <x:c r="G2588" s="11" t="n">
        <x:v>0</x:v>
      </x:c>
      <x:c r="H2588" s="11" t="n">
        <x:v>0</x:v>
      </x:c>
      <x:c r="I2588" s="11" t="n">
        <x:v>0</x:v>
      </x:c>
      <x:c r="J2588" s="11" t="n">
        <x:v>0</x:v>
      </x:c>
      <x:c r="K2588" s="11" t="n">
        <x:v>1</x:v>
      </x:c>
      <x:c r="L2588" s="11" t="n">
        <x:f>IF(B2588="NED",1,IF(OR(B2588="ED",B2588="UN"),0,""))</x:f>
        <x:v>0</x:v>
      </x:c>
      <x:c r="M2588" s="11" t="n">
        <x:f>IF(AND(K2588=1,OR(B2588="ED",B2588="NED")),1,0)</x:f>
        <x:v>1</x:v>
      </x:c>
      <x:c r="N2588" s="11" t="n">
        <x:f>IF(K2588=1,1,0)</x:f>
        <x:v>1</x:v>
      </x:c>
      <x:c r="O2588" s="12"/>
      <x:c r="P2588" s="11" t="n">
        <x:v>0</x:v>
      </x:c>
      <x:c r="Q2588" s="12" t="str">
        <x:v>AF-Q99LB7-F1-model_v6</x:v>
      </x:c>
      <x:c r="R2588" s="12" t="str">
        <x:v>ok</x:v>
      </x:c>
      <x:c r="S2588" s="11" t="n">
        <x:v>2074</x:v>
      </x:c>
      <x:c r="T2588" s="11" t="n">
        <x:v>919</x:v>
      </x:c>
    </x:row>
    <x:row r="2589" ht="23" customHeight="1">
      <x:c r="A2589" s="2" t="str">
        <x:v>Q99LC2</x:v>
      </x:c>
      <x:c r="B2589" s="2" t="str">
        <x:v>ED</x:v>
      </x:c>
      <x:c r="C2589" s="2" t="n">
        <x:v>1</x:v>
      </x:c>
      <x:c r="D2589" s="2" t="n">
        <x:v>1</x:v>
      </x:c>
      <x:c r="E2589" s="10" t="n">
        <x:v>90.32127610208816</x:v>
      </x:c>
      <x:c r="F2589" s="11" t="n">
        <x:v>431</x:v>
      </x:c>
      <x:c r="G2589" s="11" t="n">
        <x:v>0</x:v>
      </x:c>
      <x:c r="H2589" s="11" t="n">
        <x:v>0</x:v>
      </x:c>
      <x:c r="I2589" s="11" t="n">
        <x:v>0</x:v>
      </x:c>
      <x:c r="J2589" s="11" t="n">
        <x:v>0</x:v>
      </x:c>
      <x:c r="K2589" s="11" t="n">
        <x:v>1</x:v>
      </x:c>
      <x:c r="L2589" s="11" t="n">
        <x:f>IF(B2589="NED",1,IF(OR(B2589="ED",B2589="UN"),0,""))</x:f>
        <x:v>0</x:v>
      </x:c>
      <x:c r="M2589" s="11" t="n">
        <x:f>IF(AND(K2589=1,OR(B2589="ED",B2589="NED")),1,0)</x:f>
        <x:v>1</x:v>
      </x:c>
      <x:c r="N2589" s="11" t="n">
        <x:f>IF(K2589=1,1,0)</x:f>
        <x:v>1</x:v>
      </x:c>
      <x:c r="O2589" s="12"/>
      <x:c r="P2589" s="11" t="n">
        <x:v>0</x:v>
      </x:c>
      <x:c r="Q2589" s="12" t="str">
        <x:v>AF-Q99LC2-F1-model_v6</x:v>
      </x:c>
      <x:c r="R2589" s="12" t="str">
        <x:v>ok</x:v>
      </x:c>
      <x:c r="S2589" s="11" t="n">
        <x:v>2075</x:v>
      </x:c>
      <x:c r="T2589" s="11" t="n">
        <x:v>431</x:v>
      </x:c>
    </x:row>
    <x:row r="2590" ht="23" customHeight="1">
      <x:c r="A2590" s="2" t="str">
        <x:v>Q99LC3</x:v>
      </x:c>
      <x:c r="B2590" s="2" t="str">
        <x:v>NED</x:v>
      </x:c>
      <x:c r="C2590" s="2" t="n">
        <x:v>1</x:v>
      </x:c>
      <x:c r="D2590" s="2" t="n">
        <x:v>1</x:v>
      </x:c>
      <x:c r="E2590" s="10" t="n">
        <x:v>84.62214084507042</x:v>
      </x:c>
      <x:c r="F2590" s="11" t="n">
        <x:v>355</x:v>
      </x:c>
      <x:c r="G2590" s="11" t="n">
        <x:v>0</x:v>
      </x:c>
      <x:c r="H2590" s="11" t="n">
        <x:v>0</x:v>
      </x:c>
      <x:c r="I2590" s="11" t="n">
        <x:v>0</x:v>
      </x:c>
      <x:c r="J2590" s="11" t="n">
        <x:v>0</x:v>
      </x:c>
      <x:c r="K2590" s="11" t="n">
        <x:v>1</x:v>
      </x:c>
      <x:c r="L2590" s="11" t="n">
        <x:f>IF(B2590="NED",1,IF(OR(B2590="ED",B2590="UN"),0,""))</x:f>
        <x:v>1</x:v>
      </x:c>
      <x:c r="M2590" s="11" t="n">
        <x:f>IF(AND(K2590=1,OR(B2590="ED",B2590="NED")),1,0)</x:f>
        <x:v>1</x:v>
      </x:c>
      <x:c r="N2590" s="11" t="n">
        <x:f>IF(K2590=1,1,0)</x:f>
        <x:v>1</x:v>
      </x:c>
      <x:c r="O2590" s="12"/>
      <x:c r="P2590" s="11" t="n">
        <x:v>0</x:v>
      </x:c>
      <x:c r="Q2590" s="12" t="str">
        <x:v>AF-Q99LC3-F1-model_v6</x:v>
      </x:c>
      <x:c r="R2590" s="12" t="str">
        <x:v>ok</x:v>
      </x:c>
      <x:c r="S2590" s="11" t="n">
        <x:v>2076</x:v>
      </x:c>
      <x:c r="T2590" s="11" t="n">
        <x:v>355</x:v>
      </x:c>
    </x:row>
    <x:row r="2591" ht="23" customHeight="1">
      <x:c r="A2591" s="2" t="str">
        <x:v>Q99LC5</x:v>
      </x:c>
      <x:c r="B2591" s="2" t="str">
        <x:v>ED</x:v>
      </x:c>
      <x:c r="C2591" s="2" t="n">
        <x:v>1</x:v>
      </x:c>
      <x:c r="D2591" s="2" t="n">
        <x:v>1</x:v>
      </x:c>
      <x:c r="E2591" s="10" t="n">
        <x:v>93.46072072072072</x:v>
      </x:c>
      <x:c r="F2591" s="11" t="n">
        <x:v>333</x:v>
      </x:c>
      <x:c r="G2591" s="11" t="n">
        <x:v>0</x:v>
      </x:c>
      <x:c r="H2591" s="11" t="n">
        <x:v>0</x:v>
      </x:c>
      <x:c r="I2591" s="11" t="n">
        <x:v>0</x:v>
      </x:c>
      <x:c r="J2591" s="11" t="n">
        <x:v>0</x:v>
      </x:c>
      <x:c r="K2591" s="11" t="n">
        <x:v>1</x:v>
      </x:c>
      <x:c r="L2591" s="11" t="n">
        <x:f>IF(B2591="NED",1,IF(OR(B2591="ED",B2591="UN"),0,""))</x:f>
        <x:v>0</x:v>
      </x:c>
      <x:c r="M2591" s="11" t="n">
        <x:f>IF(AND(K2591=1,OR(B2591="ED",B2591="NED")),1,0)</x:f>
        <x:v>1</x:v>
      </x:c>
      <x:c r="N2591" s="11" t="n">
        <x:f>IF(K2591=1,1,0)</x:f>
        <x:v>1</x:v>
      </x:c>
      <x:c r="O2591" s="12"/>
      <x:c r="P2591" s="11" t="n">
        <x:v>0</x:v>
      </x:c>
      <x:c r="Q2591" s="12" t="str">
        <x:v>AF-Q99LC5-F1-model_v6</x:v>
      </x:c>
      <x:c r="R2591" s="12" t="str">
        <x:v>ok</x:v>
      </x:c>
      <x:c r="S2591" s="11" t="n">
        <x:v>2077</x:v>
      </x:c>
      <x:c r="T2591" s="11" t="n">
        <x:v>333</x:v>
      </x:c>
    </x:row>
    <x:row r="2592" ht="23" customHeight="1">
      <x:c r="A2592" s="2" t="str">
        <x:v>Q99LC8</x:v>
      </x:c>
      <x:c r="B2592" s="2" t="str">
        <x:v>UN</x:v>
      </x:c>
      <x:c r="C2592" s="2" t="n">
        <x:v>1</x:v>
      </x:c>
      <x:c r="D2592" s="2" t="n">
        <x:v>1</x:v>
      </x:c>
      <x:c r="E2592" s="10" t="n">
        <x:v>92.637868852459</x:v>
      </x:c>
      <x:c r="F2592" s="11" t="n">
        <x:v>305</x:v>
      </x:c>
      <x:c r="G2592" s="11" t="n">
        <x:v>0</x:v>
      </x:c>
      <x:c r="H2592" s="11" t="n">
        <x:v>0</x:v>
      </x:c>
      <x:c r="I2592" s="11" t="n">
        <x:v>0</x:v>
      </x:c>
      <x:c r="J2592" s="11" t="n">
        <x:v>0</x:v>
      </x:c>
      <x:c r="K2592" s="11" t="n">
        <x:v>1</x:v>
      </x:c>
      <x:c r="L2592" s="11" t="n">
        <x:f>IF(B2592="NED",1,IF(OR(B2592="ED",B2592="UN"),0,""))</x:f>
        <x:v>0</x:v>
      </x:c>
      <x:c r="M2592" s="11" t="n">
        <x:f>IF(AND(K2592=1,OR(B2592="ED",B2592="NED")),1,0)</x:f>
        <x:v>0</x:v>
      </x:c>
      <x:c r="N2592" s="11" t="n">
        <x:f>IF(K2592=1,1,0)</x:f>
        <x:v>1</x:v>
      </x:c>
      <x:c r="O2592" s="12"/>
      <x:c r="P2592" s="11" t="n">
        <x:v>0</x:v>
      </x:c>
      <x:c r="Q2592" s="12" t="str">
        <x:v>AF-Q99LC8-F1-model_v6</x:v>
      </x:c>
      <x:c r="R2592" s="12" t="str">
        <x:v>ok</x:v>
      </x:c>
      <x:c r="S2592" s="11" t="n">
        <x:v>2078</x:v>
      </x:c>
      <x:c r="T2592" s="11" t="n">
        <x:v>305</x:v>
      </x:c>
    </x:row>
    <x:row r="2593" ht="23" customHeight="1">
      <x:c r="A2593" s="2" t="str">
        <x:v>Q99LD9</x:v>
      </x:c>
      <x:c r="B2593" s="2" t="str">
        <x:v>ED</x:v>
      </x:c>
      <x:c r="C2593" s="2" t="n">
        <x:v>1</x:v>
      </x:c>
      <x:c r="D2593" s="2" t="n">
        <x:v>1</x:v>
      </x:c>
      <x:c r="E2593" s="10" t="n">
        <x:v>87.09811965811966</x:v>
      </x:c>
      <x:c r="F2593" s="11" t="n">
        <x:v>351</x:v>
      </x:c>
      <x:c r="G2593" s="11" t="n">
        <x:v>0</x:v>
      </x:c>
      <x:c r="H2593" s="11" t="n">
        <x:v>0</x:v>
      </x:c>
      <x:c r="I2593" s="11" t="n">
        <x:v>0</x:v>
      </x:c>
      <x:c r="J2593" s="11" t="n">
        <x:v>0</x:v>
      </x:c>
      <x:c r="K2593" s="11" t="n">
        <x:v>1</x:v>
      </x:c>
      <x:c r="L2593" s="11" t="n">
        <x:f>IF(B2593="NED",1,IF(OR(B2593="ED",B2593="UN"),0,""))</x:f>
        <x:v>0</x:v>
      </x:c>
      <x:c r="M2593" s="11" t="n">
        <x:f>IF(AND(K2593=1,OR(B2593="ED",B2593="NED")),1,0)</x:f>
        <x:v>1</x:v>
      </x:c>
      <x:c r="N2593" s="11" t="n">
        <x:f>IF(K2593=1,1,0)</x:f>
        <x:v>1</x:v>
      </x:c>
      <x:c r="O2593" s="12"/>
      <x:c r="P2593" s="11" t="n">
        <x:v>0</x:v>
      </x:c>
      <x:c r="Q2593" s="12" t="str">
        <x:v>AF-Q99LD9-F1-model_v6</x:v>
      </x:c>
      <x:c r="R2593" s="12" t="str">
        <x:v>ok</x:v>
      </x:c>
      <x:c r="S2593" s="11" t="n">
        <x:v>2079</x:v>
      </x:c>
      <x:c r="T2593" s="11" t="n">
        <x:v>351</x:v>
      </x:c>
    </x:row>
    <x:row r="2594" ht="23" customHeight="1">
      <x:c r="A2594" s="2" t="str">
        <x:v>Q99LE6</x:v>
      </x:c>
      <x:c r="B2594" s="2" t="str">
        <x:v>ED</x:v>
      </x:c>
      <x:c r="C2594" s="2" t="n">
        <x:v>1</x:v>
      </x:c>
      <x:c r="D2594" s="2" t="n">
        <x:v>1</x:v>
      </x:c>
      <x:c r="E2594" s="10" t="n">
        <x:v>83.25035031847133</x:v>
      </x:c>
      <x:c r="F2594" s="11" t="n">
        <x:v>628</x:v>
      </x:c>
      <x:c r="G2594" s="11" t="n">
        <x:v>0</x:v>
      </x:c>
      <x:c r="H2594" s="11" t="n">
        <x:v>0</x:v>
      </x:c>
      <x:c r="I2594" s="11" t="n">
        <x:v>0</x:v>
      </x:c>
      <x:c r="J2594" s="11" t="n">
        <x:v>0</x:v>
      </x:c>
      <x:c r="K2594" s="11" t="n">
        <x:v>1</x:v>
      </x:c>
      <x:c r="L2594" s="11" t="n">
        <x:f>IF(B2594="NED",1,IF(OR(B2594="ED",B2594="UN"),0,""))</x:f>
        <x:v>0</x:v>
      </x:c>
      <x:c r="M2594" s="11" t="n">
        <x:f>IF(AND(K2594=1,OR(B2594="ED",B2594="NED")),1,0)</x:f>
        <x:v>1</x:v>
      </x:c>
      <x:c r="N2594" s="11" t="n">
        <x:f>IF(K2594=1,1,0)</x:f>
        <x:v>1</x:v>
      </x:c>
      <x:c r="O2594" s="12"/>
      <x:c r="P2594" s="11" t="n">
        <x:v>0</x:v>
      </x:c>
      <x:c r="Q2594" s="12" t="str">
        <x:v>AF-Q99LE6-F1-model_v6</x:v>
      </x:c>
      <x:c r="R2594" s="12" t="str">
        <x:v>ok</x:v>
      </x:c>
      <x:c r="S2594" s="11" t="n">
        <x:v>2080</x:v>
      </x:c>
      <x:c r="T2594" s="11" t="n">
        <x:v>628</x:v>
      </x:c>
    </x:row>
    <x:row r="2595" ht="23" customHeight="1">
      <x:c r="A2595" s="2" t="str">
        <x:v>Q99LF4</x:v>
      </x:c>
      <x:c r="B2595" s="2" t="str">
        <x:v>NED</x:v>
      </x:c>
      <x:c r="C2595" s="2" t="n">
        <x:v>1</x:v>
      </x:c>
      <x:c r="D2595" s="2" t="n">
        <x:v>1</x:v>
      </x:c>
      <x:c r="E2595" s="10" t="n">
        <x:v>95.19972277227724</x:v>
      </x:c>
      <x:c r="F2595" s="11" t="n">
        <x:v>505</x:v>
      </x:c>
      <x:c r="G2595" s="11" t="n">
        <x:v>0</x:v>
      </x:c>
      <x:c r="H2595" s="11" t="n">
        <x:v>0</x:v>
      </x:c>
      <x:c r="I2595" s="11" t="n">
        <x:v>0</x:v>
      </x:c>
      <x:c r="J2595" s="11" t="n">
        <x:v>0</x:v>
      </x:c>
      <x:c r="K2595" s="11" t="n">
        <x:v>1</x:v>
      </x:c>
      <x:c r="L2595" s="11" t="n">
        <x:f>IF(B2595="NED",1,IF(OR(B2595="ED",B2595="UN"),0,""))</x:f>
        <x:v>1</x:v>
      </x:c>
      <x:c r="M2595" s="11" t="n">
        <x:f>IF(AND(K2595=1,OR(B2595="ED",B2595="NED")),1,0)</x:f>
        <x:v>1</x:v>
      </x:c>
      <x:c r="N2595" s="11" t="n">
        <x:f>IF(K2595=1,1,0)</x:f>
        <x:v>1</x:v>
      </x:c>
      <x:c r="O2595" s="12"/>
      <x:c r="P2595" s="11" t="n">
        <x:v>0</x:v>
      </x:c>
      <x:c r="Q2595" s="12" t="str">
        <x:v>AF-Q99LF4-F1-model_v6</x:v>
      </x:c>
      <x:c r="R2595" s="12" t="str">
        <x:v>ok</x:v>
      </x:c>
      <x:c r="S2595" s="11" t="n">
        <x:v>2081</x:v>
      </x:c>
      <x:c r="T2595" s="11" t="n">
        <x:v>505</x:v>
      </x:c>
    </x:row>
    <x:row r="2596" ht="23" customHeight="1">
      <x:c r="A2596" s="2" t="str">
        <x:v>Q99LF7</x:v>
      </x:c>
      <x:c r="B2596" s="2" t="str">
        <x:v>ED</x:v>
      </x:c>
      <x:c r="C2596" s="2" t="n">
        <x:v>1</x:v>
      </x:c>
      <x:c r="D2596" s="2" t="n">
        <x:v>1</x:v>
      </x:c>
      <x:c r="E2596" s="10" t="n">
        <x:v>75.21371868978805</x:v>
      </x:c>
      <x:c r="F2596" s="11" t="n">
        <x:v>519</x:v>
      </x:c>
      <x:c r="G2596" s="11" t="n">
        <x:v>0</x:v>
      </x:c>
      <x:c r="H2596" s="11" t="n">
        <x:v>0</x:v>
      </x:c>
      <x:c r="I2596" s="11" t="n">
        <x:v>0</x:v>
      </x:c>
      <x:c r="J2596" s="11" t="n">
        <x:v>0</x:v>
      </x:c>
      <x:c r="K2596" s="11" t="n">
        <x:v>1</x:v>
      </x:c>
      <x:c r="L2596" s="11" t="n">
        <x:f>IF(B2596="NED",1,IF(OR(B2596="ED",B2596="UN"),0,""))</x:f>
        <x:v>0</x:v>
      </x:c>
      <x:c r="M2596" s="11" t="n">
        <x:f>IF(AND(K2596=1,OR(B2596="ED",B2596="NED")),1,0)</x:f>
        <x:v>1</x:v>
      </x:c>
      <x:c r="N2596" s="11" t="n">
        <x:f>IF(K2596=1,1,0)</x:f>
        <x:v>1</x:v>
      </x:c>
      <x:c r="O2596" s="12"/>
      <x:c r="P2596" s="11" t="n">
        <x:v>0</x:v>
      </x:c>
      <x:c r="Q2596" s="12" t="str">
        <x:v>AF-Q99LF7-F1-model_v6</x:v>
      </x:c>
      <x:c r="R2596" s="12" t="str">
        <x:v>ok</x:v>
      </x:c>
      <x:c r="S2596" s="11" t="n">
        <x:v>3257</x:v>
      </x:c>
      <x:c r="T2596" s="11" t="n">
        <x:v>519</x:v>
      </x:c>
    </x:row>
    <x:row r="2597" ht="23" customHeight="1">
      <x:c r="A2597" s="2" t="str">
        <x:v>Q99LG0</x:v>
      </x:c>
      <x:c r="B2597" s="2" t="str">
        <x:v>UN</x:v>
      </x:c>
      <x:c r="C2597" s="2" t="n">
        <x:v>1</x:v>
      </x:c>
      <x:c r="D2597" s="2" t="n">
        <x:v>1</x:v>
      </x:c>
      <x:c r="E2597" s="10" t="n">
        <x:v>65.83026666666667</x:v>
      </x:c>
      <x:c r="F2597" s="11" t="n">
        <x:v>825</x:v>
      </x:c>
      <x:c r="G2597" s="11" t="n">
        <x:v>0</x:v>
      </x:c>
      <x:c r="H2597" s="11" t="n">
        <x:v>0</x:v>
      </x:c>
      <x:c r="I2597" s="11" t="n">
        <x:v>0</x:v>
      </x:c>
      <x:c r="J2597" s="11" t="n">
        <x:v>0</x:v>
      </x:c>
      <x:c r="K2597" s="11" t="n">
        <x:v>0</x:v>
      </x:c>
      <x:c r="L2597" s="11" t="n">
        <x:f>IF(B2597="NED",1,IF(OR(B2597="ED",B2597="UN"),0,""))</x:f>
        <x:v>0</x:v>
      </x:c>
      <x:c r="M2597" s="11" t="n">
        <x:f>IF(AND(K2597=1,OR(B2597="ED",B2597="NED")),1,0)</x:f>
        <x:v>0</x:v>
      </x:c>
      <x:c r="N2597" s="11" t="n">
        <x:f>IF(K2597=1,1,0)</x:f>
        <x:v>0</x:v>
      </x:c>
      <x:c r="O2597" s="12" t="str">
        <x:v>Retain protein mean pLDDT &gt;=70</x:v>
      </x:c>
      <x:c r="P2597" s="11" t="n">
        <x:v>0</x:v>
      </x:c>
      <x:c r="Q2597" s="12" t="str">
        <x:v>AF-Q99LG0-F1-model_v6</x:v>
      </x:c>
      <x:c r="R2597" s="12" t="str">
        <x:v>ok</x:v>
      </x:c>
      <x:c r="S2597" s="11" t="n">
        <x:v>2082</x:v>
      </x:c>
      <x:c r="T2597" s="11" t="n">
        <x:v>825</x:v>
      </x:c>
    </x:row>
    <x:row r="2598" ht="23" customHeight="1">
      <x:c r="A2598" s="2" t="str">
        <x:v>Q99LG2</x:v>
      </x:c>
      <x:c r="B2598" s="2" t="str">
        <x:v>ED</x:v>
      </x:c>
      <x:c r="C2598" s="2" t="n">
        <x:v>1</x:v>
      </x:c>
      <x:c r="D2598" s="2" t="n">
        <x:v>1</x:v>
      </x:c>
      <x:c r="E2598" s="10" t="n">
        <x:v>93.40235625704622</x:v>
      </x:c>
      <x:c r="F2598" s="11" t="n">
        <x:v>887</x:v>
      </x:c>
      <x:c r="G2598" s="11" t="n">
        <x:v>0</x:v>
      </x:c>
      <x:c r="H2598" s="11" t="n">
        <x:v>0</x:v>
      </x:c>
      <x:c r="I2598" s="11" t="n">
        <x:v>0</x:v>
      </x:c>
      <x:c r="J2598" s="11" t="n">
        <x:v>0</x:v>
      </x:c>
      <x:c r="K2598" s="11" t="n">
        <x:v>1</x:v>
      </x:c>
      <x:c r="L2598" s="11" t="n">
        <x:f>IF(B2598="NED",1,IF(OR(B2598="ED",B2598="UN"),0,""))</x:f>
        <x:v>0</x:v>
      </x:c>
      <x:c r="M2598" s="11" t="n">
        <x:f>IF(AND(K2598=1,OR(B2598="ED",B2598="NED")),1,0)</x:f>
        <x:v>1</x:v>
      </x:c>
      <x:c r="N2598" s="11" t="n">
        <x:f>IF(K2598=1,1,0)</x:f>
        <x:v>1</x:v>
      </x:c>
      <x:c r="O2598" s="12"/>
      <x:c r="P2598" s="11" t="n">
        <x:v>0</x:v>
      </x:c>
      <x:c r="Q2598" s="12" t="str">
        <x:v>AF-Q99LG2-F1-model_v6</x:v>
      </x:c>
      <x:c r="R2598" s="12" t="str">
        <x:v>ok</x:v>
      </x:c>
      <x:c r="S2598" s="11" t="n">
        <x:v>2083</x:v>
      </x:c>
      <x:c r="T2598" s="11" t="n">
        <x:v>887</x:v>
      </x:c>
    </x:row>
    <x:row r="2599" ht="23" customHeight="1">
      <x:c r="A2599" s="2" t="str">
        <x:v>Q99LH1</x:v>
      </x:c>
      <x:c r="B2599" s="2" t="str">
        <x:v>NED</x:v>
      </x:c>
      <x:c r="C2599" s="2" t="n">
        <x:v>1</x:v>
      </x:c>
      <x:c r="D2599" s="2" t="n">
        <x:v>1</x:v>
      </x:c>
      <x:c r="E2599" s="10" t="n">
        <x:v>73.31247252747254</x:v>
      </x:c>
      <x:c r="F2599" s="11" t="n">
        <x:v>728</x:v>
      </x:c>
      <x:c r="G2599" s="11" t="n">
        <x:v>0</x:v>
      </x:c>
      <x:c r="H2599" s="11" t="n">
        <x:v>0</x:v>
      </x:c>
      <x:c r="I2599" s="11" t="n">
        <x:v>0</x:v>
      </x:c>
      <x:c r="J2599" s="11" t="n">
        <x:v>0</x:v>
      </x:c>
      <x:c r="K2599" s="11" t="n">
        <x:v>1</x:v>
      </x:c>
      <x:c r="L2599" s="11" t="n">
        <x:f>IF(B2599="NED",1,IF(OR(B2599="ED",B2599="UN"),0,""))</x:f>
        <x:v>1</x:v>
      </x:c>
      <x:c r="M2599" s="11" t="n">
        <x:f>IF(AND(K2599=1,OR(B2599="ED",B2599="NED")),1,0)</x:f>
        <x:v>1</x:v>
      </x:c>
      <x:c r="N2599" s="11" t="n">
        <x:f>IF(K2599=1,1,0)</x:f>
        <x:v>1</x:v>
      </x:c>
      <x:c r="O2599" s="12"/>
      <x:c r="P2599" s="11" t="n">
        <x:v>0</x:v>
      </x:c>
      <x:c r="Q2599" s="12" t="str">
        <x:v>AF-Q99LH1-F1-model_v6</x:v>
      </x:c>
      <x:c r="R2599" s="12" t="str">
        <x:v>ok</x:v>
      </x:c>
      <x:c r="S2599" s="11" t="n">
        <x:v>2084</x:v>
      </x:c>
      <x:c r="T2599" s="11" t="n">
        <x:v>728</x:v>
      </x:c>
    </x:row>
    <x:row r="2600" ht="23" customHeight="1">
      <x:c r="A2600" s="2" t="str">
        <x:v>Q99LI7</x:v>
      </x:c>
      <x:c r="B2600" s="2" t="str">
        <x:v>UN</x:v>
      </x:c>
      <x:c r="C2600" s="2" t="n">
        <x:v>0</x:v>
      </x:c>
      <x:c r="D2600" s="2" t="n">
        <x:v>0</x:v>
      </x:c>
      <x:c r="E2600" s="10" t="n">
        <x:v>85.46411436541143</x:v>
      </x:c>
      <x:c r="F2600" s="11" t="n">
        <x:v>717</x:v>
      </x:c>
      <x:c r="G2600" s="11" t="n">
        <x:v>0</x:v>
      </x:c>
      <x:c r="H2600" s="11" t="n">
        <x:v>0</x:v>
      </x:c>
      <x:c r="I2600" s="11" t="n">
        <x:v>0</x:v>
      </x:c>
      <x:c r="J2600" s="11" t="n">
        <x:v>0</x:v>
      </x:c>
      <x:c r="K2600" s="11" t="n">
        <x:v>1</x:v>
      </x:c>
      <x:c r="L2600" s="11" t="n">
        <x:f>IF(B2600="NED",1,IF(OR(B2600="ED",B2600="UN"),0,""))</x:f>
        <x:v>0</x:v>
      </x:c>
      <x:c r="M2600" s="11" t="n">
        <x:f>IF(AND(K2600=1,OR(B2600="ED",B2600="NED")),1,0)</x:f>
        <x:v>0</x:v>
      </x:c>
      <x:c r="N2600" s="11" t="n">
        <x:f>IF(K2600=1,1,0)</x:f>
        <x:v>1</x:v>
      </x:c>
      <x:c r="O2600" s="12"/>
      <x:c r="P2600" s="11" t="n">
        <x:v>0</x:v>
      </x:c>
      <x:c r="Q2600" s="12" t="str">
        <x:v>AF-Q99LI7-F1-model_v6</x:v>
      </x:c>
      <x:c r="R2600" s="12" t="str">
        <x:v>ok</x:v>
      </x:c>
      <x:c r="S2600" s="11" t="n">
        <x:v>2085</x:v>
      </x:c>
      <x:c r="T2600" s="11" t="n">
        <x:v>717</x:v>
      </x:c>
    </x:row>
    <x:row r="2601" ht="23" customHeight="1">
      <x:c r="A2601" s="2" t="str">
        <x:v>Q99LJ0</x:v>
      </x:c>
      <x:c r="B2601" s="2" t="str">
        <x:v>ED</x:v>
      </x:c>
      <x:c r="C2601" s="2" t="n">
        <x:v>0</x:v>
      </x:c>
      <x:c r="D2601" s="2" t="n">
        <x:v>0</x:v>
      </x:c>
      <x:c r="E2601" s="10" t="n">
        <x:v>65.84288401253919</x:v>
      </x:c>
      <x:c r="F2601" s="11" t="n">
        <x:v>638</x:v>
      </x:c>
      <x:c r="G2601" s="11" t="n">
        <x:v>0</x:v>
      </x:c>
      <x:c r="H2601" s="11" t="n">
        <x:v>0</x:v>
      </x:c>
      <x:c r="I2601" s="11" t="n">
        <x:v>0</x:v>
      </x:c>
      <x:c r="J2601" s="11" t="n">
        <x:v>0</x:v>
      </x:c>
      <x:c r="K2601" s="11" t="n">
        <x:v>0</x:v>
      </x:c>
      <x:c r="L2601" s="11" t="n">
        <x:f>IF(B2601="NED",1,IF(OR(B2601="ED",B2601="UN"),0,""))</x:f>
        <x:v>0</x:v>
      </x:c>
      <x:c r="M2601" s="11" t="n">
        <x:f>IF(AND(K2601=1,OR(B2601="ED",B2601="NED")),1,0)</x:f>
        <x:v>0</x:v>
      </x:c>
      <x:c r="N2601" s="11" t="n">
        <x:f>IF(K2601=1,1,0)</x:f>
        <x:v>0</x:v>
      </x:c>
      <x:c r="O2601" s="12" t="str">
        <x:v>Retain protein mean pLDDT &gt;=70</x:v>
      </x:c>
      <x:c r="P2601" s="11" t="n">
        <x:v>0</x:v>
      </x:c>
      <x:c r="Q2601" s="12" t="str">
        <x:v>AF-Q99LJ0-F1-model_v6</x:v>
      </x:c>
      <x:c r="R2601" s="12" t="str">
        <x:v>ok</x:v>
      </x:c>
      <x:c r="S2601" s="11" t="n">
        <x:v>2086</x:v>
      </x:c>
      <x:c r="T2601" s="11" t="n">
        <x:v>638</x:v>
      </x:c>
    </x:row>
    <x:row r="2602" ht="23" customHeight="1">
      <x:c r="A2602" s="2" t="str">
        <x:v>Q99LL5</x:v>
      </x:c>
      <x:c r="B2602" s="2" t="str">
        <x:v>UN</x:v>
      </x:c>
      <x:c r="C2602" s="2" t="n">
        <x:v>1</x:v>
      </x:c>
      <x:c r="D2602" s="2" t="n">
        <x:v>1</x:v>
      </x:c>
      <x:c r="E2602" s="10" t="n">
        <x:v>81.17882235528941</x:v>
      </x:c>
      <x:c r="F2602" s="11" t="n">
        <x:v>501</x:v>
      </x:c>
      <x:c r="G2602" s="11" t="n">
        <x:v>0</x:v>
      </x:c>
      <x:c r="H2602" s="11" t="n">
        <x:v>0</x:v>
      </x:c>
      <x:c r="I2602" s="11" t="n">
        <x:v>0</x:v>
      </x:c>
      <x:c r="J2602" s="11" t="n">
        <x:v>0</x:v>
      </x:c>
      <x:c r="K2602" s="11" t="n">
        <x:v>1</x:v>
      </x:c>
      <x:c r="L2602" s="11" t="n">
        <x:f>IF(B2602="NED",1,IF(OR(B2602="ED",B2602="UN"),0,""))</x:f>
        <x:v>0</x:v>
      </x:c>
      <x:c r="M2602" s="11" t="n">
        <x:f>IF(AND(K2602=1,OR(B2602="ED",B2602="NED")),1,0)</x:f>
        <x:v>0</x:v>
      </x:c>
      <x:c r="N2602" s="11" t="n">
        <x:f>IF(K2602=1,1,0)</x:f>
        <x:v>1</x:v>
      </x:c>
      <x:c r="O2602" s="12"/>
      <x:c r="P2602" s="11" t="n">
        <x:v>0</x:v>
      </x:c>
      <x:c r="Q2602" s="12" t="str">
        <x:v>AF-Q99LL5-F1-model_v6</x:v>
      </x:c>
      <x:c r="R2602" s="12" t="str">
        <x:v>ok</x:v>
      </x:c>
      <x:c r="S2602" s="11" t="n">
        <x:v>2087</x:v>
      </x:c>
      <x:c r="T2602" s="11" t="n">
        <x:v>501</x:v>
      </x:c>
    </x:row>
    <x:row r="2603" ht="23" customHeight="1">
      <x:c r="A2603" s="2" t="str">
        <x:v>Q99LN9</x:v>
      </x:c>
      <x:c r="B2603" s="2" t="str">
        <x:v>UN</x:v>
      </x:c>
      <x:c r="C2603" s="2" t="n">
        <x:v>0</x:v>
      </x:c>
      <x:c r="D2603" s="2" t="n">
        <x:v>0</x:v>
      </x:c>
      <x:c r="E2603" s="10" t="n">
        <x:v>95.95970198675498</x:v>
      </x:c>
      <x:c r="F2603" s="11" t="n">
        <x:v>302</x:v>
      </x:c>
      <x:c r="G2603" s="11" t="n">
        <x:v>0</x:v>
      </x:c>
      <x:c r="H2603" s="11" t="n">
        <x:v>0</x:v>
      </x:c>
      <x:c r="I2603" s="11" t="n">
        <x:v>0</x:v>
      </x:c>
      <x:c r="J2603" s="11" t="n">
        <x:v>0</x:v>
      </x:c>
      <x:c r="K2603" s="11" t="n">
        <x:v>1</x:v>
      </x:c>
      <x:c r="L2603" s="11" t="n">
        <x:f>IF(B2603="NED",1,IF(OR(B2603="ED",B2603="UN"),0,""))</x:f>
        <x:v>0</x:v>
      </x:c>
      <x:c r="M2603" s="11" t="n">
        <x:f>IF(AND(K2603=1,OR(B2603="ED",B2603="NED")),1,0)</x:f>
        <x:v>0</x:v>
      </x:c>
      <x:c r="N2603" s="11" t="n">
        <x:f>IF(K2603=1,1,0)</x:f>
        <x:v>1</x:v>
      </x:c>
      <x:c r="O2603" s="12"/>
      <x:c r="P2603" s="11" t="n">
        <x:v>0</x:v>
      </x:c>
      <x:c r="Q2603" s="12" t="str">
        <x:v>AF-Q99LN9-F1-model_v6</x:v>
      </x:c>
      <x:c r="R2603" s="12" t="str">
        <x:v>ok</x:v>
      </x:c>
      <x:c r="S2603" s="11" t="n">
        <x:v>2088</x:v>
      </x:c>
      <x:c r="T2603" s="11" t="n">
        <x:v>302</x:v>
      </x:c>
    </x:row>
    <x:row r="2604" ht="23" customHeight="1">
      <x:c r="A2604" s="2" t="str">
        <x:v>Q99LP6</x:v>
      </x:c>
      <x:c r="B2604" s="2" t="str">
        <x:v>ED</x:v>
      </x:c>
      <x:c r="C2604" s="2" t="n">
        <x:v>0</x:v>
      </x:c>
      <x:c r="D2604" s="2" t="n">
        <x:v>0</x:v>
      </x:c>
      <x:c r="E2604" s="10" t="n">
        <x:v>80.25645161290323</x:v>
      </x:c>
      <x:c r="F2604" s="11" t="n">
        <x:v>217</x:v>
      </x:c>
      <x:c r="G2604" s="11" t="n">
        <x:v>0</x:v>
      </x:c>
      <x:c r="H2604" s="11" t="n">
        <x:v>0</x:v>
      </x:c>
      <x:c r="I2604" s="11" t="n">
        <x:v>0</x:v>
      </x:c>
      <x:c r="J2604" s="11" t="n">
        <x:v>0</x:v>
      </x:c>
      <x:c r="K2604" s="11" t="n">
        <x:v>1</x:v>
      </x:c>
      <x:c r="L2604" s="11" t="n">
        <x:f>IF(B2604="NED",1,IF(OR(B2604="ED",B2604="UN"),0,""))</x:f>
        <x:v>0</x:v>
      </x:c>
      <x:c r="M2604" s="11" t="n">
        <x:f>IF(AND(K2604=1,OR(B2604="ED",B2604="NED")),1,0)</x:f>
        <x:v>1</x:v>
      </x:c>
      <x:c r="N2604" s="11" t="n">
        <x:f>IF(K2604=1,1,0)</x:f>
        <x:v>1</x:v>
      </x:c>
      <x:c r="O2604" s="12"/>
      <x:c r="P2604" s="11" t="n">
        <x:v>0</x:v>
      </x:c>
      <x:c r="Q2604" s="12" t="str">
        <x:v>AF-Q99LP6-F1-model_v6</x:v>
      </x:c>
      <x:c r="R2604" s="12" t="str">
        <x:v>ok</x:v>
      </x:c>
      <x:c r="S2604" s="11" t="n">
        <x:v>2089</x:v>
      </x:c>
      <x:c r="T2604" s="11" t="n">
        <x:v>217</x:v>
      </x:c>
    </x:row>
    <x:row r="2605" ht="23" customHeight="1">
      <x:c r="A2605" s="2" t="str">
        <x:v>Q99LR1</x:v>
      </x:c>
      <x:c r="B2605" s="2" t="str">
        <x:v>UN</x:v>
      </x:c>
      <x:c r="C2605" s="2" t="n">
        <x:v>1</x:v>
      </x:c>
      <x:c r="D2605" s="2" t="n">
        <x:v>1</x:v>
      </x:c>
      <x:c r="E2605" s="10"/>
      <x:c r="F2605" s="11" t="n">
        <x:v>398</x:v>
      </x:c>
      <x:c r="G2605" s="11" t="n">
        <x:v>0</x:v>
      </x:c>
      <x:c r="H2605" s="11" t="n">
        <x:v>0</x:v>
      </x:c>
      <x:c r="I2605" s="11" t="n">
        <x:v>1</x:v>
      </x:c>
      <x:c r="J2605" s="11" t="n">
        <x:v>0</x:v>
      </x:c>
      <x:c r="K2605" s="11" t="n">
        <x:v>0</x:v>
      </x:c>
      <x:c r="L2605" s="11" t="n">
        <x:f>IF(B2605="NED",1,IF(OR(B2605="ED",B2605="UN"),0,""))</x:f>
        <x:v>0</x:v>
      </x:c>
      <x:c r="M2605" s="11" t="n">
        <x:f>IF(AND(K2605=1,OR(B2605="ED",B2605="NED")),1,0)</x:f>
        <x:v>0</x:v>
      </x:c>
      <x:c r="N2605" s="11" t="n">
        <x:f>IF(K2605=1,1,0)</x:f>
        <x:v>0</x:v>
      </x:c>
      <x:c r="O2605" s="12" t="str">
        <x:v>Exclude UniProt Membrane keyword</x:v>
      </x:c>
      <x:c r="P2605" s="11" t="n">
        <x:v>0</x:v>
      </x:c>
      <x:c r="Q2605" s="12" t="str">
        <x:v>AF-Q99LR1-F1-model_v6</x:v>
      </x:c>
      <x:c r="R2605" s="12" t="str">
        <x:v>ok</x:v>
      </x:c>
      <x:c r="S2605" s="11" t="n">
        <x:v>2090</x:v>
      </x:c>
      <x:c r="T2605" s="11" t="n">
        <x:v>398</x:v>
      </x:c>
    </x:row>
    <x:row r="2606" ht="23" customHeight="1">
      <x:c r="A2606" s="2" t="str">
        <x:v>Q99LS3</x:v>
      </x:c>
      <x:c r="B2606" s="2" t="str">
        <x:v>ED</x:v>
      </x:c>
      <x:c r="C2606" s="2" t="n">
        <x:v>1</x:v>
      </x:c>
      <x:c r="D2606" s="2" t="n">
        <x:v>1</x:v>
      </x:c>
      <x:c r="E2606" s="10" t="n">
        <x:v>93.34328888888888</x:v>
      </x:c>
      <x:c r="F2606" s="11" t="n">
        <x:v>225</x:v>
      </x:c>
      <x:c r="G2606" s="11" t="n">
        <x:v>0</x:v>
      </x:c>
      <x:c r="H2606" s="11" t="n">
        <x:v>0</x:v>
      </x:c>
      <x:c r="I2606" s="11" t="n">
        <x:v>0</x:v>
      </x:c>
      <x:c r="J2606" s="11" t="n">
        <x:v>0</x:v>
      </x:c>
      <x:c r="K2606" s="11" t="n">
        <x:v>1</x:v>
      </x:c>
      <x:c r="L2606" s="11" t="n">
        <x:f>IF(B2606="NED",1,IF(OR(B2606="ED",B2606="UN"),0,""))</x:f>
        <x:v>0</x:v>
      </x:c>
      <x:c r="M2606" s="11" t="n">
        <x:f>IF(AND(K2606=1,OR(B2606="ED",B2606="NED")),1,0)</x:f>
        <x:v>1</x:v>
      </x:c>
      <x:c r="N2606" s="11" t="n">
        <x:f>IF(K2606=1,1,0)</x:f>
        <x:v>1</x:v>
      </x:c>
      <x:c r="O2606" s="12"/>
      <x:c r="P2606" s="11" t="n">
        <x:v>0</x:v>
      </x:c>
      <x:c r="Q2606" s="12" t="str">
        <x:v>AF-Q99LS3-F1-model_v6</x:v>
      </x:c>
      <x:c r="R2606" s="12" t="str">
        <x:v>ok</x:v>
      </x:c>
      <x:c r="S2606" s="11" t="n">
        <x:v>2091</x:v>
      </x:c>
      <x:c r="T2606" s="11" t="n">
        <x:v>225</x:v>
      </x:c>
    </x:row>
    <x:row r="2607" ht="23" customHeight="1">
      <x:c r="A2607" s="2" t="str">
        <x:v>Q99LT0</x:v>
      </x:c>
      <x:c r="B2607" s="2" t="str">
        <x:v>ED</x:v>
      </x:c>
      <x:c r="C2607" s="2" t="n">
        <x:v>0</x:v>
      </x:c>
      <x:c r="D2607" s="2" t="n">
        <x:v>0</x:v>
      </x:c>
      <x:c r="E2607" s="10" t="n">
        <x:v>77.24686868686868</x:v>
      </x:c>
      <x:c r="F2607" s="11" t="n">
        <x:v>99</x:v>
      </x:c>
      <x:c r="G2607" s="11" t="n">
        <x:v>0</x:v>
      </x:c>
      <x:c r="H2607" s="11" t="n">
        <x:v>0</x:v>
      </x:c>
      <x:c r="I2607" s="11" t="n">
        <x:v>0</x:v>
      </x:c>
      <x:c r="J2607" s="11" t="n">
        <x:v>0</x:v>
      </x:c>
      <x:c r="K2607" s="11" t="n">
        <x:v>1</x:v>
      </x:c>
      <x:c r="L2607" s="11" t="n">
        <x:f>IF(B2607="NED",1,IF(OR(B2607="ED",B2607="UN"),0,""))</x:f>
        <x:v>0</x:v>
      </x:c>
      <x:c r="M2607" s="11" t="n">
        <x:f>IF(AND(K2607=1,OR(B2607="ED",B2607="NED")),1,0)</x:f>
        <x:v>1</x:v>
      </x:c>
      <x:c r="N2607" s="11" t="n">
        <x:f>IF(K2607=1,1,0)</x:f>
        <x:v>1</x:v>
      </x:c>
      <x:c r="O2607" s="12"/>
      <x:c r="P2607" s="11" t="n">
        <x:v>0</x:v>
      </x:c>
      <x:c r="Q2607" s="12" t="str">
        <x:v>AF-Q99LT0-F1-model_v6</x:v>
      </x:c>
      <x:c r="R2607" s="12" t="str">
        <x:v>ok</x:v>
      </x:c>
      <x:c r="S2607" s="11" t="n">
        <x:v>2092</x:v>
      </x:c>
      <x:c r="T2607" s="11" t="n">
        <x:v>99</x:v>
      </x:c>
    </x:row>
    <x:row r="2608" ht="23" customHeight="1">
      <x:c r="A2608" s="2" t="str">
        <x:v>Q99LX0</x:v>
      </x:c>
      <x:c r="B2608" s="2" t="str">
        <x:v>ED</x:v>
      </x:c>
      <x:c r="C2608" s="2" t="n">
        <x:v>1</x:v>
      </x:c>
      <x:c r="D2608" s="2" t="n">
        <x:v>1</x:v>
      </x:c>
      <x:c r="E2608" s="10"/>
      <x:c r="F2608" s="11" t="n">
        <x:v>189</x:v>
      </x:c>
      <x:c r="G2608" s="11" t="n">
        <x:v>0</x:v>
      </x:c>
      <x:c r="H2608" s="11" t="n">
        <x:v>0</x:v>
      </x:c>
      <x:c r="I2608" s="11" t="n">
        <x:v>1</x:v>
      </x:c>
      <x:c r="J2608" s="11" t="n">
        <x:v>0</x:v>
      </x:c>
      <x:c r="K2608" s="11" t="n">
        <x:v>0</x:v>
      </x:c>
      <x:c r="L2608" s="11" t="n">
        <x:f>IF(B2608="NED",1,IF(OR(B2608="ED",B2608="UN"),0,""))</x:f>
        <x:v>0</x:v>
      </x:c>
      <x:c r="M2608" s="11" t="n">
        <x:f>IF(AND(K2608=1,OR(B2608="ED",B2608="NED")),1,0)</x:f>
        <x:v>0</x:v>
      </x:c>
      <x:c r="N2608" s="11" t="n">
        <x:f>IF(K2608=1,1,0)</x:f>
        <x:v>0</x:v>
      </x:c>
      <x:c r="O2608" s="12" t="str">
        <x:v>Exclude UniProt Membrane keyword</x:v>
      </x:c>
      <x:c r="P2608" s="11" t="n">
        <x:v>0</x:v>
      </x:c>
      <x:c r="Q2608" s="12" t="str">
        <x:v>AF-Q99LX0-F1-model_v6</x:v>
      </x:c>
      <x:c r="R2608" s="12" t="str">
        <x:v>ok</x:v>
      </x:c>
      <x:c r="S2608" s="11" t="n">
        <x:v>2093</x:v>
      </x:c>
      <x:c r="T2608" s="11" t="n">
        <x:v>189</x:v>
      </x:c>
    </x:row>
    <x:row r="2609" ht="23" customHeight="1">
      <x:c r="A2609" s="2" t="str">
        <x:v>Q99M28-2</x:v>
      </x:c>
      <x:c r="B2609" s="2" t="str">
        <x:v>UN</x:v>
      </x:c>
      <x:c r="C2609" s="2"/>
      <x:c r="D2609" s="2"/>
      <x:c r="E2609" s="10"/>
      <x:c r="F2609" s="11"/>
      <x:c r="G2609" s="11" t="n">
        <x:v>0</x:v>
      </x:c>
      <x:c r="H2609" s="11" t="n">
        <x:v>0</x:v>
      </x:c>
      <x:c r="I2609" s="11"/>
      <x:c r="J2609" s="11"/>
      <x:c r="K2609" s="11" t="n">
        <x:v>0</x:v>
      </x:c>
      <x:c r="L2609" s="11" t="n">
        <x:f>IF(B2609="NED",1,IF(OR(B2609="ED",B2609="UN"),0,""))</x:f>
        <x:v>0</x:v>
      </x:c>
      <x:c r="M2609" s="11" t="n">
        <x:f>IF(AND(K2609=1,OR(B2609="ED",B2609="NED")),1,0)</x:f>
        <x:v>0</x:v>
      </x:c>
      <x:c r="N2609" s="11" t="n">
        <x:f>IF(K2609=1,1,0)</x:f>
        <x:v>0</x:v>
      </x:c>
      <x:c r="O2609" s="12" t="str">
        <x:v>Require exact native accession match</x:v>
      </x:c>
      <x:c r="P2609" s="11" t="n">
        <x:v>0</x:v>
      </x:c>
      <x:c r="Q2609" s="12"/>
      <x:c r="R2609" s="12"/>
      <x:c r="S2609" s="11" t="n">
        <x:v>2094</x:v>
      </x:c>
      <x:c r="T2609" s="11"/>
    </x:row>
    <x:row r="2610" ht="23" customHeight="1">
      <x:c r="A2610" s="2" t="str">
        <x:v>Q99M31</x:v>
      </x:c>
      <x:c r="B2610" s="2" t="str">
        <x:v>ED</x:v>
      </x:c>
      <x:c r="C2610" s="2" t="n">
        <x:v>1</x:v>
      </x:c>
      <x:c r="D2610" s="2" t="n">
        <x:v>1</x:v>
      </x:c>
      <x:c r="E2610" s="10" t="n">
        <x:v>91.20978388998036</x:v>
      </x:c>
      <x:c r="F2610" s="11" t="n">
        <x:v>509</x:v>
      </x:c>
      <x:c r="G2610" s="11" t="n">
        <x:v>0</x:v>
      </x:c>
      <x:c r="H2610" s="11" t="n">
        <x:v>0</x:v>
      </x:c>
      <x:c r="I2610" s="11" t="n">
        <x:v>0</x:v>
      </x:c>
      <x:c r="J2610" s="11" t="n">
        <x:v>0</x:v>
      </x:c>
      <x:c r="K2610" s="11" t="n">
        <x:v>1</x:v>
      </x:c>
      <x:c r="L2610" s="11" t="n">
        <x:f>IF(B2610="NED",1,IF(OR(B2610="ED",B2610="UN"),0,""))</x:f>
        <x:v>0</x:v>
      </x:c>
      <x:c r="M2610" s="11" t="n">
        <x:f>IF(AND(K2610=1,OR(B2610="ED",B2610="NED")),1,0)</x:f>
        <x:v>1</x:v>
      </x:c>
      <x:c r="N2610" s="11" t="n">
        <x:f>IF(K2610=1,1,0)</x:f>
        <x:v>1</x:v>
      </x:c>
      <x:c r="O2610" s="12"/>
      <x:c r="P2610" s="11" t="n">
        <x:v>0</x:v>
      </x:c>
      <x:c r="Q2610" s="12" t="str">
        <x:v>AF-Q99M31-F1-model_v6</x:v>
      </x:c>
      <x:c r="R2610" s="12" t="str">
        <x:v>ok</x:v>
      </x:c>
      <x:c r="S2610" s="11" t="n">
        <x:v>2095</x:v>
      </x:c>
      <x:c r="T2610" s="11" t="n">
        <x:v>509</x:v>
      </x:c>
    </x:row>
    <x:row r="2611" ht="23" customHeight="1">
      <x:c r="A2611" s="2" t="str">
        <x:v>Q99M87-3</x:v>
      </x:c>
      <x:c r="B2611" s="2" t="str">
        <x:v>ED</x:v>
      </x:c>
      <x:c r="C2611" s="2"/>
      <x:c r="D2611" s="2"/>
      <x:c r="E2611" s="10"/>
      <x:c r="F2611" s="11"/>
      <x:c r="G2611" s="11" t="n">
        <x:v>0</x:v>
      </x:c>
      <x:c r="H2611" s="11" t="n">
        <x:v>0</x:v>
      </x:c>
      <x:c r="I2611" s="11"/>
      <x:c r="J2611" s="11"/>
      <x:c r="K2611" s="11" t="n">
        <x:v>0</x:v>
      </x:c>
      <x:c r="L2611" s="11" t="n">
        <x:f>IF(B2611="NED",1,IF(OR(B2611="ED",B2611="UN"),0,""))</x:f>
        <x:v>0</x:v>
      </x:c>
      <x:c r="M2611" s="11" t="n">
        <x:f>IF(AND(K2611=1,OR(B2611="ED",B2611="NED")),1,0)</x:f>
        <x:v>0</x:v>
      </x:c>
      <x:c r="N2611" s="11" t="n">
        <x:f>IF(K2611=1,1,0)</x:f>
        <x:v>0</x:v>
      </x:c>
      <x:c r="O2611" s="12" t="str">
        <x:v>Require exact native accession match</x:v>
      </x:c>
      <x:c r="P2611" s="11" t="n">
        <x:v>0</x:v>
      </x:c>
      <x:c r="Q2611" s="12"/>
      <x:c r="R2611" s="12"/>
      <x:c r="S2611" s="11" t="n">
        <x:v>2096</x:v>
      </x:c>
      <x:c r="T2611" s="11"/>
    </x:row>
    <x:row r="2612" ht="23" customHeight="1">
      <x:c r="A2612" s="2" t="str">
        <x:v>Q99M96-6</x:v>
      </x:c>
      <x:c r="B2612" s="2" t="str">
        <x:v>UN</x:v>
      </x:c>
      <x:c r="C2612" s="2"/>
      <x:c r="D2612" s="2"/>
      <x:c r="E2612" s="10"/>
      <x:c r="F2612" s="11"/>
      <x:c r="G2612" s="11" t="n">
        <x:v>0</x:v>
      </x:c>
      <x:c r="H2612" s="11" t="n">
        <x:v>0</x:v>
      </x:c>
      <x:c r="I2612" s="11"/>
      <x:c r="J2612" s="11"/>
      <x:c r="K2612" s="11" t="n">
        <x:v>0</x:v>
      </x:c>
      <x:c r="L2612" s="11" t="n">
        <x:f>IF(B2612="NED",1,IF(OR(B2612="ED",B2612="UN"),0,""))</x:f>
        <x:v>0</x:v>
      </x:c>
      <x:c r="M2612" s="11" t="n">
        <x:f>IF(AND(K2612=1,OR(B2612="ED",B2612="NED")),1,0)</x:f>
        <x:v>0</x:v>
      </x:c>
      <x:c r="N2612" s="11" t="n">
        <x:f>IF(K2612=1,1,0)</x:f>
        <x:v>0</x:v>
      </x:c>
      <x:c r="O2612" s="12" t="str">
        <x:v>Require exact native accession match</x:v>
      </x:c>
      <x:c r="P2612" s="11" t="n">
        <x:v>0</x:v>
      </x:c>
      <x:c r="Q2612" s="12"/>
      <x:c r="R2612" s="12"/>
      <x:c r="S2612" s="11" t="n">
        <x:v>2097</x:v>
      </x:c>
      <x:c r="T2612" s="11"/>
    </x:row>
    <x:row r="2613" ht="23" customHeight="1">
      <x:c r="A2613" s="2" t="str">
        <x:v>Q99ME2</x:v>
      </x:c>
      <x:c r="B2613" s="2" t="str">
        <x:v>ED</x:v>
      </x:c>
      <x:c r="C2613" s="2" t="n">
        <x:v>1</x:v>
      </x:c>
      <x:c r="D2613" s="2" t="n">
        <x:v>1</x:v>
      </x:c>
      <x:c r="E2613" s="10" t="n">
        <x:v>84.34184888888889</x:v>
      </x:c>
      <x:c r="F2613" s="11" t="n">
        <x:v>1125</x:v>
      </x:c>
      <x:c r="G2613" s="11" t="n">
        <x:v>0</x:v>
      </x:c>
      <x:c r="H2613" s="11" t="n">
        <x:v>0</x:v>
      </x:c>
      <x:c r="I2613" s="11" t="n">
        <x:v>0</x:v>
      </x:c>
      <x:c r="J2613" s="11" t="n">
        <x:v>0</x:v>
      </x:c>
      <x:c r="K2613" s="11" t="n">
        <x:v>1</x:v>
      </x:c>
      <x:c r="L2613" s="11" t="n">
        <x:f>IF(B2613="NED",1,IF(OR(B2613="ED",B2613="UN"),0,""))</x:f>
        <x:v>0</x:v>
      </x:c>
      <x:c r="M2613" s="11" t="n">
        <x:f>IF(AND(K2613=1,OR(B2613="ED",B2613="NED")),1,0)</x:f>
        <x:v>1</x:v>
      </x:c>
      <x:c r="N2613" s="11" t="n">
        <x:f>IF(K2613=1,1,0)</x:f>
        <x:v>1</x:v>
      </x:c>
      <x:c r="O2613" s="12"/>
      <x:c r="P2613" s="11" t="n">
        <x:v>0</x:v>
      </x:c>
      <x:c r="Q2613" s="12" t="str">
        <x:v>AF-Q99ME2-F1-model_v6</x:v>
      </x:c>
      <x:c r="R2613" s="12" t="str">
        <x:v>ok</x:v>
      </x:c>
      <x:c r="S2613" s="11" t="n">
        <x:v>2098</x:v>
      </x:c>
      <x:c r="T2613" s="11" t="n">
        <x:v>1125</x:v>
      </x:c>
    </x:row>
    <x:row r="2614" ht="23" customHeight="1">
      <x:c r="A2614" s="2" t="str">
        <x:v>Q99ME9</x:v>
      </x:c>
      <x:c r="B2614" s="2" t="str">
        <x:v>ED</x:v>
      </x:c>
      <x:c r="C2614" s="2" t="n">
        <x:v>1</x:v>
      </x:c>
      <x:c r="D2614" s="2" t="n">
        <x:v>1</x:v>
      </x:c>
      <x:c r="E2614" s="10" t="n">
        <x:v>87.12364353312303</x:v>
      </x:c>
      <x:c r="F2614" s="11" t="n">
        <x:v>634</x:v>
      </x:c>
      <x:c r="G2614" s="11" t="n">
        <x:v>0</x:v>
      </x:c>
      <x:c r="H2614" s="11" t="n">
        <x:v>0</x:v>
      </x:c>
      <x:c r="I2614" s="11" t="n">
        <x:v>0</x:v>
      </x:c>
      <x:c r="J2614" s="11" t="n">
        <x:v>0</x:v>
      </x:c>
      <x:c r="K2614" s="11" t="n">
        <x:v>1</x:v>
      </x:c>
      <x:c r="L2614" s="11" t="n">
        <x:f>IF(B2614="NED",1,IF(OR(B2614="ED",B2614="UN"),0,""))</x:f>
        <x:v>0</x:v>
      </x:c>
      <x:c r="M2614" s="11" t="n">
        <x:f>IF(AND(K2614=1,OR(B2614="ED",B2614="NED")),1,0)</x:f>
        <x:v>1</x:v>
      </x:c>
      <x:c r="N2614" s="11" t="n">
        <x:f>IF(K2614=1,1,0)</x:f>
        <x:v>1</x:v>
      </x:c>
      <x:c r="O2614" s="12"/>
      <x:c r="P2614" s="11" t="n">
        <x:v>0</x:v>
      </x:c>
      <x:c r="Q2614" s="12" t="str">
        <x:v>AF-Q99ME9-F1-model_v6</x:v>
      </x:c>
      <x:c r="R2614" s="12" t="str">
        <x:v>ok</x:v>
      </x:c>
      <x:c r="S2614" s="11" t="n">
        <x:v>2099</x:v>
      </x:c>
      <x:c r="T2614" s="11" t="n">
        <x:v>634</x:v>
      </x:c>
    </x:row>
    <x:row r="2615" ht="23" customHeight="1">
      <x:c r="A2615" s="2" t="str">
        <x:v>Q99MJ9</x:v>
      </x:c>
      <x:c r="B2615" s="2" t="str">
        <x:v>UN</x:v>
      </x:c>
      <x:c r="C2615" s="2" t="n">
        <x:v>1</x:v>
      </x:c>
      <x:c r="D2615" s="2" t="n">
        <x:v>1</x:v>
      </x:c>
      <x:c r="E2615" s="10" t="n">
        <x:v>73.54686648501362</x:v>
      </x:c>
      <x:c r="F2615" s="11" t="n">
        <x:v>734</x:v>
      </x:c>
      <x:c r="G2615" s="11" t="n">
        <x:v>0</x:v>
      </x:c>
      <x:c r="H2615" s="11" t="n">
        <x:v>0</x:v>
      </x:c>
      <x:c r="I2615" s="11" t="n">
        <x:v>0</x:v>
      </x:c>
      <x:c r="J2615" s="11" t="n">
        <x:v>0</x:v>
      </x:c>
      <x:c r="K2615" s="11" t="n">
        <x:v>1</x:v>
      </x:c>
      <x:c r="L2615" s="11" t="n">
        <x:f>IF(B2615="NED",1,IF(OR(B2615="ED",B2615="UN"),0,""))</x:f>
        <x:v>0</x:v>
      </x:c>
      <x:c r="M2615" s="11" t="n">
        <x:f>IF(AND(K2615=1,OR(B2615="ED",B2615="NED")),1,0)</x:f>
        <x:v>0</x:v>
      </x:c>
      <x:c r="N2615" s="11" t="n">
        <x:f>IF(K2615=1,1,0)</x:f>
        <x:v>1</x:v>
      </x:c>
      <x:c r="O2615" s="12"/>
      <x:c r="P2615" s="11" t="n">
        <x:v>0</x:v>
      </x:c>
      <x:c r="Q2615" s="12" t="str">
        <x:v>AF-Q99MJ9-F1-model_v6</x:v>
      </x:c>
      <x:c r="R2615" s="12" t="str">
        <x:v>ok</x:v>
      </x:c>
      <x:c r="S2615" s="11" t="n">
        <x:v>2100</x:v>
      </x:c>
      <x:c r="T2615" s="11" t="n">
        <x:v>734</x:v>
      </x:c>
    </x:row>
    <x:row r="2616" ht="23" customHeight="1">
      <x:c r="A2616" s="2" t="str">
        <x:v>Q99MK9</x:v>
      </x:c>
      <x:c r="B2616" s="2" t="str">
        <x:v>ED</x:v>
      </x:c>
      <x:c r="C2616" s="2" t="n">
        <x:v>1</x:v>
      </x:c>
      <x:c r="D2616" s="2" t="n">
        <x:v>1</x:v>
      </x:c>
      <x:c r="E2616" s="10" t="n">
        <x:v>71.58473529411765</x:v>
      </x:c>
      <x:c r="F2616" s="11" t="n">
        <x:v>340</x:v>
      </x:c>
      <x:c r="G2616" s="11" t="n">
        <x:v>0</x:v>
      </x:c>
      <x:c r="H2616" s="11" t="n">
        <x:v>0</x:v>
      </x:c>
      <x:c r="I2616" s="11" t="n">
        <x:v>0</x:v>
      </x:c>
      <x:c r="J2616" s="11" t="n">
        <x:v>0</x:v>
      </x:c>
      <x:c r="K2616" s="11" t="n">
        <x:v>1</x:v>
      </x:c>
      <x:c r="L2616" s="11" t="n">
        <x:f>IF(B2616="NED",1,IF(OR(B2616="ED",B2616="UN"),0,""))</x:f>
        <x:v>0</x:v>
      </x:c>
      <x:c r="M2616" s="11" t="n">
        <x:f>IF(AND(K2616=1,OR(B2616="ED",B2616="NED")),1,0)</x:f>
        <x:v>1</x:v>
      </x:c>
      <x:c r="N2616" s="11" t="n">
        <x:f>IF(K2616=1,1,0)</x:f>
        <x:v>1</x:v>
      </x:c>
      <x:c r="O2616" s="12"/>
      <x:c r="P2616" s="11" t="n">
        <x:v>0</x:v>
      </x:c>
      <x:c r="Q2616" s="12" t="str">
        <x:v>AF-Q99MK9-F1-model_v6</x:v>
      </x:c>
      <x:c r="R2616" s="12" t="str">
        <x:v>ok</x:v>
      </x:c>
      <x:c r="S2616" s="11" t="n">
        <x:v>2101</x:v>
      </x:c>
      <x:c r="T2616" s="11" t="n">
        <x:v>340</x:v>
      </x:c>
    </x:row>
    <x:row r="2617" ht="23" customHeight="1">
      <x:c r="A2617" s="2" t="str">
        <x:v>Q99MN1</x:v>
      </x:c>
      <x:c r="B2617" s="2" t="str">
        <x:v>ED</x:v>
      </x:c>
      <x:c r="C2617" s="2" t="n">
        <x:v>1</x:v>
      </x:c>
      <x:c r="D2617" s="2" t="n">
        <x:v>1</x:v>
      </x:c>
      <x:c r="E2617" s="10"/>
      <x:c r="F2617" s="11" t="n">
        <x:v>595</x:v>
      </x:c>
      <x:c r="G2617" s="11" t="n">
        <x:v>0</x:v>
      </x:c>
      <x:c r="H2617" s="11" t="n">
        <x:v>0</x:v>
      </x:c>
      <x:c r="I2617" s="11" t="n">
        <x:v>1</x:v>
      </x:c>
      <x:c r="J2617" s="11" t="n">
        <x:v>1</x:v>
      </x:c>
      <x:c r="K2617" s="11" t="n">
        <x:v>0</x:v>
      </x:c>
      <x:c r="L2617" s="11" t="n">
        <x:f>IF(B2617="NED",1,IF(OR(B2617="ED",B2617="UN"),0,""))</x:f>
        <x:v>0</x:v>
      </x:c>
      <x:c r="M2617" s="11" t="n">
        <x:f>IF(AND(K2617=1,OR(B2617="ED",B2617="NED")),1,0)</x:f>
        <x:v>0</x:v>
      </x:c>
      <x:c r="N2617" s="11" t="n">
        <x:f>IF(K2617=1,1,0)</x:f>
        <x:v>0</x:v>
      </x:c>
      <x:c r="O2617" s="12" t="str">
        <x:v>Exclude UniProt Membrane keyword</x:v>
      </x:c>
      <x:c r="P2617" s="11" t="n">
        <x:v>0</x:v>
      </x:c>
      <x:c r="Q2617" s="12" t="str">
        <x:v>AF-Q99MN1-F1-model_v6</x:v>
      </x:c>
      <x:c r="R2617" s="12" t="str">
        <x:v>ok</x:v>
      </x:c>
      <x:c r="S2617" s="11" t="n">
        <x:v>2102</x:v>
      </x:c>
      <x:c r="T2617" s="11" t="n">
        <x:v>595</x:v>
      </x:c>
    </x:row>
    <x:row r="2618" ht="23" customHeight="1">
      <x:c r="A2618" s="2" t="str">
        <x:v>Q99MR1</x:v>
      </x:c>
      <x:c r="B2618" s="2" t="str">
        <x:v>ED</x:v>
      </x:c>
      <x:c r="C2618" s="2" t="n">
        <x:v>1</x:v>
      </x:c>
      <x:c r="D2618" s="2" t="n">
        <x:v>1</x:v>
      </x:c>
      <x:c r="E2618" s="10" t="n">
        <x:v>55.32282567049808</x:v>
      </x:c>
      <x:c r="F2618" s="11" t="n">
        <x:v>1044</x:v>
      </x:c>
      <x:c r="G2618" s="11" t="n">
        <x:v>0</x:v>
      </x:c>
      <x:c r="H2618" s="11" t="n">
        <x:v>0</x:v>
      </x:c>
      <x:c r="I2618" s="11" t="n">
        <x:v>0</x:v>
      </x:c>
      <x:c r="J2618" s="11" t="n">
        <x:v>0</x:v>
      </x:c>
      <x:c r="K2618" s="11" t="n">
        <x:v>0</x:v>
      </x:c>
      <x:c r="L2618" s="11" t="n">
        <x:f>IF(B2618="NED",1,IF(OR(B2618="ED",B2618="UN"),0,""))</x:f>
        <x:v>0</x:v>
      </x:c>
      <x:c r="M2618" s="11" t="n">
        <x:f>IF(AND(K2618=1,OR(B2618="ED",B2618="NED")),1,0)</x:f>
        <x:v>0</x:v>
      </x:c>
      <x:c r="N2618" s="11" t="n">
        <x:f>IF(K2618=1,1,0)</x:f>
        <x:v>0</x:v>
      </x:c>
      <x:c r="O2618" s="12" t="str">
        <x:v>Retain protein mean pLDDT &gt;=70</x:v>
      </x:c>
      <x:c r="P2618" s="11" t="n">
        <x:v>0</x:v>
      </x:c>
      <x:c r="Q2618" s="12" t="str">
        <x:v>AF-Q99MR1-F1-model_v6</x:v>
      </x:c>
      <x:c r="R2618" s="12" t="str">
        <x:v>ok</x:v>
      </x:c>
      <x:c r="S2618" s="11" t="n">
        <x:v>2103</x:v>
      </x:c>
      <x:c r="T2618" s="11" t="n">
        <x:v>1044</x:v>
      </x:c>
    </x:row>
    <x:row r="2619" ht="23" customHeight="1">
      <x:c r="A2619" s="2" t="str">
        <x:v>Q99MR6-2</x:v>
      </x:c>
      <x:c r="B2619" s="2" t="str">
        <x:v>ED</x:v>
      </x:c>
      <x:c r="C2619" s="2"/>
      <x:c r="D2619" s="2"/>
      <x:c r="E2619" s="10"/>
      <x:c r="F2619" s="11"/>
      <x:c r="G2619" s="11" t="n">
        <x:v>0</x:v>
      </x:c>
      <x:c r="H2619" s="11" t="n">
        <x:v>0</x:v>
      </x:c>
      <x:c r="I2619" s="11"/>
      <x:c r="J2619" s="11"/>
      <x:c r="K2619" s="11" t="n">
        <x:v>0</x:v>
      </x:c>
      <x:c r="L2619" s="11" t="n">
        <x:f>IF(B2619="NED",1,IF(OR(B2619="ED",B2619="UN"),0,""))</x:f>
        <x:v>0</x:v>
      </x:c>
      <x:c r="M2619" s="11" t="n">
        <x:f>IF(AND(K2619=1,OR(B2619="ED",B2619="NED")),1,0)</x:f>
        <x:v>0</x:v>
      </x:c>
      <x:c r="N2619" s="11" t="n">
        <x:f>IF(K2619=1,1,0)</x:f>
        <x:v>0</x:v>
      </x:c>
      <x:c r="O2619" s="12" t="str">
        <x:v>Require exact native accession match</x:v>
      </x:c>
      <x:c r="P2619" s="11" t="n">
        <x:v>0</x:v>
      </x:c>
      <x:c r="Q2619" s="12"/>
      <x:c r="R2619" s="12"/>
      <x:c r="S2619" s="11" t="n">
        <x:v>2104</x:v>
      </x:c>
      <x:c r="T2619" s="11"/>
    </x:row>
    <x:row r="2620" ht="23" customHeight="1">
      <x:c r="A2620" s="2" t="str">
        <x:v>Q99MR8</x:v>
      </x:c>
      <x:c r="B2620" s="2" t="str">
        <x:v>UN</x:v>
      </x:c>
      <x:c r="C2620" s="2" t="n">
        <x:v>1</x:v>
      </x:c>
      <x:c r="D2620" s="2" t="n">
        <x:v>1</x:v>
      </x:c>
      <x:c r="E2620" s="10" t="n">
        <x:v>87.99828451882844</x:v>
      </x:c>
      <x:c r="F2620" s="11" t="n">
        <x:v>717</x:v>
      </x:c>
      <x:c r="G2620" s="11" t="n">
        <x:v>0</x:v>
      </x:c>
      <x:c r="H2620" s="11" t="n">
        <x:v>0</x:v>
      </x:c>
      <x:c r="I2620" s="11" t="n">
        <x:v>0</x:v>
      </x:c>
      <x:c r="J2620" s="11" t="n">
        <x:v>0</x:v>
      </x:c>
      <x:c r="K2620" s="11" t="n">
        <x:v>1</x:v>
      </x:c>
      <x:c r="L2620" s="11" t="n">
        <x:f>IF(B2620="NED",1,IF(OR(B2620="ED",B2620="UN"),0,""))</x:f>
        <x:v>0</x:v>
      </x:c>
      <x:c r="M2620" s="11" t="n">
        <x:f>IF(AND(K2620=1,OR(B2620="ED",B2620="NED")),1,0)</x:f>
        <x:v>0</x:v>
      </x:c>
      <x:c r="N2620" s="11" t="n">
        <x:f>IF(K2620=1,1,0)</x:f>
        <x:v>1</x:v>
      </x:c>
      <x:c r="O2620" s="12"/>
      <x:c r="P2620" s="11" t="n">
        <x:v>0</x:v>
      </x:c>
      <x:c r="Q2620" s="12" t="str">
        <x:v>AF-Q99MR8-F1-model_v6</x:v>
      </x:c>
      <x:c r="R2620" s="12" t="str">
        <x:v>ok</x:v>
      </x:c>
      <x:c r="S2620" s="11" t="n">
        <x:v>2105</x:v>
      </x:c>
      <x:c r="T2620" s="11" t="n">
        <x:v>717</x:v>
      </x:c>
    </x:row>
    <x:row r="2621" ht="23" customHeight="1">
      <x:c r="A2621" s="2" t="str">
        <x:v>Q99MS7</x:v>
      </x:c>
      <x:c r="B2621" s="2" t="str">
        <x:v>ED</x:v>
      </x:c>
      <x:c r="C2621" s="2" t="n">
        <x:v>1</x:v>
      </x:c>
      <x:c r="D2621" s="2" t="n">
        <x:v>1</x:v>
      </x:c>
      <x:c r="E2621" s="10"/>
      <x:c r="F2621" s="11" t="n">
        <x:v>1716</x:v>
      </x:c>
      <x:c r="G2621" s="11" t="n">
        <x:v>1</x:v>
      </x:c>
      <x:c r="H2621" s="11" t="n">
        <x:v>0</x:v>
      </x:c>
      <x:c r="I2621" s="11" t="n">
        <x:v>0</x:v>
      </x:c>
      <x:c r="J2621" s="11" t="n">
        <x:v>0</x:v>
      </x:c>
      <x:c r="K2621" s="11" t="n">
        <x:v>0</x:v>
      </x:c>
      <x:c r="L2621" s="11" t="n">
        <x:f>IF(B2621="NED",1,IF(OR(B2621="ED",B2621="UN"),0,""))</x:f>
        <x:v>0</x:v>
      </x:c>
      <x:c r="M2621" s="11" t="n">
        <x:f>IF(AND(K2621=1,OR(B2621="ED",B2621="NED")),1,0)</x:f>
        <x:v>0</x:v>
      </x:c>
      <x:c r="N2621" s="11" t="n">
        <x:f>IF(K2621=1,1,0)</x:f>
        <x:v>0</x:v>
      </x:c>
      <x:c r="O2621" s="12" t="str">
        <x:v>Exclude supplied knotted proteins</x:v>
      </x:c>
      <x:c r="P2621" s="11" t="n">
        <x:v>0</x:v>
      </x:c>
      <x:c r="Q2621" s="12" t="str">
        <x:v>AF-Q99MS7-F1-model_v6</x:v>
      </x:c>
      <x:c r="R2621" s="12" t="str">
        <x:v>ok</x:v>
      </x:c>
      <x:c r="S2621" s="11" t="n">
        <x:v>2106</x:v>
      </x:c>
      <x:c r="T2621" s="11" t="n">
        <x:v>1716</x:v>
      </x:c>
    </x:row>
    <x:row r="2622" ht="23" customHeight="1">
      <x:c r="A2622" s="2" t="str">
        <x:v>Q99MU3</x:v>
      </x:c>
      <x:c r="B2622" s="2" t="str">
        <x:v>UN</x:v>
      </x:c>
      <x:c r="C2622" s="2" t="n">
        <x:v>1</x:v>
      </x:c>
      <x:c r="D2622" s="2" t="n">
        <x:v>1</x:v>
      </x:c>
      <x:c r="E2622" s="10" t="n">
        <x:v>70.09322580645161</x:v>
      </x:c>
      <x:c r="F2622" s="11" t="n">
        <x:v>1178</x:v>
      </x:c>
      <x:c r="G2622" s="11" t="n">
        <x:v>0</x:v>
      </x:c>
      <x:c r="H2622" s="11" t="n">
        <x:v>0</x:v>
      </x:c>
      <x:c r="I2622" s="11" t="n">
        <x:v>0</x:v>
      </x:c>
      <x:c r="J2622" s="11" t="n">
        <x:v>0</x:v>
      </x:c>
      <x:c r="K2622" s="11" t="n">
        <x:v>1</x:v>
      </x:c>
      <x:c r="L2622" s="11" t="n">
        <x:f>IF(B2622="NED",1,IF(OR(B2622="ED",B2622="UN"),0,""))</x:f>
        <x:v>0</x:v>
      </x:c>
      <x:c r="M2622" s="11" t="n">
        <x:f>IF(AND(K2622=1,OR(B2622="ED",B2622="NED")),1,0)</x:f>
        <x:v>0</x:v>
      </x:c>
      <x:c r="N2622" s="11" t="n">
        <x:f>IF(K2622=1,1,0)</x:f>
        <x:v>1</x:v>
      </x:c>
      <x:c r="O2622" s="12"/>
      <x:c r="P2622" s="11" t="n">
        <x:v>0</x:v>
      </x:c>
      <x:c r="Q2622" s="12" t="str">
        <x:v>AF-Q99MU3-F1-model_v6</x:v>
      </x:c>
      <x:c r="R2622" s="12" t="str">
        <x:v>ok</x:v>
      </x:c>
      <x:c r="S2622" s="11" t="n">
        <x:v>2107</x:v>
      </x:c>
      <x:c r="T2622" s="11" t="n">
        <x:v>1178</x:v>
      </x:c>
    </x:row>
    <x:row r="2623" ht="23" customHeight="1">
      <x:c r="A2623" s="2" t="str">
        <x:v>Q99N15</x:v>
      </x:c>
      <x:c r="B2623" s="2" t="str">
        <x:v>ED</x:v>
      </x:c>
      <x:c r="C2623" s="2"/>
      <x:c r="D2623" s="2"/>
      <x:c r="E2623" s="10"/>
      <x:c r="F2623" s="11"/>
      <x:c r="G2623" s="11" t="n">
        <x:v>0</x:v>
      </x:c>
      <x:c r="H2623" s="11" t="n">
        <x:v>0</x:v>
      </x:c>
      <x:c r="I2623" s="11" t="n">
        <x:v>0</x:v>
      </x:c>
      <x:c r="J2623" s="11" t="n">
        <x:v>0</x:v>
      </x:c>
      <x:c r="K2623" s="11" t="n">
        <x:v>0</x:v>
      </x:c>
      <x:c r="L2623" s="11" t="n">
        <x:f>IF(B2623="NED",1,IF(OR(B2623="ED",B2623="UN"),0,""))</x:f>
        <x:v>0</x:v>
      </x:c>
      <x:c r="M2623" s="11" t="n">
        <x:f>IF(AND(K2623=1,OR(B2623="ED",B2623="NED")),1,0)</x:f>
        <x:v>0</x:v>
      </x:c>
      <x:c r="N2623" s="11" t="n">
        <x:f>IF(K2623=1,1,0)</x:f>
        <x:v>0</x:v>
      </x:c>
      <x:c r="O2623" s="12" t="str">
        <x:v>Require exact native accession match</x:v>
      </x:c>
      <x:c r="P2623" s="11" t="n">
        <x:v>0</x:v>
      </x:c>
      <x:c r="Q2623" s="12"/>
      <x:c r="R2623" s="12"/>
      <x:c r="S2623" s="11" t="n">
        <x:v>3258</x:v>
      </x:c>
      <x:c r="T2623" s="11" t="n">
        <x:v>261</x:v>
      </x:c>
    </x:row>
    <x:row r="2624" ht="23" customHeight="1">
      <x:c r="A2624" s="2" t="str">
        <x:v>Q99N17</x:v>
      </x:c>
      <x:c r="B2624" s="2" t="str">
        <x:v>UN</x:v>
      </x:c>
      <x:c r="C2624" s="2" t="n">
        <x:v>1</x:v>
      </x:c>
      <x:c r="D2624" s="2" t="n">
        <x:v>1</x:v>
      </x:c>
      <x:c r="E2624" s="10"/>
      <x:c r="F2624" s="11" t="n">
        <x:v>524</x:v>
      </x:c>
      <x:c r="G2624" s="11" t="n">
        <x:v>0</x:v>
      </x:c>
      <x:c r="H2624" s="11" t="n">
        <x:v>0</x:v>
      </x:c>
      <x:c r="I2624" s="11" t="n">
        <x:v>1</x:v>
      </x:c>
      <x:c r="J2624" s="11" t="n">
        <x:v>0</x:v>
      </x:c>
      <x:c r="K2624" s="11" t="n">
        <x:v>0</x:v>
      </x:c>
      <x:c r="L2624" s="11" t="n">
        <x:f>IF(B2624="NED",1,IF(OR(B2624="ED",B2624="UN"),0,""))</x:f>
        <x:v>0</x:v>
      </x:c>
      <x:c r="M2624" s="11" t="n">
        <x:f>IF(AND(K2624=1,OR(B2624="ED",B2624="NED")),1,0)</x:f>
        <x:v>0</x:v>
      </x:c>
      <x:c r="N2624" s="11" t="n">
        <x:f>IF(K2624=1,1,0)</x:f>
        <x:v>0</x:v>
      </x:c>
      <x:c r="O2624" s="12" t="str">
        <x:v>Exclude UniProt Membrane keyword</x:v>
      </x:c>
      <x:c r="P2624" s="11" t="n">
        <x:v>0</x:v>
      </x:c>
      <x:c r="Q2624" s="12" t="str">
        <x:v>AF-Q99N17-F1-model_v6</x:v>
      </x:c>
      <x:c r="R2624" s="12" t="str">
        <x:v>ok</x:v>
      </x:c>
      <x:c r="S2624" s="11" t="n">
        <x:v>3259</x:v>
      </x:c>
      <x:c r="T2624" s="11" t="n">
        <x:v>524</x:v>
      </x:c>
    </x:row>
    <x:row r="2625" ht="23" customHeight="1">
      <x:c r="A2625" s="2" t="str">
        <x:v>Q99N87</x:v>
      </x:c>
      <x:c r="B2625" s="2" t="str">
        <x:v>UN</x:v>
      </x:c>
      <x:c r="C2625" s="2" t="n">
        <x:v>1</x:v>
      </x:c>
      <x:c r="D2625" s="2" t="n">
        <x:v>1</x:v>
      </x:c>
      <x:c r="E2625" s="10" t="n">
        <x:v>84.23770833333334</x:v>
      </x:c>
      <x:c r="F2625" s="11" t="n">
        <x:v>432</x:v>
      </x:c>
      <x:c r="G2625" s="11" t="n">
        <x:v>0</x:v>
      </x:c>
      <x:c r="H2625" s="11" t="n">
        <x:v>0</x:v>
      </x:c>
      <x:c r="I2625" s="11" t="n">
        <x:v>0</x:v>
      </x:c>
      <x:c r="J2625" s="11" t="n">
        <x:v>0</x:v>
      </x:c>
      <x:c r="K2625" s="11" t="n">
        <x:v>1</x:v>
      </x:c>
      <x:c r="L2625" s="11" t="n">
        <x:f>IF(B2625="NED",1,IF(OR(B2625="ED",B2625="UN"),0,""))</x:f>
        <x:v>0</x:v>
      </x:c>
      <x:c r="M2625" s="11" t="n">
        <x:f>IF(AND(K2625=1,OR(B2625="ED",B2625="NED")),1,0)</x:f>
        <x:v>0</x:v>
      </x:c>
      <x:c r="N2625" s="11" t="n">
        <x:f>IF(K2625=1,1,0)</x:f>
        <x:v>1</x:v>
      </x:c>
      <x:c r="O2625" s="12"/>
      <x:c r="P2625" s="11" t="n">
        <x:v>0</x:v>
      </x:c>
      <x:c r="Q2625" s="12" t="str">
        <x:v>AF-Q99N87-F1-model_v6</x:v>
      </x:c>
      <x:c r="R2625" s="12" t="str">
        <x:v>ok</x:v>
      </x:c>
      <x:c r="S2625" s="11" t="n">
        <x:v>2108</x:v>
      </x:c>
      <x:c r="T2625" s="11" t="n">
        <x:v>432</x:v>
      </x:c>
    </x:row>
    <x:row r="2626" ht="23" customHeight="1">
      <x:c r="A2626" s="2" t="str">
        <x:v>Q99N92</x:v>
      </x:c>
      <x:c r="B2626" s="2" t="str">
        <x:v>UN</x:v>
      </x:c>
      <x:c r="C2626" s="2" t="n">
        <x:v>1</x:v>
      </x:c>
      <x:c r="D2626" s="2" t="n">
        <x:v>1</x:v>
      </x:c>
      <x:c r="E2626" s="10" t="n">
        <x:v>87.63966216216217</x:v>
      </x:c>
      <x:c r="F2626" s="11" t="n">
        <x:v>148</x:v>
      </x:c>
      <x:c r="G2626" s="11" t="n">
        <x:v>0</x:v>
      </x:c>
      <x:c r="H2626" s="11" t="n">
        <x:v>0</x:v>
      </x:c>
      <x:c r="I2626" s="11" t="n">
        <x:v>0</x:v>
      </x:c>
      <x:c r="J2626" s="11" t="n">
        <x:v>0</x:v>
      </x:c>
      <x:c r="K2626" s="11" t="n">
        <x:v>1</x:v>
      </x:c>
      <x:c r="L2626" s="11" t="n">
        <x:f>IF(B2626="NED",1,IF(OR(B2626="ED",B2626="UN"),0,""))</x:f>
        <x:v>0</x:v>
      </x:c>
      <x:c r="M2626" s="11" t="n">
        <x:f>IF(AND(K2626=1,OR(B2626="ED",B2626="NED")),1,0)</x:f>
        <x:v>0</x:v>
      </x:c>
      <x:c r="N2626" s="11" t="n">
        <x:f>IF(K2626=1,1,0)</x:f>
        <x:v>1</x:v>
      </x:c>
      <x:c r="O2626" s="12"/>
      <x:c r="P2626" s="11" t="n">
        <x:v>0</x:v>
      </x:c>
      <x:c r="Q2626" s="12" t="str">
        <x:v>AF-Q99N92-F1-model_v6</x:v>
      </x:c>
      <x:c r="R2626" s="12" t="str">
        <x:v>ok</x:v>
      </x:c>
      <x:c r="S2626" s="11" t="n">
        <x:v>2109</x:v>
      </x:c>
      <x:c r="T2626" s="11" t="n">
        <x:v>148</x:v>
      </x:c>
    </x:row>
    <x:row r="2627" ht="23" customHeight="1">
      <x:c r="A2627" s="2" t="str">
        <x:v>Q99NB8</x:v>
      </x:c>
      <x:c r="B2627" s="2" t="str">
        <x:v>ED</x:v>
      </x:c>
      <x:c r="C2627" s="2" t="n">
        <x:v>1</x:v>
      </x:c>
      <x:c r="D2627" s="2"/>
      <x:c r="E2627" s="10" t="n">
        <x:v>61.51164429530202</x:v>
      </x:c>
      <x:c r="F2627" s="11" t="n">
        <x:v>596</x:v>
      </x:c>
      <x:c r="G2627" s="11" t="n">
        <x:v>0</x:v>
      </x:c>
      <x:c r="H2627" s="11" t="n">
        <x:v>0</x:v>
      </x:c>
      <x:c r="I2627" s="11" t="n">
        <x:v>0</x:v>
      </x:c>
      <x:c r="J2627" s="11" t="n">
        <x:v>0</x:v>
      </x:c>
      <x:c r="K2627" s="11" t="n">
        <x:v>0</x:v>
      </x:c>
      <x:c r="L2627" s="11" t="n">
        <x:f>IF(B2627="NED",1,IF(OR(B2627="ED",B2627="UN"),0,""))</x:f>
        <x:v>0</x:v>
      </x:c>
      <x:c r="M2627" s="11" t="n">
        <x:f>IF(AND(K2627=1,OR(B2627="ED",B2627="NED")),1,0)</x:f>
        <x:v>0</x:v>
      </x:c>
      <x:c r="N2627" s="11" t="n">
        <x:f>IF(K2627=1,1,0)</x:f>
        <x:v>0</x:v>
      </x:c>
      <x:c r="O2627" s="12" t="str">
        <x:v>Retain protein mean pLDDT &gt;=70</x:v>
      </x:c>
      <x:c r="P2627" s="11" t="n">
        <x:v>0</x:v>
      </x:c>
      <x:c r="Q2627" s="12" t="str">
        <x:v>AF-Q99NB8-F1-model_v6</x:v>
      </x:c>
      <x:c r="R2627" s="12" t="str">
        <x:v>ok</x:v>
      </x:c>
      <x:c r="S2627" s="11" t="n">
        <x:v>2110</x:v>
      </x:c>
      <x:c r="T2627" s="11" t="n">
        <x:v>596</x:v>
      </x:c>
    </x:row>
    <x:row r="2628" ht="23" customHeight="1">
      <x:c r="A2628" s="2" t="str">
        <x:v>Q99NB9</x:v>
      </x:c>
      <x:c r="B2628" s="2" t="str">
        <x:v>UN</x:v>
      </x:c>
      <x:c r="C2628" s="2" t="n">
        <x:v>1</x:v>
      </x:c>
      <x:c r="D2628" s="2"/>
      <x:c r="E2628" s="10" t="n">
        <x:v>74.62939417177914</x:v>
      </x:c>
      <x:c r="F2628" s="11" t="n">
        <x:v>1304</x:v>
      </x:c>
      <x:c r="G2628" s="11" t="n">
        <x:v>0</x:v>
      </x:c>
      <x:c r="H2628" s="11" t="n">
        <x:v>0</x:v>
      </x:c>
      <x:c r="I2628" s="11" t="n">
        <x:v>0</x:v>
      </x:c>
      <x:c r="J2628" s="11" t="n">
        <x:v>0</x:v>
      </x:c>
      <x:c r="K2628" s="11" t="n">
        <x:v>1</x:v>
      </x:c>
      <x:c r="L2628" s="11" t="n">
        <x:f>IF(B2628="NED",1,IF(OR(B2628="ED",B2628="UN"),0,""))</x:f>
        <x:v>0</x:v>
      </x:c>
      <x:c r="M2628" s="11" t="n">
        <x:f>IF(AND(K2628=1,OR(B2628="ED",B2628="NED")),1,0)</x:f>
        <x:v>0</x:v>
      </x:c>
      <x:c r="N2628" s="11" t="n">
        <x:f>IF(K2628=1,1,0)</x:f>
        <x:v>1</x:v>
      </x:c>
      <x:c r="O2628" s="12"/>
      <x:c r="P2628" s="11" t="n">
        <x:v>0</x:v>
      </x:c>
      <x:c r="Q2628" s="12" t="str">
        <x:v>AF-Q99NB9-F1-model_v6</x:v>
      </x:c>
      <x:c r="R2628" s="12" t="str">
        <x:v>ok</x:v>
      </x:c>
      <x:c r="S2628" s="11" t="n">
        <x:v>2111</x:v>
      </x:c>
      <x:c r="T2628" s="11" t="n">
        <x:v>1304</x:v>
      </x:c>
    </x:row>
    <x:row r="2629" ht="23" customHeight="1">
      <x:c r="A2629" s="2" t="str">
        <x:v>Q99NH0</x:v>
      </x:c>
      <x:c r="B2629" s="2" t="str">
        <x:v>ED</x:v>
      </x:c>
      <x:c r="C2629" s="2" t="n">
        <x:v>1</x:v>
      </x:c>
      <x:c r="D2629" s="2" t="n">
        <x:v>1</x:v>
      </x:c>
      <x:c r="E2629" s="10"/>
      <x:c r="F2629" s="11" t="n">
        <x:v>2603</x:v>
      </x:c>
      <x:c r="G2629" s="11" t="n">
        <x:v>1</x:v>
      </x:c>
      <x:c r="H2629" s="11" t="n">
        <x:v>0</x:v>
      </x:c>
      <x:c r="I2629" s="11" t="n">
        <x:v>0</x:v>
      </x:c>
      <x:c r="J2629" s="11" t="n">
        <x:v>0</x:v>
      </x:c>
      <x:c r="K2629" s="11" t="n">
        <x:v>0</x:v>
      </x:c>
      <x:c r="L2629" s="11" t="n">
        <x:f>IF(B2629="NED",1,IF(OR(B2629="ED",B2629="UN"),0,""))</x:f>
        <x:v>0</x:v>
      </x:c>
      <x:c r="M2629" s="11" t="n">
        <x:f>IF(AND(K2629=1,OR(B2629="ED",B2629="NED")),1,0)</x:f>
        <x:v>0</x:v>
      </x:c>
      <x:c r="N2629" s="11" t="n">
        <x:f>IF(K2629=1,1,0)</x:f>
        <x:v>0</x:v>
      </x:c>
      <x:c r="O2629" s="12" t="str">
        <x:v>Exclude supplied knotted proteins</x:v>
      </x:c>
      <x:c r="P2629" s="11" t="n">
        <x:v>0</x:v>
      </x:c>
      <x:c r="Q2629" s="12" t="str">
        <x:v>AF-Q99NH0-F1-model_v6</x:v>
      </x:c>
      <x:c r="R2629" s="12" t="str">
        <x:v>ok</x:v>
      </x:c>
      <x:c r="S2629" s="11" t="n">
        <x:v>2112</x:v>
      </x:c>
      <x:c r="T2629" s="11" t="n">
        <x:v>2603</x:v>
      </x:c>
    </x:row>
    <x:row r="2630" ht="23" customHeight="1">
      <x:c r="A2630" s="2" t="str">
        <x:v>Q99P31</x:v>
      </x:c>
      <x:c r="B2630" s="2" t="str">
        <x:v>UN</x:v>
      </x:c>
      <x:c r="C2630" s="2" t="n">
        <x:v>0</x:v>
      </x:c>
      <x:c r="D2630" s="2" t="n">
        <x:v>0</x:v>
      </x:c>
      <x:c r="E2630" s="10" t="n">
        <x:v>84.04929971988796</x:v>
      </x:c>
      <x:c r="F2630" s="11" t="n">
        <x:v>357</x:v>
      </x:c>
      <x:c r="G2630" s="11" t="n">
        <x:v>0</x:v>
      </x:c>
      <x:c r="H2630" s="11" t="n">
        <x:v>0</x:v>
      </x:c>
      <x:c r="I2630" s="11" t="n">
        <x:v>0</x:v>
      </x:c>
      <x:c r="J2630" s="11" t="n">
        <x:v>0</x:v>
      </x:c>
      <x:c r="K2630" s="11" t="n">
        <x:v>1</x:v>
      </x:c>
      <x:c r="L2630" s="11" t="n">
        <x:f>IF(B2630="NED",1,IF(OR(B2630="ED",B2630="UN"),0,""))</x:f>
        <x:v>0</x:v>
      </x:c>
      <x:c r="M2630" s="11" t="n">
        <x:f>IF(AND(K2630=1,OR(B2630="ED",B2630="NED")),1,0)</x:f>
        <x:v>0</x:v>
      </x:c>
      <x:c r="N2630" s="11" t="n">
        <x:f>IF(K2630=1,1,0)</x:f>
        <x:v>1</x:v>
      </x:c>
      <x:c r="O2630" s="12"/>
      <x:c r="P2630" s="11" t="n">
        <x:v>0</x:v>
      </x:c>
      <x:c r="Q2630" s="12" t="str">
        <x:v>AF-Q99P31-F1-model_v6</x:v>
      </x:c>
      <x:c r="R2630" s="12" t="str">
        <x:v>ok</x:v>
      </x:c>
      <x:c r="S2630" s="11" t="n">
        <x:v>2113</x:v>
      </x:c>
      <x:c r="T2630" s="11" t="n">
        <x:v>357</x:v>
      </x:c>
    </x:row>
    <x:row r="2631" ht="23" customHeight="1">
      <x:c r="A2631" s="2" t="str">
        <x:v>Q99P72</x:v>
      </x:c>
      <x:c r="B2631" s="2" t="str">
        <x:v>UN</x:v>
      </x:c>
      <x:c r="C2631" s="2" t="n">
        <x:v>0</x:v>
      </x:c>
      <x:c r="D2631" s="2" t="n">
        <x:v>0</x:v>
      </x:c>
      <x:c r="E2631" s="10"/>
      <x:c r="F2631" s="11" t="n">
        <x:v>1162</x:v>
      </x:c>
      <x:c r="G2631" s="11" t="n">
        <x:v>0</x:v>
      </x:c>
      <x:c r="H2631" s="11" t="n">
        <x:v>0</x:v>
      </x:c>
      <x:c r="I2631" s="11" t="n">
        <x:v>1</x:v>
      </x:c>
      <x:c r="J2631" s="11" t="n">
        <x:v>0</x:v>
      </x:c>
      <x:c r="K2631" s="11" t="n">
        <x:v>0</x:v>
      </x:c>
      <x:c r="L2631" s="11" t="n">
        <x:f>IF(B2631="NED",1,IF(OR(B2631="ED",B2631="UN"),0,""))</x:f>
        <x:v>0</x:v>
      </x:c>
      <x:c r="M2631" s="11" t="n">
        <x:f>IF(AND(K2631=1,OR(B2631="ED",B2631="NED")),1,0)</x:f>
        <x:v>0</x:v>
      </x:c>
      <x:c r="N2631" s="11" t="n">
        <x:f>IF(K2631=1,1,0)</x:f>
        <x:v>0</x:v>
      </x:c>
      <x:c r="O2631" s="12" t="str">
        <x:v>Exclude UniProt Membrane keyword</x:v>
      </x:c>
      <x:c r="P2631" s="11" t="n">
        <x:v>0</x:v>
      </x:c>
      <x:c r="Q2631" s="12" t="str">
        <x:v>AF-Q99P72-F1-model_v6</x:v>
      </x:c>
      <x:c r="R2631" s="12" t="str">
        <x:v>ok</x:v>
      </x:c>
      <x:c r="S2631" s="11" t="n">
        <x:v>2114</x:v>
      </x:c>
      <x:c r="T2631" s="11" t="n">
        <x:v>1162</x:v>
      </x:c>
    </x:row>
    <x:row r="2632" ht="23" customHeight="1">
      <x:c r="A2632" s="2" t="str">
        <x:v>Q99P88</x:v>
      </x:c>
      <x:c r="B2632" s="2" t="str">
        <x:v>UN</x:v>
      </x:c>
      <x:c r="C2632" s="2" t="n">
        <x:v>1</x:v>
      </x:c>
      <x:c r="D2632" s="2" t="n">
        <x:v>1</x:v>
      </x:c>
      <x:c r="E2632" s="10"/>
      <x:c r="F2632" s="11" t="n">
        <x:v>1391</x:v>
      </x:c>
      <x:c r="G2632" s="11" t="n">
        <x:v>0</x:v>
      </x:c>
      <x:c r="H2632" s="11" t="n">
        <x:v>0</x:v>
      </x:c>
      <x:c r="I2632" s="11" t="n">
        <x:v>1</x:v>
      </x:c>
      <x:c r="J2632" s="11" t="n">
        <x:v>0</x:v>
      </x:c>
      <x:c r="K2632" s="11" t="n">
        <x:v>0</x:v>
      </x:c>
      <x:c r="L2632" s="11" t="n">
        <x:f>IF(B2632="NED",1,IF(OR(B2632="ED",B2632="UN"),0,""))</x:f>
        <x:v>0</x:v>
      </x:c>
      <x:c r="M2632" s="11" t="n">
        <x:f>IF(AND(K2632=1,OR(B2632="ED",B2632="NED")),1,0)</x:f>
        <x:v>0</x:v>
      </x:c>
      <x:c r="N2632" s="11" t="n">
        <x:f>IF(K2632=1,1,0)</x:f>
        <x:v>0</x:v>
      </x:c>
      <x:c r="O2632" s="12" t="str">
        <x:v>Exclude UniProt Membrane keyword</x:v>
      </x:c>
      <x:c r="P2632" s="11" t="n">
        <x:v>0</x:v>
      </x:c>
      <x:c r="Q2632" s="12" t="str">
        <x:v>AF-Q99P88-F1-model_v6</x:v>
      </x:c>
      <x:c r="R2632" s="12" t="str">
        <x:v>ok</x:v>
      </x:c>
      <x:c r="S2632" s="11" t="n">
        <x:v>2115</x:v>
      </x:c>
      <x:c r="T2632" s="11" t="n">
        <x:v>1391</x:v>
      </x:c>
    </x:row>
    <x:row r="2633" ht="23" customHeight="1">
      <x:c r="A2633" s="2" t="str">
        <x:v>Q99PG2-2</x:v>
      </x:c>
      <x:c r="B2633" s="2" t="str">
        <x:v>ED</x:v>
      </x:c>
      <x:c r="C2633" s="2"/>
      <x:c r="D2633" s="2"/>
      <x:c r="E2633" s="10"/>
      <x:c r="F2633" s="11"/>
      <x:c r="G2633" s="11" t="n">
        <x:v>0</x:v>
      </x:c>
      <x:c r="H2633" s="11" t="n">
        <x:v>0</x:v>
      </x:c>
      <x:c r="I2633" s="11"/>
      <x:c r="J2633" s="11"/>
      <x:c r="K2633" s="11" t="n">
        <x:v>0</x:v>
      </x:c>
      <x:c r="L2633" s="11" t="n">
        <x:f>IF(B2633="NED",1,IF(OR(B2633="ED",B2633="UN"),0,""))</x:f>
        <x:v>0</x:v>
      </x:c>
      <x:c r="M2633" s="11" t="n">
        <x:f>IF(AND(K2633=1,OR(B2633="ED",B2633="NED")),1,0)</x:f>
        <x:v>0</x:v>
      </x:c>
      <x:c r="N2633" s="11" t="n">
        <x:f>IF(K2633=1,1,0)</x:f>
        <x:v>0</x:v>
      </x:c>
      <x:c r="O2633" s="12" t="str">
        <x:v>Require exact native accession match</x:v>
      </x:c>
      <x:c r="P2633" s="11" t="n">
        <x:v>0</x:v>
      </x:c>
      <x:c r="Q2633" s="12"/>
      <x:c r="R2633" s="12"/>
      <x:c r="S2633" s="11" t="n">
        <x:v>2116</x:v>
      </x:c>
      <x:c r="T2633" s="11"/>
    </x:row>
    <x:row r="2634" ht="23" customHeight="1">
      <x:c r="A2634" s="2" t="str">
        <x:v>Q99PM9</x:v>
      </x:c>
      <x:c r="B2634" s="2" t="str">
        <x:v>ED</x:v>
      </x:c>
      <x:c r="C2634" s="2" t="n">
        <x:v>1</x:v>
      </x:c>
      <x:c r="D2634" s="2" t="n">
        <x:v>1</x:v>
      </x:c>
      <x:c r="E2634" s="10" t="n">
        <x:v>86.53352490421456</x:v>
      </x:c>
      <x:c r="F2634" s="11" t="n">
        <x:v>261</x:v>
      </x:c>
      <x:c r="G2634" s="11" t="n">
        <x:v>0</x:v>
      </x:c>
      <x:c r="H2634" s="11" t="n">
        <x:v>0</x:v>
      </x:c>
      <x:c r="I2634" s="11" t="n">
        <x:v>0</x:v>
      </x:c>
      <x:c r="J2634" s="11" t="n">
        <x:v>0</x:v>
      </x:c>
      <x:c r="K2634" s="11" t="n">
        <x:v>1</x:v>
      </x:c>
      <x:c r="L2634" s="11" t="n">
        <x:f>IF(B2634="NED",1,IF(OR(B2634="ED",B2634="UN"),0,""))</x:f>
        <x:v>0</x:v>
      </x:c>
      <x:c r="M2634" s="11" t="n">
        <x:f>IF(AND(K2634=1,OR(B2634="ED",B2634="NED")),1,0)</x:f>
        <x:v>1</x:v>
      </x:c>
      <x:c r="N2634" s="11" t="n">
        <x:f>IF(K2634=1,1,0)</x:f>
        <x:v>1</x:v>
      </x:c>
      <x:c r="O2634" s="12"/>
      <x:c r="P2634" s="11" t="n">
        <x:v>0</x:v>
      </x:c>
      <x:c r="Q2634" s="12" t="str">
        <x:v>AF-Q99PM9-F1-model_v6</x:v>
      </x:c>
      <x:c r="R2634" s="12" t="str">
        <x:v>ok</x:v>
      </x:c>
      <x:c r="S2634" s="11" t="n">
        <x:v>2117</x:v>
      </x:c>
      <x:c r="T2634" s="11" t="n">
        <x:v>261</x:v>
      </x:c>
    </x:row>
    <x:row r="2635" ht="23" customHeight="1">
      <x:c r="A2635" s="2" t="str">
        <x:v>Q99PT1</x:v>
      </x:c>
      <x:c r="B2635" s="2" t="str">
        <x:v>ED</x:v>
      </x:c>
      <x:c r="C2635" s="2" t="n">
        <x:v>0</x:v>
      </x:c>
      <x:c r="D2635" s="2" t="n">
        <x:v>0</x:v>
      </x:c>
      <x:c r="E2635" s="10" t="n">
        <x:v>90.6295588235294</x:v>
      </x:c>
      <x:c r="F2635" s="11" t="n">
        <x:v>204</x:v>
      </x:c>
      <x:c r="G2635" s="11" t="n">
        <x:v>0</x:v>
      </x:c>
      <x:c r="H2635" s="11" t="n">
        <x:v>0</x:v>
      </x:c>
      <x:c r="I2635" s="11" t="n">
        <x:v>0</x:v>
      </x:c>
      <x:c r="J2635" s="11" t="n">
        <x:v>0</x:v>
      </x:c>
      <x:c r="K2635" s="11" t="n">
        <x:v>1</x:v>
      </x:c>
      <x:c r="L2635" s="11" t="n">
        <x:f>IF(B2635="NED",1,IF(OR(B2635="ED",B2635="UN"),0,""))</x:f>
        <x:v>0</x:v>
      </x:c>
      <x:c r="M2635" s="11" t="n">
        <x:f>IF(AND(K2635=1,OR(B2635="ED",B2635="NED")),1,0)</x:f>
        <x:v>1</x:v>
      </x:c>
      <x:c r="N2635" s="11" t="n">
        <x:f>IF(K2635=1,1,0)</x:f>
        <x:v>1</x:v>
      </x:c>
      <x:c r="O2635" s="12"/>
      <x:c r="P2635" s="11" t="n">
        <x:v>0</x:v>
      </x:c>
      <x:c r="Q2635" s="12" t="str">
        <x:v>AF-Q99PT1-F1-model_v6</x:v>
      </x:c>
      <x:c r="R2635" s="12" t="str">
        <x:v>ok</x:v>
      </x:c>
      <x:c r="S2635" s="11" t="n">
        <x:v>2118</x:v>
      </x:c>
      <x:c r="T2635" s="11" t="n">
        <x:v>204</x:v>
      </x:c>
    </x:row>
    <x:row r="2636" ht="23" customHeight="1">
      <x:c r="A2636" s="2" t="str">
        <x:v>Q99PV0</x:v>
      </x:c>
      <x:c r="B2636" s="2" t="str">
        <x:v>NED</x:v>
      </x:c>
      <x:c r="C2636" s="2" t="n">
        <x:v>1</x:v>
      </x:c>
      <x:c r="D2636" s="2" t="n">
        <x:v>1</x:v>
      </x:c>
      <x:c r="E2636" s="10" t="n">
        <x:v>85.8486937901499</x:v>
      </x:c>
      <x:c r="F2636" s="11" t="n">
        <x:v>2335</x:v>
      </x:c>
      <x:c r="G2636" s="11" t="n">
        <x:v>0</x:v>
      </x:c>
      <x:c r="H2636" s="11" t="n">
        <x:v>0</x:v>
      </x:c>
      <x:c r="I2636" s="11" t="n">
        <x:v>0</x:v>
      </x:c>
      <x:c r="J2636" s="11" t="n">
        <x:v>0</x:v>
      </x:c>
      <x:c r="K2636" s="11" t="n">
        <x:v>1</x:v>
      </x:c>
      <x:c r="L2636" s="11" t="n">
        <x:f>IF(B2636="NED",1,IF(OR(B2636="ED",B2636="UN"),0,""))</x:f>
        <x:v>1</x:v>
      </x:c>
      <x:c r="M2636" s="11" t="n">
        <x:f>IF(AND(K2636=1,OR(B2636="ED",B2636="NED")),1,0)</x:f>
        <x:v>1</x:v>
      </x:c>
      <x:c r="N2636" s="11" t="n">
        <x:f>IF(K2636=1,1,0)</x:f>
        <x:v>1</x:v>
      </x:c>
      <x:c r="O2636" s="12"/>
      <x:c r="P2636" s="11" t="n">
        <x:v>0</x:v>
      </x:c>
      <x:c r="Q2636" s="12" t="str">
        <x:v>AF-Q99PV0-F1-model_v6</x:v>
      </x:c>
      <x:c r="R2636" s="12" t="str">
        <x:v>ok</x:v>
      </x:c>
      <x:c r="S2636" s="11" t="n">
        <x:v>2119</x:v>
      </x:c>
      <x:c r="T2636" s="11" t="n">
        <x:v>2335</x:v>
      </x:c>
    </x:row>
    <x:row r="2637" ht="23" customHeight="1">
      <x:c r="A2637" s="2" t="str">
        <x:v>Q9CPN8</x:v>
      </x:c>
      <x:c r="B2637" s="2" t="str">
        <x:v>ED</x:v>
      </x:c>
      <x:c r="C2637" s="2" t="n">
        <x:v>1</x:v>
      </x:c>
      <x:c r="D2637" s="2" t="n">
        <x:v>1</x:v>
      </x:c>
      <x:c r="E2637" s="10" t="n">
        <x:v>77.39640759930914</x:v>
      </x:c>
      <x:c r="F2637" s="11" t="n">
        <x:v>579</x:v>
      </x:c>
      <x:c r="G2637" s="11" t="n">
        <x:v>0</x:v>
      </x:c>
      <x:c r="H2637" s="11" t="n">
        <x:v>0</x:v>
      </x:c>
      <x:c r="I2637" s="11" t="n">
        <x:v>0</x:v>
      </x:c>
      <x:c r="J2637" s="11" t="n">
        <x:v>0</x:v>
      </x:c>
      <x:c r="K2637" s="11" t="n">
        <x:v>1</x:v>
      </x:c>
      <x:c r="L2637" s="11" t="n">
        <x:f>IF(B2637="NED",1,IF(OR(B2637="ED",B2637="UN"),0,""))</x:f>
        <x:v>0</x:v>
      </x:c>
      <x:c r="M2637" s="11" t="n">
        <x:f>IF(AND(K2637=1,OR(B2637="ED",B2637="NED")),1,0)</x:f>
        <x:v>1</x:v>
      </x:c>
      <x:c r="N2637" s="11" t="n">
        <x:f>IF(K2637=1,1,0)</x:f>
        <x:v>1</x:v>
      </x:c>
      <x:c r="O2637" s="12"/>
      <x:c r="P2637" s="11" t="n">
        <x:v>0</x:v>
      </x:c>
      <x:c r="Q2637" s="12" t="str">
        <x:v>AF-Q9CPN8-F1-model_v6</x:v>
      </x:c>
      <x:c r="R2637" s="12" t="str">
        <x:v>ok</x:v>
      </x:c>
      <x:c r="S2637" s="11" t="n">
        <x:v>2120</x:v>
      </x:c>
      <x:c r="T2637" s="11" t="n">
        <x:v>579</x:v>
      </x:c>
    </x:row>
    <x:row r="2638" ht="23" customHeight="1">
      <x:c r="A2638" s="2" t="str">
        <x:v>Q9CPP0</x:v>
      </x:c>
      <x:c r="B2638" s="2" t="str">
        <x:v>ED</x:v>
      </x:c>
      <x:c r="C2638" s="2" t="n">
        <x:v>1</x:v>
      </x:c>
      <x:c r="D2638" s="2" t="n">
        <x:v>1</x:v>
      </x:c>
      <x:c r="E2638" s="10" t="n">
        <x:v>78.81931428571428</x:v>
      </x:c>
      <x:c r="F2638" s="11" t="n">
        <x:v>175</x:v>
      </x:c>
      <x:c r="G2638" s="11" t="n">
        <x:v>0</x:v>
      </x:c>
      <x:c r="H2638" s="11" t="n">
        <x:v>0</x:v>
      </x:c>
      <x:c r="I2638" s="11" t="n">
        <x:v>0</x:v>
      </x:c>
      <x:c r="J2638" s="11" t="n">
        <x:v>0</x:v>
      </x:c>
      <x:c r="K2638" s="11" t="n">
        <x:v>1</x:v>
      </x:c>
      <x:c r="L2638" s="11" t="n">
        <x:f>IF(B2638="NED",1,IF(OR(B2638="ED",B2638="UN"),0,""))</x:f>
        <x:v>0</x:v>
      </x:c>
      <x:c r="M2638" s="11" t="n">
        <x:f>IF(AND(K2638=1,OR(B2638="ED",B2638="NED")),1,0)</x:f>
        <x:v>1</x:v>
      </x:c>
      <x:c r="N2638" s="11" t="n">
        <x:f>IF(K2638=1,1,0)</x:f>
        <x:v>1</x:v>
      </x:c>
      <x:c r="O2638" s="12"/>
      <x:c r="P2638" s="11" t="n">
        <x:v>0</x:v>
      </x:c>
      <x:c r="Q2638" s="12" t="str">
        <x:v>AF-Q9CPP0-F1-model_v6</x:v>
      </x:c>
      <x:c r="R2638" s="12" t="str">
        <x:v>ok</x:v>
      </x:c>
      <x:c r="S2638" s="11" t="n">
        <x:v>2121</x:v>
      </x:c>
      <x:c r="T2638" s="11" t="n">
        <x:v>175</x:v>
      </x:c>
    </x:row>
    <x:row r="2639" ht="23" customHeight="1">
      <x:c r="A2639" s="2" t="str">
        <x:v>Q9CPP6</x:v>
      </x:c>
      <x:c r="B2639" s="2" t="str">
        <x:v>NED</x:v>
      </x:c>
      <x:c r="C2639" s="2" t="n">
        <x:v>0</x:v>
      </x:c>
      <x:c r="D2639" s="2" t="n">
        <x:v>0</x:v>
      </x:c>
      <x:c r="E2639" s="10"/>
      <x:c r="F2639" s="11" t="n">
        <x:v>116</x:v>
      </x:c>
      <x:c r="G2639" s="11" t="n">
        <x:v>0</x:v>
      </x:c>
      <x:c r="H2639" s="11" t="n">
        <x:v>0</x:v>
      </x:c>
      <x:c r="I2639" s="11" t="n">
        <x:v>1</x:v>
      </x:c>
      <x:c r="J2639" s="11" t="n">
        <x:v>0</x:v>
      </x:c>
      <x:c r="K2639" s="11" t="n">
        <x:v>0</x:v>
      </x:c>
      <x:c r="L2639" s="11" t="n">
        <x:f>IF(B2639="NED",1,IF(OR(B2639="ED",B2639="UN"),0,""))</x:f>
        <x:v>1</x:v>
      </x:c>
      <x:c r="M2639" s="11" t="n">
        <x:f>IF(AND(K2639=1,OR(B2639="ED",B2639="NED")),1,0)</x:f>
        <x:v>0</x:v>
      </x:c>
      <x:c r="N2639" s="11" t="n">
        <x:f>IF(K2639=1,1,0)</x:f>
        <x:v>0</x:v>
      </x:c>
      <x:c r="O2639" s="12" t="str">
        <x:v>Exclude UniProt Membrane keyword</x:v>
      </x:c>
      <x:c r="P2639" s="11" t="n">
        <x:v>0</x:v>
      </x:c>
      <x:c r="Q2639" s="12" t="str">
        <x:v>AF-Q9CPP6-F1-model_v6</x:v>
      </x:c>
      <x:c r="R2639" s="12" t="str">
        <x:v>ok</x:v>
      </x:c>
      <x:c r="S2639" s="11" t="n">
        <x:v>2122</x:v>
      </x:c>
      <x:c r="T2639" s="11" t="n">
        <x:v>116</x:v>
      </x:c>
    </x:row>
    <x:row r="2640" ht="23" customHeight="1">
      <x:c r="A2640" s="2" t="str">
        <x:v>Q9CPQ3</x:v>
      </x:c>
      <x:c r="B2640" s="2" t="str">
        <x:v>UN</x:v>
      </x:c>
      <x:c r="C2640" s="2" t="n">
        <x:v>0</x:v>
      </x:c>
      <x:c r="D2640" s="2" t="n">
        <x:v>0</x:v>
      </x:c>
      <x:c r="E2640" s="10"/>
      <x:c r="F2640" s="11" t="n">
        <x:v>142</x:v>
      </x:c>
      <x:c r="G2640" s="11" t="n">
        <x:v>0</x:v>
      </x:c>
      <x:c r="H2640" s="11" t="n">
        <x:v>0</x:v>
      </x:c>
      <x:c r="I2640" s="11" t="n">
        <x:v>1</x:v>
      </x:c>
      <x:c r="J2640" s="11" t="n">
        <x:v>0</x:v>
      </x:c>
      <x:c r="K2640" s="11" t="n">
        <x:v>0</x:v>
      </x:c>
      <x:c r="L2640" s="11" t="n">
        <x:f>IF(B2640="NED",1,IF(OR(B2640="ED",B2640="UN"),0,""))</x:f>
        <x:v>0</x:v>
      </x:c>
      <x:c r="M2640" s="11" t="n">
        <x:f>IF(AND(K2640=1,OR(B2640="ED",B2640="NED")),1,0)</x:f>
        <x:v>0</x:v>
      </x:c>
      <x:c r="N2640" s="11" t="n">
        <x:f>IF(K2640=1,1,0)</x:f>
        <x:v>0</x:v>
      </x:c>
      <x:c r="O2640" s="12" t="str">
        <x:v>Exclude UniProt Membrane keyword</x:v>
      </x:c>
      <x:c r="P2640" s="11" t="n">
        <x:v>0</x:v>
      </x:c>
      <x:c r="Q2640" s="12" t="str">
        <x:v>AF-Q9CPQ3-F1-model_v6</x:v>
      </x:c>
      <x:c r="R2640" s="12" t="str">
        <x:v>ok</x:v>
      </x:c>
      <x:c r="S2640" s="11" t="n">
        <x:v>2123</x:v>
      </x:c>
      <x:c r="T2640" s="11" t="n">
        <x:v>142</x:v>
      </x:c>
    </x:row>
    <x:row r="2641" ht="23" customHeight="1">
      <x:c r="A2641" s="2" t="str">
        <x:v>Q9CPR4</x:v>
      </x:c>
      <x:c r="B2641" s="2" t="str">
        <x:v>NED</x:v>
      </x:c>
      <x:c r="C2641" s="2" t="n">
        <x:v>1</x:v>
      </x:c>
      <x:c r="D2641" s="2" t="n">
        <x:v>1</x:v>
      </x:c>
      <x:c r="E2641" s="10" t="n">
        <x:v>92.3271195652174</x:v>
      </x:c>
      <x:c r="F2641" s="11" t="n">
        <x:v>184</x:v>
      </x:c>
      <x:c r="G2641" s="11" t="n">
        <x:v>0</x:v>
      </x:c>
      <x:c r="H2641" s="11" t="n">
        <x:v>0</x:v>
      </x:c>
      <x:c r="I2641" s="11" t="n">
        <x:v>0</x:v>
      </x:c>
      <x:c r="J2641" s="11" t="n">
        <x:v>0</x:v>
      </x:c>
      <x:c r="K2641" s="11" t="n">
        <x:v>1</x:v>
      </x:c>
      <x:c r="L2641" s="11" t="n">
        <x:f>IF(B2641="NED",1,IF(OR(B2641="ED",B2641="UN"),0,""))</x:f>
        <x:v>1</x:v>
      </x:c>
      <x:c r="M2641" s="11" t="n">
        <x:f>IF(AND(K2641=1,OR(B2641="ED",B2641="NED")),1,0)</x:f>
        <x:v>1</x:v>
      </x:c>
      <x:c r="N2641" s="11" t="n">
        <x:f>IF(K2641=1,1,0)</x:f>
        <x:v>1</x:v>
      </x:c>
      <x:c r="O2641" s="12"/>
      <x:c r="P2641" s="11" t="n">
        <x:v>0</x:v>
      </x:c>
      <x:c r="Q2641" s="12" t="str">
        <x:v>AF-Q9CPR4-F1-model_v6</x:v>
      </x:c>
      <x:c r="R2641" s="12" t="str">
        <x:v>ok</x:v>
      </x:c>
      <x:c r="S2641" s="11" t="n">
        <x:v>2124</x:v>
      </x:c>
      <x:c r="T2641" s="11" t="n">
        <x:v>184</x:v>
      </x:c>
    </x:row>
    <x:row r="2642" ht="23" customHeight="1">
      <x:c r="A2642" s="2" t="str">
        <x:v>Q9CPS5</x:v>
      </x:c>
      <x:c r="B2642" s="2" t="str">
        <x:v>ED</x:v>
      </x:c>
      <x:c r="C2642" s="2"/>
      <x:c r="D2642" s="2"/>
      <x:c r="E2642" s="10"/>
      <x:c r="F2642" s="11"/>
      <x:c r="G2642" s="11" t="n">
        <x:v>0</x:v>
      </x:c>
      <x:c r="H2642" s="11" t="n">
        <x:v>0</x:v>
      </x:c>
      <x:c r="I2642" s="11" t="n">
        <x:v>0</x:v>
      </x:c>
      <x:c r="J2642" s="11" t="n">
        <x:v>0</x:v>
      </x:c>
      <x:c r="K2642" s="11" t="n">
        <x:v>0</x:v>
      </x:c>
      <x:c r="L2642" s="11" t="n">
        <x:f>IF(B2642="NED",1,IF(OR(B2642="ED",B2642="UN"),0,""))</x:f>
        <x:v>0</x:v>
      </x:c>
      <x:c r="M2642" s="11" t="n">
        <x:f>IF(AND(K2642=1,OR(B2642="ED",B2642="NED")),1,0)</x:f>
        <x:v>0</x:v>
      </x:c>
      <x:c r="N2642" s="11" t="n">
        <x:f>IF(K2642=1,1,0)</x:f>
        <x:v>0</x:v>
      </x:c>
      <x:c r="O2642" s="12" t="str">
        <x:v>Require exact native accession match</x:v>
      </x:c>
      <x:c r="P2642" s="11" t="n">
        <x:v>0</x:v>
      </x:c>
      <x:c r="Q2642" s="12"/>
      <x:c r="R2642" s="12"/>
      <x:c r="S2642" s="11" t="n">
        <x:v>3260</x:v>
      </x:c>
      <x:c r="T2642" s="11" t="n">
        <x:v>289</x:v>
      </x:c>
    </x:row>
    <x:row r="2643" ht="23" customHeight="1">
      <x:c r="A2643" s="2" t="str">
        <x:v>Q9CPS7</x:v>
      </x:c>
      <x:c r="B2643" s="2" t="str">
        <x:v>UN</x:v>
      </x:c>
      <x:c r="C2643" s="2" t="n">
        <x:v>1</x:v>
      </x:c>
      <x:c r="D2643" s="2" t="n">
        <x:v>1</x:v>
      </x:c>
      <x:c r="E2643" s="10" t="n">
        <x:v>77.8480241935484</x:v>
      </x:c>
      <x:c r="F2643" s="11" t="n">
        <x:v>248</x:v>
      </x:c>
      <x:c r="G2643" s="11" t="n">
        <x:v>0</x:v>
      </x:c>
      <x:c r="H2643" s="11" t="n">
        <x:v>0</x:v>
      </x:c>
      <x:c r="I2643" s="11" t="n">
        <x:v>0</x:v>
      </x:c>
      <x:c r="J2643" s="11" t="n">
        <x:v>0</x:v>
      </x:c>
      <x:c r="K2643" s="11" t="n">
        <x:v>1</x:v>
      </x:c>
      <x:c r="L2643" s="11" t="n">
        <x:f>IF(B2643="NED",1,IF(OR(B2643="ED",B2643="UN"),0,""))</x:f>
        <x:v>0</x:v>
      </x:c>
      <x:c r="M2643" s="11" t="n">
        <x:f>IF(AND(K2643=1,OR(B2643="ED",B2643="NED")),1,0)</x:f>
        <x:v>0</x:v>
      </x:c>
      <x:c r="N2643" s="11" t="n">
        <x:f>IF(K2643=1,1,0)</x:f>
        <x:v>1</x:v>
      </x:c>
      <x:c r="O2643" s="12"/>
      <x:c r="P2643" s="11" t="n">
        <x:v>0</x:v>
      </x:c>
      <x:c r="Q2643" s="12" t="str">
        <x:v>AF-Q9CPS7-F1-model_v6</x:v>
      </x:c>
      <x:c r="R2643" s="12" t="str">
        <x:v>ok</x:v>
      </x:c>
      <x:c r="S2643" s="11" t="n">
        <x:v>2125</x:v>
      </x:c>
      <x:c r="T2643" s="11" t="n">
        <x:v>248</x:v>
      </x:c>
    </x:row>
    <x:row r="2644" ht="23" customHeight="1">
      <x:c r="A2644" s="2" t="str">
        <x:v>Q9CPT4</x:v>
      </x:c>
      <x:c r="B2644" s="2" t="str">
        <x:v>ED</x:v>
      </x:c>
      <x:c r="C2644" s="2" t="n">
        <x:v>1</x:v>
      </x:c>
      <x:c r="D2644" s="2" t="n">
        <x:v>1</x:v>
      </x:c>
      <x:c r="E2644" s="10"/>
      <x:c r="F2644" s="11" t="n">
        <x:v>166</x:v>
      </x:c>
      <x:c r="G2644" s="11" t="n">
        <x:v>0</x:v>
      </x:c>
      <x:c r="H2644" s="11" t="n">
        <x:v>0</x:v>
      </x:c>
      <x:c r="I2644" s="11" t="n">
        <x:v>0</x:v>
      </x:c>
      <x:c r="J2644" s="11" t="n">
        <x:v>1</x:v>
      </x:c>
      <x:c r="K2644" s="11" t="n">
        <x:v>0</x:v>
      </x:c>
      <x:c r="L2644" s="11" t="n">
        <x:f>IF(B2644="NED",1,IF(OR(B2644="ED",B2644="UN"),0,""))</x:f>
        <x:v>0</x:v>
      </x:c>
      <x:c r="M2644" s="11" t="n">
        <x:f>IF(AND(K2644=1,OR(B2644="ED",B2644="NED")),1,0)</x:f>
        <x:v>0</x:v>
      </x:c>
      <x:c r="N2644" s="11" t="n">
        <x:f>IF(K2644=1,1,0)</x:f>
        <x:v>0</x:v>
      </x:c>
      <x:c r="O2644" s="12" t="str">
        <x:v>Exclude UniProt Secreted keyword</x:v>
      </x:c>
      <x:c r="P2644" s="11" t="n">
        <x:v>0</x:v>
      </x:c>
      <x:c r="Q2644" s="12" t="str">
        <x:v>AF-Q9CPT4-F1-model_v6</x:v>
      </x:c>
      <x:c r="R2644" s="12" t="str">
        <x:v>ok</x:v>
      </x:c>
      <x:c r="S2644" s="11" t="n">
        <x:v>2126</x:v>
      </x:c>
      <x:c r="T2644" s="11" t="n">
        <x:v>166</x:v>
      </x:c>
    </x:row>
    <x:row r="2645" ht="23" customHeight="1">
      <x:c r="A2645" s="2" t="str">
        <x:v>Q9CPT5</x:v>
      </x:c>
      <x:c r="B2645" s="2" t="str">
        <x:v>UN</x:v>
      </x:c>
      <x:c r="C2645" s="2" t="n">
        <x:v>0</x:v>
      </x:c>
      <x:c r="D2645" s="2" t="n">
        <x:v>0</x:v>
      </x:c>
      <x:c r="E2645" s="10" t="n">
        <x:v>85.54516853932584</x:v>
      </x:c>
      <x:c r="F2645" s="11" t="n">
        <x:v>178</x:v>
      </x:c>
      <x:c r="G2645" s="11" t="n">
        <x:v>0</x:v>
      </x:c>
      <x:c r="H2645" s="11" t="n">
        <x:v>0</x:v>
      </x:c>
      <x:c r="I2645" s="11" t="n">
        <x:v>0</x:v>
      </x:c>
      <x:c r="J2645" s="11" t="n">
        <x:v>0</x:v>
      </x:c>
      <x:c r="K2645" s="11" t="n">
        <x:v>1</x:v>
      </x:c>
      <x:c r="L2645" s="11" t="n">
        <x:f>IF(B2645="NED",1,IF(OR(B2645="ED",B2645="UN"),0,""))</x:f>
        <x:v>0</x:v>
      </x:c>
      <x:c r="M2645" s="11" t="n">
        <x:f>IF(AND(K2645=1,OR(B2645="ED",B2645="NED")),1,0)</x:f>
        <x:v>0</x:v>
      </x:c>
      <x:c r="N2645" s="11" t="n">
        <x:f>IF(K2645=1,1,0)</x:f>
        <x:v>1</x:v>
      </x:c>
      <x:c r="O2645" s="12"/>
      <x:c r="P2645" s="11" t="n">
        <x:v>0</x:v>
      </x:c>
      <x:c r="Q2645" s="12" t="str">
        <x:v>AF-Q9CPT5-F1-model_v6</x:v>
      </x:c>
      <x:c r="R2645" s="12" t="str">
        <x:v>ok</x:v>
      </x:c>
      <x:c r="S2645" s="11" t="n">
        <x:v>2127</x:v>
      </x:c>
      <x:c r="T2645" s="11" t="n">
        <x:v>178</x:v>
      </x:c>
    </x:row>
    <x:row r="2646" ht="23" customHeight="1">
      <x:c r="A2646" s="2" t="str">
        <x:v>Q9CPU0</x:v>
      </x:c>
      <x:c r="B2646" s="2" t="str">
        <x:v>ED</x:v>
      </x:c>
      <x:c r="C2646" s="2" t="n">
        <x:v>1</x:v>
      </x:c>
      <x:c r="D2646" s="2" t="n">
        <x:v>1</x:v>
      </x:c>
      <x:c r="E2646" s="10" t="n">
        <x:v>95.92864130434782</x:v>
      </x:c>
      <x:c r="F2646" s="11" t="n">
        <x:v>184</x:v>
      </x:c>
      <x:c r="G2646" s="11" t="n">
        <x:v>0</x:v>
      </x:c>
      <x:c r="H2646" s="11" t="n">
        <x:v>0</x:v>
      </x:c>
      <x:c r="I2646" s="11" t="n">
        <x:v>0</x:v>
      </x:c>
      <x:c r="J2646" s="11" t="n">
        <x:v>0</x:v>
      </x:c>
      <x:c r="K2646" s="11" t="n">
        <x:v>1</x:v>
      </x:c>
      <x:c r="L2646" s="11" t="n">
        <x:f>IF(B2646="NED",1,IF(OR(B2646="ED",B2646="UN"),0,""))</x:f>
        <x:v>0</x:v>
      </x:c>
      <x:c r="M2646" s="11" t="n">
        <x:f>IF(AND(K2646=1,OR(B2646="ED",B2646="NED")),1,0)</x:f>
        <x:v>1</x:v>
      </x:c>
      <x:c r="N2646" s="11" t="n">
        <x:f>IF(K2646=1,1,0)</x:f>
        <x:v>1</x:v>
      </x:c>
      <x:c r="O2646" s="12"/>
      <x:c r="P2646" s="11" t="n">
        <x:v>0</x:v>
      </x:c>
      <x:c r="Q2646" s="12" t="str">
        <x:v>AF-Q9CPU0-F1-model_v6</x:v>
      </x:c>
      <x:c r="R2646" s="12" t="str">
        <x:v>ok</x:v>
      </x:c>
      <x:c r="S2646" s="11" t="n">
        <x:v>2128</x:v>
      </x:c>
      <x:c r="T2646" s="11" t="n">
        <x:v>184</x:v>
      </x:c>
    </x:row>
    <x:row r="2647" ht="23" customHeight="1">
      <x:c r="A2647" s="2" t="str">
        <x:v>Q9CPV5</x:v>
      </x:c>
      <x:c r="B2647" s="2" t="str">
        <x:v>NED</x:v>
      </x:c>
      <x:c r="C2647" s="2" t="n">
        <x:v>0</x:v>
      </x:c>
      <x:c r="D2647" s="2" t="n">
        <x:v>0</x:v>
      </x:c>
      <x:c r="E2647" s="10" t="n">
        <x:v>86.46009900990099</x:v>
      </x:c>
      <x:c r="F2647" s="11" t="n">
        <x:v>202</x:v>
      </x:c>
      <x:c r="G2647" s="11" t="n">
        <x:v>0</x:v>
      </x:c>
      <x:c r="H2647" s="11" t="n">
        <x:v>0</x:v>
      </x:c>
      <x:c r="I2647" s="11" t="n">
        <x:v>0</x:v>
      </x:c>
      <x:c r="J2647" s="11" t="n">
        <x:v>0</x:v>
      </x:c>
      <x:c r="K2647" s="11" t="n">
        <x:v>1</x:v>
      </x:c>
      <x:c r="L2647" s="11" t="n">
        <x:f>IF(B2647="NED",1,IF(OR(B2647="ED",B2647="UN"),0,""))</x:f>
        <x:v>1</x:v>
      </x:c>
      <x:c r="M2647" s="11" t="n">
        <x:f>IF(AND(K2647=1,OR(B2647="ED",B2647="NED")),1,0)</x:f>
        <x:v>1</x:v>
      </x:c>
      <x:c r="N2647" s="11" t="n">
        <x:f>IF(K2647=1,1,0)</x:f>
        <x:v>1</x:v>
      </x:c>
      <x:c r="O2647" s="12"/>
      <x:c r="P2647" s="11" t="n">
        <x:v>0</x:v>
      </x:c>
      <x:c r="Q2647" s="12" t="str">
        <x:v>AF-Q9CPV5-F1-model_v6</x:v>
      </x:c>
      <x:c r="R2647" s="12" t="str">
        <x:v>ok</x:v>
      </x:c>
      <x:c r="S2647" s="11" t="n">
        <x:v>2129</x:v>
      </x:c>
      <x:c r="T2647" s="11" t="n">
        <x:v>202</x:v>
      </x:c>
    </x:row>
    <x:row r="2648" ht="23" customHeight="1">
      <x:c r="A2648" s="2" t="str">
        <x:v>Q9CPW4</x:v>
      </x:c>
      <x:c r="B2648" s="2" t="str">
        <x:v>ED</x:v>
      </x:c>
      <x:c r="C2648" s="2" t="n">
        <x:v>0</x:v>
      </x:c>
      <x:c r="D2648" s="2" t="n">
        <x:v>0</x:v>
      </x:c>
      <x:c r="E2648" s="10" t="n">
        <x:v>92.15456953642384</x:v>
      </x:c>
      <x:c r="F2648" s="11" t="n">
        <x:v>151</x:v>
      </x:c>
      <x:c r="G2648" s="11" t="n">
        <x:v>0</x:v>
      </x:c>
      <x:c r="H2648" s="11" t="n">
        <x:v>0</x:v>
      </x:c>
      <x:c r="I2648" s="11" t="n">
        <x:v>0</x:v>
      </x:c>
      <x:c r="J2648" s="11" t="n">
        <x:v>0</x:v>
      </x:c>
      <x:c r="K2648" s="11" t="n">
        <x:v>1</x:v>
      </x:c>
      <x:c r="L2648" s="11" t="n">
        <x:f>IF(B2648="NED",1,IF(OR(B2648="ED",B2648="UN"),0,""))</x:f>
        <x:v>0</x:v>
      </x:c>
      <x:c r="M2648" s="11" t="n">
        <x:f>IF(AND(K2648=1,OR(B2648="ED",B2648="NED")),1,0)</x:f>
        <x:v>1</x:v>
      </x:c>
      <x:c r="N2648" s="11" t="n">
        <x:f>IF(K2648=1,1,0)</x:f>
        <x:v>1</x:v>
      </x:c>
      <x:c r="O2648" s="12"/>
      <x:c r="P2648" s="11" t="n">
        <x:v>0</x:v>
      </x:c>
      <x:c r="Q2648" s="12" t="str">
        <x:v>AF-Q9CPW4-F1-model_v6</x:v>
      </x:c>
      <x:c r="R2648" s="12" t="str">
        <x:v>ok</x:v>
      </x:c>
      <x:c r="S2648" s="11" t="n">
        <x:v>2130</x:v>
      </x:c>
      <x:c r="T2648" s="11" t="n">
        <x:v>151</x:v>
      </x:c>
    </x:row>
    <x:row r="2649" ht="23" customHeight="1">
      <x:c r="A2649" s="2" t="str">
        <x:v>Q9CPX8</x:v>
      </x:c>
      <x:c r="B2649" s="2" t="str">
        <x:v>UN</x:v>
      </x:c>
      <x:c r="C2649" s="2" t="n">
        <x:v>0</x:v>
      </x:c>
      <x:c r="D2649" s="2" t="n">
        <x:v>0</x:v>
      </x:c>
      <x:c r="E2649" s="10"/>
      <x:c r="F2649" s="11" t="n">
        <x:v>56</x:v>
      </x:c>
      <x:c r="G2649" s="11" t="n">
        <x:v>0</x:v>
      </x:c>
      <x:c r="H2649" s="11" t="n">
        <x:v>0</x:v>
      </x:c>
      <x:c r="I2649" s="11" t="n">
        <x:v>1</x:v>
      </x:c>
      <x:c r="J2649" s="11" t="n">
        <x:v>0</x:v>
      </x:c>
      <x:c r="K2649" s="11" t="n">
        <x:v>0</x:v>
      </x:c>
      <x:c r="L2649" s="11" t="n">
        <x:f>IF(B2649="NED",1,IF(OR(B2649="ED",B2649="UN"),0,""))</x:f>
        <x:v>0</x:v>
      </x:c>
      <x:c r="M2649" s="11" t="n">
        <x:f>IF(AND(K2649=1,OR(B2649="ED",B2649="NED")),1,0)</x:f>
        <x:v>0</x:v>
      </x:c>
      <x:c r="N2649" s="11" t="n">
        <x:f>IF(K2649=1,1,0)</x:f>
        <x:v>0</x:v>
      </x:c>
      <x:c r="O2649" s="12" t="str">
        <x:v>Exclude UniProt Membrane keyword</x:v>
      </x:c>
      <x:c r="P2649" s="11" t="n">
        <x:v>0</x:v>
      </x:c>
      <x:c r="Q2649" s="12" t="str">
        <x:v>AF-Q9CPX8-F1-model_v6</x:v>
      </x:c>
      <x:c r="R2649" s="12" t="str">
        <x:v>ok</x:v>
      </x:c>
      <x:c r="S2649" s="11" t="n">
        <x:v>2131</x:v>
      </x:c>
      <x:c r="T2649" s="11" t="n">
        <x:v>56</x:v>
      </x:c>
    </x:row>
    <x:row r="2650" ht="23" customHeight="1">
      <x:c r="A2650" s="2" t="str">
        <x:v>Q9CPY3</x:v>
      </x:c>
      <x:c r="B2650" s="2" t="str">
        <x:v>ED</x:v>
      </x:c>
      <x:c r="C2650" s="2" t="n">
        <x:v>0</x:v>
      </x:c>
      <x:c r="D2650" s="2" t="n">
        <x:v>0</x:v>
      </x:c>
      <x:c r="E2650" s="10" t="n">
        <x:v>62.403106060606056</x:v>
      </x:c>
      <x:c r="F2650" s="11" t="n">
        <x:v>264</x:v>
      </x:c>
      <x:c r="G2650" s="11" t="n">
        <x:v>0</x:v>
      </x:c>
      <x:c r="H2650" s="11" t="n">
        <x:v>0</x:v>
      </x:c>
      <x:c r="I2650" s="11" t="n">
        <x:v>0</x:v>
      </x:c>
      <x:c r="J2650" s="11" t="n">
        <x:v>0</x:v>
      </x:c>
      <x:c r="K2650" s="11" t="n">
        <x:v>0</x:v>
      </x:c>
      <x:c r="L2650" s="11" t="n">
        <x:f>IF(B2650="NED",1,IF(OR(B2650="ED",B2650="UN"),0,""))</x:f>
        <x:v>0</x:v>
      </x:c>
      <x:c r="M2650" s="11" t="n">
        <x:f>IF(AND(K2650=1,OR(B2650="ED",B2650="NED")),1,0)</x:f>
        <x:v>0</x:v>
      </x:c>
      <x:c r="N2650" s="11" t="n">
        <x:f>IF(K2650=1,1,0)</x:f>
        <x:v>0</x:v>
      </x:c>
      <x:c r="O2650" s="12" t="str">
        <x:v>Retain protein mean pLDDT &gt;=70</x:v>
      </x:c>
      <x:c r="P2650" s="11" t="n">
        <x:v>0</x:v>
      </x:c>
      <x:c r="Q2650" s="12" t="str">
        <x:v>AF-Q9CPY3-F1-model_v6</x:v>
      </x:c>
      <x:c r="R2650" s="12" t="str">
        <x:v>ok</x:v>
      </x:c>
      <x:c r="S2650" s="11" t="n">
        <x:v>2132</x:v>
      </x:c>
      <x:c r="T2650" s="11" t="n">
        <x:v>264</x:v>
      </x:c>
    </x:row>
    <x:row r="2651" ht="23" customHeight="1">
      <x:c r="A2651" s="2" t="str">
        <x:v>Q9CPY7-2</x:v>
      </x:c>
      <x:c r="B2651" s="2" t="str">
        <x:v>UN</x:v>
      </x:c>
      <x:c r="C2651" s="2"/>
      <x:c r="D2651" s="2"/>
      <x:c r="E2651" s="10"/>
      <x:c r="F2651" s="11"/>
      <x:c r="G2651" s="11" t="n">
        <x:v>0</x:v>
      </x:c>
      <x:c r="H2651" s="11" t="n">
        <x:v>0</x:v>
      </x:c>
      <x:c r="I2651" s="11"/>
      <x:c r="J2651" s="11"/>
      <x:c r="K2651" s="11" t="n">
        <x:v>0</x:v>
      </x:c>
      <x:c r="L2651" s="11" t="n">
        <x:f>IF(B2651="NED",1,IF(OR(B2651="ED",B2651="UN"),0,""))</x:f>
        <x:v>0</x:v>
      </x:c>
      <x:c r="M2651" s="11" t="n">
        <x:f>IF(AND(K2651=1,OR(B2651="ED",B2651="NED")),1,0)</x:f>
        <x:v>0</x:v>
      </x:c>
      <x:c r="N2651" s="11" t="n">
        <x:f>IF(K2651=1,1,0)</x:f>
        <x:v>0</x:v>
      </x:c>
      <x:c r="O2651" s="12" t="str">
        <x:v>Require exact native accession match</x:v>
      </x:c>
      <x:c r="P2651" s="11" t="n">
        <x:v>0</x:v>
      </x:c>
      <x:c r="Q2651" s="12"/>
      <x:c r="R2651" s="12"/>
      <x:c r="S2651" s="11" t="n">
        <x:v>2133</x:v>
      </x:c>
      <x:c r="T2651" s="11"/>
    </x:row>
    <x:row r="2652" ht="23" customHeight="1">
      <x:c r="A2652" s="2" t="str">
        <x:v>Q9CQ06</x:v>
      </x:c>
      <x:c r="B2652" s="2" t="str">
        <x:v>UN</x:v>
      </x:c>
      <x:c r="C2652" s="2" t="n">
        <x:v>1</x:v>
      </x:c>
      <x:c r="D2652" s="2" t="n">
        <x:v>1</x:v>
      </x:c>
      <x:c r="E2652" s="10" t="n">
        <x:v>92.2663425925926</x:v>
      </x:c>
      <x:c r="F2652" s="11" t="n">
        <x:v>216</x:v>
      </x:c>
      <x:c r="G2652" s="11" t="n">
        <x:v>0</x:v>
      </x:c>
      <x:c r="H2652" s="11" t="n">
        <x:v>0</x:v>
      </x:c>
      <x:c r="I2652" s="11" t="n">
        <x:v>0</x:v>
      </x:c>
      <x:c r="J2652" s="11" t="n">
        <x:v>0</x:v>
      </x:c>
      <x:c r="K2652" s="11" t="n">
        <x:v>1</x:v>
      </x:c>
      <x:c r="L2652" s="11" t="n">
        <x:f>IF(B2652="NED",1,IF(OR(B2652="ED",B2652="UN"),0,""))</x:f>
        <x:v>0</x:v>
      </x:c>
      <x:c r="M2652" s="11" t="n">
        <x:f>IF(AND(K2652=1,OR(B2652="ED",B2652="NED")),1,0)</x:f>
        <x:v>0</x:v>
      </x:c>
      <x:c r="N2652" s="11" t="n">
        <x:f>IF(K2652=1,1,0)</x:f>
        <x:v>1</x:v>
      </x:c>
      <x:c r="O2652" s="12"/>
      <x:c r="P2652" s="11" t="n">
        <x:v>0</x:v>
      </x:c>
      <x:c r="Q2652" s="12" t="str">
        <x:v>AF-Q9CQ06-F1-model_v6</x:v>
      </x:c>
      <x:c r="R2652" s="12" t="str">
        <x:v>ok</x:v>
      </x:c>
      <x:c r="S2652" s="11" t="n">
        <x:v>2134</x:v>
      </x:c>
      <x:c r="T2652" s="11" t="n">
        <x:v>216</x:v>
      </x:c>
    </x:row>
    <x:row r="2653" ht="23" customHeight="1">
      <x:c r="A2653" s="2" t="str">
        <x:v>Q9CQ18</x:v>
      </x:c>
      <x:c r="B2653" s="2" t="str">
        <x:v>ED</x:v>
      </x:c>
      <x:c r="C2653" s="2" t="n">
        <x:v>1</x:v>
      </x:c>
      <x:c r="D2653" s="2" t="n">
        <x:v>1</x:v>
      </x:c>
      <x:c r="E2653" s="10" t="n">
        <x:v>82.34373493975903</x:v>
      </x:c>
      <x:c r="F2653" s="11" t="n">
        <x:v>166</x:v>
      </x:c>
      <x:c r="G2653" s="11" t="n">
        <x:v>0</x:v>
      </x:c>
      <x:c r="H2653" s="11" t="n">
        <x:v>0</x:v>
      </x:c>
      <x:c r="I2653" s="11" t="n">
        <x:v>0</x:v>
      </x:c>
      <x:c r="J2653" s="11" t="n">
        <x:v>0</x:v>
      </x:c>
      <x:c r="K2653" s="11" t="n">
        <x:v>1</x:v>
      </x:c>
      <x:c r="L2653" s="11" t="n">
        <x:f>IF(B2653="NED",1,IF(OR(B2653="ED",B2653="UN"),0,""))</x:f>
        <x:v>0</x:v>
      </x:c>
      <x:c r="M2653" s="11" t="n">
        <x:f>IF(AND(K2653=1,OR(B2653="ED",B2653="NED")),1,0)</x:f>
        <x:v>1</x:v>
      </x:c>
      <x:c r="N2653" s="11" t="n">
        <x:f>IF(K2653=1,1,0)</x:f>
        <x:v>1</x:v>
      </x:c>
      <x:c r="O2653" s="12"/>
      <x:c r="P2653" s="11" t="n">
        <x:v>0</x:v>
      </x:c>
      <x:c r="Q2653" s="12" t="str">
        <x:v>AF-Q9CQ18-F1-model_v6</x:v>
      </x:c>
      <x:c r="R2653" s="12" t="str">
        <x:v>ok</x:v>
      </x:c>
      <x:c r="S2653" s="11" t="n">
        <x:v>2135</x:v>
      </x:c>
      <x:c r="T2653" s="11" t="n">
        <x:v>166</x:v>
      </x:c>
    </x:row>
    <x:row r="2654" ht="23" customHeight="1">
      <x:c r="A2654" s="2" t="str">
        <x:v>Q9CQ22</x:v>
      </x:c>
      <x:c r="B2654" s="2" t="str">
        <x:v>UN</x:v>
      </x:c>
      <x:c r="C2654" s="2" t="n">
        <x:v>0</x:v>
      </x:c>
      <x:c r="D2654" s="2" t="n">
        <x:v>0</x:v>
      </x:c>
      <x:c r="E2654" s="10"/>
      <x:c r="F2654" s="11" t="n">
        <x:v>161</x:v>
      </x:c>
      <x:c r="G2654" s="11" t="n">
        <x:v>0</x:v>
      </x:c>
      <x:c r="H2654" s="11" t="n">
        <x:v>0</x:v>
      </x:c>
      <x:c r="I2654" s="11" t="n">
        <x:v>1</x:v>
      </x:c>
      <x:c r="J2654" s="11" t="n">
        <x:v>0</x:v>
      </x:c>
      <x:c r="K2654" s="11" t="n">
        <x:v>0</x:v>
      </x:c>
      <x:c r="L2654" s="11" t="n">
        <x:f>IF(B2654="NED",1,IF(OR(B2654="ED",B2654="UN"),0,""))</x:f>
        <x:v>0</x:v>
      </x:c>
      <x:c r="M2654" s="11" t="n">
        <x:f>IF(AND(K2654=1,OR(B2654="ED",B2654="NED")),1,0)</x:f>
        <x:v>0</x:v>
      </x:c>
      <x:c r="N2654" s="11" t="n">
        <x:f>IF(K2654=1,1,0)</x:f>
        <x:v>0</x:v>
      </x:c>
      <x:c r="O2654" s="12" t="str">
        <x:v>Exclude UniProt Membrane keyword</x:v>
      </x:c>
      <x:c r="P2654" s="11" t="n">
        <x:v>0</x:v>
      </x:c>
      <x:c r="Q2654" s="12" t="str">
        <x:v>AF-Q9CQ22-F1-model_v6</x:v>
      </x:c>
      <x:c r="R2654" s="12" t="str">
        <x:v>ok</x:v>
      </x:c>
      <x:c r="S2654" s="11" t="n">
        <x:v>2136</x:v>
      </x:c>
      <x:c r="T2654" s="11" t="n">
        <x:v>161</x:v>
      </x:c>
    </x:row>
    <x:row r="2655" ht="23" customHeight="1">
      <x:c r="A2655" s="2" t="str">
        <x:v>Q9CQ39</x:v>
      </x:c>
      <x:c r="B2655" s="2" t="str">
        <x:v>UN</x:v>
      </x:c>
      <x:c r="C2655" s="2" t="n">
        <x:v>0</x:v>
      </x:c>
      <x:c r="D2655" s="2" t="n">
        <x:v>0</x:v>
      </x:c>
      <x:c r="E2655" s="10" t="n">
        <x:v>84.469375</x:v>
      </x:c>
      <x:c r="F2655" s="11" t="n">
        <x:v>144</x:v>
      </x:c>
      <x:c r="G2655" s="11" t="n">
        <x:v>0</x:v>
      </x:c>
      <x:c r="H2655" s="11" t="n">
        <x:v>0</x:v>
      </x:c>
      <x:c r="I2655" s="11" t="n">
        <x:v>0</x:v>
      </x:c>
      <x:c r="J2655" s="11" t="n">
        <x:v>0</x:v>
      </x:c>
      <x:c r="K2655" s="11" t="n">
        <x:v>1</x:v>
      </x:c>
      <x:c r="L2655" s="11" t="n">
        <x:f>IF(B2655="NED",1,IF(OR(B2655="ED",B2655="UN"),0,""))</x:f>
        <x:v>0</x:v>
      </x:c>
      <x:c r="M2655" s="11" t="n">
        <x:f>IF(AND(K2655=1,OR(B2655="ED",B2655="NED")),1,0)</x:f>
        <x:v>0</x:v>
      </x:c>
      <x:c r="N2655" s="11" t="n">
        <x:f>IF(K2655=1,1,0)</x:f>
        <x:v>1</x:v>
      </x:c>
      <x:c r="O2655" s="12"/>
      <x:c r="P2655" s="11" t="n">
        <x:v>0</x:v>
      </x:c>
      <x:c r="Q2655" s="12" t="str">
        <x:v>AF-Q9CQ39-F1-model_v6</x:v>
      </x:c>
      <x:c r="R2655" s="12" t="str">
        <x:v>ok</x:v>
      </x:c>
      <x:c r="S2655" s="11" t="n">
        <x:v>2137</x:v>
      </x:c>
      <x:c r="T2655" s="11" t="n">
        <x:v>144</x:v>
      </x:c>
    </x:row>
    <x:row r="2656" ht="23" customHeight="1">
      <x:c r="A2656" s="2" t="str">
        <x:v>Q9CQ40</x:v>
      </x:c>
      <x:c r="B2656" s="2" t="str">
        <x:v>UN</x:v>
      </x:c>
      <x:c r="C2656" s="2" t="n">
        <x:v>0</x:v>
      </x:c>
      <x:c r="D2656" s="2" t="n">
        <x:v>0</x:v>
      </x:c>
      <x:c r="E2656" s="10" t="n">
        <x:v>86.64692771084337</x:v>
      </x:c>
      <x:c r="F2656" s="11" t="n">
        <x:v>166</x:v>
      </x:c>
      <x:c r="G2656" s="11" t="n">
        <x:v>0</x:v>
      </x:c>
      <x:c r="H2656" s="11" t="n">
        <x:v>0</x:v>
      </x:c>
      <x:c r="I2656" s="11" t="n">
        <x:v>0</x:v>
      </x:c>
      <x:c r="J2656" s="11" t="n">
        <x:v>0</x:v>
      </x:c>
      <x:c r="K2656" s="11" t="n">
        <x:v>1</x:v>
      </x:c>
      <x:c r="L2656" s="11" t="n">
        <x:f>IF(B2656="NED",1,IF(OR(B2656="ED",B2656="UN"),0,""))</x:f>
        <x:v>0</x:v>
      </x:c>
      <x:c r="M2656" s="11" t="n">
        <x:f>IF(AND(K2656=1,OR(B2656="ED",B2656="NED")),1,0)</x:f>
        <x:v>0</x:v>
      </x:c>
      <x:c r="N2656" s="11" t="n">
        <x:f>IF(K2656=1,1,0)</x:f>
        <x:v>1</x:v>
      </x:c>
      <x:c r="O2656" s="12"/>
      <x:c r="P2656" s="11" t="n">
        <x:v>0</x:v>
      </x:c>
      <x:c r="Q2656" s="12" t="str">
        <x:v>AF-Q9CQ40-F1-model_v6</x:v>
      </x:c>
      <x:c r="R2656" s="12" t="str">
        <x:v>ok</x:v>
      </x:c>
      <x:c r="S2656" s="11" t="n">
        <x:v>2138</x:v>
      </x:c>
      <x:c r="T2656" s="11" t="n">
        <x:v>166</x:v>
      </x:c>
    </x:row>
    <x:row r="2657" ht="23" customHeight="1">
      <x:c r="A2657" s="2" t="str">
        <x:v>Q9CQ43</x:v>
      </x:c>
      <x:c r="B2657" s="2" t="str">
        <x:v>ED</x:v>
      </x:c>
      <x:c r="C2657" s="2" t="n">
        <x:v>1</x:v>
      </x:c>
      <x:c r="D2657" s="2" t="n">
        <x:v>1</x:v>
      </x:c>
      <x:c r="E2657" s="10" t="n">
        <x:v>89.31320987654321</x:v>
      </x:c>
      <x:c r="F2657" s="11" t="n">
        <x:v>162</x:v>
      </x:c>
      <x:c r="G2657" s="11" t="n">
        <x:v>0</x:v>
      </x:c>
      <x:c r="H2657" s="11" t="n">
        <x:v>0</x:v>
      </x:c>
      <x:c r="I2657" s="11" t="n">
        <x:v>0</x:v>
      </x:c>
      <x:c r="J2657" s="11" t="n">
        <x:v>0</x:v>
      </x:c>
      <x:c r="K2657" s="11" t="n">
        <x:v>1</x:v>
      </x:c>
      <x:c r="L2657" s="11" t="n">
        <x:f>IF(B2657="NED",1,IF(OR(B2657="ED",B2657="UN"),0,""))</x:f>
        <x:v>0</x:v>
      </x:c>
      <x:c r="M2657" s="11" t="n">
        <x:f>IF(AND(K2657=1,OR(B2657="ED",B2657="NED")),1,0)</x:f>
        <x:v>1</x:v>
      </x:c>
      <x:c r="N2657" s="11" t="n">
        <x:f>IF(K2657=1,1,0)</x:f>
        <x:v>1</x:v>
      </x:c>
      <x:c r="O2657" s="12"/>
      <x:c r="P2657" s="11" t="n">
        <x:v>0</x:v>
      </x:c>
      <x:c r="Q2657" s="12" t="str">
        <x:v>AF-Q9CQ43-F1-model_v6</x:v>
      </x:c>
      <x:c r="R2657" s="12" t="str">
        <x:v>ok</x:v>
      </x:c>
      <x:c r="S2657" s="11" t="n">
        <x:v>3261</x:v>
      </x:c>
      <x:c r="T2657" s="11" t="n">
        <x:v>162</x:v>
      </x:c>
    </x:row>
    <x:row r="2658" ht="23" customHeight="1">
      <x:c r="A2658" s="2" t="str">
        <x:v>Q9CQ54</x:v>
      </x:c>
      <x:c r="B2658" s="2" t="str">
        <x:v>UN</x:v>
      </x:c>
      <x:c r="C2658" s="2" t="n">
        <x:v>0</x:v>
      </x:c>
      <x:c r="D2658" s="2" t="n">
        <x:v>0</x:v>
      </x:c>
      <x:c r="E2658" s="10"/>
      <x:c r="F2658" s="11" t="n">
        <x:v>120</x:v>
      </x:c>
      <x:c r="G2658" s="11" t="n">
        <x:v>0</x:v>
      </x:c>
      <x:c r="H2658" s="11" t="n">
        <x:v>0</x:v>
      </x:c>
      <x:c r="I2658" s="11" t="n">
        <x:v>1</x:v>
      </x:c>
      <x:c r="J2658" s="11" t="n">
        <x:v>0</x:v>
      </x:c>
      <x:c r="K2658" s="11" t="n">
        <x:v>0</x:v>
      </x:c>
      <x:c r="L2658" s="11" t="n">
        <x:f>IF(B2658="NED",1,IF(OR(B2658="ED",B2658="UN"),0,""))</x:f>
        <x:v>0</x:v>
      </x:c>
      <x:c r="M2658" s="11" t="n">
        <x:f>IF(AND(K2658=1,OR(B2658="ED",B2658="NED")),1,0)</x:f>
        <x:v>0</x:v>
      </x:c>
      <x:c r="N2658" s="11" t="n">
        <x:f>IF(K2658=1,1,0)</x:f>
        <x:v>0</x:v>
      </x:c>
      <x:c r="O2658" s="12" t="str">
        <x:v>Exclude UniProt Membrane keyword</x:v>
      </x:c>
      <x:c r="P2658" s="11" t="n">
        <x:v>0</x:v>
      </x:c>
      <x:c r="Q2658" s="12" t="str">
        <x:v>AF-Q9CQ54-F1-model_v6</x:v>
      </x:c>
      <x:c r="R2658" s="12" t="str">
        <x:v>ok</x:v>
      </x:c>
      <x:c r="S2658" s="11" t="n">
        <x:v>2139</x:v>
      </x:c>
      <x:c r="T2658" s="11" t="n">
        <x:v>120</x:v>
      </x:c>
    </x:row>
    <x:row r="2659" ht="23" customHeight="1">
      <x:c r="A2659" s="2" t="str">
        <x:v>Q9CQ60</x:v>
      </x:c>
      <x:c r="B2659" s="2" t="str">
        <x:v>UN</x:v>
      </x:c>
      <x:c r="C2659" s="2" t="n">
        <x:v>1</x:v>
      </x:c>
      <x:c r="D2659" s="2" t="n">
        <x:v>1</x:v>
      </x:c>
      <x:c r="E2659" s="10" t="n">
        <x:v>94.92996108949416</x:v>
      </x:c>
      <x:c r="F2659" s="11" t="n">
        <x:v>257</x:v>
      </x:c>
      <x:c r="G2659" s="11" t="n">
        <x:v>0</x:v>
      </x:c>
      <x:c r="H2659" s="11" t="n">
        <x:v>0</x:v>
      </x:c>
      <x:c r="I2659" s="11" t="n">
        <x:v>0</x:v>
      </x:c>
      <x:c r="J2659" s="11" t="n">
        <x:v>0</x:v>
      </x:c>
      <x:c r="K2659" s="11" t="n">
        <x:v>1</x:v>
      </x:c>
      <x:c r="L2659" s="11" t="n">
        <x:f>IF(B2659="NED",1,IF(OR(B2659="ED",B2659="UN"),0,""))</x:f>
        <x:v>0</x:v>
      </x:c>
      <x:c r="M2659" s="11" t="n">
        <x:f>IF(AND(K2659=1,OR(B2659="ED",B2659="NED")),1,0)</x:f>
        <x:v>0</x:v>
      </x:c>
      <x:c r="N2659" s="11" t="n">
        <x:f>IF(K2659=1,1,0)</x:f>
        <x:v>1</x:v>
      </x:c>
      <x:c r="O2659" s="12"/>
      <x:c r="P2659" s="11" t="n">
        <x:v>0</x:v>
      </x:c>
      <x:c r="Q2659" s="12" t="str">
        <x:v>AF-Q9CQ60-F1-model_v6</x:v>
      </x:c>
      <x:c r="R2659" s="12" t="str">
        <x:v>ok</x:v>
      </x:c>
      <x:c r="S2659" s="11" t="n">
        <x:v>2140</x:v>
      </x:c>
      <x:c r="T2659" s="11" t="n">
        <x:v>257</x:v>
      </x:c>
    </x:row>
    <x:row r="2660" ht="23" customHeight="1">
      <x:c r="A2660" s="2" t="str">
        <x:v>Q9CQ62</x:v>
      </x:c>
      <x:c r="B2660" s="2" t="str">
        <x:v>UN</x:v>
      </x:c>
      <x:c r="C2660" s="2" t="n">
        <x:v>1</x:v>
      </x:c>
      <x:c r="D2660" s="2" t="n">
        <x:v>1</x:v>
      </x:c>
      <x:c r="E2660" s="10" t="n">
        <x:v>88.9640895522388</x:v>
      </x:c>
      <x:c r="F2660" s="11" t="n">
        <x:v>335</x:v>
      </x:c>
      <x:c r="G2660" s="11" t="n">
        <x:v>0</x:v>
      </x:c>
      <x:c r="H2660" s="11" t="n">
        <x:v>0</x:v>
      </x:c>
      <x:c r="I2660" s="11" t="n">
        <x:v>0</x:v>
      </x:c>
      <x:c r="J2660" s="11" t="n">
        <x:v>0</x:v>
      </x:c>
      <x:c r="K2660" s="11" t="n">
        <x:v>1</x:v>
      </x:c>
      <x:c r="L2660" s="11" t="n">
        <x:f>IF(B2660="NED",1,IF(OR(B2660="ED",B2660="UN"),0,""))</x:f>
        <x:v>0</x:v>
      </x:c>
      <x:c r="M2660" s="11" t="n">
        <x:f>IF(AND(K2660=1,OR(B2660="ED",B2660="NED")),1,0)</x:f>
        <x:v>0</x:v>
      </x:c>
      <x:c r="N2660" s="11" t="n">
        <x:f>IF(K2660=1,1,0)</x:f>
        <x:v>1</x:v>
      </x:c>
      <x:c r="O2660" s="12"/>
      <x:c r="P2660" s="11" t="n">
        <x:v>0</x:v>
      </x:c>
      <x:c r="Q2660" s="12" t="str">
        <x:v>AF-Q9CQ62-F1-model_v6</x:v>
      </x:c>
      <x:c r="R2660" s="12" t="str">
        <x:v>ok</x:v>
      </x:c>
      <x:c r="S2660" s="11" t="n">
        <x:v>2141</x:v>
      </x:c>
      <x:c r="T2660" s="11" t="n">
        <x:v>335</x:v>
      </x:c>
    </x:row>
    <x:row r="2661" ht="23" customHeight="1">
      <x:c r="A2661" s="2" t="str">
        <x:v>Q9CQ65</x:v>
      </x:c>
      <x:c r="B2661" s="2" t="str">
        <x:v>ED</x:v>
      </x:c>
      <x:c r="C2661" s="2" t="n">
        <x:v>1</x:v>
      </x:c>
      <x:c r="D2661" s="2" t="n">
        <x:v>1</x:v>
      </x:c>
      <x:c r="E2661" s="10" t="n">
        <x:v>94.57127208480564</x:v>
      </x:c>
      <x:c r="F2661" s="11" t="n">
        <x:v>283</x:v>
      </x:c>
      <x:c r="G2661" s="11" t="n">
        <x:v>0</x:v>
      </x:c>
      <x:c r="H2661" s="11" t="n">
        <x:v>0</x:v>
      </x:c>
      <x:c r="I2661" s="11" t="n">
        <x:v>0</x:v>
      </x:c>
      <x:c r="J2661" s="11" t="n">
        <x:v>0</x:v>
      </x:c>
      <x:c r="K2661" s="11" t="n">
        <x:v>1</x:v>
      </x:c>
      <x:c r="L2661" s="11" t="n">
        <x:f>IF(B2661="NED",1,IF(OR(B2661="ED",B2661="UN"),0,""))</x:f>
        <x:v>0</x:v>
      </x:c>
      <x:c r="M2661" s="11" t="n">
        <x:f>IF(AND(K2661=1,OR(B2661="ED",B2661="NED")),1,0)</x:f>
        <x:v>1</x:v>
      </x:c>
      <x:c r="N2661" s="11" t="n">
        <x:f>IF(K2661=1,1,0)</x:f>
        <x:v>1</x:v>
      </x:c>
      <x:c r="O2661" s="12"/>
      <x:c r="P2661" s="11" t="n">
        <x:v>0</x:v>
      </x:c>
      <x:c r="Q2661" s="12" t="str">
        <x:v>AF-Q9CQ65-F1-model_v6</x:v>
      </x:c>
      <x:c r="R2661" s="12" t="str">
        <x:v>ok</x:v>
      </x:c>
      <x:c r="S2661" s="11" t="n">
        <x:v>2142</x:v>
      </x:c>
      <x:c r="T2661" s="11" t="n">
        <x:v>283</x:v>
      </x:c>
    </x:row>
    <x:row r="2662" ht="23" customHeight="1">
      <x:c r="A2662" s="2" t="str">
        <x:v>Q9CQ69</x:v>
      </x:c>
      <x:c r="B2662" s="2" t="str">
        <x:v>NED</x:v>
      </x:c>
      <x:c r="C2662" s="2" t="n">
        <x:v>0</x:v>
      </x:c>
      <x:c r="D2662" s="2" t="n">
        <x:v>0</x:v>
      </x:c>
      <x:c r="E2662" s="10"/>
      <x:c r="F2662" s="11" t="n">
        <x:v>82</x:v>
      </x:c>
      <x:c r="G2662" s="11" t="n">
        <x:v>0</x:v>
      </x:c>
      <x:c r="H2662" s="11" t="n">
        <x:v>0</x:v>
      </x:c>
      <x:c r="I2662" s="11" t="n">
        <x:v>1</x:v>
      </x:c>
      <x:c r="J2662" s="11" t="n">
        <x:v>0</x:v>
      </x:c>
      <x:c r="K2662" s="11" t="n">
        <x:v>0</x:v>
      </x:c>
      <x:c r="L2662" s="11" t="n">
        <x:f>IF(B2662="NED",1,IF(OR(B2662="ED",B2662="UN"),0,""))</x:f>
        <x:v>1</x:v>
      </x:c>
      <x:c r="M2662" s="11" t="n">
        <x:f>IF(AND(K2662=1,OR(B2662="ED",B2662="NED")),1,0)</x:f>
        <x:v>0</x:v>
      </x:c>
      <x:c r="N2662" s="11" t="n">
        <x:f>IF(K2662=1,1,0)</x:f>
        <x:v>0</x:v>
      </x:c>
      <x:c r="O2662" s="12" t="str">
        <x:v>Exclude UniProt Membrane keyword</x:v>
      </x:c>
      <x:c r="P2662" s="11" t="n">
        <x:v>0</x:v>
      </x:c>
      <x:c r="Q2662" s="12" t="str">
        <x:v>AF-Q9CQ69-F1-model_v6</x:v>
      </x:c>
      <x:c r="R2662" s="12" t="str">
        <x:v>ok</x:v>
      </x:c>
      <x:c r="S2662" s="11" t="n">
        <x:v>2143</x:v>
      </x:c>
      <x:c r="T2662" s="11" t="n">
        <x:v>82</x:v>
      </x:c>
    </x:row>
    <x:row r="2663" ht="23" customHeight="1">
      <x:c r="A2663" s="2" t="str">
        <x:v>Q9CQ71</x:v>
      </x:c>
      <x:c r="B2663" s="2" t="str">
        <x:v>ED</x:v>
      </x:c>
      <x:c r="C2663" s="2" t="n">
        <x:v>1</x:v>
      </x:c>
      <x:c r="D2663" s="2" t="n">
        <x:v>1</x:v>
      </x:c>
      <x:c r="E2663" s="10" t="n">
        <x:v>93.98611570247934</x:v>
      </x:c>
      <x:c r="F2663" s="11" t="n">
        <x:v>121</x:v>
      </x:c>
      <x:c r="G2663" s="11" t="n">
        <x:v>0</x:v>
      </x:c>
      <x:c r="H2663" s="11" t="n">
        <x:v>0</x:v>
      </x:c>
      <x:c r="I2663" s="11" t="n">
        <x:v>0</x:v>
      </x:c>
      <x:c r="J2663" s="11" t="n">
        <x:v>0</x:v>
      </x:c>
      <x:c r="K2663" s="11" t="n">
        <x:v>1</x:v>
      </x:c>
      <x:c r="L2663" s="11" t="n">
        <x:f>IF(B2663="NED",1,IF(OR(B2663="ED",B2663="UN"),0,""))</x:f>
        <x:v>0</x:v>
      </x:c>
      <x:c r="M2663" s="11" t="n">
        <x:f>IF(AND(K2663=1,OR(B2663="ED",B2663="NED")),1,0)</x:f>
        <x:v>1</x:v>
      </x:c>
      <x:c r="N2663" s="11" t="n">
        <x:f>IF(K2663=1,1,0)</x:f>
        <x:v>1</x:v>
      </x:c>
      <x:c r="O2663" s="12"/>
      <x:c r="P2663" s="11" t="n">
        <x:v>0</x:v>
      </x:c>
      <x:c r="Q2663" s="12" t="str">
        <x:v>AF-Q9CQ71-F1-model_v6</x:v>
      </x:c>
      <x:c r="R2663" s="12" t="str">
        <x:v>ok</x:v>
      </x:c>
      <x:c r="S2663" s="11" t="n">
        <x:v>2144</x:v>
      </x:c>
      <x:c r="T2663" s="11" t="n">
        <x:v>121</x:v>
      </x:c>
    </x:row>
    <x:row r="2664" ht="23" customHeight="1">
      <x:c r="A2664" s="2" t="str">
        <x:v>Q9CQ79</x:v>
      </x:c>
      <x:c r="B2664" s="2" t="str">
        <x:v>ED</x:v>
      </x:c>
      <x:c r="C2664" s="2" t="n">
        <x:v>1</x:v>
      </x:c>
      <x:c r="D2664" s="2" t="n">
        <x:v>1</x:v>
      </x:c>
      <x:c r="E2664" s="10" t="n">
        <x:v>84.16849557522124</x:v>
      </x:c>
      <x:c r="F2664" s="11" t="n">
        <x:v>226</x:v>
      </x:c>
      <x:c r="G2664" s="11" t="n">
        <x:v>0</x:v>
      </x:c>
      <x:c r="H2664" s="11" t="n">
        <x:v>0</x:v>
      </x:c>
      <x:c r="I2664" s="11" t="n">
        <x:v>0</x:v>
      </x:c>
      <x:c r="J2664" s="11" t="n">
        <x:v>0</x:v>
      </x:c>
      <x:c r="K2664" s="11" t="n">
        <x:v>1</x:v>
      </x:c>
      <x:c r="L2664" s="11" t="n">
        <x:f>IF(B2664="NED",1,IF(OR(B2664="ED",B2664="UN"),0,""))</x:f>
        <x:v>0</x:v>
      </x:c>
      <x:c r="M2664" s="11" t="n">
        <x:f>IF(AND(K2664=1,OR(B2664="ED",B2664="NED")),1,0)</x:f>
        <x:v>1</x:v>
      </x:c>
      <x:c r="N2664" s="11" t="n">
        <x:f>IF(K2664=1,1,0)</x:f>
        <x:v>1</x:v>
      </x:c>
      <x:c r="O2664" s="12"/>
      <x:c r="P2664" s="11" t="n">
        <x:v>0</x:v>
      </x:c>
      <x:c r="Q2664" s="12" t="str">
        <x:v>AF-Q9CQ79-F1-model_v6</x:v>
      </x:c>
      <x:c r="R2664" s="12" t="str">
        <x:v>ok</x:v>
      </x:c>
      <x:c r="S2664" s="11" t="n">
        <x:v>2145</x:v>
      </x:c>
      <x:c r="T2664" s="11" t="n">
        <x:v>226</x:v>
      </x:c>
    </x:row>
    <x:row r="2665" ht="23" customHeight="1">
      <x:c r="A2665" s="2" t="str">
        <x:v>Q9CQ80</x:v>
      </x:c>
      <x:c r="B2665" s="2" t="str">
        <x:v>UN</x:v>
      </x:c>
      <x:c r="C2665" s="2" t="n">
        <x:v>0</x:v>
      </x:c>
      <x:c r="D2665" s="2" t="n">
        <x:v>0</x:v>
      </x:c>
      <x:c r="E2665" s="10"/>
      <x:c r="F2665" s="11" t="n">
        <x:v>176</x:v>
      </x:c>
      <x:c r="G2665" s="11" t="n">
        <x:v>0</x:v>
      </x:c>
      <x:c r="H2665" s="11" t="n">
        <x:v>0</x:v>
      </x:c>
      <x:c r="I2665" s="11" t="n">
        <x:v>1</x:v>
      </x:c>
      <x:c r="J2665" s="11" t="n">
        <x:v>0</x:v>
      </x:c>
      <x:c r="K2665" s="11" t="n">
        <x:v>0</x:v>
      </x:c>
      <x:c r="L2665" s="11" t="n">
        <x:f>IF(B2665="NED",1,IF(OR(B2665="ED",B2665="UN"),0,""))</x:f>
        <x:v>0</x:v>
      </x:c>
      <x:c r="M2665" s="11" t="n">
        <x:f>IF(AND(K2665=1,OR(B2665="ED",B2665="NED")),1,0)</x:f>
        <x:v>0</x:v>
      </x:c>
      <x:c r="N2665" s="11" t="n">
        <x:f>IF(K2665=1,1,0)</x:f>
        <x:v>0</x:v>
      </x:c>
      <x:c r="O2665" s="12" t="str">
        <x:v>Exclude UniProt Membrane keyword</x:v>
      </x:c>
      <x:c r="P2665" s="11" t="n">
        <x:v>0</x:v>
      </x:c>
      <x:c r="Q2665" s="12" t="str">
        <x:v>AF-Q9CQ80-F1-model_v6</x:v>
      </x:c>
      <x:c r="R2665" s="12" t="str">
        <x:v>ok</x:v>
      </x:c>
      <x:c r="S2665" s="11" t="n">
        <x:v>2146</x:v>
      </x:c>
      <x:c r="T2665" s="11" t="n">
        <x:v>176</x:v>
      </x:c>
    </x:row>
    <x:row r="2666" ht="23" customHeight="1">
      <x:c r="A2666" s="2" t="str">
        <x:v>Q9CQ85</x:v>
      </x:c>
      <x:c r="B2666" s="2" t="str">
        <x:v>UN</x:v>
      </x:c>
      <x:c r="C2666" s="2" t="n">
        <x:v>0</x:v>
      </x:c>
      <x:c r="D2666" s="2" t="n">
        <x:v>0</x:v>
      </x:c>
      <x:c r="E2666" s="10"/>
      <x:c r="F2666" s="11" t="n">
        <x:v>194</x:v>
      </x:c>
      <x:c r="G2666" s="11" t="n">
        <x:v>0</x:v>
      </x:c>
      <x:c r="H2666" s="11" t="n">
        <x:v>0</x:v>
      </x:c>
      <x:c r="I2666" s="11" t="n">
        <x:v>1</x:v>
      </x:c>
      <x:c r="J2666" s="11" t="n">
        <x:v>0</x:v>
      </x:c>
      <x:c r="K2666" s="11" t="n">
        <x:v>0</x:v>
      </x:c>
      <x:c r="L2666" s="11" t="n">
        <x:f>IF(B2666="NED",1,IF(OR(B2666="ED",B2666="UN"),0,""))</x:f>
        <x:v>0</x:v>
      </x:c>
      <x:c r="M2666" s="11" t="n">
        <x:f>IF(AND(K2666=1,OR(B2666="ED",B2666="NED")),1,0)</x:f>
        <x:v>0</x:v>
      </x:c>
      <x:c r="N2666" s="11" t="n">
        <x:f>IF(K2666=1,1,0)</x:f>
        <x:v>0</x:v>
      </x:c>
      <x:c r="O2666" s="12" t="str">
        <x:v>Exclude UniProt Membrane keyword</x:v>
      </x:c>
      <x:c r="P2666" s="11" t="n">
        <x:v>0</x:v>
      </x:c>
      <x:c r="Q2666" s="12" t="str">
        <x:v>AF-Q9CQ85-F1-model_v6</x:v>
      </x:c>
      <x:c r="R2666" s="12" t="str">
        <x:v>ok</x:v>
      </x:c>
      <x:c r="S2666" s="11" t="n">
        <x:v>2147</x:v>
      </x:c>
      <x:c r="T2666" s="11" t="n">
        <x:v>194</x:v>
      </x:c>
    </x:row>
    <x:row r="2667" ht="23" customHeight="1">
      <x:c r="A2667" s="2" t="str">
        <x:v>Q9CQ92</x:v>
      </x:c>
      <x:c r="B2667" s="2" t="str">
        <x:v>ED</x:v>
      </x:c>
      <x:c r="C2667" s="2" t="n">
        <x:v>0</x:v>
      </x:c>
      <x:c r="D2667" s="2" t="n">
        <x:v>0</x:v>
      </x:c>
      <x:c r="E2667" s="10"/>
      <x:c r="F2667" s="11" t="n">
        <x:v>152</x:v>
      </x:c>
      <x:c r="G2667" s="11" t="n">
        <x:v>0</x:v>
      </x:c>
      <x:c r="H2667" s="11" t="n">
        <x:v>0</x:v>
      </x:c>
      <x:c r="I2667" s="11" t="n">
        <x:v>1</x:v>
      </x:c>
      <x:c r="J2667" s="11" t="n">
        <x:v>0</x:v>
      </x:c>
      <x:c r="K2667" s="11" t="n">
        <x:v>0</x:v>
      </x:c>
      <x:c r="L2667" s="11" t="n">
        <x:f>IF(B2667="NED",1,IF(OR(B2667="ED",B2667="UN"),0,""))</x:f>
        <x:v>0</x:v>
      </x:c>
      <x:c r="M2667" s="11" t="n">
        <x:f>IF(AND(K2667=1,OR(B2667="ED",B2667="NED")),1,0)</x:f>
        <x:v>0</x:v>
      </x:c>
      <x:c r="N2667" s="11" t="n">
        <x:f>IF(K2667=1,1,0)</x:f>
        <x:v>0</x:v>
      </x:c>
      <x:c r="O2667" s="12" t="str">
        <x:v>Exclude UniProt Membrane keyword</x:v>
      </x:c>
      <x:c r="P2667" s="11" t="n">
        <x:v>0</x:v>
      </x:c>
      <x:c r="Q2667" s="12" t="str">
        <x:v>AF-Q9CQ92-F1-model_v6</x:v>
      </x:c>
      <x:c r="R2667" s="12" t="str">
        <x:v>ok</x:v>
      </x:c>
      <x:c r="S2667" s="11" t="n">
        <x:v>2148</x:v>
      </x:c>
      <x:c r="T2667" s="11" t="n">
        <x:v>152</x:v>
      </x:c>
    </x:row>
    <x:row r="2668" ht="23" customHeight="1">
      <x:c r="A2668" s="2" t="str">
        <x:v>Q9CQA1</x:v>
      </x:c>
      <x:c r="B2668" s="2" t="str">
        <x:v>UN</x:v>
      </x:c>
      <x:c r="C2668" s="2" t="n">
        <x:v>0</x:v>
      </x:c>
      <x:c r="D2668" s="2" t="n">
        <x:v>0</x:v>
      </x:c>
      <x:c r="E2668" s="10" t="n">
        <x:v>85.66132978723404</x:v>
      </x:c>
      <x:c r="F2668" s="11" t="n">
        <x:v>188</x:v>
      </x:c>
      <x:c r="G2668" s="11" t="n">
        <x:v>0</x:v>
      </x:c>
      <x:c r="H2668" s="11" t="n">
        <x:v>0</x:v>
      </x:c>
      <x:c r="I2668" s="11" t="n">
        <x:v>0</x:v>
      </x:c>
      <x:c r="J2668" s="11" t="n">
        <x:v>0</x:v>
      </x:c>
      <x:c r="K2668" s="11" t="n">
        <x:v>1</x:v>
      </x:c>
      <x:c r="L2668" s="11" t="n">
        <x:f>IF(B2668="NED",1,IF(OR(B2668="ED",B2668="UN"),0,""))</x:f>
        <x:v>0</x:v>
      </x:c>
      <x:c r="M2668" s="11" t="n">
        <x:f>IF(AND(K2668=1,OR(B2668="ED",B2668="NED")),1,0)</x:f>
        <x:v>0</x:v>
      </x:c>
      <x:c r="N2668" s="11" t="n">
        <x:f>IF(K2668=1,1,0)</x:f>
        <x:v>1</x:v>
      </x:c>
      <x:c r="O2668" s="12"/>
      <x:c r="P2668" s="11" t="n">
        <x:v>0</x:v>
      </x:c>
      <x:c r="Q2668" s="12" t="str">
        <x:v>AF-Q9CQA1-F1-model_v6</x:v>
      </x:c>
      <x:c r="R2668" s="12" t="str">
        <x:v>ok</x:v>
      </x:c>
      <x:c r="S2668" s="11" t="n">
        <x:v>2149</x:v>
      </x:c>
      <x:c r="T2668" s="11" t="n">
        <x:v>188</x:v>
      </x:c>
    </x:row>
    <x:row r="2669" ht="23" customHeight="1">
      <x:c r="A2669" s="2" t="str">
        <x:v>Q9CQA5</x:v>
      </x:c>
      <x:c r="B2669" s="2" t="str">
        <x:v>UN</x:v>
      </x:c>
      <x:c r="C2669" s="2" t="n">
        <x:v>0</x:v>
      </x:c>
      <x:c r="D2669" s="2" t="n">
        <x:v>0</x:v>
      </x:c>
      <x:c r="E2669" s="10" t="n">
        <x:v>73.23551851851852</x:v>
      </x:c>
      <x:c r="F2669" s="11" t="n">
        <x:v>270</x:v>
      </x:c>
      <x:c r="G2669" s="11" t="n">
        <x:v>0</x:v>
      </x:c>
      <x:c r="H2669" s="11" t="n">
        <x:v>0</x:v>
      </x:c>
      <x:c r="I2669" s="11" t="n">
        <x:v>0</x:v>
      </x:c>
      <x:c r="J2669" s="11" t="n">
        <x:v>0</x:v>
      </x:c>
      <x:c r="K2669" s="11" t="n">
        <x:v>1</x:v>
      </x:c>
      <x:c r="L2669" s="11" t="n">
        <x:f>IF(B2669="NED",1,IF(OR(B2669="ED",B2669="UN"),0,""))</x:f>
        <x:v>0</x:v>
      </x:c>
      <x:c r="M2669" s="11" t="n">
        <x:f>IF(AND(K2669=1,OR(B2669="ED",B2669="NED")),1,0)</x:f>
        <x:v>0</x:v>
      </x:c>
      <x:c r="N2669" s="11" t="n">
        <x:f>IF(K2669=1,1,0)</x:f>
        <x:v>1</x:v>
      </x:c>
      <x:c r="O2669" s="12"/>
      <x:c r="P2669" s="11" t="n">
        <x:v>0</x:v>
      </x:c>
      <x:c r="Q2669" s="12" t="str">
        <x:v>AF-Q9CQA5-F1-model_v6</x:v>
      </x:c>
      <x:c r="R2669" s="12" t="str">
        <x:v>ok</x:v>
      </x:c>
      <x:c r="S2669" s="11" t="n">
        <x:v>2150</x:v>
      </x:c>
      <x:c r="T2669" s="11" t="n">
        <x:v>270</x:v>
      </x:c>
    </x:row>
    <x:row r="2670" ht="23" customHeight="1">
      <x:c r="A2670" s="2" t="str">
        <x:v>Q9CQB5</x:v>
      </x:c>
      <x:c r="B2670" s="2" t="str">
        <x:v>UN</x:v>
      </x:c>
      <x:c r="C2670" s="2" t="n">
        <x:v>0</x:v>
      </x:c>
      <x:c r="D2670" s="2" t="n">
        <x:v>0</x:v>
      </x:c>
      <x:c r="E2670" s="10"/>
      <x:c r="F2670" s="11" t="n">
        <x:v>135</x:v>
      </x:c>
      <x:c r="G2670" s="11" t="n">
        <x:v>0</x:v>
      </x:c>
      <x:c r="H2670" s="11" t="n">
        <x:v>0</x:v>
      </x:c>
      <x:c r="I2670" s="11" t="n">
        <x:v>1</x:v>
      </x:c>
      <x:c r="J2670" s="11" t="n">
        <x:v>0</x:v>
      </x:c>
      <x:c r="K2670" s="11" t="n">
        <x:v>0</x:v>
      </x:c>
      <x:c r="L2670" s="11" t="n">
        <x:f>IF(B2670="NED",1,IF(OR(B2670="ED",B2670="UN"),0,""))</x:f>
        <x:v>0</x:v>
      </x:c>
      <x:c r="M2670" s="11" t="n">
        <x:f>IF(AND(K2670=1,OR(B2670="ED",B2670="NED")),1,0)</x:f>
        <x:v>0</x:v>
      </x:c>
      <x:c r="N2670" s="11" t="n">
        <x:f>IF(K2670=1,1,0)</x:f>
        <x:v>0</x:v>
      </x:c>
      <x:c r="O2670" s="12" t="str">
        <x:v>Exclude UniProt Membrane keyword</x:v>
      </x:c>
      <x:c r="P2670" s="11" t="n">
        <x:v>0</x:v>
      </x:c>
      <x:c r="Q2670" s="12" t="str">
        <x:v>AF-Q9CQB5-F1-model_v6</x:v>
      </x:c>
      <x:c r="R2670" s="12" t="str">
        <x:v>ok</x:v>
      </x:c>
      <x:c r="S2670" s="11" t="n">
        <x:v>2151</x:v>
      </x:c>
      <x:c r="T2670" s="11" t="n">
        <x:v>135</x:v>
      </x:c>
    </x:row>
    <x:row r="2671" ht="23" customHeight="1">
      <x:c r="A2671" s="2" t="str">
        <x:v>Q9CQD1</x:v>
      </x:c>
      <x:c r="B2671" s="2" t="str">
        <x:v>UN</x:v>
      </x:c>
      <x:c r="C2671" s="2" t="n">
        <x:v>1</x:v>
      </x:c>
      <x:c r="D2671" s="2" t="n">
        <x:v>1</x:v>
      </x:c>
      <x:c r="E2671" s="10"/>
      <x:c r="F2671" s="11" t="n">
        <x:v>215</x:v>
      </x:c>
      <x:c r="G2671" s="11" t="n">
        <x:v>0</x:v>
      </x:c>
      <x:c r="H2671" s="11" t="n">
        <x:v>0</x:v>
      </x:c>
      <x:c r="I2671" s="11" t="n">
        <x:v>1</x:v>
      </x:c>
      <x:c r="J2671" s="11" t="n">
        <x:v>0</x:v>
      </x:c>
      <x:c r="K2671" s="11" t="n">
        <x:v>0</x:v>
      </x:c>
      <x:c r="L2671" s="11" t="n">
        <x:f>IF(B2671="NED",1,IF(OR(B2671="ED",B2671="UN"),0,""))</x:f>
        <x:v>0</x:v>
      </x:c>
      <x:c r="M2671" s="11" t="n">
        <x:f>IF(AND(K2671=1,OR(B2671="ED",B2671="NED")),1,0)</x:f>
        <x:v>0</x:v>
      </x:c>
      <x:c r="N2671" s="11" t="n">
        <x:f>IF(K2671=1,1,0)</x:f>
        <x:v>0</x:v>
      </x:c>
      <x:c r="O2671" s="12" t="str">
        <x:v>Exclude UniProt Membrane keyword</x:v>
      </x:c>
      <x:c r="P2671" s="11" t="n">
        <x:v>0</x:v>
      </x:c>
      <x:c r="Q2671" s="12" t="str">
        <x:v>AF-Q9CQD1-F1-model_v6</x:v>
      </x:c>
      <x:c r="R2671" s="12" t="str">
        <x:v>ok</x:v>
      </x:c>
      <x:c r="S2671" s="11" t="n">
        <x:v>2152</x:v>
      </x:c>
      <x:c r="T2671" s="11" t="n">
        <x:v>215</x:v>
      </x:c>
    </x:row>
    <x:row r="2672" ht="23" customHeight="1">
      <x:c r="A2672" s="2" t="str">
        <x:v>Q9CQE8</x:v>
      </x:c>
      <x:c r="B2672" s="2" t="str">
        <x:v>UN</x:v>
      </x:c>
      <x:c r="C2672" s="2" t="n">
        <x:v>0</x:v>
      </x:c>
      <x:c r="D2672" s="2" t="n">
        <x:v>0</x:v>
      </x:c>
      <x:c r="E2672" s="10" t="n">
        <x:v>73.86610655737705</x:v>
      </x:c>
      <x:c r="F2672" s="11" t="n">
        <x:v>244</x:v>
      </x:c>
      <x:c r="G2672" s="11" t="n">
        <x:v>0</x:v>
      </x:c>
      <x:c r="H2672" s="11" t="n">
        <x:v>0</x:v>
      </x:c>
      <x:c r="I2672" s="11" t="n">
        <x:v>0</x:v>
      </x:c>
      <x:c r="J2672" s="11" t="n">
        <x:v>0</x:v>
      </x:c>
      <x:c r="K2672" s="11" t="n">
        <x:v>1</x:v>
      </x:c>
      <x:c r="L2672" s="11" t="n">
        <x:f>IF(B2672="NED",1,IF(OR(B2672="ED",B2672="UN"),0,""))</x:f>
        <x:v>0</x:v>
      </x:c>
      <x:c r="M2672" s="11" t="n">
        <x:f>IF(AND(K2672=1,OR(B2672="ED",B2672="NED")),1,0)</x:f>
        <x:v>0</x:v>
      </x:c>
      <x:c r="N2672" s="11" t="n">
        <x:f>IF(K2672=1,1,0)</x:f>
        <x:v>1</x:v>
      </x:c>
      <x:c r="O2672" s="12"/>
      <x:c r="P2672" s="11" t="n">
        <x:v>0</x:v>
      </x:c>
      <x:c r="Q2672" s="12" t="str">
        <x:v>AF-Q9CQE8-F1-model_v6</x:v>
      </x:c>
      <x:c r="R2672" s="12" t="str">
        <x:v>ok</x:v>
      </x:c>
      <x:c r="S2672" s="11" t="n">
        <x:v>2153</x:v>
      </x:c>
      <x:c r="T2672" s="11" t="n">
        <x:v>244</x:v>
      </x:c>
    </x:row>
    <x:row r="2673" ht="23" customHeight="1">
      <x:c r="A2673" s="2" t="str">
        <x:v>Q9CQF0</x:v>
      </x:c>
      <x:c r="B2673" s="2" t="str">
        <x:v>UN</x:v>
      </x:c>
      <x:c r="C2673" s="2" t="n">
        <x:v>0</x:v>
      </x:c>
      <x:c r="D2673" s="2" t="n">
        <x:v>0</x:v>
      </x:c>
      <x:c r="E2673" s="10" t="n">
        <x:v>84.87135416666666</x:v>
      </x:c>
      <x:c r="F2673" s="11" t="n">
        <x:v>192</x:v>
      </x:c>
      <x:c r="G2673" s="11" t="n">
        <x:v>0</x:v>
      </x:c>
      <x:c r="H2673" s="11" t="n">
        <x:v>0</x:v>
      </x:c>
      <x:c r="I2673" s="11" t="n">
        <x:v>0</x:v>
      </x:c>
      <x:c r="J2673" s="11" t="n">
        <x:v>0</x:v>
      </x:c>
      <x:c r="K2673" s="11" t="n">
        <x:v>1</x:v>
      </x:c>
      <x:c r="L2673" s="11" t="n">
        <x:f>IF(B2673="NED",1,IF(OR(B2673="ED",B2673="UN"),0,""))</x:f>
        <x:v>0</x:v>
      </x:c>
      <x:c r="M2673" s="11" t="n">
        <x:f>IF(AND(K2673=1,OR(B2673="ED",B2673="NED")),1,0)</x:f>
        <x:v>0</x:v>
      </x:c>
      <x:c r="N2673" s="11" t="n">
        <x:f>IF(K2673=1,1,0)</x:f>
        <x:v>1</x:v>
      </x:c>
      <x:c r="O2673" s="12"/>
      <x:c r="P2673" s="11" t="n">
        <x:v>0</x:v>
      </x:c>
      <x:c r="Q2673" s="12" t="str">
        <x:v>AF-Q9CQF0-F1-model_v6</x:v>
      </x:c>
      <x:c r="R2673" s="12" t="str">
        <x:v>ok</x:v>
      </x:c>
      <x:c r="S2673" s="11" t="n">
        <x:v>2154</x:v>
      </x:c>
      <x:c r="T2673" s="11" t="n">
        <x:v>192</x:v>
      </x:c>
    </x:row>
    <x:row r="2674" ht="23" customHeight="1">
      <x:c r="A2674" s="2" t="str">
        <x:v>Q9CQF3</x:v>
      </x:c>
      <x:c r="B2674" s="2" t="str">
        <x:v>ED</x:v>
      </x:c>
      <x:c r="C2674" s="2" t="n">
        <x:v>1</x:v>
      </x:c>
      <x:c r="D2674" s="2" t="n">
        <x:v>1</x:v>
      </x:c>
      <x:c r="E2674" s="10" t="n">
        <x:v>91.29458149779737</x:v>
      </x:c>
      <x:c r="F2674" s="11" t="n">
        <x:v>227</x:v>
      </x:c>
      <x:c r="G2674" s="11" t="n">
        <x:v>0</x:v>
      </x:c>
      <x:c r="H2674" s="11" t="n">
        <x:v>0</x:v>
      </x:c>
      <x:c r="I2674" s="11" t="n">
        <x:v>0</x:v>
      </x:c>
      <x:c r="J2674" s="11" t="n">
        <x:v>0</x:v>
      </x:c>
      <x:c r="K2674" s="11" t="n">
        <x:v>1</x:v>
      </x:c>
      <x:c r="L2674" s="11" t="n">
        <x:f>IF(B2674="NED",1,IF(OR(B2674="ED",B2674="UN"),0,""))</x:f>
        <x:v>0</x:v>
      </x:c>
      <x:c r="M2674" s="11" t="n">
        <x:f>IF(AND(K2674=1,OR(B2674="ED",B2674="NED")),1,0)</x:f>
        <x:v>1</x:v>
      </x:c>
      <x:c r="N2674" s="11" t="n">
        <x:f>IF(K2674=1,1,0)</x:f>
        <x:v>1</x:v>
      </x:c>
      <x:c r="O2674" s="12"/>
      <x:c r="P2674" s="11" t="n">
        <x:v>0</x:v>
      </x:c>
      <x:c r="Q2674" s="12" t="str">
        <x:v>AF-Q9CQF3-F1-model_v6</x:v>
      </x:c>
      <x:c r="R2674" s="12" t="str">
        <x:v>ok</x:v>
      </x:c>
      <x:c r="S2674" s="11" t="n">
        <x:v>2155</x:v>
      </x:c>
      <x:c r="T2674" s="11" t="n">
        <x:v>227</x:v>
      </x:c>
    </x:row>
    <x:row r="2675" ht="23" customHeight="1">
      <x:c r="A2675" s="2" t="str">
        <x:v>Q9CQF9</x:v>
      </x:c>
      <x:c r="B2675" s="2" t="str">
        <x:v>UN</x:v>
      </x:c>
      <x:c r="C2675" s="2" t="n">
        <x:v>1</x:v>
      </x:c>
      <x:c r="D2675" s="2" t="n">
        <x:v>1</x:v>
      </x:c>
      <x:c r="E2675" s="10" t="n">
        <x:v>91.10506930693067</x:v>
      </x:c>
      <x:c r="F2675" s="11" t="n">
        <x:v>505</x:v>
      </x:c>
      <x:c r="G2675" s="11" t="n">
        <x:v>0</x:v>
      </x:c>
      <x:c r="H2675" s="11" t="n">
        <x:v>0</x:v>
      </x:c>
      <x:c r="I2675" s="11" t="n">
        <x:v>0</x:v>
      </x:c>
      <x:c r="J2675" s="11" t="n">
        <x:v>0</x:v>
      </x:c>
      <x:c r="K2675" s="11" t="n">
        <x:v>1</x:v>
      </x:c>
      <x:c r="L2675" s="11" t="n">
        <x:f>IF(B2675="NED",1,IF(OR(B2675="ED",B2675="UN"),0,""))</x:f>
        <x:v>0</x:v>
      </x:c>
      <x:c r="M2675" s="11" t="n">
        <x:f>IF(AND(K2675=1,OR(B2675="ED",B2675="NED")),1,0)</x:f>
        <x:v>0</x:v>
      </x:c>
      <x:c r="N2675" s="11" t="n">
        <x:f>IF(K2675=1,1,0)</x:f>
        <x:v>1</x:v>
      </x:c>
      <x:c r="O2675" s="12"/>
      <x:c r="P2675" s="11" t="n">
        <x:v>0</x:v>
      </x:c>
      <x:c r="Q2675" s="12" t="str">
        <x:v>AF-Q9CQF9-F1-model_v6</x:v>
      </x:c>
      <x:c r="R2675" s="12" t="str">
        <x:v>ok</x:v>
      </x:c>
      <x:c r="S2675" s="11" t="n">
        <x:v>2156</x:v>
      </x:c>
      <x:c r="T2675" s="11" t="n">
        <x:v>505</x:v>
      </x:c>
    </x:row>
    <x:row r="2676" ht="23" customHeight="1">
      <x:c r="A2676" s="2" t="str">
        <x:v>Q9CQG2</x:v>
      </x:c>
      <x:c r="B2676" s="2" t="str">
        <x:v>UN</x:v>
      </x:c>
      <x:c r="C2676" s="2" t="n">
        <x:v>1</x:v>
      </x:c>
      <x:c r="D2676" s="2" t="n">
        <x:v>1</x:v>
      </x:c>
      <x:c r="E2676" s="10" t="n">
        <x:v>79.18754068716093</x:v>
      </x:c>
      <x:c r="F2676" s="11" t="n">
        <x:v>553</x:v>
      </x:c>
      <x:c r="G2676" s="11" t="n">
        <x:v>0</x:v>
      </x:c>
      <x:c r="H2676" s="11" t="n">
        <x:v>0</x:v>
      </x:c>
      <x:c r="I2676" s="11" t="n">
        <x:v>0</x:v>
      </x:c>
      <x:c r="J2676" s="11" t="n">
        <x:v>0</x:v>
      </x:c>
      <x:c r="K2676" s="11" t="n">
        <x:v>1</x:v>
      </x:c>
      <x:c r="L2676" s="11" t="n">
        <x:f>IF(B2676="NED",1,IF(OR(B2676="ED",B2676="UN"),0,""))</x:f>
        <x:v>0</x:v>
      </x:c>
      <x:c r="M2676" s="11" t="n">
        <x:f>IF(AND(K2676=1,OR(B2676="ED",B2676="NED")),1,0)</x:f>
        <x:v>0</x:v>
      </x:c>
      <x:c r="N2676" s="11" t="n">
        <x:f>IF(K2676=1,1,0)</x:f>
        <x:v>1</x:v>
      </x:c>
      <x:c r="O2676" s="12"/>
      <x:c r="P2676" s="11" t="n">
        <x:v>0</x:v>
      </x:c>
      <x:c r="Q2676" s="12" t="str">
        <x:v>AF-Q9CQG2-F1-model_v6</x:v>
      </x:c>
      <x:c r="R2676" s="12" t="str">
        <x:v>ok</x:v>
      </x:c>
      <x:c r="S2676" s="11" t="n">
        <x:v>2157</x:v>
      </x:c>
      <x:c r="T2676" s="11" t="n">
        <x:v>553</x:v>
      </x:c>
    </x:row>
    <x:row r="2677" ht="23" customHeight="1">
      <x:c r="A2677" s="2" t="str">
        <x:v>Q9CQH7</x:v>
      </x:c>
      <x:c r="B2677" s="2" t="str">
        <x:v>ED</x:v>
      </x:c>
      <x:c r="C2677" s="2" t="n">
        <x:v>0</x:v>
      </x:c>
      <x:c r="D2677" s="2" t="n">
        <x:v>0</x:v>
      </x:c>
      <x:c r="E2677" s="10" t="n">
        <x:v>77.54120253164557</x:v>
      </x:c>
      <x:c r="F2677" s="11" t="n">
        <x:v>158</x:v>
      </x:c>
      <x:c r="G2677" s="11" t="n">
        <x:v>0</x:v>
      </x:c>
      <x:c r="H2677" s="11" t="n">
        <x:v>0</x:v>
      </x:c>
      <x:c r="I2677" s="11" t="n">
        <x:v>0</x:v>
      </x:c>
      <x:c r="J2677" s="11" t="n">
        <x:v>0</x:v>
      </x:c>
      <x:c r="K2677" s="11" t="n">
        <x:v>1</x:v>
      </x:c>
      <x:c r="L2677" s="11" t="n">
        <x:f>IF(B2677="NED",1,IF(OR(B2677="ED",B2677="UN"),0,""))</x:f>
        <x:v>0</x:v>
      </x:c>
      <x:c r="M2677" s="11" t="n">
        <x:f>IF(AND(K2677=1,OR(B2677="ED",B2677="NED")),1,0)</x:f>
        <x:v>1</x:v>
      </x:c>
      <x:c r="N2677" s="11" t="n">
        <x:f>IF(K2677=1,1,0)</x:f>
        <x:v>1</x:v>
      </x:c>
      <x:c r="O2677" s="12"/>
      <x:c r="P2677" s="11" t="n">
        <x:v>0</x:v>
      </x:c>
      <x:c r="Q2677" s="12" t="str">
        <x:v>AF-Q9CQH7-F1-model_v6</x:v>
      </x:c>
      <x:c r="R2677" s="12" t="str">
        <x:v>ok</x:v>
      </x:c>
      <x:c r="S2677" s="11" t="n">
        <x:v>2158</x:v>
      </x:c>
      <x:c r="T2677" s="11" t="n">
        <x:v>158</x:v>
      </x:c>
    </x:row>
    <x:row r="2678" ht="23" customHeight="1">
      <x:c r="A2678" s="2" t="str">
        <x:v>Q9CQH8</x:v>
      </x:c>
      <x:c r="B2678" s="2" t="str">
        <x:v>UN</x:v>
      </x:c>
      <x:c r="C2678" s="2" t="n">
        <x:v>1</x:v>
      </x:c>
      <x:c r="D2678" s="2" t="n">
        <x:v>1</x:v>
      </x:c>
      <x:c r="E2678" s="10" t="n">
        <x:v>83.11713114754099</x:v>
      </x:c>
      <x:c r="F2678" s="11" t="n">
        <x:v>122</x:v>
      </x:c>
      <x:c r="G2678" s="11" t="n">
        <x:v>0</x:v>
      </x:c>
      <x:c r="H2678" s="11" t="n">
        <x:v>0</x:v>
      </x:c>
      <x:c r="I2678" s="11" t="n">
        <x:v>0</x:v>
      </x:c>
      <x:c r="J2678" s="11" t="n">
        <x:v>0</x:v>
      </x:c>
      <x:c r="K2678" s="11" t="n">
        <x:v>1</x:v>
      </x:c>
      <x:c r="L2678" s="11" t="n">
        <x:f>IF(B2678="NED",1,IF(OR(B2678="ED",B2678="UN"),0,""))</x:f>
        <x:v>0</x:v>
      </x:c>
      <x:c r="M2678" s="11" t="n">
        <x:f>IF(AND(K2678=1,OR(B2678="ED",B2678="NED")),1,0)</x:f>
        <x:v>0</x:v>
      </x:c>
      <x:c r="N2678" s="11" t="n">
        <x:f>IF(K2678=1,1,0)</x:f>
        <x:v>1</x:v>
      </x:c>
      <x:c r="O2678" s="12"/>
      <x:c r="P2678" s="11" t="n">
        <x:v>0</x:v>
      </x:c>
      <x:c r="Q2678" s="12" t="str">
        <x:v>AF-Q9CQH8-F1-model_v6</x:v>
      </x:c>
      <x:c r="R2678" s="12" t="str">
        <x:v>ok</x:v>
      </x:c>
      <x:c r="S2678" s="11" t="n">
        <x:v>2159</x:v>
      </x:c>
      <x:c r="T2678" s="11" t="n">
        <x:v>122</x:v>
      </x:c>
    </x:row>
    <x:row r="2679" ht="23" customHeight="1">
      <x:c r="A2679" s="2" t="str">
        <x:v>Q9CQI6</x:v>
      </x:c>
      <x:c r="B2679" s="2" t="str">
        <x:v>ED</x:v>
      </x:c>
      <x:c r="C2679" s="2" t="n">
        <x:v>1</x:v>
      </x:c>
      <x:c r="D2679" s="2" t="n">
        <x:v>1</x:v>
      </x:c>
      <x:c r="E2679" s="10" t="n">
        <x:v>90.9576056338028</x:v>
      </x:c>
      <x:c r="F2679" s="11" t="n">
        <x:v>142</x:v>
      </x:c>
      <x:c r="G2679" s="11" t="n">
        <x:v>0</x:v>
      </x:c>
      <x:c r="H2679" s="11" t="n">
        <x:v>0</x:v>
      </x:c>
      <x:c r="I2679" s="11" t="n">
        <x:v>0</x:v>
      </x:c>
      <x:c r="J2679" s="11" t="n">
        <x:v>0</x:v>
      </x:c>
      <x:c r="K2679" s="11" t="n">
        <x:v>1</x:v>
      </x:c>
      <x:c r="L2679" s="11" t="n">
        <x:f>IF(B2679="NED",1,IF(OR(B2679="ED",B2679="UN"),0,""))</x:f>
        <x:v>0</x:v>
      </x:c>
      <x:c r="M2679" s="11" t="n">
        <x:f>IF(AND(K2679=1,OR(B2679="ED",B2679="NED")),1,0)</x:f>
        <x:v>1</x:v>
      </x:c>
      <x:c r="N2679" s="11" t="n">
        <x:f>IF(K2679=1,1,0)</x:f>
        <x:v>1</x:v>
      </x:c>
      <x:c r="O2679" s="12"/>
      <x:c r="P2679" s="11" t="n">
        <x:v>0</x:v>
      </x:c>
      <x:c r="Q2679" s="12" t="str">
        <x:v>AF-Q9CQI6-F1-model_v6</x:v>
      </x:c>
      <x:c r="R2679" s="12" t="str">
        <x:v>ok</x:v>
      </x:c>
      <x:c r="S2679" s="11" t="n">
        <x:v>2160</x:v>
      </x:c>
      <x:c r="T2679" s="11" t="n">
        <x:v>142</x:v>
      </x:c>
    </x:row>
    <x:row r="2680" ht="23" customHeight="1">
      <x:c r="A2680" s="2" t="str">
        <x:v>Q9CQJ2</x:v>
      </x:c>
      <x:c r="B2680" s="2" t="str">
        <x:v>UN</x:v>
      </x:c>
      <x:c r="C2680" s="2" t="n">
        <x:v>1</x:v>
      </x:c>
      <x:c r="D2680" s="2" t="n">
        <x:v>1</x:v>
      </x:c>
      <x:c r="E2680" s="10" t="n">
        <x:v>81.28868965517242</x:v>
      </x:c>
      <x:c r="F2680" s="11" t="n">
        <x:v>290</x:v>
      </x:c>
      <x:c r="G2680" s="11" t="n">
        <x:v>0</x:v>
      </x:c>
      <x:c r="H2680" s="11" t="n">
        <x:v>0</x:v>
      </x:c>
      <x:c r="I2680" s="11" t="n">
        <x:v>0</x:v>
      </x:c>
      <x:c r="J2680" s="11" t="n">
        <x:v>0</x:v>
      </x:c>
      <x:c r="K2680" s="11" t="n">
        <x:v>1</x:v>
      </x:c>
      <x:c r="L2680" s="11" t="n">
        <x:f>IF(B2680="NED",1,IF(OR(B2680="ED",B2680="UN"),0,""))</x:f>
        <x:v>0</x:v>
      </x:c>
      <x:c r="M2680" s="11" t="n">
        <x:f>IF(AND(K2680=1,OR(B2680="ED",B2680="NED")),1,0)</x:f>
        <x:v>0</x:v>
      </x:c>
      <x:c r="N2680" s="11" t="n">
        <x:f>IF(K2680=1,1,0)</x:f>
        <x:v>1</x:v>
      </x:c>
      <x:c r="O2680" s="12"/>
      <x:c r="P2680" s="11" t="n">
        <x:v>0</x:v>
      </x:c>
      <x:c r="Q2680" s="12" t="str">
        <x:v>AF-Q9CQJ2-F1-model_v6</x:v>
      </x:c>
      <x:c r="R2680" s="12" t="str">
        <x:v>ok</x:v>
      </x:c>
      <x:c r="S2680" s="11" t="n">
        <x:v>2161</x:v>
      </x:c>
      <x:c r="T2680" s="11" t="n">
        <x:v>290</x:v>
      </x:c>
    </x:row>
    <x:row r="2681" ht="23" customHeight="1">
      <x:c r="A2681" s="2" t="str">
        <x:v>Q9CQJ4</x:v>
      </x:c>
      <x:c r="B2681" s="2" t="str">
        <x:v>UN</x:v>
      </x:c>
      <x:c r="C2681" s="2" t="n">
        <x:v>1</x:v>
      </x:c>
      <x:c r="D2681" s="2" t="n">
        <x:v>1</x:v>
      </x:c>
      <x:c r="E2681" s="10" t="n">
        <x:v>77.59654761904761</x:v>
      </x:c>
      <x:c r="F2681" s="11" t="n">
        <x:v>336</x:v>
      </x:c>
      <x:c r="G2681" s="11" t="n">
        <x:v>0</x:v>
      </x:c>
      <x:c r="H2681" s="11" t="n">
        <x:v>0</x:v>
      </x:c>
      <x:c r="I2681" s="11" t="n">
        <x:v>0</x:v>
      </x:c>
      <x:c r="J2681" s="11" t="n">
        <x:v>0</x:v>
      </x:c>
      <x:c r="K2681" s="11" t="n">
        <x:v>1</x:v>
      </x:c>
      <x:c r="L2681" s="11" t="n">
        <x:f>IF(B2681="NED",1,IF(OR(B2681="ED",B2681="UN"),0,""))</x:f>
        <x:v>0</x:v>
      </x:c>
      <x:c r="M2681" s="11" t="n">
        <x:f>IF(AND(K2681=1,OR(B2681="ED",B2681="NED")),1,0)</x:f>
        <x:v>0</x:v>
      </x:c>
      <x:c r="N2681" s="11" t="n">
        <x:f>IF(K2681=1,1,0)</x:f>
        <x:v>1</x:v>
      </x:c>
      <x:c r="O2681" s="12"/>
      <x:c r="P2681" s="11" t="n">
        <x:v>0</x:v>
      </x:c>
      <x:c r="Q2681" s="12" t="str">
        <x:v>AF-Q9CQJ4-F1-model_v6</x:v>
      </x:c>
      <x:c r="R2681" s="12" t="str">
        <x:v>ok</x:v>
      </x:c>
      <x:c r="S2681" s="11" t="n">
        <x:v>2162</x:v>
      </x:c>
      <x:c r="T2681" s="11" t="n">
        <x:v>336</x:v>
      </x:c>
    </x:row>
    <x:row r="2682" ht="23" customHeight="1">
      <x:c r="A2682" s="2" t="str">
        <x:v>Q9CQJ6</x:v>
      </x:c>
      <x:c r="B2682" s="2" t="str">
        <x:v>ED</x:v>
      </x:c>
      <x:c r="C2682" s="2" t="n">
        <x:v>0</x:v>
      </x:c>
      <x:c r="D2682" s="2" t="n">
        <x:v>0</x:v>
      </x:c>
      <x:c r="E2682" s="10" t="n">
        <x:v>66.05464646464647</x:v>
      </x:c>
      <x:c r="F2682" s="11" t="n">
        <x:v>198</x:v>
      </x:c>
      <x:c r="G2682" s="11" t="n">
        <x:v>0</x:v>
      </x:c>
      <x:c r="H2682" s="11" t="n">
        <x:v>0</x:v>
      </x:c>
      <x:c r="I2682" s="11" t="n">
        <x:v>0</x:v>
      </x:c>
      <x:c r="J2682" s="11" t="n">
        <x:v>0</x:v>
      </x:c>
      <x:c r="K2682" s="11" t="n">
        <x:v>0</x:v>
      </x:c>
      <x:c r="L2682" s="11" t="n">
        <x:f>IF(B2682="NED",1,IF(OR(B2682="ED",B2682="UN"),0,""))</x:f>
        <x:v>0</x:v>
      </x:c>
      <x:c r="M2682" s="11" t="n">
        <x:f>IF(AND(K2682=1,OR(B2682="ED",B2682="NED")),1,0)</x:f>
        <x:v>0</x:v>
      </x:c>
      <x:c r="N2682" s="11" t="n">
        <x:f>IF(K2682=1,1,0)</x:f>
        <x:v>0</x:v>
      </x:c>
      <x:c r="O2682" s="12" t="str">
        <x:v>Retain protein mean pLDDT &gt;=70</x:v>
      </x:c>
      <x:c r="P2682" s="11" t="n">
        <x:v>0</x:v>
      </x:c>
      <x:c r="Q2682" s="12" t="str">
        <x:v>AF-Q9CQJ6-F1-model_v6</x:v>
      </x:c>
      <x:c r="R2682" s="12" t="str">
        <x:v>ok</x:v>
      </x:c>
      <x:c r="S2682" s="11" t="n">
        <x:v>2163</x:v>
      </x:c>
      <x:c r="T2682" s="11" t="n">
        <x:v>198</x:v>
      </x:c>
    </x:row>
    <x:row r="2683" ht="23" customHeight="1">
      <x:c r="A2683" s="2" t="str">
        <x:v>Q9CQJ8</x:v>
      </x:c>
      <x:c r="B2683" s="2" t="str">
        <x:v>NED</x:v>
      </x:c>
      <x:c r="C2683" s="2" t="n">
        <x:v>0</x:v>
      </x:c>
      <x:c r="D2683" s="2" t="n">
        <x:v>0</x:v>
      </x:c>
      <x:c r="E2683" s="10"/>
      <x:c r="F2683" s="11" t="n">
        <x:v>179</x:v>
      </x:c>
      <x:c r="G2683" s="11" t="n">
        <x:v>0</x:v>
      </x:c>
      <x:c r="H2683" s="11" t="n">
        <x:v>0</x:v>
      </x:c>
      <x:c r="I2683" s="11" t="n">
        <x:v>1</x:v>
      </x:c>
      <x:c r="J2683" s="11" t="n">
        <x:v>0</x:v>
      </x:c>
      <x:c r="K2683" s="11" t="n">
        <x:v>0</x:v>
      </x:c>
      <x:c r="L2683" s="11" t="n">
        <x:f>IF(B2683="NED",1,IF(OR(B2683="ED",B2683="UN"),0,""))</x:f>
        <x:v>1</x:v>
      </x:c>
      <x:c r="M2683" s="11" t="n">
        <x:f>IF(AND(K2683=1,OR(B2683="ED",B2683="NED")),1,0)</x:f>
        <x:v>0</x:v>
      </x:c>
      <x:c r="N2683" s="11" t="n">
        <x:f>IF(K2683=1,1,0)</x:f>
        <x:v>0</x:v>
      </x:c>
      <x:c r="O2683" s="12" t="str">
        <x:v>Exclude UniProt Membrane keyword</x:v>
      </x:c>
      <x:c r="P2683" s="11" t="n">
        <x:v>0</x:v>
      </x:c>
      <x:c r="Q2683" s="12" t="str">
        <x:v>AF-Q9CQJ8-F1-model_v6</x:v>
      </x:c>
      <x:c r="R2683" s="12" t="str">
        <x:v>ok</x:v>
      </x:c>
      <x:c r="S2683" s="11" t="n">
        <x:v>2164</x:v>
      </x:c>
      <x:c r="T2683" s="11" t="n">
        <x:v>179</x:v>
      </x:c>
    </x:row>
    <x:row r="2684" ht="23" customHeight="1">
      <x:c r="A2684" s="2" t="str">
        <x:v>Q9CQM5</x:v>
      </x:c>
      <x:c r="B2684" s="2" t="str">
        <x:v>ED</x:v>
      </x:c>
      <x:c r="C2684" s="2" t="n">
        <x:v>1</x:v>
      </x:c>
      <x:c r="D2684" s="2" t="n">
        <x:v>1</x:v>
      </x:c>
      <x:c r="E2684" s="10" t="n">
        <x:v>96.07715447154472</x:v>
      </x:c>
      <x:c r="F2684" s="11" t="n">
        <x:v>123</x:v>
      </x:c>
      <x:c r="G2684" s="11" t="n">
        <x:v>0</x:v>
      </x:c>
      <x:c r="H2684" s="11" t="n">
        <x:v>0</x:v>
      </x:c>
      <x:c r="I2684" s="11" t="n">
        <x:v>0</x:v>
      </x:c>
      <x:c r="J2684" s="11" t="n">
        <x:v>0</x:v>
      </x:c>
      <x:c r="K2684" s="11" t="n">
        <x:v>1</x:v>
      </x:c>
      <x:c r="L2684" s="11" t="n">
        <x:f>IF(B2684="NED",1,IF(OR(B2684="ED",B2684="UN"),0,""))</x:f>
        <x:v>0</x:v>
      </x:c>
      <x:c r="M2684" s="11" t="n">
        <x:f>IF(AND(K2684=1,OR(B2684="ED",B2684="NED")),1,0)</x:f>
        <x:v>1</x:v>
      </x:c>
      <x:c r="N2684" s="11" t="n">
        <x:f>IF(K2684=1,1,0)</x:f>
        <x:v>1</x:v>
      </x:c>
      <x:c r="O2684" s="12"/>
      <x:c r="P2684" s="11" t="n">
        <x:v>0</x:v>
      </x:c>
      <x:c r="Q2684" s="12" t="str">
        <x:v>AF-Q9CQM5-F1-model_v6</x:v>
      </x:c>
      <x:c r="R2684" s="12" t="str">
        <x:v>ok</x:v>
      </x:c>
      <x:c r="S2684" s="11" t="n">
        <x:v>2165</x:v>
      </x:c>
      <x:c r="T2684" s="11" t="n">
        <x:v>123</x:v>
      </x:c>
    </x:row>
    <x:row r="2685" ht="23" customHeight="1">
      <x:c r="A2685" s="2" t="str">
        <x:v>Q9CQM9</x:v>
      </x:c>
      <x:c r="B2685" s="2" t="str">
        <x:v>ED</x:v>
      </x:c>
      <x:c r="C2685" s="2" t="n">
        <x:v>1</x:v>
      </x:c>
      <x:c r="D2685" s="2" t="n">
        <x:v>1</x:v>
      </x:c>
      <x:c r="E2685" s="10" t="n">
        <x:v>87.72308605341246</x:v>
      </x:c>
      <x:c r="F2685" s="11" t="n">
        <x:v>337</x:v>
      </x:c>
      <x:c r="G2685" s="11" t="n">
        <x:v>0</x:v>
      </x:c>
      <x:c r="H2685" s="11" t="n">
        <x:v>0</x:v>
      </x:c>
      <x:c r="I2685" s="11" t="n">
        <x:v>0</x:v>
      </x:c>
      <x:c r="J2685" s="11" t="n">
        <x:v>0</x:v>
      </x:c>
      <x:c r="K2685" s="11" t="n">
        <x:v>1</x:v>
      </x:c>
      <x:c r="L2685" s="11" t="n">
        <x:f>IF(B2685="NED",1,IF(OR(B2685="ED",B2685="UN"),0,""))</x:f>
        <x:v>0</x:v>
      </x:c>
      <x:c r="M2685" s="11" t="n">
        <x:f>IF(AND(K2685=1,OR(B2685="ED",B2685="NED")),1,0)</x:f>
        <x:v>1</x:v>
      </x:c>
      <x:c r="N2685" s="11" t="n">
        <x:f>IF(K2685=1,1,0)</x:f>
        <x:v>1</x:v>
      </x:c>
      <x:c r="O2685" s="12"/>
      <x:c r="P2685" s="11" t="n">
        <x:v>0</x:v>
      </x:c>
      <x:c r="Q2685" s="12" t="str">
        <x:v>AF-Q9CQM9-F1-model_v6</x:v>
      </x:c>
      <x:c r="R2685" s="12" t="str">
        <x:v>ok</x:v>
      </x:c>
      <x:c r="S2685" s="11" t="n">
        <x:v>2166</x:v>
      </x:c>
      <x:c r="T2685" s="11" t="n">
        <x:v>337</x:v>
      </x:c>
    </x:row>
    <x:row r="2686" ht="23" customHeight="1">
      <x:c r="A2686" s="2" t="str">
        <x:v>Q9CQN1</x:v>
      </x:c>
      <x:c r="B2686" s="2" t="str">
        <x:v>ED</x:v>
      </x:c>
      <x:c r="C2686" s="2" t="n">
        <x:v>1</x:v>
      </x:c>
      <x:c r="D2686" s="2" t="n">
        <x:v>1</x:v>
      </x:c>
      <x:c r="E2686" s="10"/>
      <x:c r="F2686" s="11" t="n">
        <x:v>706</x:v>
      </x:c>
      <x:c r="G2686" s="11" t="n">
        <x:v>0</x:v>
      </x:c>
      <x:c r="H2686" s="11" t="n">
        <x:v>0</x:v>
      </x:c>
      <x:c r="I2686" s="11" t="n">
        <x:v>1</x:v>
      </x:c>
      <x:c r="J2686" s="11" t="n">
        <x:v>0</x:v>
      </x:c>
      <x:c r="K2686" s="11" t="n">
        <x:v>0</x:v>
      </x:c>
      <x:c r="L2686" s="11" t="n">
        <x:f>IF(B2686="NED",1,IF(OR(B2686="ED",B2686="UN"),0,""))</x:f>
        <x:v>0</x:v>
      </x:c>
      <x:c r="M2686" s="11" t="n">
        <x:f>IF(AND(K2686=1,OR(B2686="ED",B2686="NED")),1,0)</x:f>
        <x:v>0</x:v>
      </x:c>
      <x:c r="N2686" s="11" t="n">
        <x:f>IF(K2686=1,1,0)</x:f>
        <x:v>0</x:v>
      </x:c>
      <x:c r="O2686" s="12" t="str">
        <x:v>Exclude UniProt Membrane keyword</x:v>
      </x:c>
      <x:c r="P2686" s="11" t="n">
        <x:v>0</x:v>
      </x:c>
      <x:c r="Q2686" s="12" t="str">
        <x:v>AF-Q9CQN1-F1-model_v6</x:v>
      </x:c>
      <x:c r="R2686" s="12" t="str">
        <x:v>ok</x:v>
      </x:c>
      <x:c r="S2686" s="11" t="n">
        <x:v>2167</x:v>
      </x:c>
      <x:c r="T2686" s="11" t="n">
        <x:v>706</x:v>
      </x:c>
    </x:row>
    <x:row r="2687" ht="23" customHeight="1">
      <x:c r="A2687" s="2" t="str">
        <x:v>Q9CQN6</x:v>
      </x:c>
      <x:c r="B2687" s="2" t="str">
        <x:v>UN</x:v>
      </x:c>
      <x:c r="C2687" s="2" t="n">
        <x:v>0</x:v>
      </x:c>
      <x:c r="D2687" s="2" t="n">
        <x:v>0</x:v>
      </x:c>
      <x:c r="E2687" s="10"/>
      <x:c r="F2687" s="11" t="n">
        <x:v>114</x:v>
      </x:c>
      <x:c r="G2687" s="11" t="n">
        <x:v>0</x:v>
      </x:c>
      <x:c r="H2687" s="11" t="n">
        <x:v>0</x:v>
      </x:c>
      <x:c r="I2687" s="11" t="n">
        <x:v>1</x:v>
      </x:c>
      <x:c r="J2687" s="11" t="n">
        <x:v>0</x:v>
      </x:c>
      <x:c r="K2687" s="11" t="n">
        <x:v>0</x:v>
      </x:c>
      <x:c r="L2687" s="11" t="n">
        <x:f>IF(B2687="NED",1,IF(OR(B2687="ED",B2687="UN"),0,""))</x:f>
        <x:v>0</x:v>
      </x:c>
      <x:c r="M2687" s="11" t="n">
        <x:f>IF(AND(K2687=1,OR(B2687="ED",B2687="NED")),1,0)</x:f>
        <x:v>0</x:v>
      </x:c>
      <x:c r="N2687" s="11" t="n">
        <x:f>IF(K2687=1,1,0)</x:f>
        <x:v>0</x:v>
      </x:c>
      <x:c r="O2687" s="12" t="str">
        <x:v>Exclude UniProt Membrane keyword</x:v>
      </x:c>
      <x:c r="P2687" s="11" t="n">
        <x:v>0</x:v>
      </x:c>
      <x:c r="Q2687" s="12" t="str">
        <x:v>AF-Q9CQN6-F1-model_v6</x:v>
      </x:c>
      <x:c r="R2687" s="12" t="str">
        <x:v>ok</x:v>
      </x:c>
      <x:c r="S2687" s="11" t="n">
        <x:v>2168</x:v>
      </x:c>
      <x:c r="T2687" s="11" t="n">
        <x:v>114</x:v>
      </x:c>
    </x:row>
    <x:row r="2688" ht="23" customHeight="1">
      <x:c r="A2688" s="2" t="str">
        <x:v>Q9CQQ4</x:v>
      </x:c>
      <x:c r="B2688" s="2" t="str">
        <x:v>UN</x:v>
      </x:c>
      <x:c r="C2688" s="2" t="n">
        <x:v>1</x:v>
      </x:c>
      <x:c r="D2688" s="2" t="n">
        <x:v>1</x:v>
      </x:c>
      <x:c r="E2688" s="10" t="n">
        <x:v>84.54472118959107</x:v>
      </x:c>
      <x:c r="F2688" s="11" t="n">
        <x:v>269</x:v>
      </x:c>
      <x:c r="G2688" s="11" t="n">
        <x:v>0</x:v>
      </x:c>
      <x:c r="H2688" s="11" t="n">
        <x:v>0</x:v>
      </x:c>
      <x:c r="I2688" s="11" t="n">
        <x:v>0</x:v>
      </x:c>
      <x:c r="J2688" s="11" t="n">
        <x:v>0</x:v>
      </x:c>
      <x:c r="K2688" s="11" t="n">
        <x:v>1</x:v>
      </x:c>
      <x:c r="L2688" s="11" t="n">
        <x:f>IF(B2688="NED",1,IF(OR(B2688="ED",B2688="UN"),0,""))</x:f>
        <x:v>0</x:v>
      </x:c>
      <x:c r="M2688" s="11" t="n">
        <x:f>IF(AND(K2688=1,OR(B2688="ED",B2688="NED")),1,0)</x:f>
        <x:v>0</x:v>
      </x:c>
      <x:c r="N2688" s="11" t="n">
        <x:f>IF(K2688=1,1,0)</x:f>
        <x:v>1</x:v>
      </x:c>
      <x:c r="O2688" s="12"/>
      <x:c r="P2688" s="11" t="n">
        <x:v>0</x:v>
      </x:c>
      <x:c r="Q2688" s="12" t="str">
        <x:v>AF-Q9CQQ4-F1-model_v6</x:v>
      </x:c>
      <x:c r="R2688" s="12" t="str">
        <x:v>ok</x:v>
      </x:c>
      <x:c r="S2688" s="11" t="n">
        <x:v>2169</x:v>
      </x:c>
      <x:c r="T2688" s="11" t="n">
        <x:v>269</x:v>
      </x:c>
    </x:row>
    <x:row r="2689" ht="23" customHeight="1">
      <x:c r="A2689" s="2" t="str">
        <x:v>Q9CQQ7</x:v>
      </x:c>
      <x:c r="B2689" s="2" t="str">
        <x:v>NED</x:v>
      </x:c>
      <x:c r="C2689" s="2" t="n">
        <x:v>0</x:v>
      </x:c>
      <x:c r="D2689" s="2" t="n">
        <x:v>0</x:v>
      </x:c>
      <x:c r="E2689" s="10"/>
      <x:c r="F2689" s="11" t="n">
        <x:v>256</x:v>
      </x:c>
      <x:c r="G2689" s="11" t="n">
        <x:v>0</x:v>
      </x:c>
      <x:c r="H2689" s="11" t="n">
        <x:v>0</x:v>
      </x:c>
      <x:c r="I2689" s="11" t="n">
        <x:v>1</x:v>
      </x:c>
      <x:c r="J2689" s="11" t="n">
        <x:v>0</x:v>
      </x:c>
      <x:c r="K2689" s="11" t="n">
        <x:v>0</x:v>
      </x:c>
      <x:c r="L2689" s="11" t="n">
        <x:f>IF(B2689="NED",1,IF(OR(B2689="ED",B2689="UN"),0,""))</x:f>
        <x:v>1</x:v>
      </x:c>
      <x:c r="M2689" s="11" t="n">
        <x:f>IF(AND(K2689=1,OR(B2689="ED",B2689="NED")),1,0)</x:f>
        <x:v>0</x:v>
      </x:c>
      <x:c r="N2689" s="11" t="n">
        <x:f>IF(K2689=1,1,0)</x:f>
        <x:v>0</x:v>
      </x:c>
      <x:c r="O2689" s="12" t="str">
        <x:v>Exclude UniProt Membrane keyword</x:v>
      </x:c>
      <x:c r="P2689" s="11" t="n">
        <x:v>0</x:v>
      </x:c>
      <x:c r="Q2689" s="12" t="str">
        <x:v>AF-Q9CQQ7-F1-model_v6</x:v>
      </x:c>
      <x:c r="R2689" s="12" t="str">
        <x:v>ok</x:v>
      </x:c>
      <x:c r="S2689" s="11" t="n">
        <x:v>2170</x:v>
      </x:c>
      <x:c r="T2689" s="11" t="n">
        <x:v>256</x:v>
      </x:c>
    </x:row>
    <x:row r="2690" ht="23" customHeight="1">
      <x:c r="A2690" s="2" t="str">
        <x:v>Q9CQR6</x:v>
      </x:c>
      <x:c r="B2690" s="2" t="str">
        <x:v>ED</x:v>
      </x:c>
      <x:c r="C2690" s="2" t="n">
        <x:v>1</x:v>
      </x:c>
      <x:c r="D2690" s="2" t="n">
        <x:v>1</x:v>
      </x:c>
      <x:c r="E2690" s="10" t="n">
        <x:v>95.8911475409836</x:v>
      </x:c>
      <x:c r="F2690" s="11" t="n">
        <x:v>305</x:v>
      </x:c>
      <x:c r="G2690" s="11" t="n">
        <x:v>0</x:v>
      </x:c>
      <x:c r="H2690" s="11" t="n">
        <x:v>0</x:v>
      </x:c>
      <x:c r="I2690" s="11" t="n">
        <x:v>0</x:v>
      </x:c>
      <x:c r="J2690" s="11" t="n">
        <x:v>0</x:v>
      </x:c>
      <x:c r="K2690" s="11" t="n">
        <x:v>1</x:v>
      </x:c>
      <x:c r="L2690" s="11" t="n">
        <x:f>IF(B2690="NED",1,IF(OR(B2690="ED",B2690="UN"),0,""))</x:f>
        <x:v>0</x:v>
      </x:c>
      <x:c r="M2690" s="11" t="n">
        <x:f>IF(AND(K2690=1,OR(B2690="ED",B2690="NED")),1,0)</x:f>
        <x:v>1</x:v>
      </x:c>
      <x:c r="N2690" s="11" t="n">
        <x:f>IF(K2690=1,1,0)</x:f>
        <x:v>1</x:v>
      </x:c>
      <x:c r="O2690" s="12"/>
      <x:c r="P2690" s="11" t="n">
        <x:v>0</x:v>
      </x:c>
      <x:c r="Q2690" s="12" t="str">
        <x:v>AF-Q9CQR6-F1-model_v6</x:v>
      </x:c>
      <x:c r="R2690" s="12" t="str">
        <x:v>ok</x:v>
      </x:c>
      <x:c r="S2690" s="11" t="n">
        <x:v>2171</x:v>
      </x:c>
      <x:c r="T2690" s="11" t="n">
        <x:v>305</x:v>
      </x:c>
    </x:row>
    <x:row r="2691" ht="23" customHeight="1">
      <x:c r="A2691" s="2" t="str">
        <x:v>Q9CQS8</x:v>
      </x:c>
      <x:c r="B2691" s="2" t="str">
        <x:v>ED</x:v>
      </x:c>
      <x:c r="C2691" s="2" t="n">
        <x:v>0</x:v>
      </x:c>
      <x:c r="D2691" s="2" t="n">
        <x:v>0</x:v>
      </x:c>
      <x:c r="E2691" s="10"/>
      <x:c r="F2691" s="11" t="n">
        <x:v>96</x:v>
      </x:c>
      <x:c r="G2691" s="11" t="n">
        <x:v>0</x:v>
      </x:c>
      <x:c r="H2691" s="11" t="n">
        <x:v>0</x:v>
      </x:c>
      <x:c r="I2691" s="11" t="n">
        <x:v>1</x:v>
      </x:c>
      <x:c r="J2691" s="11" t="n">
        <x:v>0</x:v>
      </x:c>
      <x:c r="K2691" s="11" t="n">
        <x:v>0</x:v>
      </x:c>
      <x:c r="L2691" s="11" t="n">
        <x:f>IF(B2691="NED",1,IF(OR(B2691="ED",B2691="UN"),0,""))</x:f>
        <x:v>0</x:v>
      </x:c>
      <x:c r="M2691" s="11" t="n">
        <x:f>IF(AND(K2691=1,OR(B2691="ED",B2691="NED")),1,0)</x:f>
        <x:v>0</x:v>
      </x:c>
      <x:c r="N2691" s="11" t="n">
        <x:f>IF(K2691=1,1,0)</x:f>
        <x:v>0</x:v>
      </x:c>
      <x:c r="O2691" s="12" t="str">
        <x:v>Exclude UniProt Membrane keyword</x:v>
      </x:c>
      <x:c r="P2691" s="11" t="n">
        <x:v>0</x:v>
      </x:c>
      <x:c r="Q2691" s="12" t="str">
        <x:v>AF-Q9CQS8-F1-model_v6</x:v>
      </x:c>
      <x:c r="R2691" s="12" t="str">
        <x:v>ok</x:v>
      </x:c>
      <x:c r="S2691" s="11" t="n">
        <x:v>2172</x:v>
      </x:c>
      <x:c r="T2691" s="11" t="n">
        <x:v>96</x:v>
      </x:c>
    </x:row>
    <x:row r="2692" ht="23" customHeight="1">
      <x:c r="A2692" s="2" t="str">
        <x:v>Q9CQT1</x:v>
      </x:c>
      <x:c r="B2692" s="2" t="str">
        <x:v>ED</x:v>
      </x:c>
      <x:c r="C2692" s="2" t="n">
        <x:v>1</x:v>
      </x:c>
      <x:c r="D2692" s="2" t="n">
        <x:v>1</x:v>
      </x:c>
      <x:c r="E2692" s="10" t="n">
        <x:v>94.14739837398372</x:v>
      </x:c>
      <x:c r="F2692" s="11" t="n">
        <x:v>369</x:v>
      </x:c>
      <x:c r="G2692" s="11" t="n">
        <x:v>0</x:v>
      </x:c>
      <x:c r="H2692" s="11" t="n">
        <x:v>0</x:v>
      </x:c>
      <x:c r="I2692" s="11" t="n">
        <x:v>0</x:v>
      </x:c>
      <x:c r="J2692" s="11" t="n">
        <x:v>0</x:v>
      </x:c>
      <x:c r="K2692" s="11" t="n">
        <x:v>1</x:v>
      </x:c>
      <x:c r="L2692" s="11" t="n">
        <x:f>IF(B2692="NED",1,IF(OR(B2692="ED",B2692="UN"),0,""))</x:f>
        <x:v>0</x:v>
      </x:c>
      <x:c r="M2692" s="11" t="n">
        <x:f>IF(AND(K2692=1,OR(B2692="ED",B2692="NED")),1,0)</x:f>
        <x:v>1</x:v>
      </x:c>
      <x:c r="N2692" s="11" t="n">
        <x:f>IF(K2692=1,1,0)</x:f>
        <x:v>1</x:v>
      </x:c>
      <x:c r="O2692" s="12"/>
      <x:c r="P2692" s="11" t="n">
        <x:v>0</x:v>
      </x:c>
      <x:c r="Q2692" s="12" t="str">
        <x:v>AF-Q9CQT1-F1-model_v6</x:v>
      </x:c>
      <x:c r="R2692" s="12" t="str">
        <x:v>ok</x:v>
      </x:c>
      <x:c r="S2692" s="11" t="n">
        <x:v>2173</x:v>
      </x:c>
      <x:c r="T2692" s="11" t="n">
        <x:v>369</x:v>
      </x:c>
    </x:row>
    <x:row r="2693" ht="23" customHeight="1">
      <x:c r="A2693" s="2" t="str">
        <x:v>Q9CQU0</x:v>
      </x:c>
      <x:c r="B2693" s="2" t="str">
        <x:v>UN</x:v>
      </x:c>
      <x:c r="C2693" s="2" t="n">
        <x:v>1</x:v>
      </x:c>
      <x:c r="D2693" s="2" t="n">
        <x:v>1</x:v>
      </x:c>
      <x:c r="E2693" s="10" t="n">
        <x:v>88.08294117647058</x:v>
      </x:c>
      <x:c r="F2693" s="11" t="n">
        <x:v>170</x:v>
      </x:c>
      <x:c r="G2693" s="11" t="n">
        <x:v>0</x:v>
      </x:c>
      <x:c r="H2693" s="11" t="n">
        <x:v>0</x:v>
      </x:c>
      <x:c r="I2693" s="11" t="n">
        <x:v>0</x:v>
      </x:c>
      <x:c r="J2693" s="11" t="n">
        <x:v>0</x:v>
      </x:c>
      <x:c r="K2693" s="11" t="n">
        <x:v>1</x:v>
      </x:c>
      <x:c r="L2693" s="11" t="n">
        <x:f>IF(B2693="NED",1,IF(OR(B2693="ED",B2693="UN"),0,""))</x:f>
        <x:v>0</x:v>
      </x:c>
      <x:c r="M2693" s="11" t="n">
        <x:f>IF(AND(K2693=1,OR(B2693="ED",B2693="NED")),1,0)</x:f>
        <x:v>0</x:v>
      </x:c>
      <x:c r="N2693" s="11" t="n">
        <x:f>IF(K2693=1,1,0)</x:f>
        <x:v>1</x:v>
      </x:c>
      <x:c r="O2693" s="12"/>
      <x:c r="P2693" s="11" t="n">
        <x:v>0</x:v>
      </x:c>
      <x:c r="Q2693" s="12" t="str">
        <x:v>AF-Q9CQU0-F1-model_v6</x:v>
      </x:c>
      <x:c r="R2693" s="12" t="str">
        <x:v>ok</x:v>
      </x:c>
      <x:c r="S2693" s="11" t="n">
        <x:v>2174</x:v>
      </x:c>
      <x:c r="T2693" s="11" t="n">
        <x:v>170</x:v>
      </x:c>
    </x:row>
    <x:row r="2694" ht="23" customHeight="1">
      <x:c r="A2694" s="2" t="str">
        <x:v>Q9CQU1</x:v>
      </x:c>
      <x:c r="B2694" s="2" t="str">
        <x:v>UN</x:v>
      </x:c>
      <x:c r="C2694" s="2"/>
      <x:c r="D2694" s="2"/>
      <x:c r="E2694" s="10"/>
      <x:c r="F2694" s="11"/>
      <x:c r="G2694" s="11" t="n">
        <x:v>0</x:v>
      </x:c>
      <x:c r="H2694" s="11" t="n">
        <x:v>0</x:v>
      </x:c>
      <x:c r="I2694" s="11"/>
      <x:c r="J2694" s="11"/>
      <x:c r="K2694" s="11" t="n">
        <x:v>0</x:v>
      </x:c>
      <x:c r="L2694" s="11" t="n">
        <x:f>IF(B2694="NED",1,IF(OR(B2694="ED",B2694="UN"),0,""))</x:f>
        <x:v>0</x:v>
      </x:c>
      <x:c r="M2694" s="11" t="n">
        <x:f>IF(AND(K2694=1,OR(B2694="ED",B2694="NED")),1,0)</x:f>
        <x:v>0</x:v>
      </x:c>
      <x:c r="N2694" s="11" t="n">
        <x:f>IF(K2694=1,1,0)</x:f>
        <x:v>0</x:v>
      </x:c>
      <x:c r="O2694" s="12" t="str">
        <x:v>Require exact native accession match</x:v>
      </x:c>
      <x:c r="P2694" s="11" t="n">
        <x:v>0</x:v>
      </x:c>
      <x:c r="Q2694" s="12"/>
      <x:c r="R2694" s="12"/>
      <x:c r="S2694" s="11" t="n">
        <x:v>2175</x:v>
      </x:c>
      <x:c r="T2694" s="11"/>
    </x:row>
    <x:row r="2695" ht="23" customHeight="1">
      <x:c r="A2695" s="2" t="str">
        <x:v>Q9CQU5</x:v>
      </x:c>
      <x:c r="B2695" s="2" t="str">
        <x:v>UN</x:v>
      </x:c>
      <x:c r="C2695" s="2" t="n">
        <x:v>0</x:v>
      </x:c>
      <x:c r="D2695" s="2" t="n">
        <x:v>0</x:v>
      </x:c>
      <x:c r="E2695" s="10" t="n">
        <x:v>82.55464285714285</x:v>
      </x:c>
      <x:c r="F2695" s="11" t="n">
        <x:v>252</x:v>
      </x:c>
      <x:c r="G2695" s="11" t="n">
        <x:v>0</x:v>
      </x:c>
      <x:c r="H2695" s="11" t="n">
        <x:v>0</x:v>
      </x:c>
      <x:c r="I2695" s="11" t="n">
        <x:v>0</x:v>
      </x:c>
      <x:c r="J2695" s="11" t="n">
        <x:v>0</x:v>
      </x:c>
      <x:c r="K2695" s="11" t="n">
        <x:v>1</x:v>
      </x:c>
      <x:c r="L2695" s="11" t="n">
        <x:f>IF(B2695="NED",1,IF(OR(B2695="ED",B2695="UN"),0,""))</x:f>
        <x:v>0</x:v>
      </x:c>
      <x:c r="M2695" s="11" t="n">
        <x:f>IF(AND(K2695=1,OR(B2695="ED",B2695="NED")),1,0)</x:f>
        <x:v>0</x:v>
      </x:c>
      <x:c r="N2695" s="11" t="n">
        <x:f>IF(K2695=1,1,0)</x:f>
        <x:v>1</x:v>
      </x:c>
      <x:c r="O2695" s="12"/>
      <x:c r="P2695" s="11" t="n">
        <x:v>0</x:v>
      </x:c>
      <x:c r="Q2695" s="12" t="str">
        <x:v>AF-Q9CQU5-F1-model_v6</x:v>
      </x:c>
      <x:c r="R2695" s="12" t="str">
        <x:v>ok</x:v>
      </x:c>
      <x:c r="S2695" s="11" t="n">
        <x:v>2176</x:v>
      </x:c>
      <x:c r="T2695" s="11" t="n">
        <x:v>252</x:v>
      </x:c>
    </x:row>
    <x:row r="2696" ht="23" customHeight="1">
      <x:c r="A2696" s="2" t="str">
        <x:v>Q9CQV6</x:v>
      </x:c>
      <x:c r="B2696" s="2" t="str">
        <x:v>ED</x:v>
      </x:c>
      <x:c r="C2696" s="2" t="n">
        <x:v>0</x:v>
      </x:c>
      <x:c r="D2696" s="2" t="n">
        <x:v>0</x:v>
      </x:c>
      <x:c r="E2696" s="10"/>
      <x:c r="F2696" s="11" t="n">
        <x:v>125</x:v>
      </x:c>
      <x:c r="G2696" s="11" t="n">
        <x:v>0</x:v>
      </x:c>
      <x:c r="H2696" s="11" t="n">
        <x:v>0</x:v>
      </x:c>
      <x:c r="I2696" s="11" t="n">
        <x:v>1</x:v>
      </x:c>
      <x:c r="J2696" s="11" t="n">
        <x:v>0</x:v>
      </x:c>
      <x:c r="K2696" s="11" t="n">
        <x:v>0</x:v>
      </x:c>
      <x:c r="L2696" s="11" t="n">
        <x:f>IF(B2696="NED",1,IF(OR(B2696="ED",B2696="UN"),0,""))</x:f>
        <x:v>0</x:v>
      </x:c>
      <x:c r="M2696" s="11" t="n">
        <x:f>IF(AND(K2696=1,OR(B2696="ED",B2696="NED")),1,0)</x:f>
        <x:v>0</x:v>
      </x:c>
      <x:c r="N2696" s="11" t="n">
        <x:f>IF(K2696=1,1,0)</x:f>
        <x:v>0</x:v>
      </x:c>
      <x:c r="O2696" s="12" t="str">
        <x:v>Exclude UniProt Membrane keyword</x:v>
      </x:c>
      <x:c r="P2696" s="11" t="n">
        <x:v>0</x:v>
      </x:c>
      <x:c r="Q2696" s="12" t="str">
        <x:v>AF-Q9CQV6-F1-model_v6</x:v>
      </x:c>
      <x:c r="R2696" s="12" t="str">
        <x:v>ok</x:v>
      </x:c>
      <x:c r="S2696" s="11" t="n">
        <x:v>2177</x:v>
      </x:c>
      <x:c r="T2696" s="11" t="n">
        <x:v>125</x:v>
      </x:c>
    </x:row>
    <x:row r="2697" ht="23" customHeight="1">
      <x:c r="A2697" s="2" t="str">
        <x:v>Q9CQV7</x:v>
      </x:c>
      <x:c r="B2697" s="2" t="str">
        <x:v>UN</x:v>
      </x:c>
      <x:c r="C2697" s="2" t="n">
        <x:v>0</x:v>
      </x:c>
      <x:c r="D2697" s="2" t="n">
        <x:v>0</x:v>
      </x:c>
      <x:c r="E2697" s="10"/>
      <x:c r="F2697" s="11" t="n">
        <x:v>116</x:v>
      </x:c>
      <x:c r="G2697" s="11" t="n">
        <x:v>0</x:v>
      </x:c>
      <x:c r="H2697" s="11" t="n">
        <x:v>0</x:v>
      </x:c>
      <x:c r="I2697" s="11" t="n">
        <x:v>1</x:v>
      </x:c>
      <x:c r="J2697" s="11" t="n">
        <x:v>0</x:v>
      </x:c>
      <x:c r="K2697" s="11" t="n">
        <x:v>0</x:v>
      </x:c>
      <x:c r="L2697" s="11" t="n">
        <x:f>IF(B2697="NED",1,IF(OR(B2697="ED",B2697="UN"),0,""))</x:f>
        <x:v>0</x:v>
      </x:c>
      <x:c r="M2697" s="11" t="n">
        <x:f>IF(AND(K2697=1,OR(B2697="ED",B2697="NED")),1,0)</x:f>
        <x:v>0</x:v>
      </x:c>
      <x:c r="N2697" s="11" t="n">
        <x:f>IF(K2697=1,1,0)</x:f>
        <x:v>0</x:v>
      </x:c>
      <x:c r="O2697" s="12" t="str">
        <x:v>Exclude UniProt Membrane keyword</x:v>
      </x:c>
      <x:c r="P2697" s="11" t="n">
        <x:v>0</x:v>
      </x:c>
      <x:c r="Q2697" s="12" t="str">
        <x:v>AF-Q9CQV7-F1-model_v6</x:v>
      </x:c>
      <x:c r="R2697" s="12" t="str">
        <x:v>ok</x:v>
      </x:c>
      <x:c r="S2697" s="11" t="n">
        <x:v>2178</x:v>
      </x:c>
      <x:c r="T2697" s="11" t="n">
        <x:v>116</x:v>
      </x:c>
    </x:row>
    <x:row r="2698" ht="23" customHeight="1">
      <x:c r="A2698" s="2" t="str">
        <x:v>Q9CQV8-2</x:v>
      </x:c>
      <x:c r="B2698" s="2" t="str">
        <x:v>NED</x:v>
      </x:c>
      <x:c r="C2698" s="2"/>
      <x:c r="D2698" s="2"/>
      <x:c r="E2698" s="10"/>
      <x:c r="F2698" s="11"/>
      <x:c r="G2698" s="11" t="n">
        <x:v>0</x:v>
      </x:c>
      <x:c r="H2698" s="11" t="n">
        <x:v>0</x:v>
      </x:c>
      <x:c r="I2698" s="11"/>
      <x:c r="J2698" s="11"/>
      <x:c r="K2698" s="11" t="n">
        <x:v>0</x:v>
      </x:c>
      <x:c r="L2698" s="11" t="n">
        <x:f>IF(B2698="NED",1,IF(OR(B2698="ED",B2698="UN"),0,""))</x:f>
        <x:v>1</x:v>
      </x:c>
      <x:c r="M2698" s="11" t="n">
        <x:f>IF(AND(K2698=1,OR(B2698="ED",B2698="NED")),1,0)</x:f>
        <x:v>0</x:v>
      </x:c>
      <x:c r="N2698" s="11" t="n">
        <x:f>IF(K2698=1,1,0)</x:f>
        <x:v>0</x:v>
      </x:c>
      <x:c r="O2698" s="12" t="str">
        <x:v>Require exact native accession match</x:v>
      </x:c>
      <x:c r="P2698" s="11" t="n">
        <x:v>0</x:v>
      </x:c>
      <x:c r="Q2698" s="12"/>
      <x:c r="R2698" s="12"/>
      <x:c r="S2698" s="11" t="n">
        <x:v>2179</x:v>
      </x:c>
      <x:c r="T2698" s="11"/>
    </x:row>
    <x:row r="2699" ht="23" customHeight="1">
      <x:c r="A2699" s="2" t="str">
        <x:v>Q9CQW2</x:v>
      </x:c>
      <x:c r="B2699" s="2" t="str">
        <x:v>ED</x:v>
      </x:c>
      <x:c r="C2699" s="2" t="n">
        <x:v>1</x:v>
      </x:c>
      <x:c r="D2699" s="2" t="n">
        <x:v>1</x:v>
      </x:c>
      <x:c r="E2699" s="10"/>
      <x:c r="F2699" s="11" t="n">
        <x:v>186</x:v>
      </x:c>
      <x:c r="G2699" s="11" t="n">
        <x:v>0</x:v>
      </x:c>
      <x:c r="H2699" s="11" t="n">
        <x:v>0</x:v>
      </x:c>
      <x:c r="I2699" s="11" t="n">
        <x:v>1</x:v>
      </x:c>
      <x:c r="J2699" s="11" t="n">
        <x:v>0</x:v>
      </x:c>
      <x:c r="K2699" s="11" t="n">
        <x:v>0</x:v>
      </x:c>
      <x:c r="L2699" s="11" t="n">
        <x:f>IF(B2699="NED",1,IF(OR(B2699="ED",B2699="UN"),0,""))</x:f>
        <x:v>0</x:v>
      </x:c>
      <x:c r="M2699" s="11" t="n">
        <x:f>IF(AND(K2699=1,OR(B2699="ED",B2699="NED")),1,0)</x:f>
        <x:v>0</x:v>
      </x:c>
      <x:c r="N2699" s="11" t="n">
        <x:f>IF(K2699=1,1,0)</x:f>
        <x:v>0</x:v>
      </x:c>
      <x:c r="O2699" s="12" t="str">
        <x:v>Exclude UniProt Membrane keyword</x:v>
      </x:c>
      <x:c r="P2699" s="11" t="n">
        <x:v>0</x:v>
      </x:c>
      <x:c r="Q2699" s="12" t="str">
        <x:v>AF-Q9CQW2-F1-model_v6</x:v>
      </x:c>
      <x:c r="R2699" s="12" t="str">
        <x:v>ok</x:v>
      </x:c>
      <x:c r="S2699" s="11" t="n">
        <x:v>2180</x:v>
      </x:c>
      <x:c r="T2699" s="11" t="n">
        <x:v>186</x:v>
      </x:c>
    </x:row>
    <x:row r="2700" ht="23" customHeight="1">
      <x:c r="A2700" s="2" t="str">
        <x:v>Q9CQZ5</x:v>
      </x:c>
      <x:c r="B2700" s="2" t="str">
        <x:v>NED</x:v>
      </x:c>
      <x:c r="C2700" s="2" t="n">
        <x:v>0</x:v>
      </x:c>
      <x:c r="D2700" s="2" t="n">
        <x:v>0</x:v>
      </x:c>
      <x:c r="E2700" s="10"/>
      <x:c r="F2700" s="11" t="n">
        <x:v>131</x:v>
      </x:c>
      <x:c r="G2700" s="11" t="n">
        <x:v>0</x:v>
      </x:c>
      <x:c r="H2700" s="11" t="n">
        <x:v>0</x:v>
      </x:c>
      <x:c r="I2700" s="11" t="n">
        <x:v>1</x:v>
      </x:c>
      <x:c r="J2700" s="11" t="n">
        <x:v>0</x:v>
      </x:c>
      <x:c r="K2700" s="11" t="n">
        <x:v>0</x:v>
      </x:c>
      <x:c r="L2700" s="11" t="n">
        <x:f>IF(B2700="NED",1,IF(OR(B2700="ED",B2700="UN"),0,""))</x:f>
        <x:v>1</x:v>
      </x:c>
      <x:c r="M2700" s="11" t="n">
        <x:f>IF(AND(K2700=1,OR(B2700="ED",B2700="NED")),1,0)</x:f>
        <x:v>0</x:v>
      </x:c>
      <x:c r="N2700" s="11" t="n">
        <x:f>IF(K2700=1,1,0)</x:f>
        <x:v>0</x:v>
      </x:c>
      <x:c r="O2700" s="12" t="str">
        <x:v>Exclude UniProt Membrane keyword</x:v>
      </x:c>
      <x:c r="P2700" s="11" t="n">
        <x:v>0</x:v>
      </x:c>
      <x:c r="Q2700" s="12" t="str">
        <x:v>AF-Q9CQZ5-F1-model_v6</x:v>
      </x:c>
      <x:c r="R2700" s="12" t="str">
        <x:v>ok</x:v>
      </x:c>
      <x:c r="S2700" s="11" t="n">
        <x:v>2181</x:v>
      </x:c>
      <x:c r="T2700" s="11" t="n">
        <x:v>131</x:v>
      </x:c>
    </x:row>
    <x:row r="2701" ht="23" customHeight="1">
      <x:c r="A2701" s="2" t="str">
        <x:v>Q9CQZ6</x:v>
      </x:c>
      <x:c r="B2701" s="2" t="str">
        <x:v>UN</x:v>
      </x:c>
      <x:c r="C2701" s="2" t="n">
        <x:v>0</x:v>
      </x:c>
      <x:c r="D2701" s="2" t="n">
        <x:v>0</x:v>
      </x:c>
      <x:c r="E2701" s="10"/>
      <x:c r="F2701" s="11" t="n">
        <x:v>104</x:v>
      </x:c>
      <x:c r="G2701" s="11" t="n">
        <x:v>0</x:v>
      </x:c>
      <x:c r="H2701" s="11" t="n">
        <x:v>0</x:v>
      </x:c>
      <x:c r="I2701" s="11" t="n">
        <x:v>1</x:v>
      </x:c>
      <x:c r="J2701" s="11" t="n">
        <x:v>0</x:v>
      </x:c>
      <x:c r="K2701" s="11" t="n">
        <x:v>0</x:v>
      </x:c>
      <x:c r="L2701" s="11" t="n">
        <x:f>IF(B2701="NED",1,IF(OR(B2701="ED",B2701="UN"),0,""))</x:f>
        <x:v>0</x:v>
      </x:c>
      <x:c r="M2701" s="11" t="n">
        <x:f>IF(AND(K2701=1,OR(B2701="ED",B2701="NED")),1,0)</x:f>
        <x:v>0</x:v>
      </x:c>
      <x:c r="N2701" s="11" t="n">
        <x:f>IF(K2701=1,1,0)</x:f>
        <x:v>0</x:v>
      </x:c>
      <x:c r="O2701" s="12" t="str">
        <x:v>Exclude UniProt Membrane keyword</x:v>
      </x:c>
      <x:c r="P2701" s="11" t="n">
        <x:v>0</x:v>
      </x:c>
      <x:c r="Q2701" s="12" t="str">
        <x:v>AF-Q9CQZ6-F1-model_v6</x:v>
      </x:c>
      <x:c r="R2701" s="12" t="str">
        <x:v>ok</x:v>
      </x:c>
      <x:c r="S2701" s="11" t="n">
        <x:v>2182</x:v>
      </x:c>
      <x:c r="T2701" s="11" t="n">
        <x:v>104</x:v>
      </x:c>
    </x:row>
    <x:row r="2702" ht="23" customHeight="1">
      <x:c r="A2702" s="2" t="str">
        <x:v>Q9CR00</x:v>
      </x:c>
      <x:c r="B2702" s="2" t="str">
        <x:v>ED</x:v>
      </x:c>
      <x:c r="C2702" s="2" t="n">
        <x:v>0</x:v>
      </x:c>
      <x:c r="D2702" s="2" t="n">
        <x:v>0</x:v>
      </x:c>
      <x:c r="E2702" s="10" t="n">
        <x:v>85.23099099099099</x:v>
      </x:c>
      <x:c r="F2702" s="11" t="n">
        <x:v>222</x:v>
      </x:c>
      <x:c r="G2702" s="11" t="n">
        <x:v>0</x:v>
      </x:c>
      <x:c r="H2702" s="11" t="n">
        <x:v>0</x:v>
      </x:c>
      <x:c r="I2702" s="11" t="n">
        <x:v>0</x:v>
      </x:c>
      <x:c r="J2702" s="11" t="n">
        <x:v>0</x:v>
      </x:c>
      <x:c r="K2702" s="11" t="n">
        <x:v>1</x:v>
      </x:c>
      <x:c r="L2702" s="11" t="n">
        <x:f>IF(B2702="NED",1,IF(OR(B2702="ED",B2702="UN"),0,""))</x:f>
        <x:v>0</x:v>
      </x:c>
      <x:c r="M2702" s="11" t="n">
        <x:f>IF(AND(K2702=1,OR(B2702="ED",B2702="NED")),1,0)</x:f>
        <x:v>1</x:v>
      </x:c>
      <x:c r="N2702" s="11" t="n">
        <x:f>IF(K2702=1,1,0)</x:f>
        <x:v>1</x:v>
      </x:c>
      <x:c r="O2702" s="12"/>
      <x:c r="P2702" s="11" t="n">
        <x:v>0</x:v>
      </x:c>
      <x:c r="Q2702" s="12" t="str">
        <x:v>AF-Q9CR00-F1-model_v6</x:v>
      </x:c>
      <x:c r="R2702" s="12" t="str">
        <x:v>ok</x:v>
      </x:c>
      <x:c r="S2702" s="11" t="n">
        <x:v>2183</x:v>
      </x:c>
      <x:c r="T2702" s="11" t="n">
        <x:v>222</x:v>
      </x:c>
    </x:row>
    <x:row r="2703" ht="23" customHeight="1">
      <x:c r="A2703" s="2" t="str">
        <x:v>Q9CR16</x:v>
      </x:c>
      <x:c r="B2703" s="2" t="str">
        <x:v>ED</x:v>
      </x:c>
      <x:c r="C2703" s="2" t="n">
        <x:v>1</x:v>
      </x:c>
      <x:c r="D2703" s="2" t="n">
        <x:v>1</x:v>
      </x:c>
      <x:c r="E2703" s="10" t="n">
        <x:v>97.01756756756755</x:v>
      </x:c>
      <x:c r="F2703" s="11" t="n">
        <x:v>370</x:v>
      </x:c>
      <x:c r="G2703" s="11" t="n">
        <x:v>0</x:v>
      </x:c>
      <x:c r="H2703" s="11" t="n">
        <x:v>0</x:v>
      </x:c>
      <x:c r="I2703" s="11" t="n">
        <x:v>0</x:v>
      </x:c>
      <x:c r="J2703" s="11" t="n">
        <x:v>0</x:v>
      </x:c>
      <x:c r="K2703" s="11" t="n">
        <x:v>1</x:v>
      </x:c>
      <x:c r="L2703" s="11" t="n">
        <x:f>IF(B2703="NED",1,IF(OR(B2703="ED",B2703="UN"),0,""))</x:f>
        <x:v>0</x:v>
      </x:c>
      <x:c r="M2703" s="11" t="n">
        <x:f>IF(AND(K2703=1,OR(B2703="ED",B2703="NED")),1,0)</x:f>
        <x:v>1</x:v>
      </x:c>
      <x:c r="N2703" s="11" t="n">
        <x:f>IF(K2703=1,1,0)</x:f>
        <x:v>1</x:v>
      </x:c>
      <x:c r="O2703" s="12"/>
      <x:c r="P2703" s="11" t="n">
        <x:v>0</x:v>
      </x:c>
      <x:c r="Q2703" s="12" t="str">
        <x:v>AF-Q9CR16-F1-model_v6</x:v>
      </x:c>
      <x:c r="R2703" s="12" t="str">
        <x:v>ok</x:v>
      </x:c>
      <x:c r="S2703" s="11" t="n">
        <x:v>2184</x:v>
      </x:c>
      <x:c r="T2703" s="11" t="n">
        <x:v>370</x:v>
      </x:c>
    </x:row>
    <x:row r="2704" ht="23" customHeight="1">
      <x:c r="A2704" s="2" t="str">
        <x:v>Q9CR26</x:v>
      </x:c>
      <x:c r="B2704" s="2" t="str">
        <x:v>UN</x:v>
      </x:c>
      <x:c r="C2704" s="2" t="n">
        <x:v>0</x:v>
      </x:c>
      <x:c r="D2704" s="2" t="n">
        <x:v>0</x:v>
      </x:c>
      <x:c r="E2704" s="10"/>
      <x:c r="F2704" s="11" t="n">
        <x:v>309</x:v>
      </x:c>
      <x:c r="G2704" s="11" t="n">
        <x:v>0</x:v>
      </x:c>
      <x:c r="H2704" s="11" t="n">
        <x:v>0</x:v>
      </x:c>
      <x:c r="I2704" s="11" t="n">
        <x:v>1</x:v>
      </x:c>
      <x:c r="J2704" s="11" t="n">
        <x:v>0</x:v>
      </x:c>
      <x:c r="K2704" s="11" t="n">
        <x:v>0</x:v>
      </x:c>
      <x:c r="L2704" s="11" t="n">
        <x:f>IF(B2704="NED",1,IF(OR(B2704="ED",B2704="UN"),0,""))</x:f>
        <x:v>0</x:v>
      </x:c>
      <x:c r="M2704" s="11" t="n">
        <x:f>IF(AND(K2704=1,OR(B2704="ED",B2704="NED")),1,0)</x:f>
        <x:v>0</x:v>
      </x:c>
      <x:c r="N2704" s="11" t="n">
        <x:f>IF(K2704=1,1,0)</x:f>
        <x:v>0</x:v>
      </x:c>
      <x:c r="O2704" s="12" t="str">
        <x:v>Exclude UniProt Membrane keyword</x:v>
      </x:c>
      <x:c r="P2704" s="11" t="n">
        <x:v>0</x:v>
      </x:c>
      <x:c r="Q2704" s="12" t="str">
        <x:v>AF-Q9CR26-F1-model_v6</x:v>
      </x:c>
      <x:c r="R2704" s="12" t="str">
        <x:v>ok</x:v>
      </x:c>
      <x:c r="S2704" s="11" t="n">
        <x:v>2185</x:v>
      </x:c>
      <x:c r="T2704" s="11" t="n">
        <x:v>309</x:v>
      </x:c>
    </x:row>
    <x:row r="2705" ht="23" customHeight="1">
      <x:c r="A2705" s="2" t="str">
        <x:v>Q9CR39</x:v>
      </x:c>
      <x:c r="B2705" s="2" t="str">
        <x:v>ED</x:v>
      </x:c>
      <x:c r="C2705" s="2" t="n">
        <x:v>0</x:v>
      </x:c>
      <x:c r="D2705" s="2" t="n">
        <x:v>0</x:v>
      </x:c>
      <x:c r="E2705" s="10" t="n">
        <x:v>94.92072674418604</x:v>
      </x:c>
      <x:c r="F2705" s="11" t="n">
        <x:v>344</x:v>
      </x:c>
      <x:c r="G2705" s="11" t="n">
        <x:v>0</x:v>
      </x:c>
      <x:c r="H2705" s="11" t="n">
        <x:v>0</x:v>
      </x:c>
      <x:c r="I2705" s="11" t="n">
        <x:v>0</x:v>
      </x:c>
      <x:c r="J2705" s="11" t="n">
        <x:v>0</x:v>
      </x:c>
      <x:c r="K2705" s="11" t="n">
        <x:v>1</x:v>
      </x:c>
      <x:c r="L2705" s="11" t="n">
        <x:f>IF(B2705="NED",1,IF(OR(B2705="ED",B2705="UN"),0,""))</x:f>
        <x:v>0</x:v>
      </x:c>
      <x:c r="M2705" s="11" t="n">
        <x:f>IF(AND(K2705=1,OR(B2705="ED",B2705="NED")),1,0)</x:f>
        <x:v>1</x:v>
      </x:c>
      <x:c r="N2705" s="11" t="n">
        <x:f>IF(K2705=1,1,0)</x:f>
        <x:v>1</x:v>
      </x:c>
      <x:c r="O2705" s="12"/>
      <x:c r="P2705" s="11" t="n">
        <x:v>0</x:v>
      </x:c>
      <x:c r="Q2705" s="12" t="str">
        <x:v>AF-Q9CR39-F1-model_v6</x:v>
      </x:c>
      <x:c r="R2705" s="12" t="str">
        <x:v>ok</x:v>
      </x:c>
      <x:c r="S2705" s="11" t="n">
        <x:v>2186</x:v>
      </x:c>
      <x:c r="T2705" s="11" t="n">
        <x:v>344</x:v>
      </x:c>
    </x:row>
    <x:row r="2706" ht="23" customHeight="1">
      <x:c r="A2706" s="2" t="str">
        <x:v>Q9CR47</x:v>
      </x:c>
      <x:c r="B2706" s="2" t="str">
        <x:v>ED</x:v>
      </x:c>
      <x:c r="C2706" s="2" t="n">
        <x:v>1</x:v>
      </x:c>
      <x:c r="D2706" s="2" t="n">
        <x:v>1</x:v>
      </x:c>
      <x:c r="E2706" s="10" t="n">
        <x:v>86.76053846153847</x:v>
      </x:c>
      <x:c r="F2706" s="11" t="n">
        <x:v>260</x:v>
      </x:c>
      <x:c r="G2706" s="11" t="n">
        <x:v>0</x:v>
      </x:c>
      <x:c r="H2706" s="11" t="n">
        <x:v>0</x:v>
      </x:c>
      <x:c r="I2706" s="11" t="n">
        <x:v>0</x:v>
      </x:c>
      <x:c r="J2706" s="11" t="n">
        <x:v>0</x:v>
      </x:c>
      <x:c r="K2706" s="11" t="n">
        <x:v>1</x:v>
      </x:c>
      <x:c r="L2706" s="11" t="n">
        <x:f>IF(B2706="NED",1,IF(OR(B2706="ED",B2706="UN"),0,""))</x:f>
        <x:v>0</x:v>
      </x:c>
      <x:c r="M2706" s="11" t="n">
        <x:f>IF(AND(K2706=1,OR(B2706="ED",B2706="NED")),1,0)</x:f>
        <x:v>1</x:v>
      </x:c>
      <x:c r="N2706" s="11" t="n">
        <x:f>IF(K2706=1,1,0)</x:f>
        <x:v>1</x:v>
      </x:c>
      <x:c r="O2706" s="12"/>
      <x:c r="P2706" s="11" t="n">
        <x:v>0</x:v>
      </x:c>
      <x:c r="Q2706" s="12" t="str">
        <x:v>AF-Q9CR47-F1-model_v6</x:v>
      </x:c>
      <x:c r="R2706" s="12" t="str">
        <x:v>ok</x:v>
      </x:c>
      <x:c r="S2706" s="11" t="n">
        <x:v>2187</x:v>
      </x:c>
      <x:c r="T2706" s="11" t="n">
        <x:v>260</x:v>
      </x:c>
    </x:row>
    <x:row r="2707" ht="23" customHeight="1">
      <x:c r="A2707" s="2" t="str">
        <x:v>Q9CR50</x:v>
      </x:c>
      <x:c r="B2707" s="2" t="str">
        <x:v>ED</x:v>
      </x:c>
      <x:c r="C2707" s="2" t="n">
        <x:v>1</x:v>
      </x:c>
      <x:c r="D2707" s="2" t="n">
        <x:v>1</x:v>
      </x:c>
      <x:c r="E2707" s="10" t="n">
        <x:v>90.30896551724138</x:v>
      </x:c>
      <x:c r="F2707" s="11" t="n">
        <x:v>261</x:v>
      </x:c>
      <x:c r="G2707" s="11" t="n">
        <x:v>0</x:v>
      </x:c>
      <x:c r="H2707" s="11" t="n">
        <x:v>0</x:v>
      </x:c>
      <x:c r="I2707" s="11" t="n">
        <x:v>0</x:v>
      </x:c>
      <x:c r="J2707" s="11" t="n">
        <x:v>0</x:v>
      </x:c>
      <x:c r="K2707" s="11" t="n">
        <x:v>1</x:v>
      </x:c>
      <x:c r="L2707" s="11" t="n">
        <x:f>IF(B2707="NED",1,IF(OR(B2707="ED",B2707="UN"),0,""))</x:f>
        <x:v>0</x:v>
      </x:c>
      <x:c r="M2707" s="11" t="n">
        <x:f>IF(AND(K2707=1,OR(B2707="ED",B2707="NED")),1,0)</x:f>
        <x:v>1</x:v>
      </x:c>
      <x:c r="N2707" s="11" t="n">
        <x:f>IF(K2707=1,1,0)</x:f>
        <x:v>1</x:v>
      </x:c>
      <x:c r="O2707" s="12"/>
      <x:c r="P2707" s="11" t="n">
        <x:v>0</x:v>
      </x:c>
      <x:c r="Q2707" s="12" t="str">
        <x:v>AF-Q9CR50-F1-model_v6</x:v>
      </x:c>
      <x:c r="R2707" s="12" t="str">
        <x:v>ok</x:v>
      </x:c>
      <x:c r="S2707" s="11" t="n">
        <x:v>2188</x:v>
      </x:c>
      <x:c r="T2707" s="11" t="n">
        <x:v>261</x:v>
      </x:c>
    </x:row>
    <x:row r="2708" ht="23" customHeight="1">
      <x:c r="A2708" s="2" t="str">
        <x:v>Q9CR59</x:v>
      </x:c>
      <x:c r="B2708" s="2" t="str">
        <x:v>ED</x:v>
      </x:c>
      <x:c r="C2708" s="2" t="n">
        <x:v>0</x:v>
      </x:c>
      <x:c r="D2708" s="2" t="n">
        <x:v>0</x:v>
      </x:c>
      <x:c r="E2708" s="10" t="n">
        <x:v>87.17058558558558</x:v>
      </x:c>
      <x:c r="F2708" s="11" t="n">
        <x:v>222</x:v>
      </x:c>
      <x:c r="G2708" s="11" t="n">
        <x:v>0</x:v>
      </x:c>
      <x:c r="H2708" s="11" t="n">
        <x:v>0</x:v>
      </x:c>
      <x:c r="I2708" s="11" t="n">
        <x:v>0</x:v>
      </x:c>
      <x:c r="J2708" s="11" t="n">
        <x:v>0</x:v>
      </x:c>
      <x:c r="K2708" s="11" t="n">
        <x:v>1</x:v>
      </x:c>
      <x:c r="L2708" s="11" t="n">
        <x:f>IF(B2708="NED",1,IF(OR(B2708="ED",B2708="UN"),0,""))</x:f>
        <x:v>0</x:v>
      </x:c>
      <x:c r="M2708" s="11" t="n">
        <x:f>IF(AND(K2708=1,OR(B2708="ED",B2708="NED")),1,0)</x:f>
        <x:v>1</x:v>
      </x:c>
      <x:c r="N2708" s="11" t="n">
        <x:f>IF(K2708=1,1,0)</x:f>
        <x:v>1</x:v>
      </x:c>
      <x:c r="O2708" s="12"/>
      <x:c r="P2708" s="11" t="n">
        <x:v>0</x:v>
      </x:c>
      <x:c r="Q2708" s="12" t="str">
        <x:v>AF-Q9CR59-F1-model_v6</x:v>
      </x:c>
      <x:c r="R2708" s="12" t="str">
        <x:v>ok</x:v>
      </x:c>
      <x:c r="S2708" s="11" t="n">
        <x:v>2189</x:v>
      </x:c>
      <x:c r="T2708" s="11" t="n">
        <x:v>222</x:v>
      </x:c>
    </x:row>
    <x:row r="2709" ht="23" customHeight="1">
      <x:c r="A2709" s="2" t="str">
        <x:v>Q9CR62</x:v>
      </x:c>
      <x:c r="B2709" s="2" t="str">
        <x:v>UN</x:v>
      </x:c>
      <x:c r="C2709" s="2" t="n">
        <x:v>1</x:v>
      </x:c>
      <x:c r="D2709" s="2" t="n">
        <x:v>1</x:v>
      </x:c>
      <x:c r="E2709" s="10"/>
      <x:c r="F2709" s="11" t="n">
        <x:v>314</x:v>
      </x:c>
      <x:c r="G2709" s="11" t="n">
        <x:v>0</x:v>
      </x:c>
      <x:c r="H2709" s="11" t="n">
        <x:v>0</x:v>
      </x:c>
      <x:c r="I2709" s="11" t="n">
        <x:v>1</x:v>
      </x:c>
      <x:c r="J2709" s="11" t="n">
        <x:v>0</x:v>
      </x:c>
      <x:c r="K2709" s="11" t="n">
        <x:v>0</x:v>
      </x:c>
      <x:c r="L2709" s="11" t="n">
        <x:f>IF(B2709="NED",1,IF(OR(B2709="ED",B2709="UN"),0,""))</x:f>
        <x:v>0</x:v>
      </x:c>
      <x:c r="M2709" s="11" t="n">
        <x:f>IF(AND(K2709=1,OR(B2709="ED",B2709="NED")),1,0)</x:f>
        <x:v>0</x:v>
      </x:c>
      <x:c r="N2709" s="11" t="n">
        <x:f>IF(K2709=1,1,0)</x:f>
        <x:v>0</x:v>
      </x:c>
      <x:c r="O2709" s="12" t="str">
        <x:v>Exclude UniProt Membrane keyword</x:v>
      </x:c>
      <x:c r="P2709" s="11" t="n">
        <x:v>0</x:v>
      </x:c>
      <x:c r="Q2709" s="12" t="str">
        <x:v>AF-Q9CR62-F1-model_v6</x:v>
      </x:c>
      <x:c r="R2709" s="12" t="str">
        <x:v>ok</x:v>
      </x:c>
      <x:c r="S2709" s="11" t="n">
        <x:v>2190</x:v>
      </x:c>
      <x:c r="T2709" s="11" t="n">
        <x:v>314</x:v>
      </x:c>
    </x:row>
    <x:row r="2710" ht="23" customHeight="1">
      <x:c r="A2710" s="2" t="str">
        <x:v>Q9CR67</x:v>
      </x:c>
      <x:c r="B2710" s="2" t="str">
        <x:v>NED</x:v>
      </x:c>
      <x:c r="C2710" s="2" t="n">
        <x:v>0</x:v>
      </x:c>
      <x:c r="D2710" s="2" t="n">
        <x:v>0</x:v>
      </x:c>
      <x:c r="E2710" s="10"/>
      <x:c r="F2710" s="11" t="n">
        <x:v>247</x:v>
      </x:c>
      <x:c r="G2710" s="11" t="n">
        <x:v>0</x:v>
      </x:c>
      <x:c r="H2710" s="11" t="n">
        <x:v>0</x:v>
      </x:c>
      <x:c r="I2710" s="11" t="n">
        <x:v>1</x:v>
      </x:c>
      <x:c r="J2710" s="11" t="n">
        <x:v>0</x:v>
      </x:c>
      <x:c r="K2710" s="11" t="n">
        <x:v>0</x:v>
      </x:c>
      <x:c r="L2710" s="11" t="n">
        <x:f>IF(B2710="NED",1,IF(OR(B2710="ED",B2710="UN"),0,""))</x:f>
        <x:v>1</x:v>
      </x:c>
      <x:c r="M2710" s="11" t="n">
        <x:f>IF(AND(K2710=1,OR(B2710="ED",B2710="NED")),1,0)</x:f>
        <x:v>0</x:v>
      </x:c>
      <x:c r="N2710" s="11" t="n">
        <x:f>IF(K2710=1,1,0)</x:f>
        <x:v>0</x:v>
      </x:c>
      <x:c r="O2710" s="12" t="str">
        <x:v>Exclude UniProt Membrane keyword</x:v>
      </x:c>
      <x:c r="P2710" s="11" t="n">
        <x:v>0</x:v>
      </x:c>
      <x:c r="Q2710" s="12" t="str">
        <x:v>AF-Q9CR67-F1-model_v6</x:v>
      </x:c>
      <x:c r="R2710" s="12" t="str">
        <x:v>ok</x:v>
      </x:c>
      <x:c r="S2710" s="11" t="n">
        <x:v>2191</x:v>
      </x:c>
      <x:c r="T2710" s="11" t="n">
        <x:v>247</x:v>
      </x:c>
    </x:row>
    <x:row r="2711" ht="23" customHeight="1">
      <x:c r="A2711" s="2" t="str">
        <x:v>Q9CR86</x:v>
      </x:c>
      <x:c r="B2711" s="2" t="str">
        <x:v>ED</x:v>
      </x:c>
      <x:c r="C2711" s="2" t="n">
        <x:v>1</x:v>
      </x:c>
      <x:c r="D2711" s="2" t="n">
        <x:v>1</x:v>
      </x:c>
      <x:c r="E2711" s="10" t="n">
        <x:v>85.50702702702704</x:v>
      </x:c>
      <x:c r="F2711" s="11" t="n">
        <x:v>148</x:v>
      </x:c>
      <x:c r="G2711" s="11" t="n">
        <x:v>0</x:v>
      </x:c>
      <x:c r="H2711" s="11" t="n">
        <x:v>0</x:v>
      </x:c>
      <x:c r="I2711" s="11" t="n">
        <x:v>0</x:v>
      </x:c>
      <x:c r="J2711" s="11" t="n">
        <x:v>0</x:v>
      </x:c>
      <x:c r="K2711" s="11" t="n">
        <x:v>1</x:v>
      </x:c>
      <x:c r="L2711" s="11" t="n">
        <x:f>IF(B2711="NED",1,IF(OR(B2711="ED",B2711="UN"),0,""))</x:f>
        <x:v>0</x:v>
      </x:c>
      <x:c r="M2711" s="11" t="n">
        <x:f>IF(AND(K2711=1,OR(B2711="ED",B2711="NED")),1,0)</x:f>
        <x:v>1</x:v>
      </x:c>
      <x:c r="N2711" s="11" t="n">
        <x:f>IF(K2711=1,1,0)</x:f>
        <x:v>1</x:v>
      </x:c>
      <x:c r="O2711" s="12"/>
      <x:c r="P2711" s="11" t="n">
        <x:v>0</x:v>
      </x:c>
      <x:c r="Q2711" s="12" t="str">
        <x:v>AF-Q9CR86-F1-model_v6</x:v>
      </x:c>
      <x:c r="R2711" s="12" t="str">
        <x:v>ok</x:v>
      </x:c>
      <x:c r="S2711" s="11" t="n">
        <x:v>2192</x:v>
      </x:c>
      <x:c r="T2711" s="11" t="n">
        <x:v>148</x:v>
      </x:c>
    </x:row>
    <x:row r="2712" ht="23" customHeight="1">
      <x:c r="A2712" s="2" t="str">
        <x:v>Q9CRA5</x:v>
      </x:c>
      <x:c r="B2712" s="2" t="str">
        <x:v>ED</x:v>
      </x:c>
      <x:c r="C2712" s="2" t="n">
        <x:v>1</x:v>
      </x:c>
      <x:c r="D2712" s="2" t="n">
        <x:v>1</x:v>
      </x:c>
      <x:c r="E2712" s="10"/>
      <x:c r="F2712" s="11" t="n">
        <x:v>298</x:v>
      </x:c>
      <x:c r="G2712" s="11" t="n">
        <x:v>0</x:v>
      </x:c>
      <x:c r="H2712" s="11" t="n">
        <x:v>0</x:v>
      </x:c>
      <x:c r="I2712" s="11" t="n">
        <x:v>1</x:v>
      </x:c>
      <x:c r="J2712" s="11" t="n">
        <x:v>0</x:v>
      </x:c>
      <x:c r="K2712" s="11" t="n">
        <x:v>0</x:v>
      </x:c>
      <x:c r="L2712" s="11" t="n">
        <x:f>IF(B2712="NED",1,IF(OR(B2712="ED",B2712="UN"),0,""))</x:f>
        <x:v>0</x:v>
      </x:c>
      <x:c r="M2712" s="11" t="n">
        <x:f>IF(AND(K2712=1,OR(B2712="ED",B2712="NED")),1,0)</x:f>
        <x:v>0</x:v>
      </x:c>
      <x:c r="N2712" s="11" t="n">
        <x:f>IF(K2712=1,1,0)</x:f>
        <x:v>0</x:v>
      </x:c>
      <x:c r="O2712" s="12" t="str">
        <x:v>Exclude UniProt Membrane keyword</x:v>
      </x:c>
      <x:c r="P2712" s="11" t="n">
        <x:v>0</x:v>
      </x:c>
      <x:c r="Q2712" s="12" t="str">
        <x:v>AF-Q9CRA5-F1-model_v6</x:v>
      </x:c>
      <x:c r="R2712" s="12" t="str">
        <x:v>ok</x:v>
      </x:c>
      <x:c r="S2712" s="11" t="n">
        <x:v>2193</x:v>
      </x:c>
      <x:c r="T2712" s="11" t="n">
        <x:v>298</x:v>
      </x:c>
    </x:row>
    <x:row r="2713" ht="23" customHeight="1">
      <x:c r="A2713" s="2" t="str">
        <x:v>Q9CRA8</x:v>
      </x:c>
      <x:c r="B2713" s="2" t="str">
        <x:v>UN</x:v>
      </x:c>
      <x:c r="C2713" s="2" t="n">
        <x:v>1</x:v>
      </x:c>
      <x:c r="D2713" s="2" t="n">
        <x:v>1</x:v>
      </x:c>
      <x:c r="E2713" s="10" t="n">
        <x:v>84.47702127659574</x:v>
      </x:c>
      <x:c r="F2713" s="11" t="n">
        <x:v>235</x:v>
      </x:c>
      <x:c r="G2713" s="11" t="n">
        <x:v>0</x:v>
      </x:c>
      <x:c r="H2713" s="11" t="n">
        <x:v>0</x:v>
      </x:c>
      <x:c r="I2713" s="11" t="n">
        <x:v>0</x:v>
      </x:c>
      <x:c r="J2713" s="11" t="n">
        <x:v>0</x:v>
      </x:c>
      <x:c r="K2713" s="11" t="n">
        <x:v>1</x:v>
      </x:c>
      <x:c r="L2713" s="11" t="n">
        <x:f>IF(B2713="NED",1,IF(OR(B2713="ED",B2713="UN"),0,""))</x:f>
        <x:v>0</x:v>
      </x:c>
      <x:c r="M2713" s="11" t="n">
        <x:f>IF(AND(K2713=1,OR(B2713="ED",B2713="NED")),1,0)</x:f>
        <x:v>0</x:v>
      </x:c>
      <x:c r="N2713" s="11" t="n">
        <x:f>IF(K2713=1,1,0)</x:f>
        <x:v>1</x:v>
      </x:c>
      <x:c r="O2713" s="12"/>
      <x:c r="P2713" s="11" t="n">
        <x:v>0</x:v>
      </x:c>
      <x:c r="Q2713" s="12" t="str">
        <x:v>AF-Q9CRA8-F1-model_v6</x:v>
      </x:c>
      <x:c r="R2713" s="12" t="str">
        <x:v>ok</x:v>
      </x:c>
      <x:c r="S2713" s="11" t="n">
        <x:v>2194</x:v>
      </x:c>
      <x:c r="T2713" s="11" t="n">
        <x:v>235</x:v>
      </x:c>
    </x:row>
    <x:row r="2714" ht="23" customHeight="1">
      <x:c r="A2714" s="2" t="str">
        <x:v>Q9CRB2</x:v>
      </x:c>
      <x:c r="B2714" s="2" t="str">
        <x:v>NED</x:v>
      </x:c>
      <x:c r="C2714" s="2" t="n">
        <x:v>1</x:v>
      </x:c>
      <x:c r="D2714" s="2" t="n">
        <x:v>1</x:v>
      </x:c>
      <x:c r="E2714" s="10" t="n">
        <x:v>79.24346405228758</x:v>
      </x:c>
      <x:c r="F2714" s="11" t="n">
        <x:v>153</x:v>
      </x:c>
      <x:c r="G2714" s="11" t="n">
        <x:v>0</x:v>
      </x:c>
      <x:c r="H2714" s="11" t="n">
        <x:v>0</x:v>
      </x:c>
      <x:c r="I2714" s="11" t="n">
        <x:v>0</x:v>
      </x:c>
      <x:c r="J2714" s="11" t="n">
        <x:v>0</x:v>
      </x:c>
      <x:c r="K2714" s="11" t="n">
        <x:v>1</x:v>
      </x:c>
      <x:c r="L2714" s="11" t="n">
        <x:f>IF(B2714="NED",1,IF(OR(B2714="ED",B2714="UN"),0,""))</x:f>
        <x:v>1</x:v>
      </x:c>
      <x:c r="M2714" s="11" t="n">
        <x:f>IF(AND(K2714=1,OR(B2714="ED",B2714="NED")),1,0)</x:f>
        <x:v>1</x:v>
      </x:c>
      <x:c r="N2714" s="11" t="n">
        <x:f>IF(K2714=1,1,0)</x:f>
        <x:v>1</x:v>
      </x:c>
      <x:c r="O2714" s="12"/>
      <x:c r="P2714" s="11" t="n">
        <x:v>0</x:v>
      </x:c>
      <x:c r="Q2714" s="12" t="str">
        <x:v>AF-Q9CRB2-F1-model_v6</x:v>
      </x:c>
      <x:c r="R2714" s="12" t="str">
        <x:v>ok</x:v>
      </x:c>
      <x:c r="S2714" s="11" t="n">
        <x:v>2195</x:v>
      </x:c>
      <x:c r="T2714" s="11" t="n">
        <x:v>153</x:v>
      </x:c>
    </x:row>
    <x:row r="2715" ht="23" customHeight="1">
      <x:c r="A2715" s="2" t="str">
        <x:v>Q9CRB9</x:v>
      </x:c>
      <x:c r="B2715" s="2" t="str">
        <x:v>UN</x:v>
      </x:c>
      <x:c r="C2715" s="2" t="n">
        <x:v>0</x:v>
      </x:c>
      <x:c r="D2715" s="2" t="n">
        <x:v>0</x:v>
      </x:c>
      <x:c r="E2715" s="10"/>
      <x:c r="F2715" s="11" t="n">
        <x:v>227</x:v>
      </x:c>
      <x:c r="G2715" s="11" t="n">
        <x:v>0</x:v>
      </x:c>
      <x:c r="H2715" s="11" t="n">
        <x:v>0</x:v>
      </x:c>
      <x:c r="I2715" s="11" t="n">
        <x:v>1</x:v>
      </x:c>
      <x:c r="J2715" s="11" t="n">
        <x:v>0</x:v>
      </x:c>
      <x:c r="K2715" s="11" t="n">
        <x:v>0</x:v>
      </x:c>
      <x:c r="L2715" s="11" t="n">
        <x:f>IF(B2715="NED",1,IF(OR(B2715="ED",B2715="UN"),0,""))</x:f>
        <x:v>0</x:v>
      </x:c>
      <x:c r="M2715" s="11" t="n">
        <x:f>IF(AND(K2715=1,OR(B2715="ED",B2715="NED")),1,0)</x:f>
        <x:v>0</x:v>
      </x:c>
      <x:c r="N2715" s="11" t="n">
        <x:f>IF(K2715=1,1,0)</x:f>
        <x:v>0</x:v>
      </x:c>
      <x:c r="O2715" s="12" t="str">
        <x:v>Exclude UniProt Membrane keyword</x:v>
      </x:c>
      <x:c r="P2715" s="11" t="n">
        <x:v>0</x:v>
      </x:c>
      <x:c r="Q2715" s="12" t="str">
        <x:v>AF-Q9CRB9-F1-model_v6</x:v>
      </x:c>
      <x:c r="R2715" s="12" t="str">
        <x:v>ok</x:v>
      </x:c>
      <x:c r="S2715" s="11" t="n">
        <x:v>2196</x:v>
      </x:c>
      <x:c r="T2715" s="11" t="n">
        <x:v>227</x:v>
      </x:c>
    </x:row>
    <x:row r="2716" ht="23" customHeight="1">
      <x:c r="A2716" s="2" t="str">
        <x:v>Q9CRC8</x:v>
      </x:c>
      <x:c r="B2716" s="2" t="str">
        <x:v>ED</x:v>
      </x:c>
      <x:c r="C2716" s="2" t="n">
        <x:v>0</x:v>
      </x:c>
      <x:c r="D2716" s="2" t="n">
        <x:v>0</x:v>
      </x:c>
      <x:c r="E2716" s="10" t="n">
        <x:v>84.51129568106313</x:v>
      </x:c>
      <x:c r="F2716" s="11" t="n">
        <x:v>602</x:v>
      </x:c>
      <x:c r="G2716" s="11" t="n">
        <x:v>0</x:v>
      </x:c>
      <x:c r="H2716" s="11" t="n">
        <x:v>0</x:v>
      </x:c>
      <x:c r="I2716" s="11" t="n">
        <x:v>0</x:v>
      </x:c>
      <x:c r="J2716" s="11" t="n">
        <x:v>0</x:v>
      </x:c>
      <x:c r="K2716" s="11" t="n">
        <x:v>1</x:v>
      </x:c>
      <x:c r="L2716" s="11" t="n">
        <x:f>IF(B2716="NED",1,IF(OR(B2716="ED",B2716="UN"),0,""))</x:f>
        <x:v>0</x:v>
      </x:c>
      <x:c r="M2716" s="11" t="n">
        <x:f>IF(AND(K2716=1,OR(B2716="ED",B2716="NED")),1,0)</x:f>
        <x:v>1</x:v>
      </x:c>
      <x:c r="N2716" s="11" t="n">
        <x:f>IF(K2716=1,1,0)</x:f>
        <x:v>1</x:v>
      </x:c>
      <x:c r="O2716" s="12"/>
      <x:c r="P2716" s="11" t="n">
        <x:v>0</x:v>
      </x:c>
      <x:c r="Q2716" s="12" t="str">
        <x:v>AF-Q9CRC8-F1-model_v6</x:v>
      </x:c>
      <x:c r="R2716" s="12" t="str">
        <x:v>ok</x:v>
      </x:c>
      <x:c r="S2716" s="11" t="n">
        <x:v>2197</x:v>
      </x:c>
      <x:c r="T2716" s="11" t="n">
        <x:v>602</x:v>
      </x:c>
    </x:row>
    <x:row r="2717" ht="23" customHeight="1">
      <x:c r="A2717" s="2" t="str">
        <x:v>Q9CRD0</x:v>
      </x:c>
      <x:c r="B2717" s="2" t="str">
        <x:v>UN</x:v>
      </x:c>
      <x:c r="C2717" s="2" t="n">
        <x:v>0</x:v>
      </x:c>
      <x:c r="D2717" s="2" t="n">
        <x:v>0</x:v>
      </x:c>
      <x:c r="E2717" s="10" t="n">
        <x:v>61.69704453441295</x:v>
      </x:c>
      <x:c r="F2717" s="11" t="n">
        <x:v>247</x:v>
      </x:c>
      <x:c r="G2717" s="11" t="n">
        <x:v>0</x:v>
      </x:c>
      <x:c r="H2717" s="11" t="n">
        <x:v>0</x:v>
      </x:c>
      <x:c r="I2717" s="11" t="n">
        <x:v>0</x:v>
      </x:c>
      <x:c r="J2717" s="11" t="n">
        <x:v>0</x:v>
      </x:c>
      <x:c r="K2717" s="11" t="n">
        <x:v>0</x:v>
      </x:c>
      <x:c r="L2717" s="11" t="n">
        <x:f>IF(B2717="NED",1,IF(OR(B2717="ED",B2717="UN"),0,""))</x:f>
        <x:v>0</x:v>
      </x:c>
      <x:c r="M2717" s="11" t="n">
        <x:f>IF(AND(K2717=1,OR(B2717="ED",B2717="NED")),1,0)</x:f>
        <x:v>0</x:v>
      </x:c>
      <x:c r="N2717" s="11" t="n">
        <x:f>IF(K2717=1,1,0)</x:f>
        <x:v>0</x:v>
      </x:c>
      <x:c r="O2717" s="12" t="str">
        <x:v>Retain protein mean pLDDT &gt;=70</x:v>
      </x:c>
      <x:c r="P2717" s="11" t="n">
        <x:v>0</x:v>
      </x:c>
      <x:c r="Q2717" s="12" t="str">
        <x:v>AF-Q9CRD0-F1-model_v6</x:v>
      </x:c>
      <x:c r="R2717" s="12" t="str">
        <x:v>ok</x:v>
      </x:c>
      <x:c r="S2717" s="11" t="n">
        <x:v>2198</x:v>
      </x:c>
      <x:c r="T2717" s="11" t="n">
        <x:v>247</x:v>
      </x:c>
    </x:row>
    <x:row r="2718" ht="23" customHeight="1">
      <x:c r="A2718" s="2" t="str">
        <x:v>Q9CRD2</x:v>
      </x:c>
      <x:c r="B2718" s="2" t="str">
        <x:v>UN</x:v>
      </x:c>
      <x:c r="C2718" s="2" t="n">
        <x:v>0</x:v>
      </x:c>
      <x:c r="D2718" s="2" t="n">
        <x:v>0</x:v>
      </x:c>
      <x:c r="E2718" s="10"/>
      <x:c r="F2718" s="11" t="n">
        <x:v>297</x:v>
      </x:c>
      <x:c r="G2718" s="11" t="n">
        <x:v>0</x:v>
      </x:c>
      <x:c r="H2718" s="11" t="n">
        <x:v>0</x:v>
      </x:c>
      <x:c r="I2718" s="11" t="n">
        <x:v>1</x:v>
      </x:c>
      <x:c r="J2718" s="11" t="n">
        <x:v>0</x:v>
      </x:c>
      <x:c r="K2718" s="11" t="n">
        <x:v>0</x:v>
      </x:c>
      <x:c r="L2718" s="11" t="n">
        <x:f>IF(B2718="NED",1,IF(OR(B2718="ED",B2718="UN"),0,""))</x:f>
        <x:v>0</x:v>
      </x:c>
      <x:c r="M2718" s="11" t="n">
        <x:f>IF(AND(K2718=1,OR(B2718="ED",B2718="NED")),1,0)</x:f>
        <x:v>0</x:v>
      </x:c>
      <x:c r="N2718" s="11" t="n">
        <x:f>IF(K2718=1,1,0)</x:f>
        <x:v>0</x:v>
      </x:c>
      <x:c r="O2718" s="12" t="str">
        <x:v>Exclude UniProt Membrane keyword</x:v>
      </x:c>
      <x:c r="P2718" s="11" t="n">
        <x:v>0</x:v>
      </x:c>
      <x:c r="Q2718" s="12" t="str">
        <x:v>AF-Q9CRD2-F1-model_v6</x:v>
      </x:c>
      <x:c r="R2718" s="12" t="str">
        <x:v>ok</x:v>
      </x:c>
      <x:c r="S2718" s="11" t="n">
        <x:v>2199</x:v>
      </x:c>
      <x:c r="T2718" s="11" t="n">
        <x:v>297</x:v>
      </x:c>
    </x:row>
    <x:row r="2719" ht="23" customHeight="1">
      <x:c r="A2719" s="2" t="str">
        <x:v>Q9CRT8</x:v>
      </x:c>
      <x:c r="B2719" s="2" t="str">
        <x:v>UN</x:v>
      </x:c>
      <x:c r="C2719" s="2" t="n">
        <x:v>0</x:v>
      </x:c>
      <x:c r="D2719" s="2" t="n">
        <x:v>0</x:v>
      </x:c>
      <x:c r="E2719" s="10" t="n">
        <x:v>90.2157632398754</x:v>
      </x:c>
      <x:c r="F2719" s="11" t="n">
        <x:v>963</x:v>
      </x:c>
      <x:c r="G2719" s="11" t="n">
        <x:v>0</x:v>
      </x:c>
      <x:c r="H2719" s="11" t="n">
        <x:v>0</x:v>
      </x:c>
      <x:c r="I2719" s="11" t="n">
        <x:v>0</x:v>
      </x:c>
      <x:c r="J2719" s="11" t="n">
        <x:v>0</x:v>
      </x:c>
      <x:c r="K2719" s="11" t="n">
        <x:v>1</x:v>
      </x:c>
      <x:c r="L2719" s="11" t="n">
        <x:f>IF(B2719="NED",1,IF(OR(B2719="ED",B2719="UN"),0,""))</x:f>
        <x:v>0</x:v>
      </x:c>
      <x:c r="M2719" s="11" t="n">
        <x:f>IF(AND(K2719=1,OR(B2719="ED",B2719="NED")),1,0)</x:f>
        <x:v>0</x:v>
      </x:c>
      <x:c r="N2719" s="11" t="n">
        <x:f>IF(K2719=1,1,0)</x:f>
        <x:v>1</x:v>
      </x:c>
      <x:c r="O2719" s="12"/>
      <x:c r="P2719" s="11" t="n">
        <x:v>0</x:v>
      </x:c>
      <x:c r="Q2719" s="12" t="str">
        <x:v>AF-Q9CRT8-F1-model_v6</x:v>
      </x:c>
      <x:c r="R2719" s="12" t="str">
        <x:v>ok</x:v>
      </x:c>
      <x:c r="S2719" s="11" t="n">
        <x:v>2200</x:v>
      </x:c>
      <x:c r="T2719" s="11" t="n">
        <x:v>963</x:v>
      </x:c>
    </x:row>
    <x:row r="2720" ht="23" customHeight="1">
      <x:c r="A2720" s="2" t="str">
        <x:v>Q9CS00</x:v>
      </x:c>
      <x:c r="B2720" s="2" t="str">
        <x:v>ED</x:v>
      </x:c>
      <x:c r="C2720" s="2" t="n">
        <x:v>0</x:v>
      </x:c>
      <x:c r="D2720" s="2" t="n">
        <x:v>0</x:v>
      </x:c>
      <x:c r="E2720" s="10" t="n">
        <x:v>68.4395207253886</x:v>
      </x:c>
      <x:c r="F2720" s="11" t="n">
        <x:v>772</x:v>
      </x:c>
      <x:c r="G2720" s="11" t="n">
        <x:v>0</x:v>
      </x:c>
      <x:c r="H2720" s="11" t="n">
        <x:v>0</x:v>
      </x:c>
      <x:c r="I2720" s="11" t="n">
        <x:v>0</x:v>
      </x:c>
      <x:c r="J2720" s="11" t="n">
        <x:v>0</x:v>
      </x:c>
      <x:c r="K2720" s="11" t="n">
        <x:v>0</x:v>
      </x:c>
      <x:c r="L2720" s="11" t="n">
        <x:f>IF(B2720="NED",1,IF(OR(B2720="ED",B2720="UN"),0,""))</x:f>
        <x:v>0</x:v>
      </x:c>
      <x:c r="M2720" s="11" t="n">
        <x:f>IF(AND(K2720=1,OR(B2720="ED",B2720="NED")),1,0)</x:f>
        <x:v>0</x:v>
      </x:c>
      <x:c r="N2720" s="11" t="n">
        <x:f>IF(K2720=1,1,0)</x:f>
        <x:v>0</x:v>
      </x:c>
      <x:c r="O2720" s="12" t="str">
        <x:v>Retain protein mean pLDDT &gt;=70</x:v>
      </x:c>
      <x:c r="P2720" s="11" t="n">
        <x:v>0</x:v>
      </x:c>
      <x:c r="Q2720" s="12" t="str">
        <x:v>AF-Q9CS00-F1-model_v6</x:v>
      </x:c>
      <x:c r="R2720" s="12" t="str">
        <x:v>ok</x:v>
      </x:c>
      <x:c r="S2720" s="11" t="n">
        <x:v>2201</x:v>
      </x:c>
      <x:c r="T2720" s="11" t="n">
        <x:v>772</x:v>
      </x:c>
    </x:row>
    <x:row r="2721" ht="23" customHeight="1">
      <x:c r="A2721" s="2" t="str">
        <x:v>Q9CS42</x:v>
      </x:c>
      <x:c r="B2721" s="2" t="str">
        <x:v>UN</x:v>
      </x:c>
      <x:c r="C2721" s="2" t="n">
        <x:v>1</x:v>
      </x:c>
      <x:c r="D2721" s="2" t="n">
        <x:v>1</x:v>
      </x:c>
      <x:c r="E2721" s="10" t="n">
        <x:v>95.08440251572328</x:v>
      </x:c>
      <x:c r="F2721" s="11" t="n">
        <x:v>318</x:v>
      </x:c>
      <x:c r="G2721" s="11" t="n">
        <x:v>0</x:v>
      </x:c>
      <x:c r="H2721" s="11" t="n">
        <x:v>0</x:v>
      </x:c>
      <x:c r="I2721" s="11" t="n">
        <x:v>0</x:v>
      </x:c>
      <x:c r="J2721" s="11" t="n">
        <x:v>0</x:v>
      </x:c>
      <x:c r="K2721" s="11" t="n">
        <x:v>1</x:v>
      </x:c>
      <x:c r="L2721" s="11" t="n">
        <x:f>IF(B2721="NED",1,IF(OR(B2721="ED",B2721="UN"),0,""))</x:f>
        <x:v>0</x:v>
      </x:c>
      <x:c r="M2721" s="11" t="n">
        <x:f>IF(AND(K2721=1,OR(B2721="ED",B2721="NED")),1,0)</x:f>
        <x:v>0</x:v>
      </x:c>
      <x:c r="N2721" s="11" t="n">
        <x:f>IF(K2721=1,1,0)</x:f>
        <x:v>1</x:v>
      </x:c>
      <x:c r="O2721" s="12"/>
      <x:c r="P2721" s="11" t="n">
        <x:v>0</x:v>
      </x:c>
      <x:c r="Q2721" s="12" t="str">
        <x:v>AF-Q9CS42-F1-model_v6</x:v>
      </x:c>
      <x:c r="R2721" s="12" t="str">
        <x:v>ok</x:v>
      </x:c>
      <x:c r="S2721" s="11" t="n">
        <x:v>2202</x:v>
      </x:c>
      <x:c r="T2721" s="11" t="n">
        <x:v>318</x:v>
      </x:c>
    </x:row>
    <x:row r="2722" ht="23" customHeight="1">
      <x:c r="A2722" s="2" t="str">
        <x:v>Q9CS74</x:v>
      </x:c>
      <x:c r="B2722" s="2" t="str">
        <x:v>ED</x:v>
      </x:c>
      <x:c r="C2722" s="2" t="n">
        <x:v>1</x:v>
      </x:c>
      <x:c r="D2722" s="2" t="n">
        <x:v>1</x:v>
      </x:c>
      <x:c r="E2722" s="10"/>
      <x:c r="F2722" s="11" t="n">
        <x:v>641</x:v>
      </x:c>
      <x:c r="G2722" s="11" t="n">
        <x:v>1</x:v>
      </x:c>
      <x:c r="H2722" s="11" t="n">
        <x:v>0</x:v>
      </x:c>
      <x:c r="I2722" s="11" t="n">
        <x:v>0</x:v>
      </x:c>
      <x:c r="J2722" s="11" t="n">
        <x:v>0</x:v>
      </x:c>
      <x:c r="K2722" s="11" t="n">
        <x:v>0</x:v>
      </x:c>
      <x:c r="L2722" s="11" t="n">
        <x:f>IF(B2722="NED",1,IF(OR(B2722="ED",B2722="UN"),0,""))</x:f>
        <x:v>0</x:v>
      </x:c>
      <x:c r="M2722" s="11" t="n">
        <x:f>IF(AND(K2722=1,OR(B2722="ED",B2722="NED")),1,0)</x:f>
        <x:v>0</x:v>
      </x:c>
      <x:c r="N2722" s="11" t="n">
        <x:f>IF(K2722=1,1,0)</x:f>
        <x:v>0</x:v>
      </x:c>
      <x:c r="O2722" s="12" t="str">
        <x:v>Exclude supplied knotted proteins</x:v>
      </x:c>
      <x:c r="P2722" s="11" t="n">
        <x:v>0</x:v>
      </x:c>
      <x:c r="Q2722" s="12" t="str">
        <x:v>AF-Q9CS74-F1-model_v6</x:v>
      </x:c>
      <x:c r="R2722" s="12" t="str">
        <x:v>ok</x:v>
      </x:c>
      <x:c r="S2722" s="11" t="n">
        <x:v>2203</x:v>
      </x:c>
      <x:c r="T2722" s="11" t="n">
        <x:v>641</x:v>
      </x:c>
    </x:row>
    <x:row r="2723" ht="23" customHeight="1">
      <x:c r="A2723" s="2" t="str">
        <x:v>Q9CSH3</x:v>
      </x:c>
      <x:c r="B2723" s="2" t="str">
        <x:v>ED</x:v>
      </x:c>
      <x:c r="C2723" s="2" t="n">
        <x:v>1</x:v>
      </x:c>
      <x:c r="D2723" s="2" t="n">
        <x:v>1</x:v>
      </x:c>
      <x:c r="E2723" s="10" t="n">
        <x:v>86.6750521920668</x:v>
      </x:c>
      <x:c r="F2723" s="11" t="n">
        <x:v>958</x:v>
      </x:c>
      <x:c r="G2723" s="11" t="n">
        <x:v>0</x:v>
      </x:c>
      <x:c r="H2723" s="11" t="n">
        <x:v>0</x:v>
      </x:c>
      <x:c r="I2723" s="11" t="n">
        <x:v>0</x:v>
      </x:c>
      <x:c r="J2723" s="11" t="n">
        <x:v>0</x:v>
      </x:c>
      <x:c r="K2723" s="11" t="n">
        <x:v>1</x:v>
      </x:c>
      <x:c r="L2723" s="11" t="n">
        <x:f>IF(B2723="NED",1,IF(OR(B2723="ED",B2723="UN"),0,""))</x:f>
        <x:v>0</x:v>
      </x:c>
      <x:c r="M2723" s="11" t="n">
        <x:f>IF(AND(K2723=1,OR(B2723="ED",B2723="NED")),1,0)</x:f>
        <x:v>1</x:v>
      </x:c>
      <x:c r="N2723" s="11" t="n">
        <x:f>IF(K2723=1,1,0)</x:f>
        <x:v>1</x:v>
      </x:c>
      <x:c r="O2723" s="12"/>
      <x:c r="P2723" s="11" t="n">
        <x:v>0</x:v>
      </x:c>
      <x:c r="Q2723" s="12" t="str">
        <x:v>AF-Q9CSH3-F1-model_v6</x:v>
      </x:c>
      <x:c r="R2723" s="12" t="str">
        <x:v>ok</x:v>
      </x:c>
      <x:c r="S2723" s="11" t="n">
        <x:v>2204</x:v>
      </x:c>
      <x:c r="T2723" s="11" t="n">
        <x:v>958</x:v>
      </x:c>
    </x:row>
    <x:row r="2724" ht="23" customHeight="1">
      <x:c r="A2724" s="2" t="str">
        <x:v>Q9CSN1</x:v>
      </x:c>
      <x:c r="B2724" s="2" t="str">
        <x:v>ED</x:v>
      </x:c>
      <x:c r="C2724" s="2" t="n">
        <x:v>0</x:v>
      </x:c>
      <x:c r="D2724" s="2" t="n">
        <x:v>0</x:v>
      </x:c>
      <x:c r="E2724" s="10" t="n">
        <x:v>77.73423507462687</x:v>
      </x:c>
      <x:c r="F2724" s="11" t="n">
        <x:v>536</x:v>
      </x:c>
      <x:c r="G2724" s="11" t="n">
        <x:v>0</x:v>
      </x:c>
      <x:c r="H2724" s="11" t="n">
        <x:v>0</x:v>
      </x:c>
      <x:c r="I2724" s="11" t="n">
        <x:v>0</x:v>
      </x:c>
      <x:c r="J2724" s="11" t="n">
        <x:v>0</x:v>
      </x:c>
      <x:c r="K2724" s="11" t="n">
        <x:v>1</x:v>
      </x:c>
      <x:c r="L2724" s="11" t="n">
        <x:f>IF(B2724="NED",1,IF(OR(B2724="ED",B2724="UN"),0,""))</x:f>
        <x:v>0</x:v>
      </x:c>
      <x:c r="M2724" s="11" t="n">
        <x:f>IF(AND(K2724=1,OR(B2724="ED",B2724="NED")),1,0)</x:f>
        <x:v>1</x:v>
      </x:c>
      <x:c r="N2724" s="11" t="n">
        <x:f>IF(K2724=1,1,0)</x:f>
        <x:v>1</x:v>
      </x:c>
      <x:c r="O2724" s="12"/>
      <x:c r="P2724" s="11" t="n">
        <x:v>0</x:v>
      </x:c>
      <x:c r="Q2724" s="12" t="str">
        <x:v>AF-Q9CSN1-F1-model_v6</x:v>
      </x:c>
      <x:c r="R2724" s="12" t="str">
        <x:v>ok</x:v>
      </x:c>
      <x:c r="S2724" s="11" t="n">
        <x:v>2205</x:v>
      </x:c>
      <x:c r="T2724" s="11" t="n">
        <x:v>536</x:v>
      </x:c>
    </x:row>
    <x:row r="2725" ht="23" customHeight="1">
      <x:c r="A2725" s="2" t="str">
        <x:v>Q9CSU0</x:v>
      </x:c>
      <x:c r="B2725" s="2" t="str">
        <x:v>UN</x:v>
      </x:c>
      <x:c r="C2725" s="2" t="n">
        <x:v>0</x:v>
      </x:c>
      <x:c r="D2725" s="2" t="n">
        <x:v>0</x:v>
      </x:c>
      <x:c r="E2725" s="10" t="n">
        <x:v>82.52644171779141</x:v>
      </x:c>
      <x:c r="F2725" s="11" t="n">
        <x:v>326</x:v>
      </x:c>
      <x:c r="G2725" s="11" t="n">
        <x:v>0</x:v>
      </x:c>
      <x:c r="H2725" s="11" t="n">
        <x:v>0</x:v>
      </x:c>
      <x:c r="I2725" s="11" t="n">
        <x:v>0</x:v>
      </x:c>
      <x:c r="J2725" s="11" t="n">
        <x:v>0</x:v>
      </x:c>
      <x:c r="K2725" s="11" t="n">
        <x:v>1</x:v>
      </x:c>
      <x:c r="L2725" s="11" t="n">
        <x:f>IF(B2725="NED",1,IF(OR(B2725="ED",B2725="UN"),0,""))</x:f>
        <x:v>0</x:v>
      </x:c>
      <x:c r="M2725" s="11" t="n">
        <x:f>IF(AND(K2725=1,OR(B2725="ED",B2725="NED")),1,0)</x:f>
        <x:v>0</x:v>
      </x:c>
      <x:c r="N2725" s="11" t="n">
        <x:f>IF(K2725=1,1,0)</x:f>
        <x:v>1</x:v>
      </x:c>
      <x:c r="O2725" s="12"/>
      <x:c r="P2725" s="11" t="n">
        <x:v>0</x:v>
      </x:c>
      <x:c r="Q2725" s="12" t="str">
        <x:v>AF-Q9CSU0-F1-model_v6</x:v>
      </x:c>
      <x:c r="R2725" s="12" t="str">
        <x:v>ok</x:v>
      </x:c>
      <x:c r="S2725" s="11" t="n">
        <x:v>2206</x:v>
      </x:c>
      <x:c r="T2725" s="11" t="n">
        <x:v>326</x:v>
      </x:c>
    </x:row>
    <x:row r="2726" ht="23" customHeight="1">
      <x:c r="A2726" s="2" t="str">
        <x:v>Q9CT10</x:v>
      </x:c>
      <x:c r="B2726" s="2" t="str">
        <x:v>ED</x:v>
      </x:c>
      <x:c r="C2726" s="2" t="n">
        <x:v>1</x:v>
      </x:c>
      <x:c r="D2726" s="2" t="n">
        <x:v>1</x:v>
      </x:c>
      <x:c r="E2726" s="10" t="n">
        <x:v>62.93714867617108</x:v>
      </x:c>
      <x:c r="F2726" s="11" t="n">
        <x:v>491</x:v>
      </x:c>
      <x:c r="G2726" s="11" t="n">
        <x:v>0</x:v>
      </x:c>
      <x:c r="H2726" s="11" t="n">
        <x:v>0</x:v>
      </x:c>
      <x:c r="I2726" s="11" t="n">
        <x:v>0</x:v>
      </x:c>
      <x:c r="J2726" s="11" t="n">
        <x:v>0</x:v>
      </x:c>
      <x:c r="K2726" s="11" t="n">
        <x:v>0</x:v>
      </x:c>
      <x:c r="L2726" s="11" t="n">
        <x:f>IF(B2726="NED",1,IF(OR(B2726="ED",B2726="UN"),0,""))</x:f>
        <x:v>0</x:v>
      </x:c>
      <x:c r="M2726" s="11" t="n">
        <x:f>IF(AND(K2726=1,OR(B2726="ED",B2726="NED")),1,0)</x:f>
        <x:v>0</x:v>
      </x:c>
      <x:c r="N2726" s="11" t="n">
        <x:f>IF(K2726=1,1,0)</x:f>
        <x:v>0</x:v>
      </x:c>
      <x:c r="O2726" s="12" t="str">
        <x:v>Retain protein mean pLDDT &gt;=70</x:v>
      </x:c>
      <x:c r="P2726" s="11" t="n">
        <x:v>0</x:v>
      </x:c>
      <x:c r="Q2726" s="12" t="str">
        <x:v>AF-Q9CT10-F1-model_v6</x:v>
      </x:c>
      <x:c r="R2726" s="12" t="str">
        <x:v>ok</x:v>
      </x:c>
      <x:c r="S2726" s="11" t="n">
        <x:v>2207</x:v>
      </x:c>
      <x:c r="T2726" s="11" t="n">
        <x:v>491</x:v>
      </x:c>
    </x:row>
    <x:row r="2727" ht="23" customHeight="1">
      <x:c r="A2727" s="2" t="str">
        <x:v>Q9CU62</x:v>
      </x:c>
      <x:c r="B2727" s="2" t="str">
        <x:v>UN</x:v>
      </x:c>
      <x:c r="C2727" s="2" t="n">
        <x:v>1</x:v>
      </x:c>
      <x:c r="D2727" s="2" t="n">
        <x:v>1</x:v>
      </x:c>
      <x:c r="E2727" s="10" t="n">
        <x:v>82.42982968369829</x:v>
      </x:c>
      <x:c r="F2727" s="11" t="n">
        <x:v>1233</x:v>
      </x:c>
      <x:c r="G2727" s="11" t="n">
        <x:v>0</x:v>
      </x:c>
      <x:c r="H2727" s="11" t="n">
        <x:v>0</x:v>
      </x:c>
      <x:c r="I2727" s="11" t="n">
        <x:v>0</x:v>
      </x:c>
      <x:c r="J2727" s="11" t="n">
        <x:v>0</x:v>
      </x:c>
      <x:c r="K2727" s="11" t="n">
        <x:v>1</x:v>
      </x:c>
      <x:c r="L2727" s="11" t="n">
        <x:f>IF(B2727="NED",1,IF(OR(B2727="ED",B2727="UN"),0,""))</x:f>
        <x:v>0</x:v>
      </x:c>
      <x:c r="M2727" s="11" t="n">
        <x:f>IF(AND(K2727=1,OR(B2727="ED",B2727="NED")),1,0)</x:f>
        <x:v>0</x:v>
      </x:c>
      <x:c r="N2727" s="11" t="n">
        <x:f>IF(K2727=1,1,0)</x:f>
        <x:v>1</x:v>
      </x:c>
      <x:c r="O2727" s="12"/>
      <x:c r="P2727" s="11" t="n">
        <x:v>0</x:v>
      </x:c>
      <x:c r="Q2727" s="12" t="str">
        <x:v>AF-Q9CU62-F1-model_v6</x:v>
      </x:c>
      <x:c r="R2727" s="12" t="str">
        <x:v>ok</x:v>
      </x:c>
      <x:c r="S2727" s="11" t="n">
        <x:v>2208</x:v>
      </x:c>
      <x:c r="T2727" s="11" t="n">
        <x:v>1233</x:v>
      </x:c>
    </x:row>
    <x:row r="2728" ht="23" customHeight="1">
      <x:c r="A2728" s="2" t="str">
        <x:v>Q9CUX1</x:v>
      </x:c>
      <x:c r="B2728" s="2" t="str">
        <x:v>UN</x:v>
      </x:c>
      <x:c r="C2728" s="2" t="n">
        <x:v>1</x:v>
      </x:c>
      <x:c r="D2728" s="2" t="n">
        <x:v>1</x:v>
      </x:c>
      <x:c r="E2728" s="10" t="n">
        <x:v>82.90251978891821</x:v>
      </x:c>
      <x:c r="F2728" s="11" t="n">
        <x:v>758</x:v>
      </x:c>
      <x:c r="G2728" s="11" t="n">
        <x:v>0</x:v>
      </x:c>
      <x:c r="H2728" s="11" t="n">
        <x:v>0</x:v>
      </x:c>
      <x:c r="I2728" s="11" t="n">
        <x:v>0</x:v>
      </x:c>
      <x:c r="J2728" s="11" t="n">
        <x:v>0</x:v>
      </x:c>
      <x:c r="K2728" s="11" t="n">
        <x:v>1</x:v>
      </x:c>
      <x:c r="L2728" s="11" t="n">
        <x:f>IF(B2728="NED",1,IF(OR(B2728="ED",B2728="UN"),0,""))</x:f>
        <x:v>0</x:v>
      </x:c>
      <x:c r="M2728" s="11" t="n">
        <x:f>IF(AND(K2728=1,OR(B2728="ED",B2728="NED")),1,0)</x:f>
        <x:v>0</x:v>
      </x:c>
      <x:c r="N2728" s="11" t="n">
        <x:f>IF(K2728=1,1,0)</x:f>
        <x:v>1</x:v>
      </x:c>
      <x:c r="O2728" s="12"/>
      <x:c r="P2728" s="11" t="n">
        <x:v>0</x:v>
      </x:c>
      <x:c r="Q2728" s="12" t="str">
        <x:v>AF-Q9CUX1-F1-model_v6</x:v>
      </x:c>
      <x:c r="R2728" s="12" t="str">
        <x:v>ok</x:v>
      </x:c>
      <x:c r="S2728" s="11" t="n">
        <x:v>2209</x:v>
      </x:c>
      <x:c r="T2728" s="11" t="n">
        <x:v>758</x:v>
      </x:c>
    </x:row>
    <x:row r="2729" ht="23" customHeight="1">
      <x:c r="A2729" s="2" t="str">
        <x:v>Q9CVB6</x:v>
      </x:c>
      <x:c r="B2729" s="2" t="str">
        <x:v>ED</x:v>
      </x:c>
      <x:c r="C2729" s="2" t="n">
        <x:v>1</x:v>
      </x:c>
      <x:c r="D2729" s="2" t="n">
        <x:v>1</x:v>
      </x:c>
      <x:c r="E2729" s="10" t="n">
        <x:v>94.19493333333334</x:v>
      </x:c>
      <x:c r="F2729" s="11" t="n">
        <x:v>300</x:v>
      </x:c>
      <x:c r="G2729" s="11" t="n">
        <x:v>0</x:v>
      </x:c>
      <x:c r="H2729" s="11" t="n">
        <x:v>0</x:v>
      </x:c>
      <x:c r="I2729" s="11" t="n">
        <x:v>0</x:v>
      </x:c>
      <x:c r="J2729" s="11" t="n">
        <x:v>0</x:v>
      </x:c>
      <x:c r="K2729" s="11" t="n">
        <x:v>1</x:v>
      </x:c>
      <x:c r="L2729" s="11" t="n">
        <x:f>IF(B2729="NED",1,IF(OR(B2729="ED",B2729="UN"),0,""))</x:f>
        <x:v>0</x:v>
      </x:c>
      <x:c r="M2729" s="11" t="n">
        <x:f>IF(AND(K2729=1,OR(B2729="ED",B2729="NED")),1,0)</x:f>
        <x:v>1</x:v>
      </x:c>
      <x:c r="N2729" s="11" t="n">
        <x:f>IF(K2729=1,1,0)</x:f>
        <x:v>1</x:v>
      </x:c>
      <x:c r="O2729" s="12"/>
      <x:c r="P2729" s="11" t="n">
        <x:v>0</x:v>
      </x:c>
      <x:c r="Q2729" s="12" t="str">
        <x:v>AF-Q9CVB6-F1-model_v6</x:v>
      </x:c>
      <x:c r="R2729" s="12" t="str">
        <x:v>ok</x:v>
      </x:c>
      <x:c r="S2729" s="11" t="n">
        <x:v>2210</x:v>
      </x:c>
      <x:c r="T2729" s="11" t="n">
        <x:v>300</x:v>
      </x:c>
    </x:row>
    <x:row r="2730" ht="23" customHeight="1">
      <x:c r="A2730" s="2" t="str">
        <x:v>Q9CW03</x:v>
      </x:c>
      <x:c r="B2730" s="2" t="str">
        <x:v>ED</x:v>
      </x:c>
      <x:c r="C2730" s="2" t="n">
        <x:v>1</x:v>
      </x:c>
      <x:c r="D2730" s="2" t="n">
        <x:v>1</x:v>
      </x:c>
      <x:c r="E2730" s="10" t="n">
        <x:v>82.45372226787181</x:v>
      </x:c>
      <x:c r="F2730" s="11" t="n">
        <x:v>1217</x:v>
      </x:c>
      <x:c r="G2730" s="11" t="n">
        <x:v>0</x:v>
      </x:c>
      <x:c r="H2730" s="11" t="n">
        <x:v>0</x:v>
      </x:c>
      <x:c r="I2730" s="11" t="n">
        <x:v>0</x:v>
      </x:c>
      <x:c r="J2730" s="11" t="n">
        <x:v>0</x:v>
      </x:c>
      <x:c r="K2730" s="11" t="n">
        <x:v>1</x:v>
      </x:c>
      <x:c r="L2730" s="11" t="n">
        <x:f>IF(B2730="NED",1,IF(OR(B2730="ED",B2730="UN"),0,""))</x:f>
        <x:v>0</x:v>
      </x:c>
      <x:c r="M2730" s="11" t="n">
        <x:f>IF(AND(K2730=1,OR(B2730="ED",B2730="NED")),1,0)</x:f>
        <x:v>1</x:v>
      </x:c>
      <x:c r="N2730" s="11" t="n">
        <x:f>IF(K2730=1,1,0)</x:f>
        <x:v>1</x:v>
      </x:c>
      <x:c r="O2730" s="12"/>
      <x:c r="P2730" s="11" t="n">
        <x:v>0</x:v>
      </x:c>
      <x:c r="Q2730" s="12" t="str">
        <x:v>AF-Q9CW03-F1-model_v6</x:v>
      </x:c>
      <x:c r="R2730" s="12" t="str">
        <x:v>ok</x:v>
      </x:c>
      <x:c r="S2730" s="11" t="n">
        <x:v>2211</x:v>
      </x:c>
      <x:c r="T2730" s="11" t="n">
        <x:v>1217</x:v>
      </x:c>
    </x:row>
    <x:row r="2731" ht="23" customHeight="1">
      <x:c r="A2731" s="2" t="str">
        <x:v>Q9CW46</x:v>
      </x:c>
      <x:c r="B2731" s="2" t="str">
        <x:v>ED</x:v>
      </x:c>
      <x:c r="C2731" s="2" t="n">
        <x:v>1</x:v>
      </x:c>
      <x:c r="D2731" s="2" t="n">
        <x:v>1</x:v>
      </x:c>
      <x:c r="E2731" s="10"/>
      <x:c r="F2731" s="11" t="n">
        <x:v>748</x:v>
      </x:c>
      <x:c r="G2731" s="11" t="n">
        <x:v>1</x:v>
      </x:c>
      <x:c r="H2731" s="11" t="n">
        <x:v>0</x:v>
      </x:c>
      <x:c r="I2731" s="11" t="n">
        <x:v>0</x:v>
      </x:c>
      <x:c r="J2731" s="11" t="n">
        <x:v>0</x:v>
      </x:c>
      <x:c r="K2731" s="11" t="n">
        <x:v>0</x:v>
      </x:c>
      <x:c r="L2731" s="11" t="n">
        <x:f>IF(B2731="NED",1,IF(OR(B2731="ED",B2731="UN"),0,""))</x:f>
        <x:v>0</x:v>
      </x:c>
      <x:c r="M2731" s="11" t="n">
        <x:f>IF(AND(K2731=1,OR(B2731="ED",B2731="NED")),1,0)</x:f>
        <x:v>0</x:v>
      </x:c>
      <x:c r="N2731" s="11" t="n">
        <x:f>IF(K2731=1,1,0)</x:f>
        <x:v>0</x:v>
      </x:c>
      <x:c r="O2731" s="12" t="str">
        <x:v>Exclude supplied knotted proteins</x:v>
      </x:c>
      <x:c r="P2731" s="11" t="n">
        <x:v>0</x:v>
      </x:c>
      <x:c r="Q2731" s="12" t="str">
        <x:v>AF-Q9CW46-F1-model_v6</x:v>
      </x:c>
      <x:c r="R2731" s="12" t="str">
        <x:v>ok</x:v>
      </x:c>
      <x:c r="S2731" s="11" t="n">
        <x:v>2212</x:v>
      </x:c>
      <x:c r="T2731" s="11" t="n">
        <x:v>748</x:v>
      </x:c>
    </x:row>
    <x:row r="2732" ht="23" customHeight="1">
      <x:c r="A2732" s="2" t="str">
        <x:v>Q9CWF2</x:v>
      </x:c>
      <x:c r="B2732" s="2" t="str">
        <x:v>UN</x:v>
      </x:c>
      <x:c r="C2732" s="2" t="n">
        <x:v>1</x:v>
      </x:c>
      <x:c r="D2732" s="2" t="n">
        <x:v>1</x:v>
      </x:c>
      <x:c r="E2732" s="10" t="n">
        <x:v>91.93373033707866</x:v>
      </x:c>
      <x:c r="F2732" s="11" t="n">
        <x:v>445</x:v>
      </x:c>
      <x:c r="G2732" s="11" t="n">
        <x:v>0</x:v>
      </x:c>
      <x:c r="H2732" s="11" t="n">
        <x:v>0</x:v>
      </x:c>
      <x:c r="I2732" s="11" t="n">
        <x:v>0</x:v>
      </x:c>
      <x:c r="J2732" s="11" t="n">
        <x:v>0</x:v>
      </x:c>
      <x:c r="K2732" s="11" t="n">
        <x:v>1</x:v>
      </x:c>
      <x:c r="L2732" s="11" t="n">
        <x:f>IF(B2732="NED",1,IF(OR(B2732="ED",B2732="UN"),0,""))</x:f>
        <x:v>0</x:v>
      </x:c>
      <x:c r="M2732" s="11" t="n">
        <x:f>IF(AND(K2732=1,OR(B2732="ED",B2732="NED")),1,0)</x:f>
        <x:v>0</x:v>
      </x:c>
      <x:c r="N2732" s="11" t="n">
        <x:f>IF(K2732=1,1,0)</x:f>
        <x:v>1</x:v>
      </x:c>
      <x:c r="O2732" s="12"/>
      <x:c r="P2732" s="11" t="n">
        <x:v>0</x:v>
      </x:c>
      <x:c r="Q2732" s="12" t="str">
        <x:v>AF-Q9CWF2-F1-model_v6</x:v>
      </x:c>
      <x:c r="R2732" s="12" t="str">
        <x:v>ok</x:v>
      </x:c>
      <x:c r="S2732" s="11" t="n">
        <x:v>2213</x:v>
      </x:c>
      <x:c r="T2732" s="11" t="n">
        <x:v>445</x:v>
      </x:c>
    </x:row>
    <x:row r="2733" ht="23" customHeight="1">
      <x:c r="A2733" s="2" t="str">
        <x:v>Q9CWI3</x:v>
      </x:c>
      <x:c r="B2733" s="2" t="str">
        <x:v>ED</x:v>
      </x:c>
      <x:c r="C2733" s="2" t="n">
        <x:v>1</x:v>
      </x:c>
      <x:c r="D2733" s="2" t="n">
        <x:v>1</x:v>
      </x:c>
      <x:c r="E2733" s="10" t="n">
        <x:v>79.15933544303797</x:v>
      </x:c>
      <x:c r="F2733" s="11" t="n">
        <x:v>316</x:v>
      </x:c>
      <x:c r="G2733" s="11" t="n">
        <x:v>0</x:v>
      </x:c>
      <x:c r="H2733" s="11" t="n">
        <x:v>0</x:v>
      </x:c>
      <x:c r="I2733" s="11" t="n">
        <x:v>0</x:v>
      </x:c>
      <x:c r="J2733" s="11" t="n">
        <x:v>0</x:v>
      </x:c>
      <x:c r="K2733" s="11" t="n">
        <x:v>1</x:v>
      </x:c>
      <x:c r="L2733" s="11" t="n">
        <x:f>IF(B2733="NED",1,IF(OR(B2733="ED",B2733="UN"),0,""))</x:f>
        <x:v>0</x:v>
      </x:c>
      <x:c r="M2733" s="11" t="n">
        <x:f>IF(AND(K2733=1,OR(B2733="ED",B2733="NED")),1,0)</x:f>
        <x:v>1</x:v>
      </x:c>
      <x:c r="N2733" s="11" t="n">
        <x:f>IF(K2733=1,1,0)</x:f>
        <x:v>1</x:v>
      </x:c>
      <x:c r="O2733" s="12"/>
      <x:c r="P2733" s="11" t="n">
        <x:v>0</x:v>
      </x:c>
      <x:c r="Q2733" s="12" t="str">
        <x:v>AF-Q9CWI3-F1-model_v6</x:v>
      </x:c>
      <x:c r="R2733" s="12" t="str">
        <x:v>ok</x:v>
      </x:c>
      <x:c r="S2733" s="11" t="n">
        <x:v>2214</x:v>
      </x:c>
      <x:c r="T2733" s="11" t="n">
        <x:v>316</x:v>
      </x:c>
    </x:row>
    <x:row r="2734" ht="23" customHeight="1">
      <x:c r="A2734" s="2" t="str">
        <x:v>Q9CWJ9</x:v>
      </x:c>
      <x:c r="B2734" s="2" t="str">
        <x:v>ED</x:v>
      </x:c>
      <x:c r="C2734" s="2" t="n">
        <x:v>1</x:v>
      </x:c>
      <x:c r="D2734" s="2" t="n">
        <x:v>1</x:v>
      </x:c>
      <x:c r="E2734" s="10" t="n">
        <x:v>97.10876689189188</x:v>
      </x:c>
      <x:c r="F2734" s="11" t="n">
        <x:v>592</x:v>
      </x:c>
      <x:c r="G2734" s="11" t="n">
        <x:v>0</x:v>
      </x:c>
      <x:c r="H2734" s="11" t="n">
        <x:v>0</x:v>
      </x:c>
      <x:c r="I2734" s="11" t="n">
        <x:v>0</x:v>
      </x:c>
      <x:c r="J2734" s="11" t="n">
        <x:v>0</x:v>
      </x:c>
      <x:c r="K2734" s="11" t="n">
        <x:v>1</x:v>
      </x:c>
      <x:c r="L2734" s="11" t="n">
        <x:f>IF(B2734="NED",1,IF(OR(B2734="ED",B2734="UN"),0,""))</x:f>
        <x:v>0</x:v>
      </x:c>
      <x:c r="M2734" s="11" t="n">
        <x:f>IF(AND(K2734=1,OR(B2734="ED",B2734="NED")),1,0)</x:f>
        <x:v>1</x:v>
      </x:c>
      <x:c r="N2734" s="11" t="n">
        <x:f>IF(K2734=1,1,0)</x:f>
        <x:v>1</x:v>
      </x:c>
      <x:c r="O2734" s="12"/>
      <x:c r="P2734" s="11" t="n">
        <x:v>0</x:v>
      </x:c>
      <x:c r="Q2734" s="12" t="str">
        <x:v>AF-Q9CWJ9-F1-model_v6</x:v>
      </x:c>
      <x:c r="R2734" s="12" t="str">
        <x:v>ok</x:v>
      </x:c>
      <x:c r="S2734" s="11" t="n">
        <x:v>2215</x:v>
      </x:c>
      <x:c r="T2734" s="11" t="n">
        <x:v>592</x:v>
      </x:c>
    </x:row>
    <x:row r="2735" ht="23" customHeight="1">
      <x:c r="A2735" s="2" t="str">
        <x:v>Q9CWK8</x:v>
      </x:c>
      <x:c r="B2735" s="2" t="str">
        <x:v>UN</x:v>
      </x:c>
      <x:c r="C2735" s="2" t="n">
        <x:v>1</x:v>
      </x:c>
      <x:c r="D2735" s="2" t="n">
        <x:v>1</x:v>
      </x:c>
      <x:c r="E2735" s="10"/>
      <x:c r="F2735" s="11" t="n">
        <x:v>519</x:v>
      </x:c>
      <x:c r="G2735" s="11" t="n">
        <x:v>0</x:v>
      </x:c>
      <x:c r="H2735" s="11" t="n">
        <x:v>0</x:v>
      </x:c>
      <x:c r="I2735" s="11" t="n">
        <x:v>1</x:v>
      </x:c>
      <x:c r="J2735" s="11" t="n">
        <x:v>0</x:v>
      </x:c>
      <x:c r="K2735" s="11" t="n">
        <x:v>0</x:v>
      </x:c>
      <x:c r="L2735" s="11" t="n">
        <x:f>IF(B2735="NED",1,IF(OR(B2735="ED",B2735="UN"),0,""))</x:f>
        <x:v>0</x:v>
      </x:c>
      <x:c r="M2735" s="11" t="n">
        <x:f>IF(AND(K2735=1,OR(B2735="ED",B2735="NED")),1,0)</x:f>
        <x:v>0</x:v>
      </x:c>
      <x:c r="N2735" s="11" t="n">
        <x:f>IF(K2735=1,1,0)</x:f>
        <x:v>0</x:v>
      </x:c>
      <x:c r="O2735" s="12" t="str">
        <x:v>Exclude UniProt Membrane keyword</x:v>
      </x:c>
      <x:c r="P2735" s="11" t="n">
        <x:v>0</x:v>
      </x:c>
      <x:c r="Q2735" s="12" t="str">
        <x:v>AF-Q9CWK8-F1-model_v6</x:v>
      </x:c>
      <x:c r="R2735" s="12" t="str">
        <x:v>ok</x:v>
      </x:c>
      <x:c r="S2735" s="11" t="n">
        <x:v>2216</x:v>
      </x:c>
      <x:c r="T2735" s="11" t="n">
        <x:v>519</x:v>
      </x:c>
    </x:row>
    <x:row r="2736" ht="23" customHeight="1">
      <x:c r="A2736" s="2" t="str">
        <x:v>Q9CWM4</x:v>
      </x:c>
      <x:c r="B2736" s="2" t="str">
        <x:v>ED</x:v>
      </x:c>
      <x:c r="C2736" s="2" t="n">
        <x:v>0</x:v>
      </x:c>
      <x:c r="D2736" s="2" t="n">
        <x:v>0</x:v>
      </x:c>
      <x:c r="E2736" s="10" t="n">
        <x:v>93.67131147540984</x:v>
      </x:c>
      <x:c r="F2736" s="11" t="n">
        <x:v>122</x:v>
      </x:c>
      <x:c r="G2736" s="11" t="n">
        <x:v>0</x:v>
      </x:c>
      <x:c r="H2736" s="11" t="n">
        <x:v>0</x:v>
      </x:c>
      <x:c r="I2736" s="11" t="n">
        <x:v>0</x:v>
      </x:c>
      <x:c r="J2736" s="11" t="n">
        <x:v>0</x:v>
      </x:c>
      <x:c r="K2736" s="11" t="n">
        <x:v>1</x:v>
      </x:c>
      <x:c r="L2736" s="11" t="n">
        <x:f>IF(B2736="NED",1,IF(OR(B2736="ED",B2736="UN"),0,""))</x:f>
        <x:v>0</x:v>
      </x:c>
      <x:c r="M2736" s="11" t="n">
        <x:f>IF(AND(K2736=1,OR(B2736="ED",B2736="NED")),1,0)</x:f>
        <x:v>1</x:v>
      </x:c>
      <x:c r="N2736" s="11" t="n">
        <x:f>IF(K2736=1,1,0)</x:f>
        <x:v>1</x:v>
      </x:c>
      <x:c r="O2736" s="12"/>
      <x:c r="P2736" s="11" t="n">
        <x:v>0</x:v>
      </x:c>
      <x:c r="Q2736" s="12" t="str">
        <x:v>AF-Q9CWM4-F1-model_v6</x:v>
      </x:c>
      <x:c r="R2736" s="12" t="str">
        <x:v>ok</x:v>
      </x:c>
      <x:c r="S2736" s="11" t="n">
        <x:v>2217</x:v>
      </x:c>
      <x:c r="T2736" s="11" t="n">
        <x:v>122</x:v>
      </x:c>
    </x:row>
    <x:row r="2737" ht="23" customHeight="1">
      <x:c r="A2737" s="2" t="str">
        <x:v>Q9CWN7</x:v>
      </x:c>
      <x:c r="B2737" s="2" t="str">
        <x:v>UN</x:v>
      </x:c>
      <x:c r="C2737" s="2" t="n">
        <x:v>1</x:v>
      </x:c>
      <x:c r="D2737" s="2"/>
      <x:c r="E2737" s="10" t="n">
        <x:v>77.35407920792079</x:v>
      </x:c>
      <x:c r="F2737" s="11" t="n">
        <x:v>505</x:v>
      </x:c>
      <x:c r="G2737" s="11" t="n">
        <x:v>0</x:v>
      </x:c>
      <x:c r="H2737" s="11" t="n">
        <x:v>0</x:v>
      </x:c>
      <x:c r="I2737" s="11" t="n">
        <x:v>0</x:v>
      </x:c>
      <x:c r="J2737" s="11" t="n">
        <x:v>0</x:v>
      </x:c>
      <x:c r="K2737" s="11" t="n">
        <x:v>1</x:v>
      </x:c>
      <x:c r="L2737" s="11" t="n">
        <x:f>IF(B2737="NED",1,IF(OR(B2737="ED",B2737="UN"),0,""))</x:f>
        <x:v>0</x:v>
      </x:c>
      <x:c r="M2737" s="11" t="n">
        <x:f>IF(AND(K2737=1,OR(B2737="ED",B2737="NED")),1,0)</x:f>
        <x:v>0</x:v>
      </x:c>
      <x:c r="N2737" s="11" t="n">
        <x:f>IF(K2737=1,1,0)</x:f>
        <x:v>1</x:v>
      </x:c>
      <x:c r="O2737" s="12"/>
      <x:c r="P2737" s="11" t="n">
        <x:v>0</x:v>
      </x:c>
      <x:c r="Q2737" s="12" t="str">
        <x:v>AF-Q9CWN7-F1-model_v6</x:v>
      </x:c>
      <x:c r="R2737" s="12" t="str">
        <x:v>ok</x:v>
      </x:c>
      <x:c r="S2737" s="11" t="n">
        <x:v>2218</x:v>
      </x:c>
      <x:c r="T2737" s="11" t="n">
        <x:v>505</x:v>
      </x:c>
    </x:row>
    <x:row r="2738" ht="23" customHeight="1">
      <x:c r="A2738" s="2" t="str">
        <x:v>Q9CWP6</x:v>
      </x:c>
      <x:c r="B2738" s="2" t="str">
        <x:v>UN</x:v>
      </x:c>
      <x:c r="C2738" s="2" t="n">
        <x:v>1</x:v>
      </x:c>
      <x:c r="D2738" s="2" t="n">
        <x:v>1</x:v>
      </x:c>
      <x:c r="E2738" s="10"/>
      <x:c r="F2738" s="11" t="n">
        <x:v>518</x:v>
      </x:c>
      <x:c r="G2738" s="11" t="n">
        <x:v>0</x:v>
      </x:c>
      <x:c r="H2738" s="11" t="n">
        <x:v>0</x:v>
      </x:c>
      <x:c r="I2738" s="11" t="n">
        <x:v>1</x:v>
      </x:c>
      <x:c r="J2738" s="11" t="n">
        <x:v>0</x:v>
      </x:c>
      <x:c r="K2738" s="11" t="n">
        <x:v>0</x:v>
      </x:c>
      <x:c r="L2738" s="11" t="n">
        <x:f>IF(B2738="NED",1,IF(OR(B2738="ED",B2738="UN"),0,""))</x:f>
        <x:v>0</x:v>
      </x:c>
      <x:c r="M2738" s="11" t="n">
        <x:f>IF(AND(K2738=1,OR(B2738="ED",B2738="NED")),1,0)</x:f>
        <x:v>0</x:v>
      </x:c>
      <x:c r="N2738" s="11" t="n">
        <x:f>IF(K2738=1,1,0)</x:f>
        <x:v>0</x:v>
      </x:c>
      <x:c r="O2738" s="12" t="str">
        <x:v>Exclude UniProt Membrane keyword</x:v>
      </x:c>
      <x:c r="P2738" s="11" t="n">
        <x:v>0</x:v>
      </x:c>
      <x:c r="Q2738" s="12" t="str">
        <x:v>AF-Q9CWP6-F1-model_v6</x:v>
      </x:c>
      <x:c r="R2738" s="12" t="str">
        <x:v>ok</x:v>
      </x:c>
      <x:c r="S2738" s="11" t="n">
        <x:v>2219</x:v>
      </x:c>
      <x:c r="T2738" s="11" t="n">
        <x:v>518</x:v>
      </x:c>
    </x:row>
    <x:row r="2739" ht="23" customHeight="1">
      <x:c r="A2739" s="2" t="str">
        <x:v>Q9CWR7</x:v>
      </x:c>
      <x:c r="B2739" s="2" t="str">
        <x:v>NED</x:v>
      </x:c>
      <x:c r="C2739" s="2" t="n">
        <x:v>0</x:v>
      </x:c>
      <x:c r="D2739" s="2" t="n">
        <x:v>0</x:v>
      </x:c>
      <x:c r="E2739" s="10"/>
      <x:c r="F2739" s="11" t="n">
        <x:v>339</x:v>
      </x:c>
      <x:c r="G2739" s="11" t="n">
        <x:v>0</x:v>
      </x:c>
      <x:c r="H2739" s="11" t="n">
        <x:v>0</x:v>
      </x:c>
      <x:c r="I2739" s="11" t="n">
        <x:v>1</x:v>
      </x:c>
      <x:c r="J2739" s="11" t="n">
        <x:v>0</x:v>
      </x:c>
      <x:c r="K2739" s="11" t="n">
        <x:v>0</x:v>
      </x:c>
      <x:c r="L2739" s="11" t="n">
        <x:f>IF(B2739="NED",1,IF(OR(B2739="ED",B2739="UN"),0,""))</x:f>
        <x:v>1</x:v>
      </x:c>
      <x:c r="M2739" s="11" t="n">
        <x:f>IF(AND(K2739=1,OR(B2739="ED",B2739="NED")),1,0)</x:f>
        <x:v>0</x:v>
      </x:c>
      <x:c r="N2739" s="11" t="n">
        <x:f>IF(K2739=1,1,0)</x:f>
        <x:v>0</x:v>
      </x:c>
      <x:c r="O2739" s="12" t="str">
        <x:v>Exclude UniProt Membrane keyword</x:v>
      </x:c>
      <x:c r="P2739" s="11" t="n">
        <x:v>0</x:v>
      </x:c>
      <x:c r="Q2739" s="12" t="str">
        <x:v>AF-Q9CWR7-F1-model_v6</x:v>
      </x:c>
      <x:c r="R2739" s="12" t="str">
        <x:v>ok</x:v>
      </x:c>
      <x:c r="S2739" s="11" t="n">
        <x:v>2220</x:v>
      </x:c>
      <x:c r="T2739" s="11" t="n">
        <x:v>339</x:v>
      </x:c>
    </x:row>
    <x:row r="2740" ht="23" customHeight="1">
      <x:c r="A2740" s="2" t="str">
        <x:v>Q9CWS0</x:v>
      </x:c>
      <x:c r="B2740" s="2" t="str">
        <x:v>UN</x:v>
      </x:c>
      <x:c r="C2740" s="2" t="n">
        <x:v>1</x:v>
      </x:c>
      <x:c r="D2740" s="2" t="n">
        <x:v>1</x:v>
      </x:c>
      <x:c r="E2740" s="10" t="n">
        <x:v>96.11663157894738</x:v>
      </x:c>
      <x:c r="F2740" s="11" t="n">
        <x:v>285</x:v>
      </x:c>
      <x:c r="G2740" s="11" t="n">
        <x:v>0</x:v>
      </x:c>
      <x:c r="H2740" s="11" t="n">
        <x:v>0</x:v>
      </x:c>
      <x:c r="I2740" s="11" t="n">
        <x:v>0</x:v>
      </x:c>
      <x:c r="J2740" s="11" t="n">
        <x:v>0</x:v>
      </x:c>
      <x:c r="K2740" s="11" t="n">
        <x:v>1</x:v>
      </x:c>
      <x:c r="L2740" s="11" t="n">
        <x:f>IF(B2740="NED",1,IF(OR(B2740="ED",B2740="UN"),0,""))</x:f>
        <x:v>0</x:v>
      </x:c>
      <x:c r="M2740" s="11" t="n">
        <x:f>IF(AND(K2740=1,OR(B2740="ED",B2740="NED")),1,0)</x:f>
        <x:v>0</x:v>
      </x:c>
      <x:c r="N2740" s="11" t="n">
        <x:f>IF(K2740=1,1,0)</x:f>
        <x:v>1</x:v>
      </x:c>
      <x:c r="O2740" s="12"/>
      <x:c r="P2740" s="11" t="n">
        <x:v>0</x:v>
      </x:c>
      <x:c r="Q2740" s="12" t="str">
        <x:v>AF-Q9CWS0-F1-model_v6</x:v>
      </x:c>
      <x:c r="R2740" s="12" t="str">
        <x:v>ok</x:v>
      </x:c>
      <x:c r="S2740" s="11" t="n">
        <x:v>2221</x:v>
      </x:c>
      <x:c r="T2740" s="11" t="n">
        <x:v>285</x:v>
      </x:c>
    </x:row>
    <x:row r="2741" ht="23" customHeight="1">
      <x:c r="A2741" s="2" t="str">
        <x:v>Q9CWU9</x:v>
      </x:c>
      <x:c r="B2741" s="2" t="str">
        <x:v>UN</x:v>
      </x:c>
      <x:c r="C2741" s="2" t="n">
        <x:v>1</x:v>
      </x:c>
      <x:c r="D2741" s="2" t="n">
        <x:v>1</x:v>
      </x:c>
      <x:c r="E2741" s="10" t="n">
        <x:v>92.2735889570552</x:v>
      </x:c>
      <x:c r="F2741" s="11" t="n">
        <x:v>326</x:v>
      </x:c>
      <x:c r="G2741" s="11" t="n">
        <x:v>0</x:v>
      </x:c>
      <x:c r="H2741" s="11" t="n">
        <x:v>0</x:v>
      </x:c>
      <x:c r="I2741" s="11" t="n">
        <x:v>0</x:v>
      </x:c>
      <x:c r="J2741" s="11" t="n">
        <x:v>0</x:v>
      </x:c>
      <x:c r="K2741" s="11" t="n">
        <x:v>1</x:v>
      </x:c>
      <x:c r="L2741" s="11" t="n">
        <x:f>IF(B2741="NED",1,IF(OR(B2741="ED",B2741="UN"),0,""))</x:f>
        <x:v>0</x:v>
      </x:c>
      <x:c r="M2741" s="11" t="n">
        <x:f>IF(AND(K2741=1,OR(B2741="ED",B2741="NED")),1,0)</x:f>
        <x:v>0</x:v>
      </x:c>
      <x:c r="N2741" s="11" t="n">
        <x:f>IF(K2741=1,1,0)</x:f>
        <x:v>1</x:v>
      </x:c>
      <x:c r="O2741" s="12"/>
      <x:c r="P2741" s="11" t="n">
        <x:v>0</x:v>
      </x:c>
      <x:c r="Q2741" s="12" t="str">
        <x:v>AF-Q9CWU9-F1-model_v6</x:v>
      </x:c>
      <x:c r="R2741" s="12" t="str">
        <x:v>ok</x:v>
      </x:c>
      <x:c r="S2741" s="11" t="n">
        <x:v>2222</x:v>
      </x:c>
      <x:c r="T2741" s="11" t="n">
        <x:v>326</x:v>
      </x:c>
    </x:row>
    <x:row r="2742" ht="23" customHeight="1">
      <x:c r="A2742" s="2" t="str">
        <x:v>Q9CWX9</x:v>
      </x:c>
      <x:c r="B2742" s="2" t="str">
        <x:v>ED</x:v>
      </x:c>
      <x:c r="C2742" s="2" t="n">
        <x:v>1</x:v>
      </x:c>
      <x:c r="D2742" s="2" t="n">
        <x:v>1</x:v>
      </x:c>
      <x:c r="E2742" s="10" t="n">
        <x:v>85.86643956043957</x:v>
      </x:c>
      <x:c r="F2742" s="11" t="n">
        <x:v>455</x:v>
      </x:c>
      <x:c r="G2742" s="11" t="n">
        <x:v>0</x:v>
      </x:c>
      <x:c r="H2742" s="11" t="n">
        <x:v>0</x:v>
      </x:c>
      <x:c r="I2742" s="11" t="n">
        <x:v>0</x:v>
      </x:c>
      <x:c r="J2742" s="11" t="n">
        <x:v>0</x:v>
      </x:c>
      <x:c r="K2742" s="11" t="n">
        <x:v>1</x:v>
      </x:c>
      <x:c r="L2742" s="11" t="n">
        <x:f>IF(B2742="NED",1,IF(OR(B2742="ED",B2742="UN"),0,""))</x:f>
        <x:v>0</x:v>
      </x:c>
      <x:c r="M2742" s="11" t="n">
        <x:f>IF(AND(K2742=1,OR(B2742="ED",B2742="NED")),1,0)</x:f>
        <x:v>1</x:v>
      </x:c>
      <x:c r="N2742" s="11" t="n">
        <x:f>IF(K2742=1,1,0)</x:f>
        <x:v>1</x:v>
      </x:c>
      <x:c r="O2742" s="12"/>
      <x:c r="P2742" s="11" t="n">
        <x:v>0</x:v>
      </x:c>
      <x:c r="Q2742" s="12" t="str">
        <x:v>AF-Q9CWX9-F1-model_v6</x:v>
      </x:c>
      <x:c r="R2742" s="12" t="str">
        <x:v>ok</x:v>
      </x:c>
      <x:c r="S2742" s="11" t="n">
        <x:v>2223</x:v>
      </x:c>
      <x:c r="T2742" s="11" t="n">
        <x:v>455</x:v>
      </x:c>
    </x:row>
    <x:row r="2743" ht="23" customHeight="1">
      <x:c r="A2743" s="2" t="str">
        <x:v>Q9CWY6</x:v>
      </x:c>
      <x:c r="B2743" s="2" t="str">
        <x:v>ED</x:v>
      </x:c>
      <x:c r="C2743" s="2"/>
      <x:c r="D2743" s="2"/>
      <x:c r="E2743" s="10"/>
      <x:c r="F2743" s="11"/>
      <x:c r="G2743" s="11" t="n">
        <x:v>0</x:v>
      </x:c>
      <x:c r="H2743" s="11" t="n">
        <x:v>0</x:v>
      </x:c>
      <x:c r="I2743" s="11" t="n">
        <x:v>0</x:v>
      </x:c>
      <x:c r="J2743" s="11" t="n">
        <x:v>0</x:v>
      </x:c>
      <x:c r="K2743" s="11" t="n">
        <x:v>0</x:v>
      </x:c>
      <x:c r="L2743" s="11" t="n">
        <x:f>IF(B2743="NED",1,IF(OR(B2743="ED",B2743="UN"),0,""))</x:f>
        <x:v>0</x:v>
      </x:c>
      <x:c r="M2743" s="11" t="n">
        <x:f>IF(AND(K2743=1,OR(B2743="ED",B2743="NED")),1,0)</x:f>
        <x:v>0</x:v>
      </x:c>
      <x:c r="N2743" s="11" t="n">
        <x:f>IF(K2743=1,1,0)</x:f>
        <x:v>0</x:v>
      </x:c>
      <x:c r="O2743" s="12" t="str">
        <x:v>Require exact native accession match</x:v>
      </x:c>
      <x:c r="P2743" s="11" t="n">
        <x:v>0</x:v>
      </x:c>
      <x:c r="Q2743" s="12"/>
      <x:c r="R2743" s="12"/>
      <x:c r="S2743" s="11" t="n">
        <x:v>3262</x:v>
      </x:c>
      <x:c r="T2743" s="11" t="n">
        <x:v>168</x:v>
      </x:c>
    </x:row>
    <x:row r="2744" ht="23" customHeight="1">
      <x:c r="A2744" s="2" t="str">
        <x:v>Q9CWZ3-2</x:v>
      </x:c>
      <x:c r="B2744" s="2" t="str">
        <x:v>UN</x:v>
      </x:c>
      <x:c r="C2744" s="2"/>
      <x:c r="D2744" s="2"/>
      <x:c r="E2744" s="10"/>
      <x:c r="F2744" s="11"/>
      <x:c r="G2744" s="11" t="n">
        <x:v>0</x:v>
      </x:c>
      <x:c r="H2744" s="11" t="n">
        <x:v>0</x:v>
      </x:c>
      <x:c r="I2744" s="11"/>
      <x:c r="J2744" s="11"/>
      <x:c r="K2744" s="11" t="n">
        <x:v>0</x:v>
      </x:c>
      <x:c r="L2744" s="11" t="n">
        <x:f>IF(B2744="NED",1,IF(OR(B2744="ED",B2744="UN"),0,""))</x:f>
        <x:v>0</x:v>
      </x:c>
      <x:c r="M2744" s="11" t="n">
        <x:f>IF(AND(K2744=1,OR(B2744="ED",B2744="NED")),1,0)</x:f>
        <x:v>0</x:v>
      </x:c>
      <x:c r="N2744" s="11" t="n">
        <x:f>IF(K2744=1,1,0)</x:f>
        <x:v>0</x:v>
      </x:c>
      <x:c r="O2744" s="12" t="str">
        <x:v>Require exact native accession match</x:v>
      </x:c>
      <x:c r="P2744" s="11" t="n">
        <x:v>0</x:v>
      </x:c>
      <x:c r="Q2744" s="12"/>
      <x:c r="R2744" s="12"/>
      <x:c r="S2744" s="11" t="n">
        <x:v>2224</x:v>
      </x:c>
      <x:c r="T2744" s="11"/>
    </x:row>
    <x:row r="2745" ht="23" customHeight="1">
      <x:c r="A2745" s="2" t="str">
        <x:v>Q9CWZ7</x:v>
      </x:c>
      <x:c r="B2745" s="2" t="str">
        <x:v>ED</x:v>
      </x:c>
      <x:c r="C2745" s="2" t="n">
        <x:v>0</x:v>
      </x:c>
      <x:c r="D2745" s="2" t="n">
        <x:v>0</x:v>
      </x:c>
      <x:c r="E2745" s="10"/>
      <x:c r="F2745" s="11" t="n">
        <x:v>312</x:v>
      </x:c>
      <x:c r="G2745" s="11" t="n">
        <x:v>0</x:v>
      </x:c>
      <x:c r="H2745" s="11" t="n">
        <x:v>0</x:v>
      </x:c>
      <x:c r="I2745" s="11" t="n">
        <x:v>1</x:v>
      </x:c>
      <x:c r="J2745" s="11" t="n">
        <x:v>0</x:v>
      </x:c>
      <x:c r="K2745" s="11" t="n">
        <x:v>0</x:v>
      </x:c>
      <x:c r="L2745" s="11" t="n">
        <x:f>IF(B2745="NED",1,IF(OR(B2745="ED",B2745="UN"),0,""))</x:f>
        <x:v>0</x:v>
      </x:c>
      <x:c r="M2745" s="11" t="n">
        <x:f>IF(AND(K2745=1,OR(B2745="ED",B2745="NED")),1,0)</x:f>
        <x:v>0</x:v>
      </x:c>
      <x:c r="N2745" s="11" t="n">
        <x:f>IF(K2745=1,1,0)</x:f>
        <x:v>0</x:v>
      </x:c>
      <x:c r="O2745" s="12" t="str">
        <x:v>Exclude UniProt Membrane keyword</x:v>
      </x:c>
      <x:c r="P2745" s="11" t="n">
        <x:v>0</x:v>
      </x:c>
      <x:c r="Q2745" s="12" t="str">
        <x:v>AF-Q9CWZ7-F1-model_v6</x:v>
      </x:c>
      <x:c r="R2745" s="12" t="str">
        <x:v>ok</x:v>
      </x:c>
      <x:c r="S2745" s="11" t="n">
        <x:v>2225</x:v>
      </x:c>
      <x:c r="T2745" s="11" t="n">
        <x:v>312</x:v>
      </x:c>
    </x:row>
    <x:row r="2746" ht="23" customHeight="1">
      <x:c r="A2746" s="2" t="str">
        <x:v>Q9CX00</x:v>
      </x:c>
      <x:c r="B2746" s="2" t="str">
        <x:v>UN</x:v>
      </x:c>
      <x:c r="C2746" s="2" t="n">
        <x:v>0</x:v>
      </x:c>
      <x:c r="D2746" s="2" t="n">
        <x:v>0</x:v>
      </x:c>
      <x:c r="E2746" s="10" t="n">
        <x:v>73.10980662983425</x:v>
      </x:c>
      <x:c r="F2746" s="11" t="n">
        <x:v>362</x:v>
      </x:c>
      <x:c r="G2746" s="11" t="n">
        <x:v>0</x:v>
      </x:c>
      <x:c r="H2746" s="11" t="n">
        <x:v>0</x:v>
      </x:c>
      <x:c r="I2746" s="11" t="n">
        <x:v>0</x:v>
      </x:c>
      <x:c r="J2746" s="11" t="n">
        <x:v>0</x:v>
      </x:c>
      <x:c r="K2746" s="11" t="n">
        <x:v>1</x:v>
      </x:c>
      <x:c r="L2746" s="11" t="n">
        <x:f>IF(B2746="NED",1,IF(OR(B2746="ED",B2746="UN"),0,""))</x:f>
        <x:v>0</x:v>
      </x:c>
      <x:c r="M2746" s="11" t="n">
        <x:f>IF(AND(K2746=1,OR(B2746="ED",B2746="NED")),1,0)</x:f>
        <x:v>0</x:v>
      </x:c>
      <x:c r="N2746" s="11" t="n">
        <x:f>IF(K2746=1,1,0)</x:f>
        <x:v>1</x:v>
      </x:c>
      <x:c r="O2746" s="12"/>
      <x:c r="P2746" s="11" t="n">
        <x:v>0</x:v>
      </x:c>
      <x:c r="Q2746" s="12" t="str">
        <x:v>AF-Q9CX00-F1-model_v6</x:v>
      </x:c>
      <x:c r="R2746" s="12" t="str">
        <x:v>ok</x:v>
      </x:c>
      <x:c r="S2746" s="11" t="n">
        <x:v>2226</x:v>
      </x:c>
      <x:c r="T2746" s="11" t="n">
        <x:v>362</x:v>
      </x:c>
    </x:row>
    <x:row r="2747" ht="23" customHeight="1">
      <x:c r="A2747" s="2" t="str">
        <x:v>Q9CX34</x:v>
      </x:c>
      <x:c r="B2747" s="2" t="str">
        <x:v>ED</x:v>
      </x:c>
      <x:c r="C2747" s="2" t="n">
        <x:v>0</x:v>
      </x:c>
      <x:c r="D2747" s="2" t="n">
        <x:v>0</x:v>
      </x:c>
      <x:c r="E2747" s="10" t="n">
        <x:v>79.09839285714285</x:v>
      </x:c>
      <x:c r="F2747" s="11" t="n">
        <x:v>336</x:v>
      </x:c>
      <x:c r="G2747" s="11" t="n">
        <x:v>0</x:v>
      </x:c>
      <x:c r="H2747" s="11" t="n">
        <x:v>0</x:v>
      </x:c>
      <x:c r="I2747" s="11" t="n">
        <x:v>0</x:v>
      </x:c>
      <x:c r="J2747" s="11" t="n">
        <x:v>0</x:v>
      </x:c>
      <x:c r="K2747" s="11" t="n">
        <x:v>1</x:v>
      </x:c>
      <x:c r="L2747" s="11" t="n">
        <x:f>IF(B2747="NED",1,IF(OR(B2747="ED",B2747="UN"),0,""))</x:f>
        <x:v>0</x:v>
      </x:c>
      <x:c r="M2747" s="11" t="n">
        <x:f>IF(AND(K2747=1,OR(B2747="ED",B2747="NED")),1,0)</x:f>
        <x:v>1</x:v>
      </x:c>
      <x:c r="N2747" s="11" t="n">
        <x:f>IF(K2747=1,1,0)</x:f>
        <x:v>1</x:v>
      </x:c>
      <x:c r="O2747" s="12"/>
      <x:c r="P2747" s="11" t="n">
        <x:v>0</x:v>
      </x:c>
      <x:c r="Q2747" s="12" t="str">
        <x:v>AF-Q9CX34-F1-model_v6</x:v>
      </x:c>
      <x:c r="R2747" s="12" t="str">
        <x:v>ok</x:v>
      </x:c>
      <x:c r="S2747" s="11" t="n">
        <x:v>2227</x:v>
      </x:c>
      <x:c r="T2747" s="11" t="n">
        <x:v>336</x:v>
      </x:c>
    </x:row>
    <x:row r="2748" ht="23" customHeight="1">
      <x:c r="A2748" s="2" t="str">
        <x:v>Q9CX86</x:v>
      </x:c>
      <x:c r="B2748" s="2" t="str">
        <x:v>ED</x:v>
      </x:c>
      <x:c r="C2748" s="2" t="n">
        <x:v>1</x:v>
      </x:c>
      <x:c r="D2748" s="2" t="n">
        <x:v>1</x:v>
      </x:c>
      <x:c r="E2748" s="10" t="n">
        <x:v>71.11685245901639</x:v>
      </x:c>
      <x:c r="F2748" s="11" t="n">
        <x:v>305</x:v>
      </x:c>
      <x:c r="G2748" s="11" t="n">
        <x:v>0</x:v>
      </x:c>
      <x:c r="H2748" s="11" t="n">
        <x:v>0</x:v>
      </x:c>
      <x:c r="I2748" s="11" t="n">
        <x:v>0</x:v>
      </x:c>
      <x:c r="J2748" s="11" t="n">
        <x:v>0</x:v>
      </x:c>
      <x:c r="K2748" s="11" t="n">
        <x:v>1</x:v>
      </x:c>
      <x:c r="L2748" s="11" t="n">
        <x:f>IF(B2748="NED",1,IF(OR(B2748="ED",B2748="UN"),0,""))</x:f>
        <x:v>0</x:v>
      </x:c>
      <x:c r="M2748" s="11" t="n">
        <x:f>IF(AND(K2748=1,OR(B2748="ED",B2748="NED")),1,0)</x:f>
        <x:v>1</x:v>
      </x:c>
      <x:c r="N2748" s="11" t="n">
        <x:f>IF(K2748=1,1,0)</x:f>
        <x:v>1</x:v>
      </x:c>
      <x:c r="O2748" s="12"/>
      <x:c r="P2748" s="11" t="n">
        <x:v>0</x:v>
      </x:c>
      <x:c r="Q2748" s="12" t="str">
        <x:v>AF-Q9CX86-F1-model_v6</x:v>
      </x:c>
      <x:c r="R2748" s="12" t="str">
        <x:v>ok</x:v>
      </x:c>
      <x:c r="S2748" s="11" t="n">
        <x:v>2228</x:v>
      </x:c>
      <x:c r="T2748" s="11" t="n">
        <x:v>305</x:v>
      </x:c>
    </x:row>
    <x:row r="2749" ht="23" customHeight="1">
      <x:c r="A2749" s="2" t="str">
        <x:v>Q9CX97</x:v>
      </x:c>
      <x:c r="B2749" s="2" t="str">
        <x:v>ED</x:v>
      </x:c>
      <x:c r="C2749" s="2" t="n">
        <x:v>1</x:v>
      </x:c>
      <x:c r="D2749" s="2" t="n">
        <x:v>1</x:v>
      </x:c>
      <x:c r="E2749" s="10" t="n">
        <x:v>86.64157216494846</x:v>
      </x:c>
      <x:c r="F2749" s="11" t="n">
        <x:v>388</x:v>
      </x:c>
      <x:c r="G2749" s="11" t="n">
        <x:v>0</x:v>
      </x:c>
      <x:c r="H2749" s="11" t="n">
        <x:v>0</x:v>
      </x:c>
      <x:c r="I2749" s="11" t="n">
        <x:v>0</x:v>
      </x:c>
      <x:c r="J2749" s="11" t="n">
        <x:v>0</x:v>
      </x:c>
      <x:c r="K2749" s="11" t="n">
        <x:v>1</x:v>
      </x:c>
      <x:c r="L2749" s="11" t="n">
        <x:f>IF(B2749="NED",1,IF(OR(B2749="ED",B2749="UN"),0,""))</x:f>
        <x:v>0</x:v>
      </x:c>
      <x:c r="M2749" s="11" t="n">
        <x:f>IF(AND(K2749=1,OR(B2749="ED",B2749="NED")),1,0)</x:f>
        <x:v>1</x:v>
      </x:c>
      <x:c r="N2749" s="11" t="n">
        <x:f>IF(K2749=1,1,0)</x:f>
        <x:v>1</x:v>
      </x:c>
      <x:c r="O2749" s="12"/>
      <x:c r="P2749" s="11" t="n">
        <x:v>0</x:v>
      </x:c>
      <x:c r="Q2749" s="12" t="str">
        <x:v>AF-Q9CX97-F1-model_v6</x:v>
      </x:c>
      <x:c r="R2749" s="12" t="str">
        <x:v>ok</x:v>
      </x:c>
      <x:c r="S2749" s="11" t="n">
        <x:v>2229</x:v>
      </x:c>
      <x:c r="T2749" s="11" t="n">
        <x:v>388</x:v>
      </x:c>
    </x:row>
    <x:row r="2750" ht="23" customHeight="1">
      <x:c r="A2750" s="2" t="str">
        <x:v>Q9CXF4</x:v>
      </x:c>
      <x:c r="B2750" s="2" t="str">
        <x:v>NED</x:v>
      </x:c>
      <x:c r="C2750" s="2" t="n">
        <x:v>1</x:v>
      </x:c>
      <x:c r="D2750" s="2" t="n">
        <x:v>1</x:v>
      </x:c>
      <x:c r="E2750" s="10" t="n">
        <x:v>72.21535022354695</x:v>
      </x:c>
      <x:c r="F2750" s="11" t="n">
        <x:v>671</x:v>
      </x:c>
      <x:c r="G2750" s="11" t="n">
        <x:v>0</x:v>
      </x:c>
      <x:c r="H2750" s="11" t="n">
        <x:v>0</x:v>
      </x:c>
      <x:c r="I2750" s="11" t="n">
        <x:v>0</x:v>
      </x:c>
      <x:c r="J2750" s="11" t="n">
        <x:v>0</x:v>
      </x:c>
      <x:c r="K2750" s="11" t="n">
        <x:v>1</x:v>
      </x:c>
      <x:c r="L2750" s="11" t="n">
        <x:f>IF(B2750="NED",1,IF(OR(B2750="ED",B2750="UN"),0,""))</x:f>
        <x:v>1</x:v>
      </x:c>
      <x:c r="M2750" s="11" t="n">
        <x:f>IF(AND(K2750=1,OR(B2750="ED",B2750="NED")),1,0)</x:f>
        <x:v>1</x:v>
      </x:c>
      <x:c r="N2750" s="11" t="n">
        <x:f>IF(K2750=1,1,0)</x:f>
        <x:v>1</x:v>
      </x:c>
      <x:c r="O2750" s="12"/>
      <x:c r="P2750" s="11" t="n">
        <x:v>0</x:v>
      </x:c>
      <x:c r="Q2750" s="12" t="str">
        <x:v>AF-Q9CXF4-F1-model_v6</x:v>
      </x:c>
      <x:c r="R2750" s="12" t="str">
        <x:v>ok</x:v>
      </x:c>
      <x:c r="S2750" s="11" t="n">
        <x:v>2230</x:v>
      </x:c>
      <x:c r="T2750" s="11" t="n">
        <x:v>671</x:v>
      </x:c>
    </x:row>
    <x:row r="2751" ht="23" customHeight="1">
      <x:c r="A2751" s="2" t="str">
        <x:v>Q9CXF7</x:v>
      </x:c>
      <x:c r="B2751" s="2" t="str">
        <x:v>UN</x:v>
      </x:c>
      <x:c r="C2751" s="2" t="n">
        <x:v>1</x:v>
      </x:c>
      <x:c r="D2751" s="2" t="n">
        <x:v>1</x:v>
      </x:c>
      <x:c r="E2751" s="10" t="n">
        <x:v>74.90504444444444</x:v>
      </x:c>
      <x:c r="F2751" s="11" t="n">
        <x:v>900</x:v>
      </x:c>
      <x:c r="G2751" s="11" t="n">
        <x:v>0</x:v>
      </x:c>
      <x:c r="H2751" s="11" t="n">
        <x:v>0</x:v>
      </x:c>
      <x:c r="I2751" s="11" t="n">
        <x:v>0</x:v>
      </x:c>
      <x:c r="J2751" s="11" t="n">
        <x:v>0</x:v>
      </x:c>
      <x:c r="K2751" s="11" t="n">
        <x:v>1</x:v>
      </x:c>
      <x:c r="L2751" s="11" t="n">
        <x:f>IF(B2751="NED",1,IF(OR(B2751="ED",B2751="UN"),0,""))</x:f>
        <x:v>0</x:v>
      </x:c>
      <x:c r="M2751" s="11" t="n">
        <x:f>IF(AND(K2751=1,OR(B2751="ED",B2751="NED")),1,0)</x:f>
        <x:v>0</x:v>
      </x:c>
      <x:c r="N2751" s="11" t="n">
        <x:f>IF(K2751=1,1,0)</x:f>
        <x:v>1</x:v>
      </x:c>
      <x:c r="O2751" s="12"/>
      <x:c r="P2751" s="11" t="n">
        <x:v>0</x:v>
      </x:c>
      <x:c r="Q2751" s="12" t="str">
        <x:v>AF-Q9CXF7-F1-model_v6</x:v>
      </x:c>
      <x:c r="R2751" s="12" t="str">
        <x:v>ok</x:v>
      </x:c>
      <x:c r="S2751" s="11" t="n">
        <x:v>2231</x:v>
      </x:c>
      <x:c r="T2751" s="11" t="n">
        <x:v>900</x:v>
      </x:c>
    </x:row>
    <x:row r="2752" ht="23" customHeight="1">
      <x:c r="A2752" s="2" t="str">
        <x:v>Q9CXG3</x:v>
      </x:c>
      <x:c r="B2752" s="2" t="str">
        <x:v>UN</x:v>
      </x:c>
      <x:c r="C2752" s="2" t="n">
        <x:v>1</x:v>
      </x:c>
      <x:c r="D2752" s="2" t="n">
        <x:v>1</x:v>
      </x:c>
      <x:c r="E2752" s="10" t="n">
        <x:v>69.98298780487805</x:v>
      </x:c>
      <x:c r="F2752" s="11" t="n">
        <x:v>492</x:v>
      </x:c>
      <x:c r="G2752" s="11" t="n">
        <x:v>0</x:v>
      </x:c>
      <x:c r="H2752" s="11" t="n">
        <x:v>0</x:v>
      </x:c>
      <x:c r="I2752" s="11" t="n">
        <x:v>0</x:v>
      </x:c>
      <x:c r="J2752" s="11" t="n">
        <x:v>0</x:v>
      </x:c>
      <x:c r="K2752" s="11" t="n">
        <x:v>0</x:v>
      </x:c>
      <x:c r="L2752" s="11" t="n">
        <x:f>IF(B2752="NED",1,IF(OR(B2752="ED",B2752="UN"),0,""))</x:f>
        <x:v>0</x:v>
      </x:c>
      <x:c r="M2752" s="11" t="n">
        <x:f>IF(AND(K2752=1,OR(B2752="ED",B2752="NED")),1,0)</x:f>
        <x:v>0</x:v>
      </x:c>
      <x:c r="N2752" s="11" t="n">
        <x:f>IF(K2752=1,1,0)</x:f>
        <x:v>0</x:v>
      </x:c>
      <x:c r="O2752" s="12" t="str">
        <x:v>Retain protein mean pLDDT &gt;=70</x:v>
      </x:c>
      <x:c r="P2752" s="11" t="n">
        <x:v>0</x:v>
      </x:c>
      <x:c r="Q2752" s="12" t="str">
        <x:v>AF-Q9CXG3-F1-model_v6</x:v>
      </x:c>
      <x:c r="R2752" s="12" t="str">
        <x:v>ok</x:v>
      </x:c>
      <x:c r="S2752" s="11" t="n">
        <x:v>2232</x:v>
      </x:c>
      <x:c r="T2752" s="11" t="n">
        <x:v>492</x:v>
      </x:c>
    </x:row>
    <x:row r="2753" ht="23" customHeight="1">
      <x:c r="A2753" s="2" t="str">
        <x:v>Q9CXK8</x:v>
      </x:c>
      <x:c r="B2753" s="2" t="str">
        <x:v>UN</x:v>
      </x:c>
      <x:c r="C2753" s="2" t="n">
        <x:v>1</x:v>
      </x:c>
      <x:c r="D2753" s="2" t="n">
        <x:v>1</x:v>
      </x:c>
      <x:c r="E2753" s="10" t="n">
        <x:v>94.14988888888888</x:v>
      </x:c>
      <x:c r="F2753" s="11" t="n">
        <x:v>180</x:v>
      </x:c>
      <x:c r="G2753" s="11" t="n">
        <x:v>0</x:v>
      </x:c>
      <x:c r="H2753" s="11" t="n">
        <x:v>0</x:v>
      </x:c>
      <x:c r="I2753" s="11" t="n">
        <x:v>0</x:v>
      </x:c>
      <x:c r="J2753" s="11" t="n">
        <x:v>0</x:v>
      </x:c>
      <x:c r="K2753" s="11" t="n">
        <x:v>1</x:v>
      </x:c>
      <x:c r="L2753" s="11" t="n">
        <x:f>IF(B2753="NED",1,IF(OR(B2753="ED",B2753="UN"),0,""))</x:f>
        <x:v>0</x:v>
      </x:c>
      <x:c r="M2753" s="11" t="n">
        <x:f>IF(AND(K2753=1,OR(B2753="ED",B2753="NED")),1,0)</x:f>
        <x:v>0</x:v>
      </x:c>
      <x:c r="N2753" s="11" t="n">
        <x:f>IF(K2753=1,1,0)</x:f>
        <x:v>1</x:v>
      </x:c>
      <x:c r="O2753" s="12"/>
      <x:c r="P2753" s="11" t="n">
        <x:v>0</x:v>
      </x:c>
      <x:c r="Q2753" s="12" t="str">
        <x:v>AF-Q9CXK8-F1-model_v6</x:v>
      </x:c>
      <x:c r="R2753" s="12" t="str">
        <x:v>ok</x:v>
      </x:c>
      <x:c r="S2753" s="11" t="n">
        <x:v>2233</x:v>
      </x:c>
      <x:c r="T2753" s="11" t="n">
        <x:v>180</x:v>
      </x:c>
    </x:row>
    <x:row r="2754" ht="23" customHeight="1">
      <x:c r="A2754" s="2" t="str">
        <x:v>Q9CXL3</x:v>
      </x:c>
      <x:c r="B2754" s="2" t="str">
        <x:v>ED</x:v>
      </x:c>
      <x:c r="C2754" s="2" t="n">
        <x:v>0</x:v>
      </x:c>
      <x:c r="D2754" s="2" t="n">
        <x:v>0</x:v>
      </x:c>
      <x:c r="E2754" s="10"/>
      <x:c r="F2754" s="11" t="n">
        <x:v>195</x:v>
      </x:c>
      <x:c r="G2754" s="11" t="n">
        <x:v>0</x:v>
      </x:c>
      <x:c r="H2754" s="11" t="n">
        <x:v>0</x:v>
      </x:c>
      <x:c r="I2754" s="11" t="n">
        <x:v>0</x:v>
      </x:c>
      <x:c r="J2754" s="11" t="n">
        <x:v>1</x:v>
      </x:c>
      <x:c r="K2754" s="11" t="n">
        <x:v>0</x:v>
      </x:c>
      <x:c r="L2754" s="11" t="n">
        <x:f>IF(B2754="NED",1,IF(OR(B2754="ED",B2754="UN"),0,""))</x:f>
        <x:v>0</x:v>
      </x:c>
      <x:c r="M2754" s="11" t="n">
        <x:f>IF(AND(K2754=1,OR(B2754="ED",B2754="NED")),1,0)</x:f>
        <x:v>0</x:v>
      </x:c>
      <x:c r="N2754" s="11" t="n">
        <x:f>IF(K2754=1,1,0)</x:f>
        <x:v>0</x:v>
      </x:c>
      <x:c r="O2754" s="12" t="str">
        <x:v>Exclude UniProt Secreted keyword</x:v>
      </x:c>
      <x:c r="P2754" s="11" t="n">
        <x:v>0</x:v>
      </x:c>
      <x:c r="Q2754" s="12" t="str">
        <x:v>AF-Q9CXL3-F1-model_v6</x:v>
      </x:c>
      <x:c r="R2754" s="12" t="str">
        <x:v>ok</x:v>
      </x:c>
      <x:c r="S2754" s="11" t="n">
        <x:v>2234</x:v>
      </x:c>
      <x:c r="T2754" s="11" t="n">
        <x:v>195</x:v>
      </x:c>
    </x:row>
    <x:row r="2755" ht="23" customHeight="1">
      <x:c r="A2755" s="2" t="str">
        <x:v>Q9CXT8</x:v>
      </x:c>
      <x:c r="B2755" s="2" t="str">
        <x:v>UN</x:v>
      </x:c>
      <x:c r="C2755" s="2" t="n">
        <x:v>1</x:v>
      </x:c>
      <x:c r="D2755" s="2" t="n">
        <x:v>1</x:v>
      </x:c>
      <x:c r="E2755" s="10" t="n">
        <x:v>87.63321063394683</x:v>
      </x:c>
      <x:c r="F2755" s="11" t="n">
        <x:v>489</x:v>
      </x:c>
      <x:c r="G2755" s="11" t="n">
        <x:v>0</x:v>
      </x:c>
      <x:c r="H2755" s="11" t="n">
        <x:v>0</x:v>
      </x:c>
      <x:c r="I2755" s="11" t="n">
        <x:v>0</x:v>
      </x:c>
      <x:c r="J2755" s="11" t="n">
        <x:v>0</x:v>
      </x:c>
      <x:c r="K2755" s="11" t="n">
        <x:v>1</x:v>
      </x:c>
      <x:c r="L2755" s="11" t="n">
        <x:f>IF(B2755="NED",1,IF(OR(B2755="ED",B2755="UN"),0,""))</x:f>
        <x:v>0</x:v>
      </x:c>
      <x:c r="M2755" s="11" t="n">
        <x:f>IF(AND(K2755=1,OR(B2755="ED",B2755="NED")),1,0)</x:f>
        <x:v>0</x:v>
      </x:c>
      <x:c r="N2755" s="11" t="n">
        <x:f>IF(K2755=1,1,0)</x:f>
        <x:v>1</x:v>
      </x:c>
      <x:c r="O2755" s="12"/>
      <x:c r="P2755" s="11" t="n">
        <x:v>0</x:v>
      </x:c>
      <x:c r="Q2755" s="12" t="str">
        <x:v>AF-Q9CXT8-F1-model_v6</x:v>
      </x:c>
      <x:c r="R2755" s="12" t="str">
        <x:v>ok</x:v>
      </x:c>
      <x:c r="S2755" s="11" t="n">
        <x:v>2235</x:v>
      </x:c>
      <x:c r="T2755" s="11" t="n">
        <x:v>489</x:v>
      </x:c>
    </x:row>
    <x:row r="2756" ht="23" customHeight="1">
      <x:c r="A2756" s="2" t="str">
        <x:v>Q9CXW2</x:v>
      </x:c>
      <x:c r="B2756" s="2" t="str">
        <x:v>UN</x:v>
      </x:c>
      <x:c r="C2756" s="2" t="n">
        <x:v>0</x:v>
      </x:c>
      <x:c r="D2756" s="2" t="n">
        <x:v>0</x:v>
      </x:c>
      <x:c r="E2756" s="10" t="n">
        <x:v>83.02713091922006</x:v>
      </x:c>
      <x:c r="F2756" s="11" t="n">
        <x:v>359</x:v>
      </x:c>
      <x:c r="G2756" s="11" t="n">
        <x:v>0</x:v>
      </x:c>
      <x:c r="H2756" s="11" t="n">
        <x:v>0</x:v>
      </x:c>
      <x:c r="I2756" s="11" t="n">
        <x:v>0</x:v>
      </x:c>
      <x:c r="J2756" s="11" t="n">
        <x:v>0</x:v>
      </x:c>
      <x:c r="K2756" s="11" t="n">
        <x:v>1</x:v>
      </x:c>
      <x:c r="L2756" s="11" t="n">
        <x:f>IF(B2756="NED",1,IF(OR(B2756="ED",B2756="UN"),0,""))</x:f>
        <x:v>0</x:v>
      </x:c>
      <x:c r="M2756" s="11" t="n">
        <x:f>IF(AND(K2756=1,OR(B2756="ED",B2756="NED")),1,0)</x:f>
        <x:v>0</x:v>
      </x:c>
      <x:c r="N2756" s="11" t="n">
        <x:f>IF(K2756=1,1,0)</x:f>
        <x:v>1</x:v>
      </x:c>
      <x:c r="O2756" s="12"/>
      <x:c r="P2756" s="11" t="n">
        <x:v>0</x:v>
      </x:c>
      <x:c r="Q2756" s="12" t="str">
        <x:v>AF-Q9CXW2-F1-model_v6</x:v>
      </x:c>
      <x:c r="R2756" s="12" t="str">
        <x:v>ok</x:v>
      </x:c>
      <x:c r="S2756" s="11" t="n">
        <x:v>2236</x:v>
      </x:c>
      <x:c r="T2756" s="11" t="n">
        <x:v>359</x:v>
      </x:c>
    </x:row>
    <x:row r="2757" ht="23" customHeight="1">
      <x:c r="A2757" s="2" t="str">
        <x:v>Q9CXW3</x:v>
      </x:c>
      <x:c r="B2757" s="2" t="str">
        <x:v>ED</x:v>
      </x:c>
      <x:c r="C2757" s="2" t="n">
        <x:v>0</x:v>
      </x:c>
      <x:c r="D2757" s="2" t="n">
        <x:v>0</x:v>
      </x:c>
      <x:c r="E2757" s="10" t="n">
        <x:v>80.49812227074236</x:v>
      </x:c>
      <x:c r="F2757" s="11" t="n">
        <x:v>229</x:v>
      </x:c>
      <x:c r="G2757" s="11" t="n">
        <x:v>0</x:v>
      </x:c>
      <x:c r="H2757" s="11" t="n">
        <x:v>0</x:v>
      </x:c>
      <x:c r="I2757" s="11" t="n">
        <x:v>0</x:v>
      </x:c>
      <x:c r="J2757" s="11" t="n">
        <x:v>0</x:v>
      </x:c>
      <x:c r="K2757" s="11" t="n">
        <x:v>1</x:v>
      </x:c>
      <x:c r="L2757" s="11" t="n">
        <x:f>IF(B2757="NED",1,IF(OR(B2757="ED",B2757="UN"),0,""))</x:f>
        <x:v>0</x:v>
      </x:c>
      <x:c r="M2757" s="11" t="n">
        <x:f>IF(AND(K2757=1,OR(B2757="ED",B2757="NED")),1,0)</x:f>
        <x:v>1</x:v>
      </x:c>
      <x:c r="N2757" s="11" t="n">
        <x:f>IF(K2757=1,1,0)</x:f>
        <x:v>1</x:v>
      </x:c>
      <x:c r="O2757" s="12"/>
      <x:c r="P2757" s="11" t="n">
        <x:v>0</x:v>
      </x:c>
      <x:c r="Q2757" s="12" t="str">
        <x:v>AF-Q9CXW3-F1-model_v6</x:v>
      </x:c>
      <x:c r="R2757" s="12" t="str">
        <x:v>ok</x:v>
      </x:c>
      <x:c r="S2757" s="11" t="n">
        <x:v>2237</x:v>
      </x:c>
      <x:c r="T2757" s="11" t="n">
        <x:v>229</x:v>
      </x:c>
    </x:row>
    <x:row r="2758" ht="23" customHeight="1">
      <x:c r="A2758" s="2" t="str">
        <x:v>Q9CXW4</x:v>
      </x:c>
      <x:c r="B2758" s="2" t="str">
        <x:v>NED</x:v>
      </x:c>
      <x:c r="C2758" s="2" t="n">
        <x:v>1</x:v>
      </x:c>
      <x:c r="D2758" s="2" t="n">
        <x:v>1</x:v>
      </x:c>
      <x:c r="E2758" s="10" t="n">
        <x:v>91.42994382022472</x:v>
      </x:c>
      <x:c r="F2758" s="11" t="n">
        <x:v>178</x:v>
      </x:c>
      <x:c r="G2758" s="11" t="n">
        <x:v>0</x:v>
      </x:c>
      <x:c r="H2758" s="11" t="n">
        <x:v>0</x:v>
      </x:c>
      <x:c r="I2758" s="11" t="n">
        <x:v>0</x:v>
      </x:c>
      <x:c r="J2758" s="11" t="n">
        <x:v>0</x:v>
      </x:c>
      <x:c r="K2758" s="11" t="n">
        <x:v>1</x:v>
      </x:c>
      <x:c r="L2758" s="11" t="n">
        <x:f>IF(B2758="NED",1,IF(OR(B2758="ED",B2758="UN"),0,""))</x:f>
        <x:v>1</x:v>
      </x:c>
      <x:c r="M2758" s="11" t="n">
        <x:f>IF(AND(K2758=1,OR(B2758="ED",B2758="NED")),1,0)</x:f>
        <x:v>1</x:v>
      </x:c>
      <x:c r="N2758" s="11" t="n">
        <x:f>IF(K2758=1,1,0)</x:f>
        <x:v>1</x:v>
      </x:c>
      <x:c r="O2758" s="12"/>
      <x:c r="P2758" s="11" t="n">
        <x:v>0</x:v>
      </x:c>
      <x:c r="Q2758" s="12" t="str">
        <x:v>AF-Q9CXW4-F1-model_v6</x:v>
      </x:c>
      <x:c r="R2758" s="12" t="str">
        <x:v>ok</x:v>
      </x:c>
      <x:c r="S2758" s="11" t="n">
        <x:v>2238</x:v>
      </x:c>
      <x:c r="T2758" s="11" t="n">
        <x:v>178</x:v>
      </x:c>
    </x:row>
    <x:row r="2759" ht="23" customHeight="1">
      <x:c r="A2759" s="2" t="str">
        <x:v>Q9CXY6</x:v>
      </x:c>
      <x:c r="B2759" s="2" t="str">
        <x:v>NED</x:v>
      </x:c>
      <x:c r="C2759" s="2" t="n">
        <x:v>1</x:v>
      </x:c>
      <x:c r="D2759" s="2" t="n">
        <x:v>1</x:v>
      </x:c>
      <x:c r="E2759" s="10" t="n">
        <x:v>89.44061538461537</x:v>
      </x:c>
      <x:c r="F2759" s="11" t="n">
        <x:v>390</x:v>
      </x:c>
      <x:c r="G2759" s="11" t="n">
        <x:v>0</x:v>
      </x:c>
      <x:c r="H2759" s="11" t="n">
        <x:v>0</x:v>
      </x:c>
      <x:c r="I2759" s="11" t="n">
        <x:v>0</x:v>
      </x:c>
      <x:c r="J2759" s="11" t="n">
        <x:v>0</x:v>
      </x:c>
      <x:c r="K2759" s="11" t="n">
        <x:v>1</x:v>
      </x:c>
      <x:c r="L2759" s="11" t="n">
        <x:f>IF(B2759="NED",1,IF(OR(B2759="ED",B2759="UN"),0,""))</x:f>
        <x:v>1</x:v>
      </x:c>
      <x:c r="M2759" s="11" t="n">
        <x:f>IF(AND(K2759=1,OR(B2759="ED",B2759="NED")),1,0)</x:f>
        <x:v>1</x:v>
      </x:c>
      <x:c r="N2759" s="11" t="n">
        <x:f>IF(K2759=1,1,0)</x:f>
        <x:v>1</x:v>
      </x:c>
      <x:c r="O2759" s="12"/>
      <x:c r="P2759" s="11" t="n">
        <x:v>0</x:v>
      </x:c>
      <x:c r="Q2759" s="12" t="str">
        <x:v>AF-Q9CXY6-F1-model_v6</x:v>
      </x:c>
      <x:c r="R2759" s="12" t="str">
        <x:v>ok</x:v>
      </x:c>
      <x:c r="S2759" s="11" t="n">
        <x:v>2239</x:v>
      </x:c>
      <x:c r="T2759" s="11" t="n">
        <x:v>390</x:v>
      </x:c>
    </x:row>
    <x:row r="2760" ht="23" customHeight="1">
      <x:c r="A2760" s="2" t="str">
        <x:v>Q9CXY9</x:v>
      </x:c>
      <x:c r="B2760" s="2" t="str">
        <x:v>NED</x:v>
      </x:c>
      <x:c r="C2760" s="2" t="n">
        <x:v>1</x:v>
      </x:c>
      <x:c r="D2760" s="2" t="n">
        <x:v>1</x:v>
      </x:c>
      <x:c r="E2760" s="10"/>
      <x:c r="F2760" s="11" t="n">
        <x:v>395</x:v>
      </x:c>
      <x:c r="G2760" s="11" t="n">
        <x:v>0</x:v>
      </x:c>
      <x:c r="H2760" s="11" t="n">
        <x:v>0</x:v>
      </x:c>
      <x:c r="I2760" s="11" t="n">
        <x:v>1</x:v>
      </x:c>
      <x:c r="J2760" s="11" t="n">
        <x:v>0</x:v>
      </x:c>
      <x:c r="K2760" s="11" t="n">
        <x:v>0</x:v>
      </x:c>
      <x:c r="L2760" s="11" t="n">
        <x:f>IF(B2760="NED",1,IF(OR(B2760="ED",B2760="UN"),0,""))</x:f>
        <x:v>1</x:v>
      </x:c>
      <x:c r="M2760" s="11" t="n">
        <x:f>IF(AND(K2760=1,OR(B2760="ED",B2760="NED")),1,0)</x:f>
        <x:v>0</x:v>
      </x:c>
      <x:c r="N2760" s="11" t="n">
        <x:f>IF(K2760=1,1,0)</x:f>
        <x:v>0</x:v>
      </x:c>
      <x:c r="O2760" s="12" t="str">
        <x:v>Exclude UniProt Membrane keyword</x:v>
      </x:c>
      <x:c r="P2760" s="11" t="n">
        <x:v>0</x:v>
      </x:c>
      <x:c r="Q2760" s="12" t="str">
        <x:v>AF-Q9CXY9-F1-model_v6</x:v>
      </x:c>
      <x:c r="R2760" s="12" t="str">
        <x:v>ok</x:v>
      </x:c>
      <x:c r="S2760" s="11" t="n">
        <x:v>2240</x:v>
      </x:c>
      <x:c r="T2760" s="11" t="n">
        <x:v>395</x:v>
      </x:c>
    </x:row>
    <x:row r="2761" ht="23" customHeight="1">
      <x:c r="A2761" s="2" t="str">
        <x:v>Q9CXZ1</x:v>
      </x:c>
      <x:c r="B2761" s="2" t="str">
        <x:v>NED</x:v>
      </x:c>
      <x:c r="C2761" s="2" t="n">
        <x:v>0</x:v>
      </x:c>
      <x:c r="D2761" s="2" t="n">
        <x:v>0</x:v>
      </x:c>
      <x:c r="E2761" s="10"/>
      <x:c r="F2761" s="11" t="n">
        <x:v>175</x:v>
      </x:c>
      <x:c r="G2761" s="11" t="n">
        <x:v>0</x:v>
      </x:c>
      <x:c r="H2761" s="11" t="n">
        <x:v>0</x:v>
      </x:c>
      <x:c r="I2761" s="11" t="n">
        <x:v>1</x:v>
      </x:c>
      <x:c r="J2761" s="11" t="n">
        <x:v>0</x:v>
      </x:c>
      <x:c r="K2761" s="11" t="n">
        <x:v>0</x:v>
      </x:c>
      <x:c r="L2761" s="11" t="n">
        <x:f>IF(B2761="NED",1,IF(OR(B2761="ED",B2761="UN"),0,""))</x:f>
        <x:v>1</x:v>
      </x:c>
      <x:c r="M2761" s="11" t="n">
        <x:f>IF(AND(K2761=1,OR(B2761="ED",B2761="NED")),1,0)</x:f>
        <x:v>0</x:v>
      </x:c>
      <x:c r="N2761" s="11" t="n">
        <x:f>IF(K2761=1,1,0)</x:f>
        <x:v>0</x:v>
      </x:c>
      <x:c r="O2761" s="12" t="str">
        <x:v>Exclude UniProt Membrane keyword</x:v>
      </x:c>
      <x:c r="P2761" s="11" t="n">
        <x:v>0</x:v>
      </x:c>
      <x:c r="Q2761" s="12" t="str">
        <x:v>AF-Q9CXZ1-F1-model_v6</x:v>
      </x:c>
      <x:c r="R2761" s="12" t="str">
        <x:v>ok</x:v>
      </x:c>
      <x:c r="S2761" s="11" t="n">
        <x:v>2241</x:v>
      </x:c>
      <x:c r="T2761" s="11" t="n">
        <x:v>175</x:v>
      </x:c>
    </x:row>
    <x:row r="2762" ht="23" customHeight="1">
      <x:c r="A2762" s="2" t="str">
        <x:v>Q9CY21</x:v>
      </x:c>
      <x:c r="B2762" s="2" t="str">
        <x:v>ED</x:v>
      </x:c>
      <x:c r="C2762" s="2" t="n">
        <x:v>1</x:v>
      </x:c>
      <x:c r="D2762" s="2" t="n">
        <x:v>1</x:v>
      </x:c>
      <x:c r="E2762" s="10" t="n">
        <x:v>88.14306049822065</x:v>
      </x:c>
      <x:c r="F2762" s="11" t="n">
        <x:v>281</x:v>
      </x:c>
      <x:c r="G2762" s="11" t="n">
        <x:v>0</x:v>
      </x:c>
      <x:c r="H2762" s="11" t="n">
        <x:v>0</x:v>
      </x:c>
      <x:c r="I2762" s="11" t="n">
        <x:v>0</x:v>
      </x:c>
      <x:c r="J2762" s="11" t="n">
        <x:v>0</x:v>
      </x:c>
      <x:c r="K2762" s="11" t="n">
        <x:v>1</x:v>
      </x:c>
      <x:c r="L2762" s="11" t="n">
        <x:f>IF(B2762="NED",1,IF(OR(B2762="ED",B2762="UN"),0,""))</x:f>
        <x:v>0</x:v>
      </x:c>
      <x:c r="M2762" s="11" t="n">
        <x:f>IF(AND(K2762=1,OR(B2762="ED",B2762="NED")),1,0)</x:f>
        <x:v>1</x:v>
      </x:c>
      <x:c r="N2762" s="11" t="n">
        <x:f>IF(K2762=1,1,0)</x:f>
        <x:v>1</x:v>
      </x:c>
      <x:c r="O2762" s="12"/>
      <x:c r="P2762" s="11" t="n">
        <x:v>0</x:v>
      </x:c>
      <x:c r="Q2762" s="12" t="str">
        <x:v>AF-Q9CY21-F1-model_v6</x:v>
      </x:c>
      <x:c r="R2762" s="12" t="str">
        <x:v>ok</x:v>
      </x:c>
      <x:c r="S2762" s="11" t="n">
        <x:v>2242</x:v>
      </x:c>
      <x:c r="T2762" s="11" t="n">
        <x:v>281</x:v>
      </x:c>
    </x:row>
    <x:row r="2763" ht="23" customHeight="1">
      <x:c r="A2763" s="2" t="str">
        <x:v>Q9CY50</x:v>
      </x:c>
      <x:c r="B2763" s="2" t="str">
        <x:v>UN</x:v>
      </x:c>
      <x:c r="C2763" s="2" t="n">
        <x:v>1</x:v>
      </x:c>
      <x:c r="D2763" s="2" t="n">
        <x:v>1</x:v>
      </x:c>
      <x:c r="E2763" s="10"/>
      <x:c r="F2763" s="11" t="n">
        <x:v>286</x:v>
      </x:c>
      <x:c r="G2763" s="11" t="n">
        <x:v>0</x:v>
      </x:c>
      <x:c r="H2763" s="11" t="n">
        <x:v>0</x:v>
      </x:c>
      <x:c r="I2763" s="11" t="n">
        <x:v>1</x:v>
      </x:c>
      <x:c r="J2763" s="11" t="n">
        <x:v>0</x:v>
      </x:c>
      <x:c r="K2763" s="11" t="n">
        <x:v>0</x:v>
      </x:c>
      <x:c r="L2763" s="11" t="n">
        <x:f>IF(B2763="NED",1,IF(OR(B2763="ED",B2763="UN"),0,""))</x:f>
        <x:v>0</x:v>
      </x:c>
      <x:c r="M2763" s="11" t="n">
        <x:f>IF(AND(K2763=1,OR(B2763="ED",B2763="NED")),1,0)</x:f>
        <x:v>0</x:v>
      </x:c>
      <x:c r="N2763" s="11" t="n">
        <x:f>IF(K2763=1,1,0)</x:f>
        <x:v>0</x:v>
      </x:c>
      <x:c r="O2763" s="12" t="str">
        <x:v>Exclude UniProt Membrane keyword</x:v>
      </x:c>
      <x:c r="P2763" s="11" t="n">
        <x:v>0</x:v>
      </x:c>
      <x:c r="Q2763" s="12" t="str">
        <x:v>AF-Q9CY50-F1-model_v6</x:v>
      </x:c>
      <x:c r="R2763" s="12" t="str">
        <x:v>ok</x:v>
      </x:c>
      <x:c r="S2763" s="11" t="n">
        <x:v>2243</x:v>
      </x:c>
      <x:c r="T2763" s="11" t="n">
        <x:v>286</x:v>
      </x:c>
    </x:row>
    <x:row r="2764" ht="23" customHeight="1">
      <x:c r="A2764" s="2" t="str">
        <x:v>Q9CY57-5</x:v>
      </x:c>
      <x:c r="B2764" s="2" t="str">
        <x:v>UN</x:v>
      </x:c>
      <x:c r="C2764" s="2"/>
      <x:c r="D2764" s="2"/>
      <x:c r="E2764" s="10"/>
      <x:c r="F2764" s="11"/>
      <x:c r="G2764" s="11" t="n">
        <x:v>0</x:v>
      </x:c>
      <x:c r="H2764" s="11" t="n">
        <x:v>0</x:v>
      </x:c>
      <x:c r="I2764" s="11"/>
      <x:c r="J2764" s="11"/>
      <x:c r="K2764" s="11" t="n">
        <x:v>0</x:v>
      </x:c>
      <x:c r="L2764" s="11" t="n">
        <x:f>IF(B2764="NED",1,IF(OR(B2764="ED",B2764="UN"),0,""))</x:f>
        <x:v>0</x:v>
      </x:c>
      <x:c r="M2764" s="11" t="n">
        <x:f>IF(AND(K2764=1,OR(B2764="ED",B2764="NED")),1,0)</x:f>
        <x:v>0</x:v>
      </x:c>
      <x:c r="N2764" s="11" t="n">
        <x:f>IF(K2764=1,1,0)</x:f>
        <x:v>0</x:v>
      </x:c>
      <x:c r="O2764" s="12" t="str">
        <x:v>Require exact native accession match</x:v>
      </x:c>
      <x:c r="P2764" s="11" t="n">
        <x:v>0</x:v>
      </x:c>
      <x:c r="Q2764" s="12"/>
      <x:c r="R2764" s="12"/>
      <x:c r="S2764" s="11" t="n">
        <x:v>2244</x:v>
      </x:c>
      <x:c r="T2764" s="11"/>
    </x:row>
    <x:row r="2765" ht="23" customHeight="1">
      <x:c r="A2765" s="2" t="str">
        <x:v>Q9CY58</x:v>
      </x:c>
      <x:c r="B2765" s="2" t="str">
        <x:v>ED</x:v>
      </x:c>
      <x:c r="C2765" s="2" t="n">
        <x:v>0</x:v>
      </x:c>
      <x:c r="D2765" s="2" t="n">
        <x:v>0</x:v>
      </x:c>
      <x:c r="E2765" s="10" t="n">
        <x:v>54.72130221130221</x:v>
      </x:c>
      <x:c r="F2765" s="11" t="n">
        <x:v>407</x:v>
      </x:c>
      <x:c r="G2765" s="11" t="n">
        <x:v>0</x:v>
      </x:c>
      <x:c r="H2765" s="11" t="n">
        <x:v>0</x:v>
      </x:c>
      <x:c r="I2765" s="11" t="n">
        <x:v>0</x:v>
      </x:c>
      <x:c r="J2765" s="11" t="n">
        <x:v>0</x:v>
      </x:c>
      <x:c r="K2765" s="11" t="n">
        <x:v>0</x:v>
      </x:c>
      <x:c r="L2765" s="11" t="n">
        <x:f>IF(B2765="NED",1,IF(OR(B2765="ED",B2765="UN"),0,""))</x:f>
        <x:v>0</x:v>
      </x:c>
      <x:c r="M2765" s="11" t="n">
        <x:f>IF(AND(K2765=1,OR(B2765="ED",B2765="NED")),1,0)</x:f>
        <x:v>0</x:v>
      </x:c>
      <x:c r="N2765" s="11" t="n">
        <x:f>IF(K2765=1,1,0)</x:f>
        <x:v>0</x:v>
      </x:c>
      <x:c r="O2765" s="12" t="str">
        <x:v>Retain protein mean pLDDT &gt;=70</x:v>
      </x:c>
      <x:c r="P2765" s="11" t="n">
        <x:v>0</x:v>
      </x:c>
      <x:c r="Q2765" s="12" t="str">
        <x:v>AF-Q9CY58-F1-model_v6</x:v>
      </x:c>
      <x:c r="R2765" s="12" t="str">
        <x:v>ok</x:v>
      </x:c>
      <x:c r="S2765" s="11" t="n">
        <x:v>2245</x:v>
      </x:c>
      <x:c r="T2765" s="11" t="n">
        <x:v>407</x:v>
      </x:c>
    </x:row>
    <x:row r="2766" ht="23" customHeight="1">
      <x:c r="A2766" s="2" t="str">
        <x:v>Q9CY58-2</x:v>
      </x:c>
      <x:c r="B2766" s="2" t="str">
        <x:v>ED</x:v>
      </x:c>
      <x:c r="C2766" s="2"/>
      <x:c r="D2766" s="2"/>
      <x:c r="E2766" s="10"/>
      <x:c r="F2766" s="11"/>
      <x:c r="G2766" s="11" t="n">
        <x:v>0</x:v>
      </x:c>
      <x:c r="H2766" s="11" t="n">
        <x:v>0</x:v>
      </x:c>
      <x:c r="I2766" s="11"/>
      <x:c r="J2766" s="11"/>
      <x:c r="K2766" s="11" t="n">
        <x:v>0</x:v>
      </x:c>
      <x:c r="L2766" s="11" t="n">
        <x:f>IF(B2766="NED",1,IF(OR(B2766="ED",B2766="UN"),0,""))</x:f>
        <x:v>0</x:v>
      </x:c>
      <x:c r="M2766" s="11" t="n">
        <x:f>IF(AND(K2766=1,OR(B2766="ED",B2766="NED")),1,0)</x:f>
        <x:v>0</x:v>
      </x:c>
      <x:c r="N2766" s="11" t="n">
        <x:f>IF(K2766=1,1,0)</x:f>
        <x:v>0</x:v>
      </x:c>
      <x:c r="O2766" s="12" t="str">
        <x:v>Require exact native accession match</x:v>
      </x:c>
      <x:c r="P2766" s="11" t="n">
        <x:v>0</x:v>
      </x:c>
      <x:c r="Q2766" s="12"/>
      <x:c r="R2766" s="12"/>
      <x:c r="S2766" s="11" t="n">
        <x:v>2246</x:v>
      </x:c>
      <x:c r="T2766" s="11"/>
    </x:row>
    <x:row r="2767" ht="23" customHeight="1">
      <x:c r="A2767" s="2" t="str">
        <x:v>Q9CY64</x:v>
      </x:c>
      <x:c r="B2767" s="2" t="str">
        <x:v>UN</x:v>
      </x:c>
      <x:c r="C2767" s="2" t="n">
        <x:v>1</x:v>
      </x:c>
      <x:c r="D2767" s="2" t="n">
        <x:v>1</x:v>
      </x:c>
      <x:c r="E2767" s="10" t="n">
        <x:v>95.71162711864407</x:v>
      </x:c>
      <x:c r="F2767" s="11" t="n">
        <x:v>295</x:v>
      </x:c>
      <x:c r="G2767" s="11" t="n">
        <x:v>0</x:v>
      </x:c>
      <x:c r="H2767" s="11" t="n">
        <x:v>0</x:v>
      </x:c>
      <x:c r="I2767" s="11" t="n">
        <x:v>0</x:v>
      </x:c>
      <x:c r="J2767" s="11" t="n">
        <x:v>0</x:v>
      </x:c>
      <x:c r="K2767" s="11" t="n">
        <x:v>1</x:v>
      </x:c>
      <x:c r="L2767" s="11" t="n">
        <x:f>IF(B2767="NED",1,IF(OR(B2767="ED",B2767="UN"),0,""))</x:f>
        <x:v>0</x:v>
      </x:c>
      <x:c r="M2767" s="11" t="n">
        <x:f>IF(AND(K2767=1,OR(B2767="ED",B2767="NED")),1,0)</x:f>
        <x:v>0</x:v>
      </x:c>
      <x:c r="N2767" s="11" t="n">
        <x:f>IF(K2767=1,1,0)</x:f>
        <x:v>1</x:v>
      </x:c>
      <x:c r="O2767" s="12"/>
      <x:c r="P2767" s="11" t="n">
        <x:v>0</x:v>
      </x:c>
      <x:c r="Q2767" s="12" t="str">
        <x:v>AF-Q9CY64-F1-model_v6</x:v>
      </x:c>
      <x:c r="R2767" s="12" t="str">
        <x:v>ok</x:v>
      </x:c>
      <x:c r="S2767" s="11" t="n">
        <x:v>2247</x:v>
      </x:c>
      <x:c r="T2767" s="11" t="n">
        <x:v>295</x:v>
      </x:c>
    </x:row>
    <x:row r="2768" ht="23" customHeight="1">
      <x:c r="A2768" s="2" t="str">
        <x:v>Q9CYD3</x:v>
      </x:c>
      <x:c r="B2768" s="2" t="str">
        <x:v>UN</x:v>
      </x:c>
      <x:c r="C2768" s="2" t="n">
        <x:v>0</x:v>
      </x:c>
      <x:c r="D2768" s="2" t="n">
        <x:v>0</x:v>
      </x:c>
      <x:c r="E2768" s="10"/>
      <x:c r="F2768" s="11" t="n">
        <x:v>400</x:v>
      </x:c>
      <x:c r="G2768" s="11" t="n">
        <x:v>0</x:v>
      </x:c>
      <x:c r="H2768" s="11" t="n">
        <x:v>0</x:v>
      </x:c>
      <x:c r="I2768" s="11" t="n">
        <x:v>0</x:v>
      </x:c>
      <x:c r="J2768" s="11" t="n">
        <x:v>1</x:v>
      </x:c>
      <x:c r="K2768" s="11" t="n">
        <x:v>0</x:v>
      </x:c>
      <x:c r="L2768" s="11" t="n">
        <x:f>IF(B2768="NED",1,IF(OR(B2768="ED",B2768="UN"),0,""))</x:f>
        <x:v>0</x:v>
      </x:c>
      <x:c r="M2768" s="11" t="n">
        <x:f>IF(AND(K2768=1,OR(B2768="ED",B2768="NED")),1,0)</x:f>
        <x:v>0</x:v>
      </x:c>
      <x:c r="N2768" s="11" t="n">
        <x:f>IF(K2768=1,1,0)</x:f>
        <x:v>0</x:v>
      </x:c>
      <x:c r="O2768" s="12" t="str">
        <x:v>Exclude UniProt Secreted keyword</x:v>
      </x:c>
      <x:c r="P2768" s="11" t="n">
        <x:v>0</x:v>
      </x:c>
      <x:c r="Q2768" s="12" t="str">
        <x:v>AF-Q9CYD3-F1-model_v6</x:v>
      </x:c>
      <x:c r="R2768" s="12" t="str">
        <x:v>ok</x:v>
      </x:c>
      <x:c r="S2768" s="11" t="n">
        <x:v>2248</x:v>
      </x:c>
      <x:c r="T2768" s="11" t="n">
        <x:v>400</x:v>
      </x:c>
    </x:row>
    <x:row r="2769" ht="23" customHeight="1">
      <x:c r="A2769" s="2" t="str">
        <x:v>Q9CYI0</x:v>
      </x:c>
      <x:c r="B2769" s="2" t="str">
        <x:v>ED</x:v>
      </x:c>
      <x:c r="C2769" s="2" t="n">
        <x:v>1</x:v>
      </x:c>
      <x:c r="D2769" s="2" t="n">
        <x:v>1</x:v>
      </x:c>
      <x:c r="E2769" s="10" t="n">
        <x:v>76.04773536895674</x:v>
      </x:c>
      <x:c r="F2769" s="11" t="n">
        <x:v>393</x:v>
      </x:c>
      <x:c r="G2769" s="11" t="n">
        <x:v>0</x:v>
      </x:c>
      <x:c r="H2769" s="11" t="n">
        <x:v>0</x:v>
      </x:c>
      <x:c r="I2769" s="11" t="n">
        <x:v>0</x:v>
      </x:c>
      <x:c r="J2769" s="11" t="n">
        <x:v>0</x:v>
      </x:c>
      <x:c r="K2769" s="11" t="n">
        <x:v>1</x:v>
      </x:c>
      <x:c r="L2769" s="11" t="n">
        <x:f>IF(B2769="NED",1,IF(OR(B2769="ED",B2769="UN"),0,""))</x:f>
        <x:v>0</x:v>
      </x:c>
      <x:c r="M2769" s="11" t="n">
        <x:f>IF(AND(K2769=1,OR(B2769="ED",B2769="NED")),1,0)</x:f>
        <x:v>1</x:v>
      </x:c>
      <x:c r="N2769" s="11" t="n">
        <x:f>IF(K2769=1,1,0)</x:f>
        <x:v>1</x:v>
      </x:c>
      <x:c r="O2769" s="12"/>
      <x:c r="P2769" s="11" t="n">
        <x:v>0</x:v>
      </x:c>
      <x:c r="Q2769" s="12" t="str">
        <x:v>AF-Q9CYI0-F1-model_v6</x:v>
      </x:c>
      <x:c r="R2769" s="12" t="str">
        <x:v>ok</x:v>
      </x:c>
      <x:c r="S2769" s="11" t="n">
        <x:v>2249</x:v>
      </x:c>
      <x:c r="T2769" s="11" t="n">
        <x:v>393</x:v>
      </x:c>
    </x:row>
    <x:row r="2770" ht="23" customHeight="1">
      <x:c r="A2770" s="2" t="str">
        <x:v>Q9CYI4</x:v>
      </x:c>
      <x:c r="B2770" s="2" t="str">
        <x:v>ED</x:v>
      </x:c>
      <x:c r="C2770" s="2" t="n">
        <x:v>1</x:v>
      </x:c>
      <x:c r="D2770" s="2" t="n">
        <x:v>1</x:v>
      </x:c>
      <x:c r="E2770" s="10" t="n">
        <x:v>68.2233423180593</x:v>
      </x:c>
      <x:c r="F2770" s="11" t="n">
        <x:v>371</x:v>
      </x:c>
      <x:c r="G2770" s="11" t="n">
        <x:v>0</x:v>
      </x:c>
      <x:c r="H2770" s="11" t="n">
        <x:v>0</x:v>
      </x:c>
      <x:c r="I2770" s="11" t="n">
        <x:v>0</x:v>
      </x:c>
      <x:c r="J2770" s="11" t="n">
        <x:v>0</x:v>
      </x:c>
      <x:c r="K2770" s="11" t="n">
        <x:v>0</x:v>
      </x:c>
      <x:c r="L2770" s="11" t="n">
        <x:f>IF(B2770="NED",1,IF(OR(B2770="ED",B2770="UN"),0,""))</x:f>
        <x:v>0</x:v>
      </x:c>
      <x:c r="M2770" s="11" t="n">
        <x:f>IF(AND(K2770=1,OR(B2770="ED",B2770="NED")),1,0)</x:f>
        <x:v>0</x:v>
      </x:c>
      <x:c r="N2770" s="11" t="n">
        <x:f>IF(K2770=1,1,0)</x:f>
        <x:v>0</x:v>
      </x:c>
      <x:c r="O2770" s="12" t="str">
        <x:v>Retain protein mean pLDDT &gt;=70</x:v>
      </x:c>
      <x:c r="P2770" s="11" t="n">
        <x:v>0</x:v>
      </x:c>
      <x:c r="Q2770" s="12" t="str">
        <x:v>AF-Q9CYI4-F1-model_v6</x:v>
      </x:c>
      <x:c r="R2770" s="12" t="str">
        <x:v>ok</x:v>
      </x:c>
      <x:c r="S2770" s="11" t="n">
        <x:v>2250</x:v>
      </x:c>
      <x:c r="T2770" s="11" t="n">
        <x:v>371</x:v>
      </x:c>
    </x:row>
    <x:row r="2771" ht="23" customHeight="1">
      <x:c r="A2771" s="2" t="str">
        <x:v>Q9CYX7</x:v>
      </x:c>
      <x:c r="B2771" s="2" t="str">
        <x:v>UN</x:v>
      </x:c>
      <x:c r="C2771" s="2" t="n">
        <x:v>0</x:v>
      </x:c>
      <x:c r="D2771" s="2" t="n">
        <x:v>0</x:v>
      </x:c>
      <x:c r="E2771" s="10" t="n">
        <x:v>65.7661921708185</x:v>
      </x:c>
      <x:c r="F2771" s="11" t="n">
        <x:v>281</x:v>
      </x:c>
      <x:c r="G2771" s="11" t="n">
        <x:v>0</x:v>
      </x:c>
      <x:c r="H2771" s="11" t="n">
        <x:v>0</x:v>
      </x:c>
      <x:c r="I2771" s="11" t="n">
        <x:v>0</x:v>
      </x:c>
      <x:c r="J2771" s="11" t="n">
        <x:v>0</x:v>
      </x:c>
      <x:c r="K2771" s="11" t="n">
        <x:v>0</x:v>
      </x:c>
      <x:c r="L2771" s="11" t="n">
        <x:f>IF(B2771="NED",1,IF(OR(B2771="ED",B2771="UN"),0,""))</x:f>
        <x:v>0</x:v>
      </x:c>
      <x:c r="M2771" s="11" t="n">
        <x:f>IF(AND(K2771=1,OR(B2771="ED",B2771="NED")),1,0)</x:f>
        <x:v>0</x:v>
      </x:c>
      <x:c r="N2771" s="11" t="n">
        <x:f>IF(K2771=1,1,0)</x:f>
        <x:v>0</x:v>
      </x:c>
      <x:c r="O2771" s="12" t="str">
        <x:v>Retain protein mean pLDDT &gt;=70</x:v>
      </x:c>
      <x:c r="P2771" s="11" t="n">
        <x:v>0</x:v>
      </x:c>
      <x:c r="Q2771" s="12" t="str">
        <x:v>AF-Q9CYX7-F1-model_v6</x:v>
      </x:c>
      <x:c r="R2771" s="12" t="str">
        <x:v>ok</x:v>
      </x:c>
      <x:c r="S2771" s="11" t="n">
        <x:v>2251</x:v>
      </x:c>
      <x:c r="T2771" s="11" t="n">
        <x:v>281</x:v>
      </x:c>
    </x:row>
    <x:row r="2772" ht="23" customHeight="1">
      <x:c r="A2772" s="2" t="str">
        <x:v>Q9CYZ6</x:v>
      </x:c>
      <x:c r="B2772" s="2" t="str">
        <x:v>UN</x:v>
      </x:c>
      <x:c r="C2772" s="2" t="n">
        <x:v>0</x:v>
      </x:c>
      <x:c r="D2772" s="2" t="n">
        <x:v>0</x:v>
      </x:c>
      <x:c r="E2772" s="10" t="n">
        <x:v>86.95627218934912</x:v>
      </x:c>
      <x:c r="F2772" s="11" t="n">
        <x:v>169</x:v>
      </x:c>
      <x:c r="G2772" s="11" t="n">
        <x:v>0</x:v>
      </x:c>
      <x:c r="H2772" s="11" t="n">
        <x:v>0</x:v>
      </x:c>
      <x:c r="I2772" s="11" t="n">
        <x:v>0</x:v>
      </x:c>
      <x:c r="J2772" s="11" t="n">
        <x:v>0</x:v>
      </x:c>
      <x:c r="K2772" s="11" t="n">
        <x:v>1</x:v>
      </x:c>
      <x:c r="L2772" s="11" t="n">
        <x:f>IF(B2772="NED",1,IF(OR(B2772="ED",B2772="UN"),0,""))</x:f>
        <x:v>0</x:v>
      </x:c>
      <x:c r="M2772" s="11" t="n">
        <x:f>IF(AND(K2772=1,OR(B2772="ED",B2772="NED")),1,0)</x:f>
        <x:v>0</x:v>
      </x:c>
      <x:c r="N2772" s="11" t="n">
        <x:f>IF(K2772=1,1,0)</x:f>
        <x:v>1</x:v>
      </x:c>
      <x:c r="O2772" s="12"/>
      <x:c r="P2772" s="11" t="n">
        <x:v>0</x:v>
      </x:c>
      <x:c r="Q2772" s="12" t="str">
        <x:v>AF-Q9CYZ6-F1-model_v6</x:v>
      </x:c>
      <x:c r="R2772" s="12" t="str">
        <x:v>ok</x:v>
      </x:c>
      <x:c r="S2772" s="11" t="n">
        <x:v>2252</x:v>
      </x:c>
      <x:c r="T2772" s="11" t="n">
        <x:v>169</x:v>
      </x:c>
    </x:row>
    <x:row r="2773" ht="23" customHeight="1">
      <x:c r="A2773" s="2" t="str">
        <x:v>Q9CZ04</x:v>
      </x:c>
      <x:c r="B2773" s="2" t="str">
        <x:v>ED</x:v>
      </x:c>
      <x:c r="C2773" s="2" t="n">
        <x:v>0</x:v>
      </x:c>
      <x:c r="D2773" s="2" t="n">
        <x:v>0</x:v>
      </x:c>
      <x:c r="E2773" s="10" t="n">
        <x:v>84.51756363636365</x:v>
      </x:c>
      <x:c r="F2773" s="11" t="n">
        <x:v>275</x:v>
      </x:c>
      <x:c r="G2773" s="11" t="n">
        <x:v>0</x:v>
      </x:c>
      <x:c r="H2773" s="11" t="n">
        <x:v>0</x:v>
      </x:c>
      <x:c r="I2773" s="11" t="n">
        <x:v>0</x:v>
      </x:c>
      <x:c r="J2773" s="11" t="n">
        <x:v>0</x:v>
      </x:c>
      <x:c r="K2773" s="11" t="n">
        <x:v>1</x:v>
      </x:c>
      <x:c r="L2773" s="11" t="n">
        <x:f>IF(B2773="NED",1,IF(OR(B2773="ED",B2773="UN"),0,""))</x:f>
        <x:v>0</x:v>
      </x:c>
      <x:c r="M2773" s="11" t="n">
        <x:f>IF(AND(K2773=1,OR(B2773="ED",B2773="NED")),1,0)</x:f>
        <x:v>1</x:v>
      </x:c>
      <x:c r="N2773" s="11" t="n">
        <x:f>IF(K2773=1,1,0)</x:f>
        <x:v>1</x:v>
      </x:c>
      <x:c r="O2773" s="12"/>
      <x:c r="P2773" s="11" t="n">
        <x:v>0</x:v>
      </x:c>
      <x:c r="Q2773" s="12" t="str">
        <x:v>AF-Q9CZ04-F1-model_v6</x:v>
      </x:c>
      <x:c r="R2773" s="12" t="str">
        <x:v>ok</x:v>
      </x:c>
      <x:c r="S2773" s="11" t="n">
        <x:v>2253</x:v>
      </x:c>
      <x:c r="T2773" s="11" t="n">
        <x:v>275</x:v>
      </x:c>
    </x:row>
    <x:row r="2774" ht="23" customHeight="1">
      <x:c r="A2774" s="2" t="str">
        <x:v>Q9CZ13</x:v>
      </x:c>
      <x:c r="B2774" s="2" t="str">
        <x:v>NED</x:v>
      </x:c>
      <x:c r="C2774" s="2" t="n">
        <x:v>1</x:v>
      </x:c>
      <x:c r="D2774" s="2" t="n">
        <x:v>1</x:v>
      </x:c>
      <x:c r="E2774" s="10"/>
      <x:c r="F2774" s="11" t="n">
        <x:v>480</x:v>
      </x:c>
      <x:c r="G2774" s="11" t="n">
        <x:v>0</x:v>
      </x:c>
      <x:c r="H2774" s="11" t="n">
        <x:v>0</x:v>
      </x:c>
      <x:c r="I2774" s="11" t="n">
        <x:v>1</x:v>
      </x:c>
      <x:c r="J2774" s="11" t="n">
        <x:v>0</x:v>
      </x:c>
      <x:c r="K2774" s="11" t="n">
        <x:v>0</x:v>
      </x:c>
      <x:c r="L2774" s="11" t="n">
        <x:f>IF(B2774="NED",1,IF(OR(B2774="ED",B2774="UN"),0,""))</x:f>
        <x:v>1</x:v>
      </x:c>
      <x:c r="M2774" s="11" t="n">
        <x:f>IF(AND(K2774=1,OR(B2774="ED",B2774="NED")),1,0)</x:f>
        <x:v>0</x:v>
      </x:c>
      <x:c r="N2774" s="11" t="n">
        <x:f>IF(K2774=1,1,0)</x:f>
        <x:v>0</x:v>
      </x:c>
      <x:c r="O2774" s="12" t="str">
        <x:v>Exclude UniProt Membrane keyword</x:v>
      </x:c>
      <x:c r="P2774" s="11" t="n">
        <x:v>0</x:v>
      </x:c>
      <x:c r="Q2774" s="12" t="str">
        <x:v>AF-Q9CZ13-F1-model_v6</x:v>
      </x:c>
      <x:c r="R2774" s="12" t="str">
        <x:v>ok</x:v>
      </x:c>
      <x:c r="S2774" s="11" t="n">
        <x:v>2254</x:v>
      </x:c>
      <x:c r="T2774" s="11" t="n">
        <x:v>480</x:v>
      </x:c>
    </x:row>
    <x:row r="2775" ht="23" customHeight="1">
      <x:c r="A2775" s="2" t="str">
        <x:v>Q9CZ30</x:v>
      </x:c>
      <x:c r="B2775" s="2" t="str">
        <x:v>ED</x:v>
      </x:c>
      <x:c r="C2775" s="2" t="n">
        <x:v>1</x:v>
      </x:c>
      <x:c r="D2775" s="2" t="n">
        <x:v>1</x:v>
      </x:c>
      <x:c r="E2775" s="10" t="n">
        <x:v>88.27628787878788</x:v>
      </x:c>
      <x:c r="F2775" s="11" t="n">
        <x:v>396</x:v>
      </x:c>
      <x:c r="G2775" s="11" t="n">
        <x:v>0</x:v>
      </x:c>
      <x:c r="H2775" s="11" t="n">
        <x:v>0</x:v>
      </x:c>
      <x:c r="I2775" s="11" t="n">
        <x:v>0</x:v>
      </x:c>
      <x:c r="J2775" s="11" t="n">
        <x:v>0</x:v>
      </x:c>
      <x:c r="K2775" s="11" t="n">
        <x:v>1</x:v>
      </x:c>
      <x:c r="L2775" s="11" t="n">
        <x:f>IF(B2775="NED",1,IF(OR(B2775="ED",B2775="UN"),0,""))</x:f>
        <x:v>0</x:v>
      </x:c>
      <x:c r="M2775" s="11" t="n">
        <x:f>IF(AND(K2775=1,OR(B2775="ED",B2775="NED")),1,0)</x:f>
        <x:v>1</x:v>
      </x:c>
      <x:c r="N2775" s="11" t="n">
        <x:f>IF(K2775=1,1,0)</x:f>
        <x:v>1</x:v>
      </x:c>
      <x:c r="O2775" s="12"/>
      <x:c r="P2775" s="11" t="n">
        <x:v>0</x:v>
      </x:c>
      <x:c r="Q2775" s="12" t="str">
        <x:v>AF-Q9CZ30-F1-model_v6</x:v>
      </x:c>
      <x:c r="R2775" s="12" t="str">
        <x:v>ok</x:v>
      </x:c>
      <x:c r="S2775" s="11" t="n">
        <x:v>2255</x:v>
      </x:c>
      <x:c r="T2775" s="11" t="n">
        <x:v>396</x:v>
      </x:c>
    </x:row>
    <x:row r="2776" ht="23" customHeight="1">
      <x:c r="A2776" s="2" t="str">
        <x:v>Q9CZ42-2</x:v>
      </x:c>
      <x:c r="B2776" s="2" t="str">
        <x:v>UN</x:v>
      </x:c>
      <x:c r="C2776" s="2"/>
      <x:c r="D2776" s="2"/>
      <x:c r="E2776" s="10"/>
      <x:c r="F2776" s="11"/>
      <x:c r="G2776" s="11" t="n">
        <x:v>0</x:v>
      </x:c>
      <x:c r="H2776" s="11" t="n">
        <x:v>0</x:v>
      </x:c>
      <x:c r="I2776" s="11"/>
      <x:c r="J2776" s="11"/>
      <x:c r="K2776" s="11" t="n">
        <x:v>0</x:v>
      </x:c>
      <x:c r="L2776" s="11" t="n">
        <x:f>IF(B2776="NED",1,IF(OR(B2776="ED",B2776="UN"),0,""))</x:f>
        <x:v>0</x:v>
      </x:c>
      <x:c r="M2776" s="11" t="n">
        <x:f>IF(AND(K2776=1,OR(B2776="ED",B2776="NED")),1,0)</x:f>
        <x:v>0</x:v>
      </x:c>
      <x:c r="N2776" s="11" t="n">
        <x:f>IF(K2776=1,1,0)</x:f>
        <x:v>0</x:v>
      </x:c>
      <x:c r="O2776" s="12" t="str">
        <x:v>Require exact native accession match</x:v>
      </x:c>
      <x:c r="P2776" s="11" t="n">
        <x:v>0</x:v>
      </x:c>
      <x:c r="Q2776" s="12"/>
      <x:c r="R2776" s="12"/>
      <x:c r="S2776" s="11" t="n">
        <x:v>2256</x:v>
      </x:c>
      <x:c r="T2776" s="11"/>
    </x:row>
    <x:row r="2777" ht="23" customHeight="1">
      <x:c r="A2777" s="2" t="str">
        <x:v>Q9CZ44</x:v>
      </x:c>
      <x:c r="B2777" s="2" t="str">
        <x:v>ED</x:v>
      </x:c>
      <x:c r="C2777" s="2" t="n">
        <x:v>1</x:v>
      </x:c>
      <x:c r="D2777" s="2" t="n">
        <x:v>1</x:v>
      </x:c>
      <x:c r="E2777" s="10" t="n">
        <x:v>74.51043243243244</x:v>
      </x:c>
      <x:c r="F2777" s="11" t="n">
        <x:v>370</x:v>
      </x:c>
      <x:c r="G2777" s="11" t="n">
        <x:v>0</x:v>
      </x:c>
      <x:c r="H2777" s="11" t="n">
        <x:v>0</x:v>
      </x:c>
      <x:c r="I2777" s="11" t="n">
        <x:v>0</x:v>
      </x:c>
      <x:c r="J2777" s="11" t="n">
        <x:v>0</x:v>
      </x:c>
      <x:c r="K2777" s="11" t="n">
        <x:v>1</x:v>
      </x:c>
      <x:c r="L2777" s="11" t="n">
        <x:f>IF(B2777="NED",1,IF(OR(B2777="ED",B2777="UN"),0,""))</x:f>
        <x:v>0</x:v>
      </x:c>
      <x:c r="M2777" s="11" t="n">
        <x:f>IF(AND(K2777=1,OR(B2777="ED",B2777="NED")),1,0)</x:f>
        <x:v>1</x:v>
      </x:c>
      <x:c r="N2777" s="11" t="n">
        <x:f>IF(K2777=1,1,0)</x:f>
        <x:v>1</x:v>
      </x:c>
      <x:c r="O2777" s="12"/>
      <x:c r="P2777" s="11" t="n">
        <x:v>0</x:v>
      </x:c>
      <x:c r="Q2777" s="12" t="str">
        <x:v>AF-Q9CZ44-F1-model_v6</x:v>
      </x:c>
      <x:c r="R2777" s="12" t="str">
        <x:v>ok</x:v>
      </x:c>
      <x:c r="S2777" s="11" t="n">
        <x:v>2257</x:v>
      </x:c>
      <x:c r="T2777" s="11" t="n">
        <x:v>370</x:v>
      </x:c>
    </x:row>
    <x:row r="2778" ht="23" customHeight="1">
      <x:c r="A2778" s="2" t="str">
        <x:v>Q9CZ91</x:v>
      </x:c>
      <x:c r="B2778" s="2" t="str">
        <x:v>UN</x:v>
      </x:c>
      <x:c r="C2778" s="2" t="n">
        <x:v>0</x:v>
      </x:c>
      <x:c r="D2778" s="2" t="n">
        <x:v>0</x:v>
      </x:c>
      <x:c r="E2778" s="10" t="n">
        <x:v>62.6017006802721</x:v>
      </x:c>
      <x:c r="F2778" s="11" t="n">
        <x:v>441</x:v>
      </x:c>
      <x:c r="G2778" s="11" t="n">
        <x:v>0</x:v>
      </x:c>
      <x:c r="H2778" s="11" t="n">
        <x:v>0</x:v>
      </x:c>
      <x:c r="I2778" s="11" t="n">
        <x:v>0</x:v>
      </x:c>
      <x:c r="J2778" s="11" t="n">
        <x:v>0</x:v>
      </x:c>
      <x:c r="K2778" s="11" t="n">
        <x:v>0</x:v>
      </x:c>
      <x:c r="L2778" s="11" t="n">
        <x:f>IF(B2778="NED",1,IF(OR(B2778="ED",B2778="UN"),0,""))</x:f>
        <x:v>0</x:v>
      </x:c>
      <x:c r="M2778" s="11" t="n">
        <x:f>IF(AND(K2778=1,OR(B2778="ED",B2778="NED")),1,0)</x:f>
        <x:v>0</x:v>
      </x:c>
      <x:c r="N2778" s="11" t="n">
        <x:f>IF(K2778=1,1,0)</x:f>
        <x:v>0</x:v>
      </x:c>
      <x:c r="O2778" s="12" t="str">
        <x:v>Retain protein mean pLDDT &gt;=70</x:v>
      </x:c>
      <x:c r="P2778" s="11" t="n">
        <x:v>0</x:v>
      </x:c>
      <x:c r="Q2778" s="12" t="str">
        <x:v>AF-Q9CZ91-F1-model_v6</x:v>
      </x:c>
      <x:c r="R2778" s="12" t="str">
        <x:v>ok</x:v>
      </x:c>
      <x:c r="S2778" s="11" t="n">
        <x:v>2258</x:v>
      </x:c>
      <x:c r="T2778" s="11" t="n">
        <x:v>441</x:v>
      </x:c>
    </x:row>
    <x:row r="2779" ht="23" customHeight="1">
      <x:c r="A2779" s="2" t="str">
        <x:v>Q9CZD3</x:v>
      </x:c>
      <x:c r="B2779" s="2" t="str">
        <x:v>ED</x:v>
      </x:c>
      <x:c r="C2779" s="2" t="n">
        <x:v>1</x:v>
      </x:c>
      <x:c r="D2779" s="2" t="n">
        <x:v>1</x:v>
      </x:c>
      <x:c r="E2779" s="10"/>
      <x:c r="F2779" s="11" t="n">
        <x:v>729</x:v>
      </x:c>
      <x:c r="G2779" s="11" t="n">
        <x:v>0</x:v>
      </x:c>
      <x:c r="H2779" s="11" t="n">
        <x:v>0</x:v>
      </x:c>
      <x:c r="I2779" s="11" t="n">
        <x:v>0</x:v>
      </x:c>
      <x:c r="J2779" s="11" t="n">
        <x:v>1</x:v>
      </x:c>
      <x:c r="K2779" s="11" t="n">
        <x:v>0</x:v>
      </x:c>
      <x:c r="L2779" s="11" t="n">
        <x:f>IF(B2779="NED",1,IF(OR(B2779="ED",B2779="UN"),0,""))</x:f>
        <x:v>0</x:v>
      </x:c>
      <x:c r="M2779" s="11" t="n">
        <x:f>IF(AND(K2779=1,OR(B2779="ED",B2779="NED")),1,0)</x:f>
        <x:v>0</x:v>
      </x:c>
      <x:c r="N2779" s="11" t="n">
        <x:f>IF(K2779=1,1,0)</x:f>
        <x:v>0</x:v>
      </x:c>
      <x:c r="O2779" s="12" t="str">
        <x:v>Exclude UniProt Secreted keyword</x:v>
      </x:c>
      <x:c r="P2779" s="11" t="n">
        <x:v>0</x:v>
      </x:c>
      <x:c r="Q2779" s="12" t="str">
        <x:v>AF-Q9CZD3-F1-model_v6</x:v>
      </x:c>
      <x:c r="R2779" s="12" t="str">
        <x:v>ok</x:v>
      </x:c>
      <x:c r="S2779" s="11" t="n">
        <x:v>2259</x:v>
      </x:c>
      <x:c r="T2779" s="11" t="n">
        <x:v>729</x:v>
      </x:c>
    </x:row>
    <x:row r="2780" ht="23" customHeight="1">
      <x:c r="A2780" s="2" t="str">
        <x:v>Q9CZE3</x:v>
      </x:c>
      <x:c r="B2780" s="2" t="str">
        <x:v>ED</x:v>
      </x:c>
      <x:c r="C2780" s="2" t="n">
        <x:v>1</x:v>
      </x:c>
      <x:c r="D2780" s="2" t="n">
        <x:v>1</x:v>
      </x:c>
      <x:c r="E2780" s="10"/>
      <x:c r="F2780" s="11" t="n">
        <x:v>223</x:v>
      </x:c>
      <x:c r="G2780" s="11" t="n">
        <x:v>0</x:v>
      </x:c>
      <x:c r="H2780" s="11" t="n">
        <x:v>0</x:v>
      </x:c>
      <x:c r="I2780" s="11" t="n">
        <x:v>1</x:v>
      </x:c>
      <x:c r="J2780" s="11" t="n">
        <x:v>0</x:v>
      </x:c>
      <x:c r="K2780" s="11" t="n">
        <x:v>0</x:v>
      </x:c>
      <x:c r="L2780" s="11" t="n">
        <x:f>IF(B2780="NED",1,IF(OR(B2780="ED",B2780="UN"),0,""))</x:f>
        <x:v>0</x:v>
      </x:c>
      <x:c r="M2780" s="11" t="n">
        <x:f>IF(AND(K2780=1,OR(B2780="ED",B2780="NED")),1,0)</x:f>
        <x:v>0</x:v>
      </x:c>
      <x:c r="N2780" s="11" t="n">
        <x:f>IF(K2780=1,1,0)</x:f>
        <x:v>0</x:v>
      </x:c>
      <x:c r="O2780" s="12" t="str">
        <x:v>Exclude UniProt Membrane keyword</x:v>
      </x:c>
      <x:c r="P2780" s="11" t="n">
        <x:v>0</x:v>
      </x:c>
      <x:c r="Q2780" s="12" t="str">
        <x:v>AF-Q9CZE3-F1-model_v6</x:v>
      </x:c>
      <x:c r="R2780" s="12" t="str">
        <x:v>ok</x:v>
      </x:c>
      <x:c r="S2780" s="11" t="n">
        <x:v>2260</x:v>
      </x:c>
      <x:c r="T2780" s="11" t="n">
        <x:v>223</x:v>
      </x:c>
    </x:row>
    <x:row r="2781" ht="23" customHeight="1">
      <x:c r="A2781" s="2" t="str">
        <x:v>Q9CZI9</x:v>
      </x:c>
      <x:c r="B2781" s="2" t="str">
        <x:v>UN</x:v>
      </x:c>
      <x:c r="C2781" s="2" t="n">
        <x:v>1</x:v>
      </x:c>
      <x:c r="D2781" s="2" t="n">
        <x:v>1</x:v>
      </x:c>
      <x:c r="E2781" s="10" t="n">
        <x:v>72.4875892857143</x:v>
      </x:c>
      <x:c r="F2781" s="11" t="n">
        <x:v>336</x:v>
      </x:c>
      <x:c r="G2781" s="11" t="n">
        <x:v>0</x:v>
      </x:c>
      <x:c r="H2781" s="11" t="n">
        <x:v>0</x:v>
      </x:c>
      <x:c r="I2781" s="11" t="n">
        <x:v>0</x:v>
      </x:c>
      <x:c r="J2781" s="11" t="n">
        <x:v>0</x:v>
      </x:c>
      <x:c r="K2781" s="11" t="n">
        <x:v>1</x:v>
      </x:c>
      <x:c r="L2781" s="11" t="n">
        <x:f>IF(B2781="NED",1,IF(OR(B2781="ED",B2781="UN"),0,""))</x:f>
        <x:v>0</x:v>
      </x:c>
      <x:c r="M2781" s="11" t="n">
        <x:f>IF(AND(K2781=1,OR(B2781="ED",B2781="NED")),1,0)</x:f>
        <x:v>0</x:v>
      </x:c>
      <x:c r="N2781" s="11" t="n">
        <x:f>IF(K2781=1,1,0)</x:f>
        <x:v>1</x:v>
      </x:c>
      <x:c r="O2781" s="12"/>
      <x:c r="P2781" s="11" t="n">
        <x:v>0</x:v>
      </x:c>
      <x:c r="Q2781" s="12" t="str">
        <x:v>AF-Q9CZI9-F1-model_v6</x:v>
      </x:c>
      <x:c r="R2781" s="12" t="str">
        <x:v>ok</x:v>
      </x:c>
      <x:c r="S2781" s="11" t="n">
        <x:v>2261</x:v>
      </x:c>
      <x:c r="T2781" s="11" t="n">
        <x:v>336</x:v>
      </x:c>
    </x:row>
    <x:row r="2782" ht="23" customHeight="1">
      <x:c r="A2782" s="2" t="str">
        <x:v>Q9CZJ1</x:v>
      </x:c>
      <x:c r="B2782" s="2" t="str">
        <x:v>UN</x:v>
      </x:c>
      <x:c r="C2782" s="2" t="n">
        <x:v>0</x:v>
      </x:c>
      <x:c r="D2782" s="2" t="n">
        <x:v>0</x:v>
      </x:c>
      <x:c r="E2782" s="10" t="n">
        <x:v>90.83067193675888</x:v>
      </x:c>
      <x:c r="F2782" s="11" t="n">
        <x:v>253</x:v>
      </x:c>
      <x:c r="G2782" s="11" t="n">
        <x:v>0</x:v>
      </x:c>
      <x:c r="H2782" s="11" t="n">
        <x:v>0</x:v>
      </x:c>
      <x:c r="I2782" s="11" t="n">
        <x:v>0</x:v>
      </x:c>
      <x:c r="J2782" s="11" t="n">
        <x:v>0</x:v>
      </x:c>
      <x:c r="K2782" s="11" t="n">
        <x:v>1</x:v>
      </x:c>
      <x:c r="L2782" s="11" t="n">
        <x:f>IF(B2782="NED",1,IF(OR(B2782="ED",B2782="UN"),0,""))</x:f>
        <x:v>0</x:v>
      </x:c>
      <x:c r="M2782" s="11" t="n">
        <x:f>IF(AND(K2782=1,OR(B2782="ED",B2782="NED")),1,0)</x:f>
        <x:v>0</x:v>
      </x:c>
      <x:c r="N2782" s="11" t="n">
        <x:f>IF(K2782=1,1,0)</x:f>
        <x:v>1</x:v>
      </x:c>
      <x:c r="O2782" s="12"/>
      <x:c r="P2782" s="11" t="n">
        <x:v>0</x:v>
      </x:c>
      <x:c r="Q2782" s="12" t="str">
        <x:v>AF-Q9CZJ1-F1-model_v6</x:v>
      </x:c>
      <x:c r="R2782" s="12" t="str">
        <x:v>ok</x:v>
      </x:c>
      <x:c r="S2782" s="11" t="n">
        <x:v>2262</x:v>
      </x:c>
      <x:c r="T2782" s="11" t="n">
        <x:v>253</x:v>
      </x:c>
    </x:row>
    <x:row r="2783" ht="23" customHeight="1">
      <x:c r="A2783" s="2" t="str">
        <x:v>Q9CZJ2</x:v>
      </x:c>
      <x:c r="B2783" s="2" t="str">
        <x:v>ED</x:v>
      </x:c>
      <x:c r="C2783" s="2" t="n">
        <x:v>1</x:v>
      </x:c>
      <x:c r="D2783" s="2" t="n">
        <x:v>1</x:v>
      </x:c>
      <x:c r="E2783" s="10" t="n">
        <x:v>82.83973722627738</x:v>
      </x:c>
      <x:c r="F2783" s="11" t="n">
        <x:v>685</x:v>
      </x:c>
      <x:c r="G2783" s="11" t="n">
        <x:v>0</x:v>
      </x:c>
      <x:c r="H2783" s="11" t="n">
        <x:v>0</x:v>
      </x:c>
      <x:c r="I2783" s="11" t="n">
        <x:v>0</x:v>
      </x:c>
      <x:c r="J2783" s="11" t="n">
        <x:v>0</x:v>
      </x:c>
      <x:c r="K2783" s="11" t="n">
        <x:v>1</x:v>
      </x:c>
      <x:c r="L2783" s="11" t="n">
        <x:f>IF(B2783="NED",1,IF(OR(B2783="ED",B2783="UN"),0,""))</x:f>
        <x:v>0</x:v>
      </x:c>
      <x:c r="M2783" s="11" t="n">
        <x:f>IF(AND(K2783=1,OR(B2783="ED",B2783="NED")),1,0)</x:f>
        <x:v>1</x:v>
      </x:c>
      <x:c r="N2783" s="11" t="n">
        <x:f>IF(K2783=1,1,0)</x:f>
        <x:v>1</x:v>
      </x:c>
      <x:c r="O2783" s="12"/>
      <x:c r="P2783" s="11" t="n">
        <x:v>0</x:v>
      </x:c>
      <x:c r="Q2783" s="12" t="str">
        <x:v>AF-Q9CZJ2-F1-model_v6</x:v>
      </x:c>
      <x:c r="R2783" s="12" t="str">
        <x:v>ok</x:v>
      </x:c>
      <x:c r="S2783" s="11" t="n">
        <x:v>2263</x:v>
      </x:c>
      <x:c r="T2783" s="11" t="n">
        <x:v>685</x:v>
      </x:c>
    </x:row>
    <x:row r="2784" ht="23" customHeight="1">
      <x:c r="A2784" s="2" t="str">
        <x:v>Q9CZM2</x:v>
      </x:c>
      <x:c r="B2784" s="2" t="str">
        <x:v>UN</x:v>
      </x:c>
      <x:c r="C2784" s="2" t="n">
        <x:v>1</x:v>
      </x:c>
      <x:c r="D2784" s="2" t="n">
        <x:v>1</x:v>
      </x:c>
      <x:c r="E2784" s="10" t="n">
        <x:v>96.21784313725487</x:v>
      </x:c>
      <x:c r="F2784" s="11" t="n">
        <x:v>204</x:v>
      </x:c>
      <x:c r="G2784" s="11" t="n">
        <x:v>0</x:v>
      </x:c>
      <x:c r="H2784" s="11" t="n">
        <x:v>0</x:v>
      </x:c>
      <x:c r="I2784" s="11" t="n">
        <x:v>0</x:v>
      </x:c>
      <x:c r="J2784" s="11" t="n">
        <x:v>0</x:v>
      </x:c>
      <x:c r="K2784" s="11" t="n">
        <x:v>1</x:v>
      </x:c>
      <x:c r="L2784" s="11" t="n">
        <x:f>IF(B2784="NED",1,IF(OR(B2784="ED",B2784="UN"),0,""))</x:f>
        <x:v>0</x:v>
      </x:c>
      <x:c r="M2784" s="11" t="n">
        <x:f>IF(AND(K2784=1,OR(B2784="ED",B2784="NED")),1,0)</x:f>
        <x:v>0</x:v>
      </x:c>
      <x:c r="N2784" s="11" t="n">
        <x:f>IF(K2784=1,1,0)</x:f>
        <x:v>1</x:v>
      </x:c>
      <x:c r="O2784" s="12"/>
      <x:c r="P2784" s="11" t="n">
        <x:v>0</x:v>
      </x:c>
      <x:c r="Q2784" s="12" t="str">
        <x:v>AF-Q9CZM2-F1-model_v6</x:v>
      </x:c>
      <x:c r="R2784" s="12" t="str">
        <x:v>ok</x:v>
      </x:c>
      <x:c r="S2784" s="11" t="n">
        <x:v>2264</x:v>
      </x:c>
      <x:c r="T2784" s="11" t="n">
        <x:v>204</x:v>
      </x:c>
    </x:row>
    <x:row r="2785" ht="23" customHeight="1">
      <x:c r="A2785" s="2" t="str">
        <x:v>Q9CZN7</x:v>
      </x:c>
      <x:c r="B2785" s="2" t="str">
        <x:v>UN</x:v>
      </x:c>
      <x:c r="C2785" s="2" t="n">
        <x:v>1</x:v>
      </x:c>
      <x:c r="D2785" s="2" t="n">
        <x:v>1</x:v>
      </x:c>
      <x:c r="E2785" s="10"/>
      <x:c r="F2785" s="11" t="n">
        <x:v>504</x:v>
      </x:c>
      <x:c r="G2785" s="11" t="n">
        <x:v>0</x:v>
      </x:c>
      <x:c r="H2785" s="11" t="n">
        <x:v>0</x:v>
      </x:c>
      <x:c r="I2785" s="11" t="n">
        <x:v>1</x:v>
      </x:c>
      <x:c r="J2785" s="11" t="n">
        <x:v>0</x:v>
      </x:c>
      <x:c r="K2785" s="11" t="n">
        <x:v>0</x:v>
      </x:c>
      <x:c r="L2785" s="11" t="n">
        <x:f>IF(B2785="NED",1,IF(OR(B2785="ED",B2785="UN"),0,""))</x:f>
        <x:v>0</x:v>
      </x:c>
      <x:c r="M2785" s="11" t="n">
        <x:f>IF(AND(K2785=1,OR(B2785="ED",B2785="NED")),1,0)</x:f>
        <x:v>0</x:v>
      </x:c>
      <x:c r="N2785" s="11" t="n">
        <x:f>IF(K2785=1,1,0)</x:f>
        <x:v>0</x:v>
      </x:c>
      <x:c r="O2785" s="12" t="str">
        <x:v>Exclude UniProt Membrane keyword</x:v>
      </x:c>
      <x:c r="P2785" s="11" t="n">
        <x:v>0</x:v>
      </x:c>
      <x:c r="Q2785" s="12" t="str">
        <x:v>AF-Q9CZN7-F1-model_v6</x:v>
      </x:c>
      <x:c r="R2785" s="12" t="str">
        <x:v>ok</x:v>
      </x:c>
      <x:c r="S2785" s="11" t="n">
        <x:v>3263</x:v>
      </x:c>
      <x:c r="T2785" s="11" t="n">
        <x:v>504</x:v>
      </x:c>
    </x:row>
    <x:row r="2786" ht="23" customHeight="1">
      <x:c r="A2786" s="2" t="str">
        <x:v>Q9CZQ1</x:v>
      </x:c>
      <x:c r="B2786" s="2" t="str">
        <x:v>NED</x:v>
      </x:c>
      <x:c r="C2786" s="2"/>
      <x:c r="D2786" s="2"/>
      <x:c r="E2786" s="10"/>
      <x:c r="F2786" s="11"/>
      <x:c r="G2786" s="11" t="n">
        <x:v>0</x:v>
      </x:c>
      <x:c r="H2786" s="11" t="n">
        <x:v>0</x:v>
      </x:c>
      <x:c r="I2786" s="11" t="n">
        <x:v>0</x:v>
      </x:c>
      <x:c r="J2786" s="11" t="n">
        <x:v>0</x:v>
      </x:c>
      <x:c r="K2786" s="11" t="n">
        <x:v>0</x:v>
      </x:c>
      <x:c r="L2786" s="11" t="n">
        <x:f>IF(B2786="NED",1,IF(OR(B2786="ED",B2786="UN"),0,""))</x:f>
        <x:v>1</x:v>
      </x:c>
      <x:c r="M2786" s="11" t="n">
        <x:f>IF(AND(K2786=1,OR(B2786="ED",B2786="NED")),1,0)</x:f>
        <x:v>0</x:v>
      </x:c>
      <x:c r="N2786" s="11" t="n">
        <x:f>IF(K2786=1,1,0)</x:f>
        <x:v>0</x:v>
      </x:c>
      <x:c r="O2786" s="12" t="str">
        <x:v>Require exact native accession match</x:v>
      </x:c>
      <x:c r="P2786" s="11" t="n">
        <x:v>0</x:v>
      </x:c>
      <x:c r="Q2786" s="12"/>
      <x:c r="R2786" s="12"/>
      <x:c r="S2786" s="11" t="n">
        <x:v>3264</x:v>
      </x:c>
      <x:c r="T2786" s="11" t="n">
        <x:v>280</x:v>
      </x:c>
    </x:row>
    <x:row r="2787" ht="23" customHeight="1">
      <x:c r="A2787" s="2" t="str">
        <x:v>Q9CZR8</x:v>
      </x:c>
      <x:c r="B2787" s="2" t="str">
        <x:v>ED</x:v>
      </x:c>
      <x:c r="C2787" s="2" t="n">
        <x:v>1</x:v>
      </x:c>
      <x:c r="D2787" s="2" t="n">
        <x:v>1</x:v>
      </x:c>
      <x:c r="E2787" s="10" t="n">
        <x:v>87.68141975308642</x:v>
      </x:c>
      <x:c r="F2787" s="11" t="n">
        <x:v>324</x:v>
      </x:c>
      <x:c r="G2787" s="11" t="n">
        <x:v>0</x:v>
      </x:c>
      <x:c r="H2787" s="11" t="n">
        <x:v>0</x:v>
      </x:c>
      <x:c r="I2787" s="11" t="n">
        <x:v>0</x:v>
      </x:c>
      <x:c r="J2787" s="11" t="n">
        <x:v>0</x:v>
      </x:c>
      <x:c r="K2787" s="11" t="n">
        <x:v>1</x:v>
      </x:c>
      <x:c r="L2787" s="11" t="n">
        <x:f>IF(B2787="NED",1,IF(OR(B2787="ED",B2787="UN"),0,""))</x:f>
        <x:v>0</x:v>
      </x:c>
      <x:c r="M2787" s="11" t="n">
        <x:f>IF(AND(K2787=1,OR(B2787="ED",B2787="NED")),1,0)</x:f>
        <x:v>1</x:v>
      </x:c>
      <x:c r="N2787" s="11" t="n">
        <x:f>IF(K2787=1,1,0)</x:f>
        <x:v>1</x:v>
      </x:c>
      <x:c r="O2787" s="12"/>
      <x:c r="P2787" s="11" t="n">
        <x:v>0</x:v>
      </x:c>
      <x:c r="Q2787" s="12" t="str">
        <x:v>AF-Q9CZR8-F1-model_v6</x:v>
      </x:c>
      <x:c r="R2787" s="12" t="str">
        <x:v>ok</x:v>
      </x:c>
      <x:c r="S2787" s="11" t="n">
        <x:v>2265</x:v>
      </x:c>
      <x:c r="T2787" s="11" t="n">
        <x:v>324</x:v>
      </x:c>
    </x:row>
    <x:row r="2788" ht="23" customHeight="1">
      <x:c r="A2788" s="2" t="str">
        <x:v>Q9CZU3</x:v>
      </x:c>
      <x:c r="B2788" s="2" t="str">
        <x:v>NED</x:v>
      </x:c>
      <x:c r="C2788" s="2" t="n">
        <x:v>1</x:v>
      </x:c>
      <x:c r="D2788" s="2" t="n">
        <x:v>1</x:v>
      </x:c>
      <x:c r="E2788" s="10" t="n">
        <x:v>84.38091346153846</x:v>
      </x:c>
      <x:c r="F2788" s="11" t="n">
        <x:v>1040</x:v>
      </x:c>
      <x:c r="G2788" s="11" t="n">
        <x:v>0</x:v>
      </x:c>
      <x:c r="H2788" s="11" t="n">
        <x:v>0</x:v>
      </x:c>
      <x:c r="I2788" s="11" t="n">
        <x:v>0</x:v>
      </x:c>
      <x:c r="J2788" s="11" t="n">
        <x:v>0</x:v>
      </x:c>
      <x:c r="K2788" s="11" t="n">
        <x:v>1</x:v>
      </x:c>
      <x:c r="L2788" s="11" t="n">
        <x:f>IF(B2788="NED",1,IF(OR(B2788="ED",B2788="UN"),0,""))</x:f>
        <x:v>1</x:v>
      </x:c>
      <x:c r="M2788" s="11" t="n">
        <x:f>IF(AND(K2788=1,OR(B2788="ED",B2788="NED")),1,0)</x:f>
        <x:v>1</x:v>
      </x:c>
      <x:c r="N2788" s="11" t="n">
        <x:f>IF(K2788=1,1,0)</x:f>
        <x:v>1</x:v>
      </x:c>
      <x:c r="O2788" s="12"/>
      <x:c r="P2788" s="11" t="n">
        <x:v>0</x:v>
      </x:c>
      <x:c r="Q2788" s="12" t="str">
        <x:v>AF-Q9CZU3-F1-model_v6</x:v>
      </x:c>
      <x:c r="R2788" s="12" t="str">
        <x:v>ok</x:v>
      </x:c>
      <x:c r="S2788" s="11" t="n">
        <x:v>2266</x:v>
      </x:c>
      <x:c r="T2788" s="11" t="n">
        <x:v>1040</x:v>
      </x:c>
    </x:row>
    <x:row r="2789" ht="23" customHeight="1">
      <x:c r="A2789" s="2" t="str">
        <x:v>Q9CZU4</x:v>
      </x:c>
      <x:c r="B2789" s="2" t="str">
        <x:v>NED</x:v>
      </x:c>
      <x:c r="C2789" s="2" t="n">
        <x:v>1</x:v>
      </x:c>
      <x:c r="D2789" s="2" t="n">
        <x:v>1</x:v>
      </x:c>
      <x:c r="E2789" s="10"/>
      <x:c r="F2789" s="11" t="n">
        <x:v>437</x:v>
      </x:c>
      <x:c r="G2789" s="11" t="n">
        <x:v>0</x:v>
      </x:c>
      <x:c r="H2789" s="11" t="n">
        <x:v>0</x:v>
      </x:c>
      <x:c r="I2789" s="11" t="n">
        <x:v>1</x:v>
      </x:c>
      <x:c r="J2789" s="11" t="n">
        <x:v>0</x:v>
      </x:c>
      <x:c r="K2789" s="11" t="n">
        <x:v>0</x:v>
      </x:c>
      <x:c r="L2789" s="11" t="n">
        <x:f>IF(B2789="NED",1,IF(OR(B2789="ED",B2789="UN"),0,""))</x:f>
        <x:v>1</x:v>
      </x:c>
      <x:c r="M2789" s="11" t="n">
        <x:f>IF(AND(K2789=1,OR(B2789="ED",B2789="NED")),1,0)</x:f>
        <x:v>0</x:v>
      </x:c>
      <x:c r="N2789" s="11" t="n">
        <x:f>IF(K2789=1,1,0)</x:f>
        <x:v>0</x:v>
      </x:c>
      <x:c r="O2789" s="12" t="str">
        <x:v>Exclude UniProt Membrane keyword</x:v>
      </x:c>
      <x:c r="P2789" s="11" t="n">
        <x:v>0</x:v>
      </x:c>
      <x:c r="Q2789" s="12" t="str">
        <x:v>AF-Q9CZU4-F1-model_v6</x:v>
      </x:c>
      <x:c r="R2789" s="12" t="str">
        <x:v>ok</x:v>
      </x:c>
      <x:c r="S2789" s="11" t="n">
        <x:v>2267</x:v>
      </x:c>
      <x:c r="T2789" s="11" t="n">
        <x:v>437</x:v>
      </x:c>
    </x:row>
    <x:row r="2790" ht="23" customHeight="1">
      <x:c r="A2790" s="2" t="str">
        <x:v>Q9CZU6</x:v>
      </x:c>
      <x:c r="B2790" s="2" t="str">
        <x:v>ED</x:v>
      </x:c>
      <x:c r="C2790" s="2" t="n">
        <x:v>1</x:v>
      </x:c>
      <x:c r="D2790" s="2" t="n">
        <x:v>1</x:v>
      </x:c>
      <x:c r="E2790" s="10" t="n">
        <x:v>94.26879310344827</x:v>
      </x:c>
      <x:c r="F2790" s="11" t="n">
        <x:v>464</x:v>
      </x:c>
      <x:c r="G2790" s="11" t="n">
        <x:v>0</x:v>
      </x:c>
      <x:c r="H2790" s="11" t="n">
        <x:v>0</x:v>
      </x:c>
      <x:c r="I2790" s="11" t="n">
        <x:v>0</x:v>
      </x:c>
      <x:c r="J2790" s="11" t="n">
        <x:v>0</x:v>
      </x:c>
      <x:c r="K2790" s="11" t="n">
        <x:v>1</x:v>
      </x:c>
      <x:c r="L2790" s="11" t="n">
        <x:f>IF(B2790="NED",1,IF(OR(B2790="ED",B2790="UN"),0,""))</x:f>
        <x:v>0</x:v>
      </x:c>
      <x:c r="M2790" s="11" t="n">
        <x:f>IF(AND(K2790=1,OR(B2790="ED",B2790="NED")),1,0)</x:f>
        <x:v>1</x:v>
      </x:c>
      <x:c r="N2790" s="11" t="n">
        <x:f>IF(K2790=1,1,0)</x:f>
        <x:v>1</x:v>
      </x:c>
      <x:c r="O2790" s="12"/>
      <x:c r="P2790" s="11" t="n">
        <x:v>0</x:v>
      </x:c>
      <x:c r="Q2790" s="12" t="str">
        <x:v>AF-Q9CZU6-F1-model_v6</x:v>
      </x:c>
      <x:c r="R2790" s="12" t="str">
        <x:v>ok</x:v>
      </x:c>
      <x:c r="S2790" s="11" t="n">
        <x:v>2268</x:v>
      </x:c>
      <x:c r="T2790" s="11" t="n">
        <x:v>464</x:v>
      </x:c>
    </x:row>
    <x:row r="2791" ht="23" customHeight="1">
      <x:c r="A2791" s="2" t="str">
        <x:v>Q9CZW4</x:v>
      </x:c>
      <x:c r="B2791" s="2" t="str">
        <x:v>UN</x:v>
      </x:c>
      <x:c r="C2791" s="2" t="n">
        <x:v>1</x:v>
      </x:c>
      <x:c r="D2791" s="2" t="n">
        <x:v>1</x:v>
      </x:c>
      <x:c r="E2791" s="10"/>
      <x:c r="F2791" s="11" t="n">
        <x:v>720</x:v>
      </x:c>
      <x:c r="G2791" s="11" t="n">
        <x:v>0</x:v>
      </x:c>
      <x:c r="H2791" s="11" t="n">
        <x:v>0</x:v>
      </x:c>
      <x:c r="I2791" s="11" t="n">
        <x:v>1</x:v>
      </x:c>
      <x:c r="J2791" s="11" t="n">
        <x:v>0</x:v>
      </x:c>
      <x:c r="K2791" s="11" t="n">
        <x:v>0</x:v>
      </x:c>
      <x:c r="L2791" s="11" t="n">
        <x:f>IF(B2791="NED",1,IF(OR(B2791="ED",B2791="UN"),0,""))</x:f>
        <x:v>0</x:v>
      </x:c>
      <x:c r="M2791" s="11" t="n">
        <x:f>IF(AND(K2791=1,OR(B2791="ED",B2791="NED")),1,0)</x:f>
        <x:v>0</x:v>
      </x:c>
      <x:c r="N2791" s="11" t="n">
        <x:f>IF(K2791=1,1,0)</x:f>
        <x:v>0</x:v>
      </x:c>
      <x:c r="O2791" s="12" t="str">
        <x:v>Exclude UniProt Membrane keyword</x:v>
      </x:c>
      <x:c r="P2791" s="11" t="n">
        <x:v>0</x:v>
      </x:c>
      <x:c r="Q2791" s="12" t="str">
        <x:v>AF-Q9CZW4-F1-model_v6</x:v>
      </x:c>
      <x:c r="R2791" s="12" t="str">
        <x:v>ok</x:v>
      </x:c>
      <x:c r="S2791" s="11" t="n">
        <x:v>2269</x:v>
      </x:c>
      <x:c r="T2791" s="11" t="n">
        <x:v>720</x:v>
      </x:c>
    </x:row>
    <x:row r="2792" ht="23" customHeight="1">
      <x:c r="A2792" s="2" t="str">
        <x:v>Q9CZW5</x:v>
      </x:c>
      <x:c r="B2792" s="2" t="str">
        <x:v>NED</x:v>
      </x:c>
      <x:c r="C2792" s="2" t="n">
        <x:v>0</x:v>
      </x:c>
      <x:c r="D2792" s="2" t="n">
        <x:v>0</x:v>
      </x:c>
      <x:c r="E2792" s="10"/>
      <x:c r="F2792" s="11" t="n">
        <x:v>611</x:v>
      </x:c>
      <x:c r="G2792" s="11" t="n">
        <x:v>0</x:v>
      </x:c>
      <x:c r="H2792" s="11" t="n">
        <x:v>0</x:v>
      </x:c>
      <x:c r="I2792" s="11" t="n">
        <x:v>1</x:v>
      </x:c>
      <x:c r="J2792" s="11" t="n">
        <x:v>0</x:v>
      </x:c>
      <x:c r="K2792" s="11" t="n">
        <x:v>0</x:v>
      </x:c>
      <x:c r="L2792" s="11" t="n">
        <x:f>IF(B2792="NED",1,IF(OR(B2792="ED",B2792="UN"),0,""))</x:f>
        <x:v>1</x:v>
      </x:c>
      <x:c r="M2792" s="11" t="n">
        <x:f>IF(AND(K2792=1,OR(B2792="ED",B2792="NED")),1,0)</x:f>
        <x:v>0</x:v>
      </x:c>
      <x:c r="N2792" s="11" t="n">
        <x:f>IF(K2792=1,1,0)</x:f>
        <x:v>0</x:v>
      </x:c>
      <x:c r="O2792" s="12" t="str">
        <x:v>Exclude UniProt Membrane keyword</x:v>
      </x:c>
      <x:c r="P2792" s="11" t="n">
        <x:v>0</x:v>
      </x:c>
      <x:c r="Q2792" s="12" t="str">
        <x:v>AF-Q9CZW5-F1-model_v6</x:v>
      </x:c>
      <x:c r="R2792" s="12" t="str">
        <x:v>ok</x:v>
      </x:c>
      <x:c r="S2792" s="11" t="n">
        <x:v>2270</x:v>
      </x:c>
      <x:c r="T2792" s="11" t="n">
        <x:v>611</x:v>
      </x:c>
    </x:row>
    <x:row r="2793" ht="23" customHeight="1">
      <x:c r="A2793" s="2" t="str">
        <x:v>Q9CZX0</x:v>
      </x:c>
      <x:c r="B2793" s="2" t="str">
        <x:v>UN</x:v>
      </x:c>
      <x:c r="C2793" s="2" t="n">
        <x:v>1</x:v>
      </x:c>
      <x:c r="D2793" s="2" t="n">
        <x:v>1</x:v>
      </x:c>
      <x:c r="E2793" s="10" t="n">
        <x:v>92.04468007312614</x:v>
      </x:c>
      <x:c r="F2793" s="11" t="n">
        <x:v>547</x:v>
      </x:c>
      <x:c r="G2793" s="11" t="n">
        <x:v>0</x:v>
      </x:c>
      <x:c r="H2793" s="11" t="n">
        <x:v>0</x:v>
      </x:c>
      <x:c r="I2793" s="11" t="n">
        <x:v>0</x:v>
      </x:c>
      <x:c r="J2793" s="11" t="n">
        <x:v>0</x:v>
      </x:c>
      <x:c r="K2793" s="11" t="n">
        <x:v>1</x:v>
      </x:c>
      <x:c r="L2793" s="11" t="n">
        <x:f>IF(B2793="NED",1,IF(OR(B2793="ED",B2793="UN"),0,""))</x:f>
        <x:v>0</x:v>
      </x:c>
      <x:c r="M2793" s="11" t="n">
        <x:f>IF(AND(K2793=1,OR(B2793="ED",B2793="NED")),1,0)</x:f>
        <x:v>0</x:v>
      </x:c>
      <x:c r="N2793" s="11" t="n">
        <x:f>IF(K2793=1,1,0)</x:f>
        <x:v>1</x:v>
      </x:c>
      <x:c r="O2793" s="12"/>
      <x:c r="P2793" s="11" t="n">
        <x:v>0</x:v>
      </x:c>
      <x:c r="Q2793" s="12" t="str">
        <x:v>AF-Q9CZX0-F1-model_v6</x:v>
      </x:c>
      <x:c r="R2793" s="12" t="str">
        <x:v>ok</x:v>
      </x:c>
      <x:c r="S2793" s="11" t="n">
        <x:v>2271</x:v>
      </x:c>
      <x:c r="T2793" s="11" t="n">
        <x:v>547</x:v>
      </x:c>
    </x:row>
    <x:row r="2794" ht="23" customHeight="1">
      <x:c r="A2794" s="2" t="str">
        <x:v>Q9D020-1</x:v>
      </x:c>
      <x:c r="B2794" s="2" t="str">
        <x:v>UN</x:v>
      </x:c>
      <x:c r="C2794" s="2"/>
      <x:c r="D2794" s="2"/>
      <x:c r="E2794" s="10"/>
      <x:c r="F2794" s="11"/>
      <x:c r="G2794" s="11" t="n">
        <x:v>0</x:v>
      </x:c>
      <x:c r="H2794" s="11" t="n">
        <x:v>0</x:v>
      </x:c>
      <x:c r="I2794" s="11"/>
      <x:c r="J2794" s="11"/>
      <x:c r="K2794" s="11" t="n">
        <x:v>0</x:v>
      </x:c>
      <x:c r="L2794" s="11" t="n">
        <x:f>IF(B2794="NED",1,IF(OR(B2794="ED",B2794="UN"),0,""))</x:f>
        <x:v>0</x:v>
      </x:c>
      <x:c r="M2794" s="11" t="n">
        <x:f>IF(AND(K2794=1,OR(B2794="ED",B2794="NED")),1,0)</x:f>
        <x:v>0</x:v>
      </x:c>
      <x:c r="N2794" s="11" t="n">
        <x:f>IF(K2794=1,1,0)</x:f>
        <x:v>0</x:v>
      </x:c>
      <x:c r="O2794" s="12" t="str">
        <x:v>Require exact native accession match</x:v>
      </x:c>
      <x:c r="P2794" s="11" t="n">
        <x:v>0</x:v>
      </x:c>
      <x:c r="Q2794" s="12"/>
      <x:c r="R2794" s="12"/>
      <x:c r="S2794" s="11" t="n">
        <x:v>2272</x:v>
      </x:c>
      <x:c r="T2794" s="11"/>
    </x:row>
    <x:row r="2795" ht="23" customHeight="1">
      <x:c r="A2795" s="2" t="str">
        <x:v>Q9D024</x:v>
      </x:c>
      <x:c r="B2795" s="2" t="str">
        <x:v>NED</x:v>
      </x:c>
      <x:c r="C2795" s="2" t="n">
        <x:v>1</x:v>
      </x:c>
      <x:c r="D2795" s="2" t="n">
        <x:v>1</x:v>
      </x:c>
      <x:c r="E2795" s="10"/>
      <x:c r="F2795" s="11" t="n">
        <x:v>483</x:v>
      </x:c>
      <x:c r="G2795" s="11" t="n">
        <x:v>0</x:v>
      </x:c>
      <x:c r="H2795" s="11" t="n">
        <x:v>0</x:v>
      </x:c>
      <x:c r="I2795" s="11" t="n">
        <x:v>1</x:v>
      </x:c>
      <x:c r="J2795" s="11" t="n">
        <x:v>0</x:v>
      </x:c>
      <x:c r="K2795" s="11" t="n">
        <x:v>0</x:v>
      </x:c>
      <x:c r="L2795" s="11" t="n">
        <x:f>IF(B2795="NED",1,IF(OR(B2795="ED",B2795="UN"),0,""))</x:f>
        <x:v>1</x:v>
      </x:c>
      <x:c r="M2795" s="11" t="n">
        <x:f>IF(AND(K2795=1,OR(B2795="ED",B2795="NED")),1,0)</x:f>
        <x:v>0</x:v>
      </x:c>
      <x:c r="N2795" s="11" t="n">
        <x:f>IF(K2795=1,1,0)</x:f>
        <x:v>0</x:v>
      </x:c>
      <x:c r="O2795" s="12" t="str">
        <x:v>Exclude UniProt Membrane keyword</x:v>
      </x:c>
      <x:c r="P2795" s="11" t="n">
        <x:v>0</x:v>
      </x:c>
      <x:c r="Q2795" s="12" t="str">
        <x:v>AF-Q9D024-F1-model_v6</x:v>
      </x:c>
      <x:c r="R2795" s="12" t="str">
        <x:v>ok</x:v>
      </x:c>
      <x:c r="S2795" s="11" t="n">
        <x:v>2273</x:v>
      </x:c>
      <x:c r="T2795" s="11" t="n">
        <x:v>483</x:v>
      </x:c>
    </x:row>
    <x:row r="2796" ht="23" customHeight="1">
      <x:c r="A2796" s="2" t="str">
        <x:v>Q9D031</x:v>
      </x:c>
      <x:c r="B2796" s="2" t="str">
        <x:v>ED</x:v>
      </x:c>
      <x:c r="C2796" s="2"/>
      <x:c r="D2796" s="2"/>
      <x:c r="E2796" s="10"/>
      <x:c r="F2796" s="11"/>
      <x:c r="G2796" s="11" t="n">
        <x:v>0</x:v>
      </x:c>
      <x:c r="H2796" s="11" t="n">
        <x:v>0</x:v>
      </x:c>
      <x:c r="I2796" s="11" t="n">
        <x:v>0</x:v>
      </x:c>
      <x:c r="J2796" s="11" t="n">
        <x:v>0</x:v>
      </x:c>
      <x:c r="K2796" s="11" t="n">
        <x:v>0</x:v>
      </x:c>
      <x:c r="L2796" s="11" t="n">
        <x:f>IF(B2796="NED",1,IF(OR(B2796="ED",B2796="UN"),0,""))</x:f>
        <x:v>0</x:v>
      </x:c>
      <x:c r="M2796" s="11" t="n">
        <x:f>IF(AND(K2796=1,OR(B2796="ED",B2796="NED")),1,0)</x:f>
        <x:v>0</x:v>
      </x:c>
      <x:c r="N2796" s="11" t="n">
        <x:f>IF(K2796=1,1,0)</x:f>
        <x:v>0</x:v>
      </x:c>
      <x:c r="O2796" s="12" t="str">
        <x:v>Require exact native accession match</x:v>
      </x:c>
      <x:c r="P2796" s="11" t="n">
        <x:v>0</x:v>
      </x:c>
      <x:c r="Q2796" s="12"/>
      <x:c r="R2796" s="12"/>
      <x:c r="S2796" s="11" t="n">
        <x:v>3265</x:v>
      </x:c>
      <x:c r="T2796" s="11" t="n">
        <x:v>277</x:v>
      </x:c>
    </x:row>
    <x:row r="2797" ht="23" customHeight="1">
      <x:c r="A2797" s="2" t="str">
        <x:v>Q9D071</x:v>
      </x:c>
      <x:c r="B2797" s="2" t="str">
        <x:v>UN</x:v>
      </x:c>
      <x:c r="C2797" s="2" t="n">
        <x:v>0</x:v>
      </x:c>
      <x:c r="D2797" s="2" t="n">
        <x:v>0</x:v>
      </x:c>
      <x:c r="E2797" s="10" t="n">
        <x:v>90.13405431619788</x:v>
      </x:c>
      <x:c r="F2797" s="11" t="n">
        <x:v>1031</x:v>
      </x:c>
      <x:c r="G2797" s="11" t="n">
        <x:v>0</x:v>
      </x:c>
      <x:c r="H2797" s="11" t="n">
        <x:v>0</x:v>
      </x:c>
      <x:c r="I2797" s="11" t="n">
        <x:v>0</x:v>
      </x:c>
      <x:c r="J2797" s="11" t="n">
        <x:v>0</x:v>
      </x:c>
      <x:c r="K2797" s="11" t="n">
        <x:v>1</x:v>
      </x:c>
      <x:c r="L2797" s="11" t="n">
        <x:f>IF(B2797="NED",1,IF(OR(B2797="ED",B2797="UN"),0,""))</x:f>
        <x:v>0</x:v>
      </x:c>
      <x:c r="M2797" s="11" t="n">
        <x:f>IF(AND(K2797=1,OR(B2797="ED",B2797="NED")),1,0)</x:f>
        <x:v>0</x:v>
      </x:c>
      <x:c r="N2797" s="11" t="n">
        <x:f>IF(K2797=1,1,0)</x:f>
        <x:v>1</x:v>
      </x:c>
      <x:c r="O2797" s="12"/>
      <x:c r="P2797" s="11" t="n">
        <x:v>0</x:v>
      </x:c>
      <x:c r="Q2797" s="12" t="str">
        <x:v>AF-Q9D071-F1-model_v6</x:v>
      </x:c>
      <x:c r="R2797" s="12" t="str">
        <x:v>ok</x:v>
      </x:c>
      <x:c r="S2797" s="11" t="n">
        <x:v>2274</x:v>
      </x:c>
      <x:c r="T2797" s="11" t="n">
        <x:v>1031</x:v>
      </x:c>
    </x:row>
    <x:row r="2798" ht="23" customHeight="1">
      <x:c r="A2798" s="2" t="str">
        <x:v>Q9D083</x:v>
      </x:c>
      <x:c r="B2798" s="2" t="str">
        <x:v>ED</x:v>
      </x:c>
      <x:c r="C2798" s="2" t="n">
        <x:v>0</x:v>
      </x:c>
      <x:c r="D2798" s="2" t="n">
        <x:v>0</x:v>
      </x:c>
      <x:c r="E2798" s="10" t="n">
        <x:v>91.20069651741294</x:v>
      </x:c>
      <x:c r="F2798" s="11" t="n">
        <x:v>201</x:v>
      </x:c>
      <x:c r="G2798" s="11" t="n">
        <x:v>0</x:v>
      </x:c>
      <x:c r="H2798" s="11" t="n">
        <x:v>0</x:v>
      </x:c>
      <x:c r="I2798" s="11" t="n">
        <x:v>0</x:v>
      </x:c>
      <x:c r="J2798" s="11" t="n">
        <x:v>0</x:v>
      </x:c>
      <x:c r="K2798" s="11" t="n">
        <x:v>1</x:v>
      </x:c>
      <x:c r="L2798" s="11" t="n">
        <x:f>IF(B2798="NED",1,IF(OR(B2798="ED",B2798="UN"),0,""))</x:f>
        <x:v>0</x:v>
      </x:c>
      <x:c r="M2798" s="11" t="n">
        <x:f>IF(AND(K2798=1,OR(B2798="ED",B2798="NED")),1,0)</x:f>
        <x:v>1</x:v>
      </x:c>
      <x:c r="N2798" s="11" t="n">
        <x:f>IF(K2798=1,1,0)</x:f>
        <x:v>1</x:v>
      </x:c>
      <x:c r="O2798" s="12"/>
      <x:c r="P2798" s="11" t="n">
        <x:v>0</x:v>
      </x:c>
      <x:c r="Q2798" s="12" t="str">
        <x:v>AF-Q9D083-F1-model_v6</x:v>
      </x:c>
      <x:c r="R2798" s="12" t="str">
        <x:v>ok</x:v>
      </x:c>
      <x:c r="S2798" s="11" t="n">
        <x:v>2275</x:v>
      </x:c>
      <x:c r="T2798" s="11" t="n">
        <x:v>201</x:v>
      </x:c>
    </x:row>
    <x:row r="2799" ht="23" customHeight="1">
      <x:c r="A2799" s="2" t="str">
        <x:v>Q9D0B0</x:v>
      </x:c>
      <x:c r="B2799" s="2" t="str">
        <x:v>ED</x:v>
      </x:c>
      <x:c r="C2799" s="2" t="n">
        <x:v>1</x:v>
      </x:c>
      <x:c r="D2799" s="2" t="n">
        <x:v>1</x:v>
      </x:c>
      <x:c r="E2799" s="10" t="n">
        <x:v>69.7186936936937</x:v>
      </x:c>
      <x:c r="F2799" s="11" t="n">
        <x:v>222</x:v>
      </x:c>
      <x:c r="G2799" s="11" t="n">
        <x:v>0</x:v>
      </x:c>
      <x:c r="H2799" s="11" t="n">
        <x:v>0</x:v>
      </x:c>
      <x:c r="I2799" s="11" t="n">
        <x:v>0</x:v>
      </x:c>
      <x:c r="J2799" s="11" t="n">
        <x:v>0</x:v>
      </x:c>
      <x:c r="K2799" s="11" t="n">
        <x:v>0</x:v>
      </x:c>
      <x:c r="L2799" s="11" t="n">
        <x:f>IF(B2799="NED",1,IF(OR(B2799="ED",B2799="UN"),0,""))</x:f>
        <x:v>0</x:v>
      </x:c>
      <x:c r="M2799" s="11" t="n">
        <x:f>IF(AND(K2799=1,OR(B2799="ED",B2799="NED")),1,0)</x:f>
        <x:v>0</x:v>
      </x:c>
      <x:c r="N2799" s="11" t="n">
        <x:f>IF(K2799=1,1,0)</x:f>
        <x:v>0</x:v>
      </x:c>
      <x:c r="O2799" s="12" t="str">
        <x:v>Retain protein mean pLDDT &gt;=70</x:v>
      </x:c>
      <x:c r="P2799" s="11" t="n">
        <x:v>0</x:v>
      </x:c>
      <x:c r="Q2799" s="12" t="str">
        <x:v>AF-Q9D0B0-F1-model_v6</x:v>
      </x:c>
      <x:c r="R2799" s="12" t="str">
        <x:v>ok</x:v>
      </x:c>
      <x:c r="S2799" s="11" t="n">
        <x:v>2276</x:v>
      </x:c>
      <x:c r="T2799" s="11" t="n">
        <x:v>222</x:v>
      </x:c>
    </x:row>
    <x:row r="2800" ht="23" customHeight="1">
      <x:c r="A2800" s="2" t="str">
        <x:v>Q9D0B6</x:v>
      </x:c>
      <x:c r="B2800" s="2" t="str">
        <x:v>UN</x:v>
      </x:c>
      <x:c r="C2800" s="2" t="n">
        <x:v>1</x:v>
      </x:c>
      <x:c r="D2800" s="2" t="n">
        <x:v>1</x:v>
      </x:c>
      <x:c r="E2800" s="10" t="n">
        <x:v>78.81757575757575</x:v>
      </x:c>
      <x:c r="F2800" s="11" t="n">
        <x:v>198</x:v>
      </x:c>
      <x:c r="G2800" s="11" t="n">
        <x:v>0</x:v>
      </x:c>
      <x:c r="H2800" s="11" t="n">
        <x:v>0</x:v>
      </x:c>
      <x:c r="I2800" s="11" t="n">
        <x:v>0</x:v>
      </x:c>
      <x:c r="J2800" s="11" t="n">
        <x:v>0</x:v>
      </x:c>
      <x:c r="K2800" s="11" t="n">
        <x:v>1</x:v>
      </x:c>
      <x:c r="L2800" s="11" t="n">
        <x:f>IF(B2800="NED",1,IF(OR(B2800="ED",B2800="UN"),0,""))</x:f>
        <x:v>0</x:v>
      </x:c>
      <x:c r="M2800" s="11" t="n">
        <x:f>IF(AND(K2800=1,OR(B2800="ED",B2800="NED")),1,0)</x:f>
        <x:v>0</x:v>
      </x:c>
      <x:c r="N2800" s="11" t="n">
        <x:f>IF(K2800=1,1,0)</x:f>
        <x:v>1</x:v>
      </x:c>
      <x:c r="O2800" s="12"/>
      <x:c r="P2800" s="11" t="n">
        <x:v>0</x:v>
      </x:c>
      <x:c r="Q2800" s="12" t="str">
        <x:v>AF-Q9D0B6-F1-model_v6</x:v>
      </x:c>
      <x:c r="R2800" s="12" t="str">
        <x:v>ok</x:v>
      </x:c>
      <x:c r="S2800" s="11" t="n">
        <x:v>2277</x:v>
      </x:c>
      <x:c r="T2800" s="11" t="n">
        <x:v>198</x:v>
      </x:c>
    </x:row>
    <x:row r="2801" ht="23" customHeight="1">
      <x:c r="A2801" s="2" t="str">
        <x:v>Q9D0D4</x:v>
      </x:c>
      <x:c r="B2801" s="2" t="str">
        <x:v>UN</x:v>
      </x:c>
      <x:c r="C2801" s="2" t="n">
        <x:v>1</x:v>
      </x:c>
      <x:c r="D2801" s="2" t="n">
        <x:v>1</x:v>
      </x:c>
      <x:c r="E2801" s="10" t="n">
        <x:v>92.6788817891374</x:v>
      </x:c>
      <x:c r="F2801" s="11" t="n">
        <x:v>313</x:v>
      </x:c>
      <x:c r="G2801" s="11" t="n">
        <x:v>0</x:v>
      </x:c>
      <x:c r="H2801" s="11" t="n">
        <x:v>0</x:v>
      </x:c>
      <x:c r="I2801" s="11" t="n">
        <x:v>0</x:v>
      </x:c>
      <x:c r="J2801" s="11" t="n">
        <x:v>0</x:v>
      </x:c>
      <x:c r="K2801" s="11" t="n">
        <x:v>1</x:v>
      </x:c>
      <x:c r="L2801" s="11" t="n">
        <x:f>IF(B2801="NED",1,IF(OR(B2801="ED",B2801="UN"),0,""))</x:f>
        <x:v>0</x:v>
      </x:c>
      <x:c r="M2801" s="11" t="n">
        <x:f>IF(AND(K2801=1,OR(B2801="ED",B2801="NED")),1,0)</x:f>
        <x:v>0</x:v>
      </x:c>
      <x:c r="N2801" s="11" t="n">
        <x:f>IF(K2801=1,1,0)</x:f>
        <x:v>1</x:v>
      </x:c>
      <x:c r="O2801" s="12"/>
      <x:c r="P2801" s="11" t="n">
        <x:v>0</x:v>
      </x:c>
      <x:c r="Q2801" s="12" t="str">
        <x:v>AF-Q9D0D4-F1-model_v6</x:v>
      </x:c>
      <x:c r="R2801" s="12" t="str">
        <x:v>ok</x:v>
      </x:c>
      <x:c r="S2801" s="11" t="n">
        <x:v>2278</x:v>
      </x:c>
      <x:c r="T2801" s="11" t="n">
        <x:v>313</x:v>
      </x:c>
    </x:row>
    <x:row r="2802" ht="23" customHeight="1">
      <x:c r="A2802" s="2" t="str">
        <x:v>Q9D0E1-2</x:v>
      </x:c>
      <x:c r="B2802" s="2" t="str">
        <x:v>UN</x:v>
      </x:c>
      <x:c r="C2802" s="2"/>
      <x:c r="D2802" s="2"/>
      <x:c r="E2802" s="10"/>
      <x:c r="F2802" s="11"/>
      <x:c r="G2802" s="11" t="n">
        <x:v>0</x:v>
      </x:c>
      <x:c r="H2802" s="11" t="n">
        <x:v>0</x:v>
      </x:c>
      <x:c r="I2802" s="11"/>
      <x:c r="J2802" s="11"/>
      <x:c r="K2802" s="11" t="n">
        <x:v>0</x:v>
      </x:c>
      <x:c r="L2802" s="11" t="n">
        <x:f>IF(B2802="NED",1,IF(OR(B2802="ED",B2802="UN"),0,""))</x:f>
        <x:v>0</x:v>
      </x:c>
      <x:c r="M2802" s="11" t="n">
        <x:f>IF(AND(K2802=1,OR(B2802="ED",B2802="NED")),1,0)</x:f>
        <x:v>0</x:v>
      </x:c>
      <x:c r="N2802" s="11" t="n">
        <x:f>IF(K2802=1,1,0)</x:f>
        <x:v>0</x:v>
      </x:c>
      <x:c r="O2802" s="12" t="str">
        <x:v>Require exact native accession match</x:v>
      </x:c>
      <x:c r="P2802" s="11" t="n">
        <x:v>0</x:v>
      </x:c>
      <x:c r="Q2802" s="12"/>
      <x:c r="R2802" s="12"/>
      <x:c r="S2802" s="11" t="n">
        <x:v>2279</x:v>
      </x:c>
      <x:c r="T2802" s="11"/>
    </x:row>
    <x:row r="2803" ht="23" customHeight="1">
      <x:c r="A2803" s="2" t="str">
        <x:v>Q9D0F1</x:v>
      </x:c>
      <x:c r="B2803" s="2" t="str">
        <x:v>UN</x:v>
      </x:c>
      <x:c r="C2803" s="2" t="n">
        <x:v>1</x:v>
      </x:c>
      <x:c r="D2803" s="2" t="n">
        <x:v>1</x:v>
      </x:c>
      <x:c r="E2803" s="10" t="n">
        <x:v>77.3502492211838</x:v>
      </x:c>
      <x:c r="F2803" s="11" t="n">
        <x:v>642</x:v>
      </x:c>
      <x:c r="G2803" s="11" t="n">
        <x:v>0</x:v>
      </x:c>
      <x:c r="H2803" s="11" t="n">
        <x:v>0</x:v>
      </x:c>
      <x:c r="I2803" s="11" t="n">
        <x:v>0</x:v>
      </x:c>
      <x:c r="J2803" s="11" t="n">
        <x:v>0</x:v>
      </x:c>
      <x:c r="K2803" s="11" t="n">
        <x:v>1</x:v>
      </x:c>
      <x:c r="L2803" s="11" t="n">
        <x:f>IF(B2803="NED",1,IF(OR(B2803="ED",B2803="UN"),0,""))</x:f>
        <x:v>0</x:v>
      </x:c>
      <x:c r="M2803" s="11" t="n">
        <x:f>IF(AND(K2803=1,OR(B2803="ED",B2803="NED")),1,0)</x:f>
        <x:v>0</x:v>
      </x:c>
      <x:c r="N2803" s="11" t="n">
        <x:f>IF(K2803=1,1,0)</x:f>
        <x:v>1</x:v>
      </x:c>
      <x:c r="O2803" s="12"/>
      <x:c r="P2803" s="11" t="n">
        <x:v>0</x:v>
      </x:c>
      <x:c r="Q2803" s="12" t="str">
        <x:v>AF-Q9D0F1-F1-model_v6</x:v>
      </x:c>
      <x:c r="R2803" s="12" t="str">
        <x:v>ok</x:v>
      </x:c>
      <x:c r="S2803" s="11" t="n">
        <x:v>2280</x:v>
      </x:c>
      <x:c r="T2803" s="11" t="n">
        <x:v>642</x:v>
      </x:c>
    </x:row>
    <x:row r="2804" ht="23" customHeight="1">
      <x:c r="A2804" s="2" t="str">
        <x:v>Q9D0F3</x:v>
      </x:c>
      <x:c r="B2804" s="2" t="str">
        <x:v>UN</x:v>
      </x:c>
      <x:c r="C2804" s="2" t="n">
        <x:v>1</x:v>
      </x:c>
      <x:c r="D2804" s="2" t="n">
        <x:v>1</x:v>
      </x:c>
      <x:c r="E2804" s="10"/>
      <x:c r="F2804" s="11" t="n">
        <x:v>517</x:v>
      </x:c>
      <x:c r="G2804" s="11" t="n">
        <x:v>0</x:v>
      </x:c>
      <x:c r="H2804" s="11" t="n">
        <x:v>0</x:v>
      </x:c>
      <x:c r="I2804" s="11" t="n">
        <x:v>1</x:v>
      </x:c>
      <x:c r="J2804" s="11" t="n">
        <x:v>0</x:v>
      </x:c>
      <x:c r="K2804" s="11" t="n">
        <x:v>0</x:v>
      </x:c>
      <x:c r="L2804" s="11" t="n">
        <x:f>IF(B2804="NED",1,IF(OR(B2804="ED",B2804="UN"),0,""))</x:f>
        <x:v>0</x:v>
      </x:c>
      <x:c r="M2804" s="11" t="n">
        <x:f>IF(AND(K2804=1,OR(B2804="ED",B2804="NED")),1,0)</x:f>
        <x:v>0</x:v>
      </x:c>
      <x:c r="N2804" s="11" t="n">
        <x:f>IF(K2804=1,1,0)</x:f>
        <x:v>0</x:v>
      </x:c>
      <x:c r="O2804" s="12" t="str">
        <x:v>Exclude UniProt Membrane keyword</x:v>
      </x:c>
      <x:c r="P2804" s="11" t="n">
        <x:v>0</x:v>
      </x:c>
      <x:c r="Q2804" s="12" t="str">
        <x:v>AF-Q9D0F3-F1-model_v6</x:v>
      </x:c>
      <x:c r="R2804" s="12" t="str">
        <x:v>ok</x:v>
      </x:c>
      <x:c r="S2804" s="11" t="n">
        <x:v>2281</x:v>
      </x:c>
      <x:c r="T2804" s="11" t="n">
        <x:v>517</x:v>
      </x:c>
    </x:row>
    <x:row r="2805" ht="23" customHeight="1">
      <x:c r="A2805" s="2" t="str">
        <x:v>Q9D0F6</x:v>
      </x:c>
      <x:c r="B2805" s="2" t="str">
        <x:v>UN</x:v>
      </x:c>
      <x:c r="C2805" s="2" t="n">
        <x:v>1</x:v>
      </x:c>
      <x:c r="D2805" s="2" t="n">
        <x:v>1</x:v>
      </x:c>
      <x:c r="E2805" s="10" t="n">
        <x:v>90.6278466076696</x:v>
      </x:c>
      <x:c r="F2805" s="11" t="n">
        <x:v>339</x:v>
      </x:c>
      <x:c r="G2805" s="11" t="n">
        <x:v>0</x:v>
      </x:c>
      <x:c r="H2805" s="11" t="n">
        <x:v>0</x:v>
      </x:c>
      <x:c r="I2805" s="11" t="n">
        <x:v>0</x:v>
      </x:c>
      <x:c r="J2805" s="11" t="n">
        <x:v>0</x:v>
      </x:c>
      <x:c r="K2805" s="11" t="n">
        <x:v>1</x:v>
      </x:c>
      <x:c r="L2805" s="11" t="n">
        <x:f>IF(B2805="NED",1,IF(OR(B2805="ED",B2805="UN"),0,""))</x:f>
        <x:v>0</x:v>
      </x:c>
      <x:c r="M2805" s="11" t="n">
        <x:f>IF(AND(K2805=1,OR(B2805="ED",B2805="NED")),1,0)</x:f>
        <x:v>0</x:v>
      </x:c>
      <x:c r="N2805" s="11" t="n">
        <x:f>IF(K2805=1,1,0)</x:f>
        <x:v>1</x:v>
      </x:c>
      <x:c r="O2805" s="12"/>
      <x:c r="P2805" s="11" t="n">
        <x:v>0</x:v>
      </x:c>
      <x:c r="Q2805" s="12" t="str">
        <x:v>AF-Q9D0F6-F1-model_v6</x:v>
      </x:c>
      <x:c r="R2805" s="12" t="str">
        <x:v>ok</x:v>
      </x:c>
      <x:c r="S2805" s="11" t="n">
        <x:v>2282</x:v>
      </x:c>
      <x:c r="T2805" s="11" t="n">
        <x:v>339</x:v>
      </x:c>
    </x:row>
    <x:row r="2806" ht="23" customHeight="1">
      <x:c r="A2806" s="2" t="str">
        <x:v>Q9D0F9</x:v>
      </x:c>
      <x:c r="B2806" s="2" t="str">
        <x:v>UN</x:v>
      </x:c>
      <x:c r="C2806" s="2" t="n">
        <x:v>1</x:v>
      </x:c>
      <x:c r="D2806" s="2" t="n">
        <x:v>1</x:v>
      </x:c>
      <x:c r="E2806" s="10" t="n">
        <x:v>97.02286476868328</x:v>
      </x:c>
      <x:c r="F2806" s="11" t="n">
        <x:v>562</x:v>
      </x:c>
      <x:c r="G2806" s="11" t="n">
        <x:v>0</x:v>
      </x:c>
      <x:c r="H2806" s="11" t="n">
        <x:v>0</x:v>
      </x:c>
      <x:c r="I2806" s="11" t="n">
        <x:v>0</x:v>
      </x:c>
      <x:c r="J2806" s="11" t="n">
        <x:v>0</x:v>
      </x:c>
      <x:c r="K2806" s="11" t="n">
        <x:v>1</x:v>
      </x:c>
      <x:c r="L2806" s="11" t="n">
        <x:f>IF(B2806="NED",1,IF(OR(B2806="ED",B2806="UN"),0,""))</x:f>
        <x:v>0</x:v>
      </x:c>
      <x:c r="M2806" s="11" t="n">
        <x:f>IF(AND(K2806=1,OR(B2806="ED",B2806="NED")),1,0)</x:f>
        <x:v>0</x:v>
      </x:c>
      <x:c r="N2806" s="11" t="n">
        <x:f>IF(K2806=1,1,0)</x:f>
        <x:v>1</x:v>
      </x:c>
      <x:c r="O2806" s="12"/>
      <x:c r="P2806" s="11" t="n">
        <x:v>0</x:v>
      </x:c>
      <x:c r="Q2806" s="12" t="str">
        <x:v>AF-Q9D0F9-F1-model_v6</x:v>
      </x:c>
      <x:c r="R2806" s="12" t="str">
        <x:v>ok</x:v>
      </x:c>
      <x:c r="S2806" s="11" t="n">
        <x:v>2283</x:v>
      </x:c>
      <x:c r="T2806" s="11" t="n">
        <x:v>562</x:v>
      </x:c>
    </x:row>
    <x:row r="2807" ht="23" customHeight="1">
      <x:c r="A2807" s="2" t="str">
        <x:v>Q9D0I8</x:v>
      </x:c>
      <x:c r="B2807" s="2" t="str">
        <x:v>ED</x:v>
      </x:c>
      <x:c r="C2807" s="2" t="n">
        <x:v>1</x:v>
      </x:c>
      <x:c r="D2807" s="2" t="n">
        <x:v>1</x:v>
      </x:c>
      <x:c r="E2807" s="10" t="n">
        <x:v>89.24828451882846</x:v>
      </x:c>
      <x:c r="F2807" s="11" t="n">
        <x:v>239</x:v>
      </x:c>
      <x:c r="G2807" s="11" t="n">
        <x:v>0</x:v>
      </x:c>
      <x:c r="H2807" s="11" t="n">
        <x:v>0</x:v>
      </x:c>
      <x:c r="I2807" s="11" t="n">
        <x:v>0</x:v>
      </x:c>
      <x:c r="J2807" s="11" t="n">
        <x:v>0</x:v>
      </x:c>
      <x:c r="K2807" s="11" t="n">
        <x:v>1</x:v>
      </x:c>
      <x:c r="L2807" s="11" t="n">
        <x:f>IF(B2807="NED",1,IF(OR(B2807="ED",B2807="UN"),0,""))</x:f>
        <x:v>0</x:v>
      </x:c>
      <x:c r="M2807" s="11" t="n">
        <x:f>IF(AND(K2807=1,OR(B2807="ED",B2807="NED")),1,0)</x:f>
        <x:v>1</x:v>
      </x:c>
      <x:c r="N2807" s="11" t="n">
        <x:f>IF(K2807=1,1,0)</x:f>
        <x:v>1</x:v>
      </x:c>
      <x:c r="O2807" s="12"/>
      <x:c r="P2807" s="11" t="n">
        <x:v>0</x:v>
      </x:c>
      <x:c r="Q2807" s="12" t="str">
        <x:v>AF-Q9D0I8-F1-model_v6</x:v>
      </x:c>
      <x:c r="R2807" s="12" t="str">
        <x:v>ok</x:v>
      </x:c>
      <x:c r="S2807" s="11" t="n">
        <x:v>2284</x:v>
      </x:c>
      <x:c r="T2807" s="11" t="n">
        <x:v>239</x:v>
      </x:c>
    </x:row>
    <x:row r="2808" ht="23" customHeight="1">
      <x:c r="A2808" s="2" t="str">
        <x:v>Q9D0I9</x:v>
      </x:c>
      <x:c r="B2808" s="2" t="str">
        <x:v>UN</x:v>
      </x:c>
      <x:c r="C2808" s="2" t="n">
        <x:v>1</x:v>
      </x:c>
      <x:c r="D2808" s="2" t="n">
        <x:v>1</x:v>
      </x:c>
      <x:c r="E2808" s="10" t="n">
        <x:v>92.00025757575756</x:v>
      </x:c>
      <x:c r="F2808" s="11" t="n">
        <x:v>660</x:v>
      </x:c>
      <x:c r="G2808" s="11" t="n">
        <x:v>0</x:v>
      </x:c>
      <x:c r="H2808" s="11" t="n">
        <x:v>0</x:v>
      </x:c>
      <x:c r="I2808" s="11" t="n">
        <x:v>0</x:v>
      </x:c>
      <x:c r="J2808" s="11" t="n">
        <x:v>0</x:v>
      </x:c>
      <x:c r="K2808" s="11" t="n">
        <x:v>1</x:v>
      </x:c>
      <x:c r="L2808" s="11" t="n">
        <x:f>IF(B2808="NED",1,IF(OR(B2808="ED",B2808="UN"),0,""))</x:f>
        <x:v>0</x:v>
      </x:c>
      <x:c r="M2808" s="11" t="n">
        <x:f>IF(AND(K2808=1,OR(B2808="ED",B2808="NED")),1,0)</x:f>
        <x:v>0</x:v>
      </x:c>
      <x:c r="N2808" s="11" t="n">
        <x:f>IF(K2808=1,1,0)</x:f>
        <x:v>1</x:v>
      </x:c>
      <x:c r="O2808" s="12"/>
      <x:c r="P2808" s="11" t="n">
        <x:v>0</x:v>
      </x:c>
      <x:c r="Q2808" s="12" t="str">
        <x:v>AF-Q9D0I9-F1-model_v6</x:v>
      </x:c>
      <x:c r="R2808" s="12" t="str">
        <x:v>ok</x:v>
      </x:c>
      <x:c r="S2808" s="11" t="n">
        <x:v>2285</x:v>
      </x:c>
      <x:c r="T2808" s="11" t="n">
        <x:v>660</x:v>
      </x:c>
    </x:row>
    <x:row r="2809" ht="23" customHeight="1">
      <x:c r="A2809" s="2" t="str">
        <x:v>Q9D0L7</x:v>
      </x:c>
      <x:c r="B2809" s="2" t="str">
        <x:v>UN</x:v>
      </x:c>
      <x:c r="C2809" s="2" t="n">
        <x:v>0</x:v>
      </x:c>
      <x:c r="D2809" s="2" t="n">
        <x:v>0</x:v>
      </x:c>
      <x:c r="E2809" s="10"/>
      <x:c r="F2809" s="11" t="n">
        <x:v>306</x:v>
      </x:c>
      <x:c r="G2809" s="11" t="n">
        <x:v>0</x:v>
      </x:c>
      <x:c r="H2809" s="11" t="n">
        <x:v>0</x:v>
      </x:c>
      <x:c r="I2809" s="11" t="n">
        <x:v>1</x:v>
      </x:c>
      <x:c r="J2809" s="11" t="n">
        <x:v>0</x:v>
      </x:c>
      <x:c r="K2809" s="11" t="n">
        <x:v>0</x:v>
      </x:c>
      <x:c r="L2809" s="11" t="n">
        <x:f>IF(B2809="NED",1,IF(OR(B2809="ED",B2809="UN"),0,""))</x:f>
        <x:v>0</x:v>
      </x:c>
      <x:c r="M2809" s="11" t="n">
        <x:f>IF(AND(K2809=1,OR(B2809="ED",B2809="NED")),1,0)</x:f>
        <x:v>0</x:v>
      </x:c>
      <x:c r="N2809" s="11" t="n">
        <x:f>IF(K2809=1,1,0)</x:f>
        <x:v>0</x:v>
      </x:c>
      <x:c r="O2809" s="12" t="str">
        <x:v>Exclude UniProt Membrane keyword</x:v>
      </x:c>
      <x:c r="P2809" s="11" t="n">
        <x:v>0</x:v>
      </x:c>
      <x:c r="Q2809" s="12" t="str">
        <x:v>AF-Q9D0L7-F1-model_v6</x:v>
      </x:c>
      <x:c r="R2809" s="12" t="str">
        <x:v>ok</x:v>
      </x:c>
      <x:c r="S2809" s="11" t="n">
        <x:v>2286</x:v>
      </x:c>
      <x:c r="T2809" s="11" t="n">
        <x:v>306</x:v>
      </x:c>
    </x:row>
    <x:row r="2810" ht="23" customHeight="1">
      <x:c r="A2810" s="2" t="str">
        <x:v>Q9D0L8</x:v>
      </x:c>
      <x:c r="B2810" s="2" t="str">
        <x:v>NED</x:v>
      </x:c>
      <x:c r="C2810" s="2" t="n">
        <x:v>1</x:v>
      </x:c>
      <x:c r="D2810" s="2" t="n">
        <x:v>1</x:v>
      </x:c>
      <x:c r="E2810" s="10" t="n">
        <x:v>78.43045161290323</x:v>
      </x:c>
      <x:c r="F2810" s="11" t="n">
        <x:v>465</x:v>
      </x:c>
      <x:c r="G2810" s="11" t="n">
        <x:v>0</x:v>
      </x:c>
      <x:c r="H2810" s="11" t="n">
        <x:v>0</x:v>
      </x:c>
      <x:c r="I2810" s="11" t="n">
        <x:v>0</x:v>
      </x:c>
      <x:c r="J2810" s="11" t="n">
        <x:v>0</x:v>
      </x:c>
      <x:c r="K2810" s="11" t="n">
        <x:v>1</x:v>
      </x:c>
      <x:c r="L2810" s="11" t="n">
        <x:f>IF(B2810="NED",1,IF(OR(B2810="ED",B2810="UN"),0,""))</x:f>
        <x:v>1</x:v>
      </x:c>
      <x:c r="M2810" s="11" t="n">
        <x:f>IF(AND(K2810=1,OR(B2810="ED",B2810="NED")),1,0)</x:f>
        <x:v>1</x:v>
      </x:c>
      <x:c r="N2810" s="11" t="n">
        <x:f>IF(K2810=1,1,0)</x:f>
        <x:v>1</x:v>
      </x:c>
      <x:c r="O2810" s="12"/>
      <x:c r="P2810" s="11" t="n">
        <x:v>0</x:v>
      </x:c>
      <x:c r="Q2810" s="12" t="str">
        <x:v>AF-Q9D0L8-F1-model_v6</x:v>
      </x:c>
      <x:c r="R2810" s="12" t="str">
        <x:v>ok</x:v>
      </x:c>
      <x:c r="S2810" s="11" t="n">
        <x:v>2287</x:v>
      </x:c>
      <x:c r="T2810" s="11" t="n">
        <x:v>465</x:v>
      </x:c>
    </x:row>
    <x:row r="2811" ht="23" customHeight="1">
      <x:c r="A2811" s="2" t="str">
        <x:v>Q9D0R2</x:v>
      </x:c>
      <x:c r="B2811" s="2" t="str">
        <x:v>UN</x:v>
      </x:c>
      <x:c r="C2811" s="2" t="n">
        <x:v>1</x:v>
      </x:c>
      <x:c r="D2811" s="2" t="n">
        <x:v>1</x:v>
      </x:c>
      <x:c r="E2811" s="10" t="n">
        <x:v>90.58883656509695</x:v>
      </x:c>
      <x:c r="F2811" s="11" t="n">
        <x:v>722</x:v>
      </x:c>
      <x:c r="G2811" s="11" t="n">
        <x:v>0</x:v>
      </x:c>
      <x:c r="H2811" s="11" t="n">
        <x:v>0</x:v>
      </x:c>
      <x:c r="I2811" s="11" t="n">
        <x:v>0</x:v>
      </x:c>
      <x:c r="J2811" s="11" t="n">
        <x:v>0</x:v>
      </x:c>
      <x:c r="K2811" s="11" t="n">
        <x:v>1</x:v>
      </x:c>
      <x:c r="L2811" s="11" t="n">
        <x:f>IF(B2811="NED",1,IF(OR(B2811="ED",B2811="UN"),0,""))</x:f>
        <x:v>0</x:v>
      </x:c>
      <x:c r="M2811" s="11" t="n">
        <x:f>IF(AND(K2811=1,OR(B2811="ED",B2811="NED")),1,0)</x:f>
        <x:v>0</x:v>
      </x:c>
      <x:c r="N2811" s="11" t="n">
        <x:f>IF(K2811=1,1,0)</x:f>
        <x:v>1</x:v>
      </x:c>
      <x:c r="O2811" s="12"/>
      <x:c r="P2811" s="11" t="n">
        <x:v>0</x:v>
      </x:c>
      <x:c r="Q2811" s="12" t="str">
        <x:v>AF-Q9D0R2-F1-model_v6</x:v>
      </x:c>
      <x:c r="R2811" s="12" t="str">
        <x:v>ok</x:v>
      </x:c>
      <x:c r="S2811" s="11" t="n">
        <x:v>2288</x:v>
      </x:c>
      <x:c r="T2811" s="11" t="n">
        <x:v>722</x:v>
      </x:c>
    </x:row>
    <x:row r="2812" ht="23" customHeight="1">
      <x:c r="A2812" s="2" t="str">
        <x:v>Q9D0R4</x:v>
      </x:c>
      <x:c r="B2812" s="2" t="str">
        <x:v>UN</x:v>
      </x:c>
      <x:c r="C2812" s="2" t="n">
        <x:v>1</x:v>
      </x:c>
      <x:c r="D2812" s="2" t="n">
        <x:v>1</x:v>
      </x:c>
      <x:c r="E2812" s="10" t="n">
        <x:v>79.39087912087912</x:v>
      </x:c>
      <x:c r="F2812" s="11" t="n">
        <x:v>546</x:v>
      </x:c>
      <x:c r="G2812" s="11" t="n">
        <x:v>0</x:v>
      </x:c>
      <x:c r="H2812" s="11" t="n">
        <x:v>0</x:v>
      </x:c>
      <x:c r="I2812" s="11" t="n">
        <x:v>0</x:v>
      </x:c>
      <x:c r="J2812" s="11" t="n">
        <x:v>0</x:v>
      </x:c>
      <x:c r="K2812" s="11" t="n">
        <x:v>1</x:v>
      </x:c>
      <x:c r="L2812" s="11" t="n">
        <x:f>IF(B2812="NED",1,IF(OR(B2812="ED",B2812="UN"),0,""))</x:f>
        <x:v>0</x:v>
      </x:c>
      <x:c r="M2812" s="11" t="n">
        <x:f>IF(AND(K2812=1,OR(B2812="ED",B2812="NED")),1,0)</x:f>
        <x:v>0</x:v>
      </x:c>
      <x:c r="N2812" s="11" t="n">
        <x:f>IF(K2812=1,1,0)</x:f>
        <x:v>1</x:v>
      </x:c>
      <x:c r="O2812" s="12"/>
      <x:c r="P2812" s="11" t="n">
        <x:v>0</x:v>
      </x:c>
      <x:c r="Q2812" s="12" t="str">
        <x:v>AF-Q9D0R4-F1-model_v6</x:v>
      </x:c>
      <x:c r="R2812" s="12" t="str">
        <x:v>ok</x:v>
      </x:c>
      <x:c r="S2812" s="11" t="n">
        <x:v>2289</x:v>
      </x:c>
      <x:c r="T2812" s="11" t="n">
        <x:v>546</x:v>
      </x:c>
    </x:row>
    <x:row r="2813" ht="23" customHeight="1">
      <x:c r="A2813" s="2" t="str">
        <x:v>Q9D0R8</x:v>
      </x:c>
      <x:c r="B2813" s="2" t="str">
        <x:v>ED</x:v>
      </x:c>
      <x:c r="C2813" s="2" t="n">
        <x:v>1</x:v>
      </x:c>
      <x:c r="D2813" s="2" t="n">
        <x:v>1</x:v>
      </x:c>
      <x:c r="E2813" s="10" t="n">
        <x:v>90.83276923076924</x:v>
      </x:c>
      <x:c r="F2813" s="11" t="n">
        <x:v>195</x:v>
      </x:c>
      <x:c r="G2813" s="11" t="n">
        <x:v>0</x:v>
      </x:c>
      <x:c r="H2813" s="11" t="n">
        <x:v>0</x:v>
      </x:c>
      <x:c r="I2813" s="11" t="n">
        <x:v>0</x:v>
      </x:c>
      <x:c r="J2813" s="11" t="n">
        <x:v>0</x:v>
      </x:c>
      <x:c r="K2813" s="11" t="n">
        <x:v>1</x:v>
      </x:c>
      <x:c r="L2813" s="11" t="n">
        <x:f>IF(B2813="NED",1,IF(OR(B2813="ED",B2813="UN"),0,""))</x:f>
        <x:v>0</x:v>
      </x:c>
      <x:c r="M2813" s="11" t="n">
        <x:f>IF(AND(K2813=1,OR(B2813="ED",B2813="NED")),1,0)</x:f>
        <x:v>1</x:v>
      </x:c>
      <x:c r="N2813" s="11" t="n">
        <x:f>IF(K2813=1,1,0)</x:f>
        <x:v>1</x:v>
      </x:c>
      <x:c r="O2813" s="12"/>
      <x:c r="P2813" s="11" t="n">
        <x:v>0</x:v>
      </x:c>
      <x:c r="Q2813" s="12" t="str">
        <x:v>AF-Q9D0R8-F1-model_v6</x:v>
      </x:c>
      <x:c r="R2813" s="12" t="str">
        <x:v>ok</x:v>
      </x:c>
      <x:c r="S2813" s="11" t="n">
        <x:v>2290</x:v>
      </x:c>
      <x:c r="T2813" s="11" t="n">
        <x:v>195</x:v>
      </x:c>
    </x:row>
    <x:row r="2814" ht="23" customHeight="1">
      <x:c r="A2814" s="2" t="str">
        <x:v>Q9D0S9</x:v>
      </x:c>
      <x:c r="B2814" s="2" t="str">
        <x:v>UN</x:v>
      </x:c>
      <x:c r="C2814" s="2" t="n">
        <x:v>0</x:v>
      </x:c>
      <x:c r="D2814" s="2" t="n">
        <x:v>0</x:v>
      </x:c>
      <x:c r="E2814" s="10" t="n">
        <x:v>83.61153374233129</x:v>
      </x:c>
      <x:c r="F2814" s="11" t="n">
        <x:v>163</x:v>
      </x:c>
      <x:c r="G2814" s="11" t="n">
        <x:v>0</x:v>
      </x:c>
      <x:c r="H2814" s="11" t="n">
        <x:v>0</x:v>
      </x:c>
      <x:c r="I2814" s="11" t="n">
        <x:v>0</x:v>
      </x:c>
      <x:c r="J2814" s="11" t="n">
        <x:v>0</x:v>
      </x:c>
      <x:c r="K2814" s="11" t="n">
        <x:v>1</x:v>
      </x:c>
      <x:c r="L2814" s="11" t="n">
        <x:f>IF(B2814="NED",1,IF(OR(B2814="ED",B2814="UN"),0,""))</x:f>
        <x:v>0</x:v>
      </x:c>
      <x:c r="M2814" s="11" t="n">
        <x:f>IF(AND(K2814=1,OR(B2814="ED",B2814="NED")),1,0)</x:f>
        <x:v>0</x:v>
      </x:c>
      <x:c r="N2814" s="11" t="n">
        <x:f>IF(K2814=1,1,0)</x:f>
        <x:v>1</x:v>
      </x:c>
      <x:c r="O2814" s="12"/>
      <x:c r="P2814" s="11" t="n">
        <x:v>0</x:v>
      </x:c>
      <x:c r="Q2814" s="12" t="str">
        <x:v>AF-Q9D0S9-F1-model_v6</x:v>
      </x:c>
      <x:c r="R2814" s="12" t="str">
        <x:v>ok</x:v>
      </x:c>
      <x:c r="S2814" s="11" t="n">
        <x:v>2291</x:v>
      </x:c>
      <x:c r="T2814" s="11" t="n">
        <x:v>163</x:v>
      </x:c>
    </x:row>
    <x:row r="2815" ht="23" customHeight="1">
      <x:c r="A2815" s="2" t="str">
        <x:v>Q9D0T1</x:v>
      </x:c>
      <x:c r="B2815" s="2" t="str">
        <x:v>NED</x:v>
      </x:c>
      <x:c r="C2815" s="2" t="n">
        <x:v>1</x:v>
      </x:c>
      <x:c r="D2815" s="2" t="n">
        <x:v>1</x:v>
      </x:c>
      <x:c r="E2815" s="10" t="n">
        <x:v>95.2384375</x:v>
      </x:c>
      <x:c r="F2815" s="11" t="n">
        <x:v>128</x:v>
      </x:c>
      <x:c r="G2815" s="11" t="n">
        <x:v>0</x:v>
      </x:c>
      <x:c r="H2815" s="11" t="n">
        <x:v>0</x:v>
      </x:c>
      <x:c r="I2815" s="11" t="n">
        <x:v>0</x:v>
      </x:c>
      <x:c r="J2815" s="11" t="n">
        <x:v>0</x:v>
      </x:c>
      <x:c r="K2815" s="11" t="n">
        <x:v>1</x:v>
      </x:c>
      <x:c r="L2815" s="11" t="n">
        <x:f>IF(B2815="NED",1,IF(OR(B2815="ED",B2815="UN"),0,""))</x:f>
        <x:v>1</x:v>
      </x:c>
      <x:c r="M2815" s="11" t="n">
        <x:f>IF(AND(K2815=1,OR(B2815="ED",B2815="NED")),1,0)</x:f>
        <x:v>1</x:v>
      </x:c>
      <x:c r="N2815" s="11" t="n">
        <x:f>IF(K2815=1,1,0)</x:f>
        <x:v>1</x:v>
      </x:c>
      <x:c r="O2815" s="12"/>
      <x:c r="P2815" s="11" t="n">
        <x:v>0</x:v>
      </x:c>
      <x:c r="Q2815" s="12" t="str">
        <x:v>AF-Q9D0T1-F1-model_v6</x:v>
      </x:c>
      <x:c r="R2815" s="12" t="str">
        <x:v>ok</x:v>
      </x:c>
      <x:c r="S2815" s="11" t="n">
        <x:v>2292</x:v>
      </x:c>
      <x:c r="T2815" s="11" t="n">
        <x:v>128</x:v>
      </x:c>
    </x:row>
    <x:row r="2816" ht="23" customHeight="1">
      <x:c r="A2816" s="2" t="str">
        <x:v>Q9D104</x:v>
      </x:c>
      <x:c r="B2816" s="2" t="str">
        <x:v>ED</x:v>
      </x:c>
      <x:c r="C2816" s="2"/>
      <x:c r="D2816" s="2"/>
      <x:c r="E2816" s="10"/>
      <x:c r="F2816" s="11"/>
      <x:c r="G2816" s="11" t="n">
        <x:v>0</x:v>
      </x:c>
      <x:c r="H2816" s="11" t="n">
        <x:v>0</x:v>
      </x:c>
      <x:c r="I2816" s="11" t="n">
        <x:v>0</x:v>
      </x:c>
      <x:c r="J2816" s="11" t="n">
        <x:v>0</x:v>
      </x:c>
      <x:c r="K2816" s="11" t="n">
        <x:v>0</x:v>
      </x:c>
      <x:c r="L2816" s="11" t="n">
        <x:f>IF(B2816="NED",1,IF(OR(B2816="ED",B2816="UN"),0,""))</x:f>
        <x:v>0</x:v>
      </x:c>
      <x:c r="M2816" s="11" t="n">
        <x:f>IF(AND(K2816=1,OR(B2816="ED",B2816="NED")),1,0)</x:f>
        <x:v>0</x:v>
      </x:c>
      <x:c r="N2816" s="11" t="n">
        <x:f>IF(K2816=1,1,0)</x:f>
        <x:v>0</x:v>
      </x:c>
      <x:c r="O2816" s="12" t="str">
        <x:v>Require exact native accession match</x:v>
      </x:c>
      <x:c r="P2816" s="11" t="n">
        <x:v>0</x:v>
      </x:c>
      <x:c r="Q2816" s="12"/>
      <x:c r="R2816" s="12"/>
      <x:c r="S2816" s="11" t="n">
        <x:v>3266</x:v>
      </x:c>
      <x:c r="T2816" s="11" t="n">
        <x:v>144</x:v>
      </x:c>
    </x:row>
    <x:row r="2817" ht="23" customHeight="1">
      <x:c r="A2817" s="2" t="str">
        <x:v>Q9D125</x:v>
      </x:c>
      <x:c r="B2817" s="2" t="str">
        <x:v>NED</x:v>
      </x:c>
      <x:c r="C2817" s="2" t="n">
        <x:v>1</x:v>
      </x:c>
      <x:c r="D2817" s="2" t="n">
        <x:v>1</x:v>
      </x:c>
      <x:c r="E2817" s="10" t="n">
        <x:v>94.7806432748538</x:v>
      </x:c>
      <x:c r="F2817" s="11" t="n">
        <x:v>171</x:v>
      </x:c>
      <x:c r="G2817" s="11" t="n">
        <x:v>0</x:v>
      </x:c>
      <x:c r="H2817" s="11" t="n">
        <x:v>0</x:v>
      </x:c>
      <x:c r="I2817" s="11" t="n">
        <x:v>0</x:v>
      </x:c>
      <x:c r="J2817" s="11" t="n">
        <x:v>0</x:v>
      </x:c>
      <x:c r="K2817" s="11" t="n">
        <x:v>1</x:v>
      </x:c>
      <x:c r="L2817" s="11" t="n">
        <x:f>IF(B2817="NED",1,IF(OR(B2817="ED",B2817="UN"),0,""))</x:f>
        <x:v>1</x:v>
      </x:c>
      <x:c r="M2817" s="11" t="n">
        <x:f>IF(AND(K2817=1,OR(B2817="ED",B2817="NED")),1,0)</x:f>
        <x:v>1</x:v>
      </x:c>
      <x:c r="N2817" s="11" t="n">
        <x:f>IF(K2817=1,1,0)</x:f>
        <x:v>1</x:v>
      </x:c>
      <x:c r="O2817" s="12"/>
      <x:c r="P2817" s="11" t="n">
        <x:v>0</x:v>
      </x:c>
      <x:c r="Q2817" s="12" t="str">
        <x:v>AF-Q9D125-F1-model_v6</x:v>
      </x:c>
      <x:c r="R2817" s="12" t="str">
        <x:v>ok</x:v>
      </x:c>
      <x:c r="S2817" s="11" t="n">
        <x:v>2293</x:v>
      </x:c>
      <x:c r="T2817" s="11" t="n">
        <x:v>171</x:v>
      </x:c>
    </x:row>
    <x:row r="2818" ht="23" customHeight="1">
      <x:c r="A2818" s="2" t="str">
        <x:v>Q9D172</x:v>
      </x:c>
      <x:c r="B2818" s="2" t="str">
        <x:v>ED</x:v>
      </x:c>
      <x:c r="C2818" s="2" t="n">
        <x:v>1</x:v>
      </x:c>
      <x:c r="D2818" s="2" t="n">
        <x:v>1</x:v>
      </x:c>
      <x:c r="E2818" s="10" t="n">
        <x:v>91.09244360902257</x:v>
      </x:c>
      <x:c r="F2818" s="11" t="n">
        <x:v>266</x:v>
      </x:c>
      <x:c r="G2818" s="11" t="n">
        <x:v>0</x:v>
      </x:c>
      <x:c r="H2818" s="11" t="n">
        <x:v>0</x:v>
      </x:c>
      <x:c r="I2818" s="11" t="n">
        <x:v>0</x:v>
      </x:c>
      <x:c r="J2818" s="11" t="n">
        <x:v>0</x:v>
      </x:c>
      <x:c r="K2818" s="11" t="n">
        <x:v>1</x:v>
      </x:c>
      <x:c r="L2818" s="11" t="n">
        <x:f>IF(B2818="NED",1,IF(OR(B2818="ED",B2818="UN"),0,""))</x:f>
        <x:v>0</x:v>
      </x:c>
      <x:c r="M2818" s="11" t="n">
        <x:f>IF(AND(K2818=1,OR(B2818="ED",B2818="NED")),1,0)</x:f>
        <x:v>1</x:v>
      </x:c>
      <x:c r="N2818" s="11" t="n">
        <x:f>IF(K2818=1,1,0)</x:f>
        <x:v>1</x:v>
      </x:c>
      <x:c r="O2818" s="12"/>
      <x:c r="P2818" s="11" t="n">
        <x:v>0</x:v>
      </x:c>
      <x:c r="Q2818" s="12" t="str">
        <x:v>AF-Q9D172-F1-model_v6</x:v>
      </x:c>
      <x:c r="R2818" s="12" t="str">
        <x:v>ok</x:v>
      </x:c>
      <x:c r="S2818" s="11" t="n">
        <x:v>2294</x:v>
      </x:c>
      <x:c r="T2818" s="11" t="n">
        <x:v>266</x:v>
      </x:c>
    </x:row>
    <x:row r="2819" ht="23" customHeight="1">
      <x:c r="A2819" s="2" t="str">
        <x:v>Q9D186</x:v>
      </x:c>
      <x:c r="B2819" s="2" t="str">
        <x:v>UN</x:v>
      </x:c>
      <x:c r="C2819" s="2"/>
      <x:c r="D2819" s="2"/>
      <x:c r="E2819" s="10"/>
      <x:c r="F2819" s="11"/>
      <x:c r="G2819" s="11" t="n">
        <x:v>0</x:v>
      </x:c>
      <x:c r="H2819" s="11" t="n">
        <x:v>0</x:v>
      </x:c>
      <x:c r="I2819" s="11"/>
      <x:c r="J2819" s="11"/>
      <x:c r="K2819" s="11" t="n">
        <x:v>0</x:v>
      </x:c>
      <x:c r="L2819" s="11" t="n">
        <x:f>IF(B2819="NED",1,IF(OR(B2819="ED",B2819="UN"),0,""))</x:f>
        <x:v>0</x:v>
      </x:c>
      <x:c r="M2819" s="11" t="n">
        <x:f>IF(AND(K2819=1,OR(B2819="ED",B2819="NED")),1,0)</x:f>
        <x:v>0</x:v>
      </x:c>
      <x:c r="N2819" s="11" t="n">
        <x:f>IF(K2819=1,1,0)</x:f>
        <x:v>0</x:v>
      </x:c>
      <x:c r="O2819" s="12" t="str">
        <x:v>Require exact native accession match</x:v>
      </x:c>
      <x:c r="P2819" s="11" t="n">
        <x:v>0</x:v>
      </x:c>
      <x:c r="Q2819" s="12"/>
      <x:c r="R2819" s="12"/>
      <x:c r="S2819" s="11" t="n">
        <x:v>3267</x:v>
      </x:c>
      <x:c r="T2819" s="11"/>
    </x:row>
    <x:row r="2820" ht="23" customHeight="1">
      <x:c r="A2820" s="2" t="str">
        <x:v>Q9D1C9</x:v>
      </x:c>
      <x:c r="B2820" s="2" t="str">
        <x:v>NED</x:v>
      </x:c>
      <x:c r="C2820" s="2" t="n">
        <x:v>1</x:v>
      </x:c>
      <x:c r="D2820" s="2" t="n">
        <x:v>1</x:v>
      </x:c>
      <x:c r="E2820" s="10" t="n">
        <x:v>81.12564285714286</x:v>
      </x:c>
      <x:c r="F2820" s="11" t="n">
        <x:v>280</x:v>
      </x:c>
      <x:c r="G2820" s="11" t="n">
        <x:v>0</x:v>
      </x:c>
      <x:c r="H2820" s="11" t="n">
        <x:v>0</x:v>
      </x:c>
      <x:c r="I2820" s="11" t="n">
        <x:v>0</x:v>
      </x:c>
      <x:c r="J2820" s="11" t="n">
        <x:v>0</x:v>
      </x:c>
      <x:c r="K2820" s="11" t="n">
        <x:v>1</x:v>
      </x:c>
      <x:c r="L2820" s="11" t="n">
        <x:f>IF(B2820="NED",1,IF(OR(B2820="ED",B2820="UN"),0,""))</x:f>
        <x:v>1</x:v>
      </x:c>
      <x:c r="M2820" s="11" t="n">
        <x:f>IF(AND(K2820=1,OR(B2820="ED",B2820="NED")),1,0)</x:f>
        <x:v>1</x:v>
      </x:c>
      <x:c r="N2820" s="11" t="n">
        <x:f>IF(K2820=1,1,0)</x:f>
        <x:v>1</x:v>
      </x:c>
      <x:c r="O2820" s="12"/>
      <x:c r="P2820" s="11" t="n">
        <x:v>0</x:v>
      </x:c>
      <x:c r="Q2820" s="12" t="str">
        <x:v>AF-Q9D1C9-F1-model_v6</x:v>
      </x:c>
      <x:c r="R2820" s="12" t="str">
        <x:v>ok</x:v>
      </x:c>
      <x:c r="S2820" s="11" t="n">
        <x:v>2295</x:v>
      </x:c>
      <x:c r="T2820" s="11" t="n">
        <x:v>280</x:v>
      </x:c>
    </x:row>
    <x:row r="2821" ht="23" customHeight="1">
      <x:c r="A2821" s="2" t="str">
        <x:v>Q9D1D4</x:v>
      </x:c>
      <x:c r="B2821" s="2" t="str">
        <x:v>UN</x:v>
      </x:c>
      <x:c r="C2821" s="2" t="n">
        <x:v>0</x:v>
      </x:c>
      <x:c r="D2821" s="2" t="n">
        <x:v>0</x:v>
      </x:c>
      <x:c r="E2821" s="10"/>
      <x:c r="F2821" s="11" t="n">
        <x:v>219</x:v>
      </x:c>
      <x:c r="G2821" s="11" t="n">
        <x:v>0</x:v>
      </x:c>
      <x:c r="H2821" s="11" t="n">
        <x:v>0</x:v>
      </x:c>
      <x:c r="I2821" s="11" t="n">
        <x:v>1</x:v>
      </x:c>
      <x:c r="J2821" s="11" t="n">
        <x:v>0</x:v>
      </x:c>
      <x:c r="K2821" s="11" t="n">
        <x:v>0</x:v>
      </x:c>
      <x:c r="L2821" s="11" t="n">
        <x:f>IF(B2821="NED",1,IF(OR(B2821="ED",B2821="UN"),0,""))</x:f>
        <x:v>0</x:v>
      </x:c>
      <x:c r="M2821" s="11" t="n">
        <x:f>IF(AND(K2821=1,OR(B2821="ED",B2821="NED")),1,0)</x:f>
        <x:v>0</x:v>
      </x:c>
      <x:c r="N2821" s="11" t="n">
        <x:f>IF(K2821=1,1,0)</x:f>
        <x:v>0</x:v>
      </x:c>
      <x:c r="O2821" s="12" t="str">
        <x:v>Exclude UniProt Membrane keyword</x:v>
      </x:c>
      <x:c r="P2821" s="11" t="n">
        <x:v>0</x:v>
      </x:c>
      <x:c r="Q2821" s="12" t="str">
        <x:v>AF-Q9D1D4-F1-model_v6</x:v>
      </x:c>
      <x:c r="R2821" s="12" t="str">
        <x:v>ok</x:v>
      </x:c>
      <x:c r="S2821" s="11" t="n">
        <x:v>2296</x:v>
      </x:c>
      <x:c r="T2821" s="11" t="n">
        <x:v>219</x:v>
      </x:c>
    </x:row>
    <x:row r="2822" ht="23" customHeight="1">
      <x:c r="A2822" s="2" t="str">
        <x:v>Q9D1E6</x:v>
      </x:c>
      <x:c r="B2822" s="2" t="str">
        <x:v>ED</x:v>
      </x:c>
      <x:c r="C2822" s="2" t="n">
        <x:v>1</x:v>
      </x:c>
      <x:c r="D2822" s="2" t="n">
        <x:v>1</x:v>
      </x:c>
      <x:c r="E2822" s="10" t="n">
        <x:v>91.987131147541</x:v>
      </x:c>
      <x:c r="F2822" s="11" t="n">
        <x:v>244</x:v>
      </x:c>
      <x:c r="G2822" s="11" t="n">
        <x:v>0</x:v>
      </x:c>
      <x:c r="H2822" s="11" t="n">
        <x:v>0</x:v>
      </x:c>
      <x:c r="I2822" s="11" t="n">
        <x:v>0</x:v>
      </x:c>
      <x:c r="J2822" s="11" t="n">
        <x:v>0</x:v>
      </x:c>
      <x:c r="K2822" s="11" t="n">
        <x:v>1</x:v>
      </x:c>
      <x:c r="L2822" s="11" t="n">
        <x:f>IF(B2822="NED",1,IF(OR(B2822="ED",B2822="UN"),0,""))</x:f>
        <x:v>0</x:v>
      </x:c>
      <x:c r="M2822" s="11" t="n">
        <x:f>IF(AND(K2822=1,OR(B2822="ED",B2822="NED")),1,0)</x:f>
        <x:v>1</x:v>
      </x:c>
      <x:c r="N2822" s="11" t="n">
        <x:f>IF(K2822=1,1,0)</x:f>
        <x:v>1</x:v>
      </x:c>
      <x:c r="O2822" s="12"/>
      <x:c r="P2822" s="11" t="n">
        <x:v>0</x:v>
      </x:c>
      <x:c r="Q2822" s="12" t="str">
        <x:v>AF-Q9D1E6-F1-model_v6</x:v>
      </x:c>
      <x:c r="R2822" s="12" t="str">
        <x:v>ok</x:v>
      </x:c>
      <x:c r="S2822" s="11" t="n">
        <x:v>2297</x:v>
      </x:c>
      <x:c r="T2822" s="11" t="n">
        <x:v>244</x:v>
      </x:c>
    </x:row>
    <x:row r="2823" ht="23" customHeight="1">
      <x:c r="A2823" s="2" t="str">
        <x:v>Q9D1F4</x:v>
      </x:c>
      <x:c r="B2823" s="2" t="str">
        <x:v>ED</x:v>
      </x:c>
      <x:c r="C2823" s="2" t="n">
        <x:v>0</x:v>
      </x:c>
      <x:c r="D2823" s="2" t="n">
        <x:v>0</x:v>
      </x:c>
      <x:c r="E2823" s="10" t="n">
        <x:v>67.06696498054474</x:v>
      </x:c>
      <x:c r="F2823" s="11" t="n">
        <x:v>257</x:v>
      </x:c>
      <x:c r="G2823" s="11" t="n">
        <x:v>0</x:v>
      </x:c>
      <x:c r="H2823" s="11" t="n">
        <x:v>0</x:v>
      </x:c>
      <x:c r="I2823" s="11" t="n">
        <x:v>0</x:v>
      </x:c>
      <x:c r="J2823" s="11" t="n">
        <x:v>0</x:v>
      </x:c>
      <x:c r="K2823" s="11" t="n">
        <x:v>0</x:v>
      </x:c>
      <x:c r="L2823" s="11" t="n">
        <x:f>IF(B2823="NED",1,IF(OR(B2823="ED",B2823="UN"),0,""))</x:f>
        <x:v>0</x:v>
      </x:c>
      <x:c r="M2823" s="11" t="n">
        <x:f>IF(AND(K2823=1,OR(B2823="ED",B2823="NED")),1,0)</x:f>
        <x:v>0</x:v>
      </x:c>
      <x:c r="N2823" s="11" t="n">
        <x:f>IF(K2823=1,1,0)</x:f>
        <x:v>0</x:v>
      </x:c>
      <x:c r="O2823" s="12" t="str">
        <x:v>Retain protein mean pLDDT &gt;=70</x:v>
      </x:c>
      <x:c r="P2823" s="11" t="n">
        <x:v>0</x:v>
      </x:c>
      <x:c r="Q2823" s="12" t="str">
        <x:v>AF-Q9D1F4-F1-model_v6</x:v>
      </x:c>
      <x:c r="R2823" s="12" t="str">
        <x:v>ok</x:v>
      </x:c>
      <x:c r="S2823" s="11" t="n">
        <x:v>2298</x:v>
      </x:c>
      <x:c r="T2823" s="11" t="n">
        <x:v>257</x:v>
      </x:c>
    </x:row>
    <x:row r="2824" ht="23" customHeight="1">
      <x:c r="A2824" s="2" t="str">
        <x:v>Q9D1G1</x:v>
      </x:c>
      <x:c r="B2824" s="2" t="str">
        <x:v>ED</x:v>
      </x:c>
      <x:c r="C2824" s="2" t="n">
        <x:v>1</x:v>
      </x:c>
      <x:c r="D2824" s="2" t="n">
        <x:v>1</x:v>
      </x:c>
      <x:c r="E2824" s="10"/>
      <x:c r="F2824" s="11" t="n">
        <x:v>201</x:v>
      </x:c>
      <x:c r="G2824" s="11" t="n">
        <x:v>0</x:v>
      </x:c>
      <x:c r="H2824" s="11" t="n">
        <x:v>0</x:v>
      </x:c>
      <x:c r="I2824" s="11" t="n">
        <x:v>1</x:v>
      </x:c>
      <x:c r="J2824" s="11" t="n">
        <x:v>0</x:v>
      </x:c>
      <x:c r="K2824" s="11" t="n">
        <x:v>0</x:v>
      </x:c>
      <x:c r="L2824" s="11" t="n">
        <x:f>IF(B2824="NED",1,IF(OR(B2824="ED",B2824="UN"),0,""))</x:f>
        <x:v>0</x:v>
      </x:c>
      <x:c r="M2824" s="11" t="n">
        <x:f>IF(AND(K2824=1,OR(B2824="ED",B2824="NED")),1,0)</x:f>
        <x:v>0</x:v>
      </x:c>
      <x:c r="N2824" s="11" t="n">
        <x:f>IF(K2824=1,1,0)</x:f>
        <x:v>0</x:v>
      </x:c>
      <x:c r="O2824" s="12" t="str">
        <x:v>Exclude UniProt Membrane keyword</x:v>
      </x:c>
      <x:c r="P2824" s="11" t="n">
        <x:v>0</x:v>
      </x:c>
      <x:c r="Q2824" s="12" t="str">
        <x:v>AF-Q9D1G1-F1-model_v6</x:v>
      </x:c>
      <x:c r="R2824" s="12" t="str">
        <x:v>ok</x:v>
      </x:c>
      <x:c r="S2824" s="11" t="n">
        <x:v>2299</x:v>
      </x:c>
      <x:c r="T2824" s="11" t="n">
        <x:v>201</x:v>
      </x:c>
    </x:row>
    <x:row r="2825" ht="23" customHeight="1">
      <x:c r="A2825" s="2" t="str">
        <x:v>Q9D1H6</x:v>
      </x:c>
      <x:c r="B2825" s="2" t="str">
        <x:v>UN</x:v>
      </x:c>
      <x:c r="C2825" s="2" t="n">
        <x:v>0</x:v>
      </x:c>
      <x:c r="D2825" s="2" t="n">
        <x:v>0</x:v>
      </x:c>
      <x:c r="E2825" s="10"/>
      <x:c r="F2825" s="11" t="n">
        <x:v>173</x:v>
      </x:c>
      <x:c r="G2825" s="11" t="n">
        <x:v>0</x:v>
      </x:c>
      <x:c r="H2825" s="11" t="n">
        <x:v>0</x:v>
      </x:c>
      <x:c r="I2825" s="11" t="n">
        <x:v>1</x:v>
      </x:c>
      <x:c r="J2825" s="11" t="n">
        <x:v>0</x:v>
      </x:c>
      <x:c r="K2825" s="11" t="n">
        <x:v>0</x:v>
      </x:c>
      <x:c r="L2825" s="11" t="n">
        <x:f>IF(B2825="NED",1,IF(OR(B2825="ED",B2825="UN"),0,""))</x:f>
        <x:v>0</x:v>
      </x:c>
      <x:c r="M2825" s="11" t="n">
        <x:f>IF(AND(K2825=1,OR(B2825="ED",B2825="NED")),1,0)</x:f>
        <x:v>0</x:v>
      </x:c>
      <x:c r="N2825" s="11" t="n">
        <x:f>IF(K2825=1,1,0)</x:f>
        <x:v>0</x:v>
      </x:c>
      <x:c r="O2825" s="12" t="str">
        <x:v>Exclude UniProt Membrane keyword</x:v>
      </x:c>
      <x:c r="P2825" s="11" t="n">
        <x:v>0</x:v>
      </x:c>
      <x:c r="Q2825" s="12" t="str">
        <x:v>AF-Q9D1H6-F1-model_v6</x:v>
      </x:c>
      <x:c r="R2825" s="12" t="str">
        <x:v>ok</x:v>
      </x:c>
      <x:c r="S2825" s="11" t="n">
        <x:v>2300</x:v>
      </x:c>
      <x:c r="T2825" s="11" t="n">
        <x:v>173</x:v>
      </x:c>
    </x:row>
    <x:row r="2826" ht="23" customHeight="1">
      <x:c r="A2826" s="2" t="str">
        <x:v>Q9D1H7</x:v>
      </x:c>
      <x:c r="B2826" s="2" t="str">
        <x:v>ED</x:v>
      </x:c>
      <x:c r="C2826" s="2" t="n">
        <x:v>0</x:v>
      </x:c>
      <x:c r="D2826" s="2" t="n">
        <x:v>0</x:v>
      </x:c>
      <x:c r="E2826" s="10" t="n">
        <x:v>87.68691131498471</x:v>
      </x:c>
      <x:c r="F2826" s="11" t="n">
        <x:v>327</x:v>
      </x:c>
      <x:c r="G2826" s="11" t="n">
        <x:v>0</x:v>
      </x:c>
      <x:c r="H2826" s="11" t="n">
        <x:v>0</x:v>
      </x:c>
      <x:c r="I2826" s="11" t="n">
        <x:v>0</x:v>
      </x:c>
      <x:c r="J2826" s="11" t="n">
        <x:v>0</x:v>
      </x:c>
      <x:c r="K2826" s="11" t="n">
        <x:v>1</x:v>
      </x:c>
      <x:c r="L2826" s="11" t="n">
        <x:f>IF(B2826="NED",1,IF(OR(B2826="ED",B2826="UN"),0,""))</x:f>
        <x:v>0</x:v>
      </x:c>
      <x:c r="M2826" s="11" t="n">
        <x:f>IF(AND(K2826=1,OR(B2826="ED",B2826="NED")),1,0)</x:f>
        <x:v>1</x:v>
      </x:c>
      <x:c r="N2826" s="11" t="n">
        <x:f>IF(K2826=1,1,0)</x:f>
        <x:v>1</x:v>
      </x:c>
      <x:c r="O2826" s="12"/>
      <x:c r="P2826" s="11" t="n">
        <x:v>0</x:v>
      </x:c>
      <x:c r="Q2826" s="12" t="str">
        <x:v>AF-Q9D1H7-F1-model_v6</x:v>
      </x:c>
      <x:c r="R2826" s="12" t="str">
        <x:v>ok</x:v>
      </x:c>
      <x:c r="S2826" s="11" t="n">
        <x:v>2301</x:v>
      </x:c>
      <x:c r="T2826" s="11" t="n">
        <x:v>327</x:v>
      </x:c>
    </x:row>
    <x:row r="2827" ht="23" customHeight="1">
      <x:c r="A2827" s="2" t="str">
        <x:v>Q9D1I6</x:v>
      </x:c>
      <x:c r="B2827" s="2" t="str">
        <x:v>UN</x:v>
      </x:c>
      <x:c r="C2827" s="2" t="n">
        <x:v>0</x:v>
      </x:c>
      <x:c r="D2827" s="2" t="n">
        <x:v>0</x:v>
      </x:c>
      <x:c r="E2827" s="10" t="n">
        <x:v>85.86151724137932</x:v>
      </x:c>
      <x:c r="F2827" s="11" t="n">
        <x:v>145</x:v>
      </x:c>
      <x:c r="G2827" s="11" t="n">
        <x:v>0</x:v>
      </x:c>
      <x:c r="H2827" s="11" t="n">
        <x:v>0</x:v>
      </x:c>
      <x:c r="I2827" s="11" t="n">
        <x:v>0</x:v>
      </x:c>
      <x:c r="J2827" s="11" t="n">
        <x:v>0</x:v>
      </x:c>
      <x:c r="K2827" s="11" t="n">
        <x:v>1</x:v>
      </x:c>
      <x:c r="L2827" s="11" t="n">
        <x:f>IF(B2827="NED",1,IF(OR(B2827="ED",B2827="UN"),0,""))</x:f>
        <x:v>0</x:v>
      </x:c>
      <x:c r="M2827" s="11" t="n">
        <x:f>IF(AND(K2827=1,OR(B2827="ED",B2827="NED")),1,0)</x:f>
        <x:v>0</x:v>
      </x:c>
      <x:c r="N2827" s="11" t="n">
        <x:f>IF(K2827=1,1,0)</x:f>
        <x:v>1</x:v>
      </x:c>
      <x:c r="O2827" s="12"/>
      <x:c r="P2827" s="11" t="n">
        <x:v>0</x:v>
      </x:c>
      <x:c r="Q2827" s="12" t="str">
        <x:v>AF-Q9D1I6-F1-model_v6</x:v>
      </x:c>
      <x:c r="R2827" s="12" t="str">
        <x:v>ok</x:v>
      </x:c>
      <x:c r="S2827" s="11" t="n">
        <x:v>2302</x:v>
      </x:c>
      <x:c r="T2827" s="11" t="n">
        <x:v>145</x:v>
      </x:c>
    </x:row>
    <x:row r="2828" ht="23" customHeight="1">
      <x:c r="A2828" s="2" t="str">
        <x:v>Q9D1J3</x:v>
      </x:c>
      <x:c r="B2828" s="2" t="str">
        <x:v>ED</x:v>
      </x:c>
      <x:c r="C2828" s="2" t="n">
        <x:v>0</x:v>
      </x:c>
      <x:c r="D2828" s="2" t="n">
        <x:v>0</x:v>
      </x:c>
      <x:c r="E2828" s="10" t="n">
        <x:v>73.78857142857143</x:v>
      </x:c>
      <x:c r="F2828" s="11" t="n">
        <x:v>210</x:v>
      </x:c>
      <x:c r="G2828" s="11" t="n">
        <x:v>0</x:v>
      </x:c>
      <x:c r="H2828" s="11" t="n">
        <x:v>0</x:v>
      </x:c>
      <x:c r="I2828" s="11" t="n">
        <x:v>0</x:v>
      </x:c>
      <x:c r="J2828" s="11" t="n">
        <x:v>0</x:v>
      </x:c>
      <x:c r="K2828" s="11" t="n">
        <x:v>1</x:v>
      </x:c>
      <x:c r="L2828" s="11" t="n">
        <x:f>IF(B2828="NED",1,IF(OR(B2828="ED",B2828="UN"),0,""))</x:f>
        <x:v>0</x:v>
      </x:c>
      <x:c r="M2828" s="11" t="n">
        <x:f>IF(AND(K2828=1,OR(B2828="ED",B2828="NED")),1,0)</x:f>
        <x:v>1</x:v>
      </x:c>
      <x:c r="N2828" s="11" t="n">
        <x:f>IF(K2828=1,1,0)</x:f>
        <x:v>1</x:v>
      </x:c>
      <x:c r="O2828" s="12"/>
      <x:c r="P2828" s="11" t="n">
        <x:v>0</x:v>
      </x:c>
      <x:c r="Q2828" s="12" t="str">
        <x:v>AF-Q9D1J3-F1-model_v6</x:v>
      </x:c>
      <x:c r="R2828" s="12" t="str">
        <x:v>ok</x:v>
      </x:c>
      <x:c r="S2828" s="11" t="n">
        <x:v>2303</x:v>
      </x:c>
      <x:c r="T2828" s="11" t="n">
        <x:v>210</x:v>
      </x:c>
    </x:row>
    <x:row r="2829" ht="23" customHeight="1">
      <x:c r="A2829" s="2" t="str">
        <x:v>Q9D1K2</x:v>
      </x:c>
      <x:c r="B2829" s="2" t="str">
        <x:v>UN</x:v>
      </x:c>
      <x:c r="C2829" s="2" t="n">
        <x:v>1</x:v>
      </x:c>
      <x:c r="D2829" s="2" t="n">
        <x:v>1</x:v>
      </x:c>
      <x:c r="E2829" s="10"/>
      <x:c r="F2829" s="11" t="n">
        <x:v>119</x:v>
      </x:c>
      <x:c r="G2829" s="11" t="n">
        <x:v>0</x:v>
      </x:c>
      <x:c r="H2829" s="11" t="n">
        <x:v>0</x:v>
      </x:c>
      <x:c r="I2829" s="11" t="n">
        <x:v>1</x:v>
      </x:c>
      <x:c r="J2829" s="11" t="n">
        <x:v>0</x:v>
      </x:c>
      <x:c r="K2829" s="11" t="n">
        <x:v>0</x:v>
      </x:c>
      <x:c r="L2829" s="11" t="n">
        <x:f>IF(B2829="NED",1,IF(OR(B2829="ED",B2829="UN"),0,""))</x:f>
        <x:v>0</x:v>
      </x:c>
      <x:c r="M2829" s="11" t="n">
        <x:f>IF(AND(K2829=1,OR(B2829="ED",B2829="NED")),1,0)</x:f>
        <x:v>0</x:v>
      </x:c>
      <x:c r="N2829" s="11" t="n">
        <x:f>IF(K2829=1,1,0)</x:f>
        <x:v>0</x:v>
      </x:c>
      <x:c r="O2829" s="12" t="str">
        <x:v>Exclude UniProt Membrane keyword</x:v>
      </x:c>
      <x:c r="P2829" s="11" t="n">
        <x:v>0</x:v>
      </x:c>
      <x:c r="Q2829" s="12" t="str">
        <x:v>AF-Q9D1K2-F1-model_v6</x:v>
      </x:c>
      <x:c r="R2829" s="12" t="str">
        <x:v>ok</x:v>
      </x:c>
      <x:c r="S2829" s="11" t="n">
        <x:v>2304</x:v>
      </x:c>
      <x:c r="T2829" s="11" t="n">
        <x:v>119</x:v>
      </x:c>
    </x:row>
    <x:row r="2830" ht="23" customHeight="1">
      <x:c r="A2830" s="2" t="str">
        <x:v>Q9D1L9</x:v>
      </x:c>
      <x:c r="B2830" s="2" t="str">
        <x:v>UN</x:v>
      </x:c>
      <x:c r="C2830" s="2" t="n">
        <x:v>0</x:v>
      </x:c>
      <x:c r="D2830" s="2" t="n">
        <x:v>0</x:v>
      </x:c>
      <x:c r="E2830" s="10" t="n">
        <x:v>96.9846153846154</x:v>
      </x:c>
      <x:c r="F2830" s="11" t="n">
        <x:v>91</x:v>
      </x:c>
      <x:c r="G2830" s="11" t="n">
        <x:v>0</x:v>
      </x:c>
      <x:c r="H2830" s="11" t="n">
        <x:v>0</x:v>
      </x:c>
      <x:c r="I2830" s="11" t="n">
        <x:v>0</x:v>
      </x:c>
      <x:c r="J2830" s="11" t="n">
        <x:v>0</x:v>
      </x:c>
      <x:c r="K2830" s="11" t="n">
        <x:v>1</x:v>
      </x:c>
      <x:c r="L2830" s="11" t="n">
        <x:f>IF(B2830="NED",1,IF(OR(B2830="ED",B2830="UN"),0,""))</x:f>
        <x:v>0</x:v>
      </x:c>
      <x:c r="M2830" s="11" t="n">
        <x:f>IF(AND(K2830=1,OR(B2830="ED",B2830="NED")),1,0)</x:f>
        <x:v>0</x:v>
      </x:c>
      <x:c r="N2830" s="11" t="n">
        <x:f>IF(K2830=1,1,0)</x:f>
        <x:v>1</x:v>
      </x:c>
      <x:c r="O2830" s="12"/>
      <x:c r="P2830" s="11" t="n">
        <x:v>0</x:v>
      </x:c>
      <x:c r="Q2830" s="12" t="str">
        <x:v>AF-Q9D1L9-F1-model_v6</x:v>
      </x:c>
      <x:c r="R2830" s="12" t="str">
        <x:v>ok</x:v>
      </x:c>
      <x:c r="S2830" s="11" t="n">
        <x:v>2305</x:v>
      </x:c>
      <x:c r="T2830" s="11" t="n">
        <x:v>91</x:v>
      </x:c>
    </x:row>
    <x:row r="2831" ht="23" customHeight="1">
      <x:c r="A2831" s="2" t="str">
        <x:v>Q9D1M0</x:v>
      </x:c>
      <x:c r="B2831" s="2" t="str">
        <x:v>ED</x:v>
      </x:c>
      <x:c r="C2831" s="2" t="n">
        <x:v>0</x:v>
      </x:c>
      <x:c r="D2831" s="2" t="n">
        <x:v>0</x:v>
      </x:c>
      <x:c r="E2831" s="10"/>
      <x:c r="F2831" s="11" t="n">
        <x:v>322</x:v>
      </x:c>
      <x:c r="G2831" s="11" t="n">
        <x:v>0</x:v>
      </x:c>
      <x:c r="H2831" s="11" t="n">
        <x:v>0</x:v>
      </x:c>
      <x:c r="I2831" s="11" t="n">
        <x:v>1</x:v>
      </x:c>
      <x:c r="J2831" s="11" t="n">
        <x:v>0</x:v>
      </x:c>
      <x:c r="K2831" s="11" t="n">
        <x:v>0</x:v>
      </x:c>
      <x:c r="L2831" s="11" t="n">
        <x:f>IF(B2831="NED",1,IF(OR(B2831="ED",B2831="UN"),0,""))</x:f>
        <x:v>0</x:v>
      </x:c>
      <x:c r="M2831" s="11" t="n">
        <x:f>IF(AND(K2831=1,OR(B2831="ED",B2831="NED")),1,0)</x:f>
        <x:v>0</x:v>
      </x:c>
      <x:c r="N2831" s="11" t="n">
        <x:f>IF(K2831=1,1,0)</x:f>
        <x:v>0</x:v>
      </x:c>
      <x:c r="O2831" s="12" t="str">
        <x:v>Exclude UniProt Membrane keyword</x:v>
      </x:c>
      <x:c r="P2831" s="11" t="n">
        <x:v>0</x:v>
      </x:c>
      <x:c r="Q2831" s="12" t="str">
        <x:v>AF-Q9D1M0-F1-model_v6</x:v>
      </x:c>
      <x:c r="R2831" s="12" t="str">
        <x:v>ok</x:v>
      </x:c>
      <x:c r="S2831" s="11" t="n">
        <x:v>2306</x:v>
      </x:c>
      <x:c r="T2831" s="11" t="n">
        <x:v>322</x:v>
      </x:c>
    </x:row>
    <x:row r="2832" ht="23" customHeight="1">
      <x:c r="A2832" s="2" t="str">
        <x:v>Q9D1M4</x:v>
      </x:c>
      <x:c r="B2832" s="2" t="str">
        <x:v>ED</x:v>
      </x:c>
      <x:c r="C2832" s="2" t="n">
        <x:v>0</x:v>
      </x:c>
      <x:c r="D2832" s="2" t="n">
        <x:v>0</x:v>
      </x:c>
      <x:c r="E2832" s="10" t="n">
        <x:v>92.54942528735631</x:v>
      </x:c>
      <x:c r="F2832" s="11" t="n">
        <x:v>174</x:v>
      </x:c>
      <x:c r="G2832" s="11" t="n">
        <x:v>0</x:v>
      </x:c>
      <x:c r="H2832" s="11" t="n">
        <x:v>0</x:v>
      </x:c>
      <x:c r="I2832" s="11" t="n">
        <x:v>0</x:v>
      </x:c>
      <x:c r="J2832" s="11" t="n">
        <x:v>0</x:v>
      </x:c>
      <x:c r="K2832" s="11" t="n">
        <x:v>1</x:v>
      </x:c>
      <x:c r="L2832" s="11" t="n">
        <x:f>IF(B2832="NED",1,IF(OR(B2832="ED",B2832="UN"),0,""))</x:f>
        <x:v>0</x:v>
      </x:c>
      <x:c r="M2832" s="11" t="n">
        <x:f>IF(AND(K2832=1,OR(B2832="ED",B2832="NED")),1,0)</x:f>
        <x:v>1</x:v>
      </x:c>
      <x:c r="N2832" s="11" t="n">
        <x:f>IF(K2832=1,1,0)</x:f>
        <x:v>1</x:v>
      </x:c>
      <x:c r="O2832" s="12"/>
      <x:c r="P2832" s="11" t="n">
        <x:v>0</x:v>
      </x:c>
      <x:c r="Q2832" s="12" t="str">
        <x:v>AF-Q9D1M4-F1-model_v6</x:v>
      </x:c>
      <x:c r="R2832" s="12" t="str">
        <x:v>ok</x:v>
      </x:c>
      <x:c r="S2832" s="11" t="n">
        <x:v>2307</x:v>
      </x:c>
      <x:c r="T2832" s="11" t="n">
        <x:v>174</x:v>
      </x:c>
    </x:row>
    <x:row r="2833" ht="23" customHeight="1">
      <x:c r="A2833" s="2" t="str">
        <x:v>Q9D1P0</x:v>
      </x:c>
      <x:c r="B2833" s="2" t="str">
        <x:v>NED</x:v>
      </x:c>
      <x:c r="C2833" s="2" t="n">
        <x:v>1</x:v>
      </x:c>
      <x:c r="D2833" s="2" t="n">
        <x:v>1</x:v>
      </x:c>
      <x:c r="E2833" s="10" t="n">
        <x:v>96.35595505617978</x:v>
      </x:c>
      <x:c r="F2833" s="11" t="n">
        <x:v>178</x:v>
      </x:c>
      <x:c r="G2833" s="11" t="n">
        <x:v>0</x:v>
      </x:c>
      <x:c r="H2833" s="11" t="n">
        <x:v>0</x:v>
      </x:c>
      <x:c r="I2833" s="11" t="n">
        <x:v>0</x:v>
      </x:c>
      <x:c r="J2833" s="11" t="n">
        <x:v>0</x:v>
      </x:c>
      <x:c r="K2833" s="11" t="n">
        <x:v>1</x:v>
      </x:c>
      <x:c r="L2833" s="11" t="n">
        <x:f>IF(B2833="NED",1,IF(OR(B2833="ED",B2833="UN"),0,""))</x:f>
        <x:v>1</x:v>
      </x:c>
      <x:c r="M2833" s="11" t="n">
        <x:f>IF(AND(K2833=1,OR(B2833="ED",B2833="NED")),1,0)</x:f>
        <x:v>1</x:v>
      </x:c>
      <x:c r="N2833" s="11" t="n">
        <x:f>IF(K2833=1,1,0)</x:f>
        <x:v>1</x:v>
      </x:c>
      <x:c r="O2833" s="12"/>
      <x:c r="P2833" s="11" t="n">
        <x:v>0</x:v>
      </x:c>
      <x:c r="Q2833" s="12" t="str">
        <x:v>AF-Q9D1P0-F1-model_v6</x:v>
      </x:c>
      <x:c r="R2833" s="12" t="str">
        <x:v>ok</x:v>
      </x:c>
      <x:c r="S2833" s="11" t="n">
        <x:v>2308</x:v>
      </x:c>
      <x:c r="T2833" s="11" t="n">
        <x:v>178</x:v>
      </x:c>
    </x:row>
    <x:row r="2834" ht="23" customHeight="1">
      <x:c r="A2834" s="2" t="str">
        <x:v>Q9D1P4</x:v>
      </x:c>
      <x:c r="B2834" s="2" t="str">
        <x:v>ED</x:v>
      </x:c>
      <x:c r="C2834" s="2" t="n">
        <x:v>0</x:v>
      </x:c>
      <x:c r="D2834" s="2" t="n">
        <x:v>0</x:v>
      </x:c>
      <x:c r="E2834" s="10" t="n">
        <x:v>81.70522658610273</x:v>
      </x:c>
      <x:c r="F2834" s="11" t="n">
        <x:v>331</x:v>
      </x:c>
      <x:c r="G2834" s="11" t="n">
        <x:v>0</x:v>
      </x:c>
      <x:c r="H2834" s="11" t="n">
        <x:v>0</x:v>
      </x:c>
      <x:c r="I2834" s="11" t="n">
        <x:v>0</x:v>
      </x:c>
      <x:c r="J2834" s="11" t="n">
        <x:v>0</x:v>
      </x:c>
      <x:c r="K2834" s="11" t="n">
        <x:v>1</x:v>
      </x:c>
      <x:c r="L2834" s="11" t="n">
        <x:f>IF(B2834="NED",1,IF(OR(B2834="ED",B2834="UN"),0,""))</x:f>
        <x:v>0</x:v>
      </x:c>
      <x:c r="M2834" s="11" t="n">
        <x:f>IF(AND(K2834=1,OR(B2834="ED",B2834="NED")),1,0)</x:f>
        <x:v>1</x:v>
      </x:c>
      <x:c r="N2834" s="11" t="n">
        <x:f>IF(K2834=1,1,0)</x:f>
        <x:v>1</x:v>
      </x:c>
      <x:c r="O2834" s="12"/>
      <x:c r="P2834" s="11" t="n">
        <x:v>0</x:v>
      </x:c>
      <x:c r="Q2834" s="12" t="str">
        <x:v>AF-Q9D1P4-F1-model_v6</x:v>
      </x:c>
      <x:c r="R2834" s="12" t="str">
        <x:v>ok</x:v>
      </x:c>
      <x:c r="S2834" s="11" t="n">
        <x:v>2309</x:v>
      </x:c>
      <x:c r="T2834" s="11" t="n">
        <x:v>331</x:v>
      </x:c>
    </x:row>
    <x:row r="2835" ht="23" customHeight="1">
      <x:c r="A2835" s="2" t="str">
        <x:v>Q9D1Q6</x:v>
      </x:c>
      <x:c r="B2835" s="2" t="str">
        <x:v>ED</x:v>
      </x:c>
      <x:c r="C2835" s="2" t="n">
        <x:v>1</x:v>
      </x:c>
      <x:c r="D2835" s="2" t="n">
        <x:v>1</x:v>
      </x:c>
      <x:c r="E2835" s="10" t="n">
        <x:v>88.59300492610838</x:v>
      </x:c>
      <x:c r="F2835" s="11" t="n">
        <x:v>406</x:v>
      </x:c>
      <x:c r="G2835" s="11" t="n">
        <x:v>0</x:v>
      </x:c>
      <x:c r="H2835" s="11" t="n">
        <x:v>0</x:v>
      </x:c>
      <x:c r="I2835" s="11" t="n">
        <x:v>0</x:v>
      </x:c>
      <x:c r="J2835" s="11" t="n">
        <x:v>0</x:v>
      </x:c>
      <x:c r="K2835" s="11" t="n">
        <x:v>1</x:v>
      </x:c>
      <x:c r="L2835" s="11" t="n">
        <x:f>IF(B2835="NED",1,IF(OR(B2835="ED",B2835="UN"),0,""))</x:f>
        <x:v>0</x:v>
      </x:c>
      <x:c r="M2835" s="11" t="n">
        <x:f>IF(AND(K2835=1,OR(B2835="ED",B2835="NED")),1,0)</x:f>
        <x:v>1</x:v>
      </x:c>
      <x:c r="N2835" s="11" t="n">
        <x:f>IF(K2835=1,1,0)</x:f>
        <x:v>1</x:v>
      </x:c>
      <x:c r="O2835" s="12"/>
      <x:c r="P2835" s="11" t="n">
        <x:v>0</x:v>
      </x:c>
      <x:c r="Q2835" s="12" t="str">
        <x:v>AF-Q9D1Q6-F1-model_v6</x:v>
      </x:c>
      <x:c r="R2835" s="12" t="str">
        <x:v>ok</x:v>
      </x:c>
      <x:c r="S2835" s="11" t="n">
        <x:v>2310</x:v>
      </x:c>
      <x:c r="T2835" s="11" t="n">
        <x:v>406</x:v>
      </x:c>
    </x:row>
    <x:row r="2836" ht="23" customHeight="1">
      <x:c r="A2836" s="2" t="str">
        <x:v>Q9D281</x:v>
      </x:c>
      <x:c r="B2836" s="2" t="str">
        <x:v>ED</x:v>
      </x:c>
      <x:c r="C2836" s="2" t="n">
        <x:v>0</x:v>
      </x:c>
      <x:c r="D2836" s="2" t="n">
        <x:v>0</x:v>
      </x:c>
      <x:c r="E2836" s="10" t="n">
        <x:v>63.12998242530755</x:v>
      </x:c>
      <x:c r="F2836" s="11" t="n">
        <x:v>569</x:v>
      </x:c>
      <x:c r="G2836" s="11" t="n">
        <x:v>0</x:v>
      </x:c>
      <x:c r="H2836" s="11" t="n">
        <x:v>0</x:v>
      </x:c>
      <x:c r="I2836" s="11" t="n">
        <x:v>0</x:v>
      </x:c>
      <x:c r="J2836" s="11" t="n">
        <x:v>0</x:v>
      </x:c>
      <x:c r="K2836" s="11" t="n">
        <x:v>0</x:v>
      </x:c>
      <x:c r="L2836" s="11" t="n">
        <x:f>IF(B2836="NED",1,IF(OR(B2836="ED",B2836="UN"),0,""))</x:f>
        <x:v>0</x:v>
      </x:c>
      <x:c r="M2836" s="11" t="n">
        <x:f>IF(AND(K2836=1,OR(B2836="ED",B2836="NED")),1,0)</x:f>
        <x:v>0</x:v>
      </x:c>
      <x:c r="N2836" s="11" t="n">
        <x:f>IF(K2836=1,1,0)</x:f>
        <x:v>0</x:v>
      </x:c>
      <x:c r="O2836" s="12" t="str">
        <x:v>Retain protein mean pLDDT &gt;=70</x:v>
      </x:c>
      <x:c r="P2836" s="11" t="n">
        <x:v>0</x:v>
      </x:c>
      <x:c r="Q2836" s="12" t="str">
        <x:v>AF-Q9D281-F1-model_v6</x:v>
      </x:c>
      <x:c r="R2836" s="12" t="str">
        <x:v>ok</x:v>
      </x:c>
      <x:c r="S2836" s="11" t="n">
        <x:v>2311</x:v>
      </x:c>
      <x:c r="T2836" s="11" t="n">
        <x:v>569</x:v>
      </x:c>
    </x:row>
    <x:row r="2837" ht="23" customHeight="1">
      <x:c r="A2837" s="2" t="str">
        <x:v>Q9D287</x:v>
      </x:c>
      <x:c r="B2837" s="2" t="str">
        <x:v>NED</x:v>
      </x:c>
      <x:c r="C2837" s="2" t="n">
        <x:v>0</x:v>
      </x:c>
      <x:c r="D2837" s="2" t="n">
        <x:v>0</x:v>
      </x:c>
      <x:c r="E2837" s="10" t="n">
        <x:v>88.91173333333333</x:v>
      </x:c>
      <x:c r="F2837" s="11" t="n">
        <x:v>225</x:v>
      </x:c>
      <x:c r="G2837" s="11" t="n">
        <x:v>0</x:v>
      </x:c>
      <x:c r="H2837" s="11" t="n">
        <x:v>0</x:v>
      </x:c>
      <x:c r="I2837" s="11" t="n">
        <x:v>0</x:v>
      </x:c>
      <x:c r="J2837" s="11" t="n">
        <x:v>0</x:v>
      </x:c>
      <x:c r="K2837" s="11" t="n">
        <x:v>1</x:v>
      </x:c>
      <x:c r="L2837" s="11" t="n">
        <x:f>IF(B2837="NED",1,IF(OR(B2837="ED",B2837="UN"),0,""))</x:f>
        <x:v>1</x:v>
      </x:c>
      <x:c r="M2837" s="11" t="n">
        <x:f>IF(AND(K2837=1,OR(B2837="ED",B2837="NED")),1,0)</x:f>
        <x:v>1</x:v>
      </x:c>
      <x:c r="N2837" s="11" t="n">
        <x:f>IF(K2837=1,1,0)</x:f>
        <x:v>1</x:v>
      </x:c>
      <x:c r="O2837" s="12"/>
      <x:c r="P2837" s="11" t="n">
        <x:v>0</x:v>
      </x:c>
      <x:c r="Q2837" s="12" t="str">
        <x:v>AF-Q9D287-F1-model_v6</x:v>
      </x:c>
      <x:c r="R2837" s="12" t="str">
        <x:v>ok</x:v>
      </x:c>
      <x:c r="S2837" s="11" t="n">
        <x:v>2312</x:v>
      </x:c>
      <x:c r="T2837" s="11" t="n">
        <x:v>225</x:v>
      </x:c>
    </x:row>
    <x:row r="2838" ht="23" customHeight="1">
      <x:c r="A2838" s="2" t="str">
        <x:v>Q9D2C6</x:v>
      </x:c>
      <x:c r="B2838" s="2" t="str">
        <x:v>ED</x:v>
      </x:c>
      <x:c r="C2838" s="2" t="n">
        <x:v>1</x:v>
      </x:c>
      <x:c r="D2838" s="2" t="n">
        <x:v>1</x:v>
      </x:c>
      <x:c r="E2838" s="10" t="n">
        <x:v>88.49411764705881</x:v>
      </x:c>
      <x:c r="F2838" s="11" t="n">
        <x:v>204</x:v>
      </x:c>
      <x:c r="G2838" s="11" t="n">
        <x:v>0</x:v>
      </x:c>
      <x:c r="H2838" s="11" t="n">
        <x:v>0</x:v>
      </x:c>
      <x:c r="I2838" s="11" t="n">
        <x:v>0</x:v>
      </x:c>
      <x:c r="J2838" s="11" t="n">
        <x:v>0</x:v>
      </x:c>
      <x:c r="K2838" s="11" t="n">
        <x:v>1</x:v>
      </x:c>
      <x:c r="L2838" s="11" t="n">
        <x:f>IF(B2838="NED",1,IF(OR(B2838="ED",B2838="UN"),0,""))</x:f>
        <x:v>0</x:v>
      </x:c>
      <x:c r="M2838" s="11" t="n">
        <x:f>IF(AND(K2838=1,OR(B2838="ED",B2838="NED")),1,0)</x:f>
        <x:v>1</x:v>
      </x:c>
      <x:c r="N2838" s="11" t="n">
        <x:f>IF(K2838=1,1,0)</x:f>
        <x:v>1</x:v>
      </x:c>
      <x:c r="O2838" s="12"/>
      <x:c r="P2838" s="11" t="n">
        <x:v>0</x:v>
      </x:c>
      <x:c r="Q2838" s="12" t="str">
        <x:v>AF-Q9D2C6-F1-model_v6</x:v>
      </x:c>
      <x:c r="R2838" s="12" t="str">
        <x:v>ok</x:v>
      </x:c>
      <x:c r="S2838" s="11" t="n">
        <x:v>2313</x:v>
      </x:c>
      <x:c r="T2838" s="11" t="n">
        <x:v>204</x:v>
      </x:c>
    </x:row>
    <x:row r="2839" ht="23" customHeight="1">
      <x:c r="A2839" s="2" t="str">
        <x:v>Q9D2D7</x:v>
      </x:c>
      <x:c r="B2839" s="2" t="str">
        <x:v>ED</x:v>
      </x:c>
      <x:c r="C2839" s="2" t="n">
        <x:v>1</x:v>
      </x:c>
      <x:c r="D2839" s="2" t="n">
        <x:v>1</x:v>
      </x:c>
      <x:c r="E2839" s="10" t="n">
        <x:v>53.514591754244144</x:v>
      </x:c>
      <x:c r="F2839" s="11" t="n">
        <x:v>1237</x:v>
      </x:c>
      <x:c r="G2839" s="11" t="n">
        <x:v>0</x:v>
      </x:c>
      <x:c r="H2839" s="11" t="n">
        <x:v>0</x:v>
      </x:c>
      <x:c r="I2839" s="11" t="n">
        <x:v>0</x:v>
      </x:c>
      <x:c r="J2839" s="11" t="n">
        <x:v>0</x:v>
      </x:c>
      <x:c r="K2839" s="11" t="n">
        <x:v>0</x:v>
      </x:c>
      <x:c r="L2839" s="11" t="n">
        <x:f>IF(B2839="NED",1,IF(OR(B2839="ED",B2839="UN"),0,""))</x:f>
        <x:v>0</x:v>
      </x:c>
      <x:c r="M2839" s="11" t="n">
        <x:f>IF(AND(K2839=1,OR(B2839="ED",B2839="NED")),1,0)</x:f>
        <x:v>0</x:v>
      </x:c>
      <x:c r="N2839" s="11" t="n">
        <x:f>IF(K2839=1,1,0)</x:f>
        <x:v>0</x:v>
      </x:c>
      <x:c r="O2839" s="12" t="str">
        <x:v>Retain protein mean pLDDT &gt;=70</x:v>
      </x:c>
      <x:c r="P2839" s="11" t="n">
        <x:v>0</x:v>
      </x:c>
      <x:c r="Q2839" s="12" t="str">
        <x:v>AF-Q9D2D7-F1-model_v6</x:v>
      </x:c>
      <x:c r="R2839" s="12" t="str">
        <x:v>ok</x:v>
      </x:c>
      <x:c r="S2839" s="11" t="n">
        <x:v>2314</x:v>
      </x:c>
      <x:c r="T2839" s="11" t="n">
        <x:v>1237</x:v>
      </x:c>
    </x:row>
    <x:row r="2840" ht="23" customHeight="1">
      <x:c r="A2840" s="2" t="str">
        <x:v>Q9D2E2</x:v>
      </x:c>
      <x:c r="B2840" s="2" t="str">
        <x:v>ED</x:v>
      </x:c>
      <x:c r="C2840" s="2" t="n">
        <x:v>1</x:v>
      </x:c>
      <x:c r="D2840" s="2" t="n">
        <x:v>1</x:v>
      </x:c>
      <x:c r="E2840" s="10"/>
      <x:c r="F2840" s="11" t="n">
        <x:v>511</x:v>
      </x:c>
      <x:c r="G2840" s="11" t="n">
        <x:v>1</x:v>
      </x:c>
      <x:c r="H2840" s="11" t="n">
        <x:v>0</x:v>
      </x:c>
      <x:c r="I2840" s="11" t="n">
        <x:v>0</x:v>
      </x:c>
      <x:c r="J2840" s="11" t="n">
        <x:v>0</x:v>
      </x:c>
      <x:c r="K2840" s="11" t="n">
        <x:v>0</x:v>
      </x:c>
      <x:c r="L2840" s="11" t="n">
        <x:f>IF(B2840="NED",1,IF(OR(B2840="ED",B2840="UN"),0,""))</x:f>
        <x:v>0</x:v>
      </x:c>
      <x:c r="M2840" s="11" t="n">
        <x:f>IF(AND(K2840=1,OR(B2840="ED",B2840="NED")),1,0)</x:f>
        <x:v>0</x:v>
      </x:c>
      <x:c r="N2840" s="11" t="n">
        <x:f>IF(K2840=1,1,0)</x:f>
        <x:v>0</x:v>
      </x:c>
      <x:c r="O2840" s="12" t="str">
        <x:v>Exclude supplied knotted proteins</x:v>
      </x:c>
      <x:c r="P2840" s="11" t="n">
        <x:v>0</x:v>
      </x:c>
      <x:c r="Q2840" s="12" t="str">
        <x:v>AF-Q9D2E2-F1-model_v6</x:v>
      </x:c>
      <x:c r="R2840" s="12" t="str">
        <x:v>ok</x:v>
      </x:c>
      <x:c r="S2840" s="11" t="n">
        <x:v>2315</x:v>
      </x:c>
      <x:c r="T2840" s="11" t="n">
        <x:v>511</x:v>
      </x:c>
    </x:row>
    <x:row r="2841" ht="23" customHeight="1">
      <x:c r="A2841" s="2" t="str">
        <x:v>Q9D2G5</x:v>
      </x:c>
      <x:c r="B2841" s="2" t="str">
        <x:v>UN</x:v>
      </x:c>
      <x:c r="C2841" s="2" t="n">
        <x:v>1</x:v>
      </x:c>
      <x:c r="D2841" s="2" t="n">
        <x:v>1</x:v>
      </x:c>
      <x:c r="E2841" s="10"/>
      <x:c r="F2841" s="11" t="n">
        <x:v>1434</x:v>
      </x:c>
      <x:c r="G2841" s="11" t="n">
        <x:v>0</x:v>
      </x:c>
      <x:c r="H2841" s="11" t="n">
        <x:v>0</x:v>
      </x:c>
      <x:c r="I2841" s="11" t="n">
        <x:v>1</x:v>
      </x:c>
      <x:c r="J2841" s="11" t="n">
        <x:v>0</x:v>
      </x:c>
      <x:c r="K2841" s="11" t="n">
        <x:v>0</x:v>
      </x:c>
      <x:c r="L2841" s="11" t="n">
        <x:f>IF(B2841="NED",1,IF(OR(B2841="ED",B2841="UN"),0,""))</x:f>
        <x:v>0</x:v>
      </x:c>
      <x:c r="M2841" s="11" t="n">
        <x:f>IF(AND(K2841=1,OR(B2841="ED",B2841="NED")),1,0)</x:f>
        <x:v>0</x:v>
      </x:c>
      <x:c r="N2841" s="11" t="n">
        <x:f>IF(K2841=1,1,0)</x:f>
        <x:v>0</x:v>
      </x:c>
      <x:c r="O2841" s="12" t="str">
        <x:v>Exclude UniProt Membrane keyword</x:v>
      </x:c>
      <x:c r="P2841" s="11" t="n">
        <x:v>0</x:v>
      </x:c>
      <x:c r="Q2841" s="12" t="str">
        <x:v>AF-Q9D2G5-F1-model_v6</x:v>
      </x:c>
      <x:c r="R2841" s="12" t="str">
        <x:v>ok</x:v>
      </x:c>
      <x:c r="S2841" s="11" t="n">
        <x:v>2316</x:v>
      </x:c>
      <x:c r="T2841" s="11" t="n">
        <x:v>1434</x:v>
      </x:c>
    </x:row>
    <x:row r="2842" ht="23" customHeight="1">
      <x:c r="A2842" s="2" t="str">
        <x:v>Q9D2N9</x:v>
      </x:c>
      <x:c r="B2842" s="2" t="str">
        <x:v>UN</x:v>
      </x:c>
      <x:c r="C2842" s="2" t="n">
        <x:v>1</x:v>
      </x:c>
      <x:c r="D2842" s="2" t="n">
        <x:v>1</x:v>
      </x:c>
      <x:c r="E2842" s="10"/>
      <x:c r="F2842" s="11" t="n">
        <x:v>598</x:v>
      </x:c>
      <x:c r="G2842" s="11" t="n">
        <x:v>0</x:v>
      </x:c>
      <x:c r="H2842" s="11" t="n">
        <x:v>0</x:v>
      </x:c>
      <x:c r="I2842" s="11" t="n">
        <x:v>1</x:v>
      </x:c>
      <x:c r="J2842" s="11" t="n">
        <x:v>0</x:v>
      </x:c>
      <x:c r="K2842" s="11" t="n">
        <x:v>0</x:v>
      </x:c>
      <x:c r="L2842" s="11" t="n">
        <x:f>IF(B2842="NED",1,IF(OR(B2842="ED",B2842="UN"),0,""))</x:f>
        <x:v>0</x:v>
      </x:c>
      <x:c r="M2842" s="11" t="n">
        <x:f>IF(AND(K2842=1,OR(B2842="ED",B2842="NED")),1,0)</x:f>
        <x:v>0</x:v>
      </x:c>
      <x:c r="N2842" s="11" t="n">
        <x:f>IF(K2842=1,1,0)</x:f>
        <x:v>0</x:v>
      </x:c>
      <x:c r="O2842" s="12" t="str">
        <x:v>Exclude UniProt Membrane keyword</x:v>
      </x:c>
      <x:c r="P2842" s="11" t="n">
        <x:v>0</x:v>
      </x:c>
      <x:c r="Q2842" s="12" t="str">
        <x:v>AF-Q9D2N9-F1-model_v6</x:v>
      </x:c>
      <x:c r="R2842" s="12" t="str">
        <x:v>ok</x:v>
      </x:c>
      <x:c r="S2842" s="11" t="n">
        <x:v>2317</x:v>
      </x:c>
      <x:c r="T2842" s="11" t="n">
        <x:v>598</x:v>
      </x:c>
    </x:row>
    <x:row r="2843" ht="23" customHeight="1">
      <x:c r="A2843" s="2" t="str">
        <x:v>Q9D2Q3</x:v>
      </x:c>
      <x:c r="B2843" s="2" t="str">
        <x:v>ED</x:v>
      </x:c>
      <x:c r="C2843" s="2" t="n">
        <x:v>1</x:v>
      </x:c>
      <x:c r="D2843" s="2" t="n">
        <x:v>1</x:v>
      </x:c>
      <x:c r="E2843" s="10" t="n">
        <x:v>66.33952702702703</x:v>
      </x:c>
      <x:c r="F2843" s="11" t="n">
        <x:v>444</x:v>
      </x:c>
      <x:c r="G2843" s="11" t="n">
        <x:v>0</x:v>
      </x:c>
      <x:c r="H2843" s="11" t="n">
        <x:v>0</x:v>
      </x:c>
      <x:c r="I2843" s="11" t="n">
        <x:v>0</x:v>
      </x:c>
      <x:c r="J2843" s="11" t="n">
        <x:v>0</x:v>
      </x:c>
      <x:c r="K2843" s="11" t="n">
        <x:v>0</x:v>
      </x:c>
      <x:c r="L2843" s="11" t="n">
        <x:f>IF(B2843="NED",1,IF(OR(B2843="ED",B2843="UN"),0,""))</x:f>
        <x:v>0</x:v>
      </x:c>
      <x:c r="M2843" s="11" t="n">
        <x:f>IF(AND(K2843=1,OR(B2843="ED",B2843="NED")),1,0)</x:f>
        <x:v>0</x:v>
      </x:c>
      <x:c r="N2843" s="11" t="n">
        <x:f>IF(K2843=1,1,0)</x:f>
        <x:v>0</x:v>
      </x:c>
      <x:c r="O2843" s="12" t="str">
        <x:v>Retain protein mean pLDDT &gt;=70</x:v>
      </x:c>
      <x:c r="P2843" s="11" t="n">
        <x:v>0</x:v>
      </x:c>
      <x:c r="Q2843" s="12" t="str">
        <x:v>AF-Q9D2Q3-F1-model_v6</x:v>
      </x:c>
      <x:c r="R2843" s="12" t="str">
        <x:v>ok</x:v>
      </x:c>
      <x:c r="S2843" s="11" t="n">
        <x:v>2318</x:v>
      </x:c>
      <x:c r="T2843" s="11" t="n">
        <x:v>444</x:v>
      </x:c>
    </x:row>
    <x:row r="2844" ht="23" customHeight="1">
      <x:c r="A2844" s="2" t="str">
        <x:v>Q9D2R0</x:v>
      </x:c>
      <x:c r="B2844" s="2" t="str">
        <x:v>NED</x:v>
      </x:c>
      <x:c r="C2844" s="2" t="n">
        <x:v>1</x:v>
      </x:c>
      <x:c r="D2844" s="2" t="n">
        <x:v>1</x:v>
      </x:c>
      <x:c r="E2844" s="10" t="n">
        <x:v>91.80880952380951</x:v>
      </x:c>
      <x:c r="F2844" s="11" t="n">
        <x:v>672</x:v>
      </x:c>
      <x:c r="G2844" s="11" t="n">
        <x:v>0</x:v>
      </x:c>
      <x:c r="H2844" s="11" t="n">
        <x:v>0</x:v>
      </x:c>
      <x:c r="I2844" s="11" t="n">
        <x:v>0</x:v>
      </x:c>
      <x:c r="J2844" s="11" t="n">
        <x:v>0</x:v>
      </x:c>
      <x:c r="K2844" s="11" t="n">
        <x:v>1</x:v>
      </x:c>
      <x:c r="L2844" s="11" t="n">
        <x:f>IF(B2844="NED",1,IF(OR(B2844="ED",B2844="UN"),0,""))</x:f>
        <x:v>1</x:v>
      </x:c>
      <x:c r="M2844" s="11" t="n">
        <x:f>IF(AND(K2844=1,OR(B2844="ED",B2844="NED")),1,0)</x:f>
        <x:v>1</x:v>
      </x:c>
      <x:c r="N2844" s="11" t="n">
        <x:f>IF(K2844=1,1,0)</x:f>
        <x:v>1</x:v>
      </x:c>
      <x:c r="O2844" s="12"/>
      <x:c r="P2844" s="11" t="n">
        <x:v>0</x:v>
      </x:c>
      <x:c r="Q2844" s="12" t="str">
        <x:v>AF-Q9D2R0-F1-model_v6</x:v>
      </x:c>
      <x:c r="R2844" s="12" t="str">
        <x:v>ok</x:v>
      </x:c>
      <x:c r="S2844" s="11" t="n">
        <x:v>2319</x:v>
      </x:c>
      <x:c r="T2844" s="11" t="n">
        <x:v>672</x:v>
      </x:c>
    </x:row>
    <x:row r="2845" ht="23" customHeight="1">
      <x:c r="A2845" s="2" t="str">
        <x:v>Q9D2Y4-2</x:v>
      </x:c>
      <x:c r="B2845" s="2" t="str">
        <x:v>ED</x:v>
      </x:c>
      <x:c r="C2845" s="2"/>
      <x:c r="D2845" s="2"/>
      <x:c r="E2845" s="10"/>
      <x:c r="F2845" s="11"/>
      <x:c r="G2845" s="11" t="n">
        <x:v>0</x:v>
      </x:c>
      <x:c r="H2845" s="11" t="n">
        <x:v>0</x:v>
      </x:c>
      <x:c r="I2845" s="11"/>
      <x:c r="J2845" s="11"/>
      <x:c r="K2845" s="11" t="n">
        <x:v>0</x:v>
      </x:c>
      <x:c r="L2845" s="11" t="n">
        <x:f>IF(B2845="NED",1,IF(OR(B2845="ED",B2845="UN"),0,""))</x:f>
        <x:v>0</x:v>
      </x:c>
      <x:c r="M2845" s="11" t="n">
        <x:f>IF(AND(K2845=1,OR(B2845="ED",B2845="NED")),1,0)</x:f>
        <x:v>0</x:v>
      </x:c>
      <x:c r="N2845" s="11" t="n">
        <x:f>IF(K2845=1,1,0)</x:f>
        <x:v>0</x:v>
      </x:c>
      <x:c r="O2845" s="12" t="str">
        <x:v>Require exact native accession match</x:v>
      </x:c>
      <x:c r="P2845" s="11" t="n">
        <x:v>0</x:v>
      </x:c>
      <x:c r="Q2845" s="12"/>
      <x:c r="R2845" s="12"/>
      <x:c r="S2845" s="11" t="n">
        <x:v>2320</x:v>
      </x:c>
      <x:c r="T2845" s="11"/>
    </x:row>
    <x:row r="2846" ht="23" customHeight="1">
      <x:c r="A2846" s="2" t="str">
        <x:v>Q9D358</x:v>
      </x:c>
      <x:c r="B2846" s="2" t="str">
        <x:v>ED</x:v>
      </x:c>
      <x:c r="C2846" s="2" t="n">
        <x:v>1</x:v>
      </x:c>
      <x:c r="D2846" s="2" t="n">
        <x:v>1</x:v>
      </x:c>
      <x:c r="E2846" s="10" t="n">
        <x:v>95.69721518987342</x:v>
      </x:c>
      <x:c r="F2846" s="11" t="n">
        <x:v>158</x:v>
      </x:c>
      <x:c r="G2846" s="11" t="n">
        <x:v>0</x:v>
      </x:c>
      <x:c r="H2846" s="11" t="n">
        <x:v>0</x:v>
      </x:c>
      <x:c r="I2846" s="11" t="n">
        <x:v>0</x:v>
      </x:c>
      <x:c r="J2846" s="11" t="n">
        <x:v>0</x:v>
      </x:c>
      <x:c r="K2846" s="11" t="n">
        <x:v>1</x:v>
      </x:c>
      <x:c r="L2846" s="11" t="n">
        <x:f>IF(B2846="NED",1,IF(OR(B2846="ED",B2846="UN"),0,""))</x:f>
        <x:v>0</x:v>
      </x:c>
      <x:c r="M2846" s="11" t="n">
        <x:f>IF(AND(K2846=1,OR(B2846="ED",B2846="NED")),1,0)</x:f>
        <x:v>1</x:v>
      </x:c>
      <x:c r="N2846" s="11" t="n">
        <x:f>IF(K2846=1,1,0)</x:f>
        <x:v>1</x:v>
      </x:c>
      <x:c r="O2846" s="12"/>
      <x:c r="P2846" s="11" t="n">
        <x:v>0</x:v>
      </x:c>
      <x:c r="Q2846" s="12" t="str">
        <x:v>AF-Q9D358-F1-model_v6</x:v>
      </x:c>
      <x:c r="R2846" s="12" t="str">
        <x:v>ok</x:v>
      </x:c>
      <x:c r="S2846" s="11" t="n">
        <x:v>2321</x:v>
      </x:c>
      <x:c r="T2846" s="11" t="n">
        <x:v>158</x:v>
      </x:c>
    </x:row>
    <x:row r="2847" ht="23" customHeight="1">
      <x:c r="A2847" s="2" t="str">
        <x:v>Q9D3D9</x:v>
      </x:c>
      <x:c r="B2847" s="2" t="str">
        <x:v>NED</x:v>
      </x:c>
      <x:c r="C2847" s="2" t="n">
        <x:v>0</x:v>
      </x:c>
      <x:c r="D2847" s="2" t="n">
        <x:v>0</x:v>
      </x:c>
      <x:c r="E2847" s="10"/>
      <x:c r="F2847" s="11" t="n">
        <x:v>168</x:v>
      </x:c>
      <x:c r="G2847" s="11" t="n">
        <x:v>0</x:v>
      </x:c>
      <x:c r="H2847" s="11" t="n">
        <x:v>0</x:v>
      </x:c>
      <x:c r="I2847" s="11" t="n">
        <x:v>1</x:v>
      </x:c>
      <x:c r="J2847" s="11" t="n">
        <x:v>0</x:v>
      </x:c>
      <x:c r="K2847" s="11" t="n">
        <x:v>0</x:v>
      </x:c>
      <x:c r="L2847" s="11" t="n">
        <x:f>IF(B2847="NED",1,IF(OR(B2847="ED",B2847="UN"),0,""))</x:f>
        <x:v>1</x:v>
      </x:c>
      <x:c r="M2847" s="11" t="n">
        <x:f>IF(AND(K2847=1,OR(B2847="ED",B2847="NED")),1,0)</x:f>
        <x:v>0</x:v>
      </x:c>
      <x:c r="N2847" s="11" t="n">
        <x:f>IF(K2847=1,1,0)</x:f>
        <x:v>0</x:v>
      </x:c>
      <x:c r="O2847" s="12" t="str">
        <x:v>Exclude UniProt Membrane keyword</x:v>
      </x:c>
      <x:c r="P2847" s="11" t="n">
        <x:v>0</x:v>
      </x:c>
      <x:c r="Q2847" s="12" t="str">
        <x:v>AF-Q9D3D9-F1-model_v6</x:v>
      </x:c>
      <x:c r="R2847" s="12" t="str">
        <x:v>ok</x:v>
      </x:c>
      <x:c r="S2847" s="11" t="n">
        <x:v>2322</x:v>
      </x:c>
      <x:c r="T2847" s="11" t="n">
        <x:v>168</x:v>
      </x:c>
    </x:row>
    <x:row r="2848" ht="23" customHeight="1">
      <x:c r="A2848" s="2" t="str">
        <x:v>Q9D483</x:v>
      </x:c>
      <x:c r="B2848" s="2" t="str">
        <x:v>UN</x:v>
      </x:c>
      <x:c r="C2848" s="2" t="n">
        <x:v>1</x:v>
      </x:c>
      <x:c r="D2848" s="2" t="n">
        <x:v>1</x:v>
      </x:c>
      <x:c r="E2848" s="10" t="n">
        <x:v>89.1554033771107</x:v>
      </x:c>
      <x:c r="F2848" s="11" t="n">
        <x:v>533</x:v>
      </x:c>
      <x:c r="G2848" s="11" t="n">
        <x:v>0</x:v>
      </x:c>
      <x:c r="H2848" s="11" t="n">
        <x:v>0</x:v>
      </x:c>
      <x:c r="I2848" s="11" t="n">
        <x:v>0</x:v>
      </x:c>
      <x:c r="J2848" s="11" t="n">
        <x:v>0</x:v>
      </x:c>
      <x:c r="K2848" s="11" t="n">
        <x:v>1</x:v>
      </x:c>
      <x:c r="L2848" s="11" t="n">
        <x:f>IF(B2848="NED",1,IF(OR(B2848="ED",B2848="UN"),0,""))</x:f>
        <x:v>0</x:v>
      </x:c>
      <x:c r="M2848" s="11" t="n">
        <x:f>IF(AND(K2848=1,OR(B2848="ED",B2848="NED")),1,0)</x:f>
        <x:v>0</x:v>
      </x:c>
      <x:c r="N2848" s="11" t="n">
        <x:f>IF(K2848=1,1,0)</x:f>
        <x:v>1</x:v>
      </x:c>
      <x:c r="O2848" s="12"/>
      <x:c r="P2848" s="11" t="n">
        <x:v>0</x:v>
      </x:c>
      <x:c r="Q2848" s="12" t="str">
        <x:v>AF-Q9D483-F1-model_v6</x:v>
      </x:c>
      <x:c r="R2848" s="12" t="str">
        <x:v>ok</x:v>
      </x:c>
      <x:c r="S2848" s="11" t="n">
        <x:v>2323</x:v>
      </x:c>
      <x:c r="T2848" s="11" t="n">
        <x:v>533</x:v>
      </x:c>
    </x:row>
    <x:row r="2849" ht="23" customHeight="1">
      <x:c r="A2849" s="2" t="str">
        <x:v>Q9D4G5</x:v>
      </x:c>
      <x:c r="B2849" s="2" t="str">
        <x:v>NED</x:v>
      </x:c>
      <x:c r="C2849" s="2"/>
      <x:c r="D2849" s="2"/>
      <x:c r="E2849" s="10"/>
      <x:c r="F2849" s="11"/>
      <x:c r="G2849" s="11" t="n">
        <x:v>0</x:v>
      </x:c>
      <x:c r="H2849" s="11" t="n">
        <x:v>0</x:v>
      </x:c>
      <x:c r="I2849" s="11" t="n">
        <x:v>0</x:v>
      </x:c>
      <x:c r="J2849" s="11" t="n">
        <x:v>0</x:v>
      </x:c>
      <x:c r="K2849" s="11" t="n">
        <x:v>0</x:v>
      </x:c>
      <x:c r="L2849" s="11" t="n">
        <x:f>IF(B2849="NED",1,IF(OR(B2849="ED",B2849="UN"),0,""))</x:f>
        <x:v>1</x:v>
      </x:c>
      <x:c r="M2849" s="11" t="n">
        <x:f>IF(AND(K2849=1,OR(B2849="ED",B2849="NED")),1,0)</x:f>
        <x:v>0</x:v>
      </x:c>
      <x:c r="N2849" s="11" t="n">
        <x:f>IF(K2849=1,1,0)</x:f>
        <x:v>0</x:v>
      </x:c>
      <x:c r="O2849" s="12" t="str">
        <x:v>Require exact native accession match</x:v>
      </x:c>
      <x:c r="P2849" s="11" t="n">
        <x:v>0</x:v>
      </x:c>
      <x:c r="Q2849" s="12"/>
      <x:c r="R2849" s="12"/>
      <x:c r="S2849" s="11" t="n">
        <x:v>3268</x:v>
      </x:c>
      <x:c r="T2849" s="11" t="n">
        <x:v>1015</x:v>
      </x:c>
    </x:row>
    <x:row r="2850" ht="23" customHeight="1">
      <x:c r="A2850" s="2" t="str">
        <x:v>Q9D4H1</x:v>
      </x:c>
      <x:c r="B2850" s="2" t="str">
        <x:v>ED</x:v>
      </x:c>
      <x:c r="C2850" s="2" t="n">
        <x:v>0</x:v>
      </x:c>
      <x:c r="D2850" s="2" t="n">
        <x:v>0</x:v>
      </x:c>
      <x:c r="E2850" s="10" t="n">
        <x:v>80.40251082251082</x:v>
      </x:c>
      <x:c r="F2850" s="11" t="n">
        <x:v>924</x:v>
      </x:c>
      <x:c r="G2850" s="11" t="n">
        <x:v>0</x:v>
      </x:c>
      <x:c r="H2850" s="11" t="n">
        <x:v>0</x:v>
      </x:c>
      <x:c r="I2850" s="11" t="n">
        <x:v>0</x:v>
      </x:c>
      <x:c r="J2850" s="11" t="n">
        <x:v>0</x:v>
      </x:c>
      <x:c r="K2850" s="11" t="n">
        <x:v>1</x:v>
      </x:c>
      <x:c r="L2850" s="11" t="n">
        <x:f>IF(B2850="NED",1,IF(OR(B2850="ED",B2850="UN"),0,""))</x:f>
        <x:v>0</x:v>
      </x:c>
      <x:c r="M2850" s="11" t="n">
        <x:f>IF(AND(K2850=1,OR(B2850="ED",B2850="NED")),1,0)</x:f>
        <x:v>1</x:v>
      </x:c>
      <x:c r="N2850" s="11" t="n">
        <x:f>IF(K2850=1,1,0)</x:f>
        <x:v>1</x:v>
      </x:c>
      <x:c r="O2850" s="12"/>
      <x:c r="P2850" s="11" t="n">
        <x:v>0</x:v>
      </x:c>
      <x:c r="Q2850" s="12" t="str">
        <x:v>AF-Q9D4H1-F1-model_v6</x:v>
      </x:c>
      <x:c r="R2850" s="12" t="str">
        <x:v>ok</x:v>
      </x:c>
      <x:c r="S2850" s="11" t="n">
        <x:v>2324</x:v>
      </x:c>
      <x:c r="T2850" s="11" t="n">
        <x:v>924</x:v>
      </x:c>
    </x:row>
    <x:row r="2851" ht="23" customHeight="1">
      <x:c r="A2851" s="2" t="str">
        <x:v>Q9D4H8</x:v>
      </x:c>
      <x:c r="B2851" s="2" t="str">
        <x:v>UN</x:v>
      </x:c>
      <x:c r="C2851" s="2" t="n">
        <x:v>1</x:v>
      </x:c>
      <x:c r="D2851" s="2" t="n">
        <x:v>1</x:v>
      </x:c>
      <x:c r="E2851" s="10" t="n">
        <x:v>86.40927516778524</x:v>
      </x:c>
      <x:c r="F2851" s="11" t="n">
        <x:v>745</x:v>
      </x:c>
      <x:c r="G2851" s="11" t="n">
        <x:v>0</x:v>
      </x:c>
      <x:c r="H2851" s="11" t="n">
        <x:v>0</x:v>
      </x:c>
      <x:c r="I2851" s="11" t="n">
        <x:v>0</x:v>
      </x:c>
      <x:c r="J2851" s="11" t="n">
        <x:v>0</x:v>
      </x:c>
      <x:c r="K2851" s="11" t="n">
        <x:v>1</x:v>
      </x:c>
      <x:c r="L2851" s="11" t="n">
        <x:f>IF(B2851="NED",1,IF(OR(B2851="ED",B2851="UN"),0,""))</x:f>
        <x:v>0</x:v>
      </x:c>
      <x:c r="M2851" s="11" t="n">
        <x:f>IF(AND(K2851=1,OR(B2851="ED",B2851="NED")),1,0)</x:f>
        <x:v>0</x:v>
      </x:c>
      <x:c r="N2851" s="11" t="n">
        <x:f>IF(K2851=1,1,0)</x:f>
        <x:v>1</x:v>
      </x:c>
      <x:c r="O2851" s="12"/>
      <x:c r="P2851" s="11" t="n">
        <x:v>0</x:v>
      </x:c>
      <x:c r="Q2851" s="12" t="str">
        <x:v>AF-Q9D4H8-F1-model_v6</x:v>
      </x:c>
      <x:c r="R2851" s="12" t="str">
        <x:v>ok</x:v>
      </x:c>
      <x:c r="S2851" s="11" t="n">
        <x:v>2325</x:v>
      </x:c>
      <x:c r="T2851" s="11" t="n">
        <x:v>745</x:v>
      </x:c>
    </x:row>
    <x:row r="2852" ht="23" customHeight="1">
      <x:c r="A2852" s="2" t="str">
        <x:v>Q9D4H9-2</x:v>
      </x:c>
      <x:c r="B2852" s="2" t="str">
        <x:v>ED</x:v>
      </x:c>
      <x:c r="C2852" s="2"/>
      <x:c r="D2852" s="2"/>
      <x:c r="E2852" s="10"/>
      <x:c r="F2852" s="11"/>
      <x:c r="G2852" s="11" t="n">
        <x:v>0</x:v>
      </x:c>
      <x:c r="H2852" s="11" t="n">
        <x:v>0</x:v>
      </x:c>
      <x:c r="I2852" s="11"/>
      <x:c r="J2852" s="11"/>
      <x:c r="K2852" s="11" t="n">
        <x:v>0</x:v>
      </x:c>
      <x:c r="L2852" s="11" t="n">
        <x:f>IF(B2852="NED",1,IF(OR(B2852="ED",B2852="UN"),0,""))</x:f>
        <x:v>0</x:v>
      </x:c>
      <x:c r="M2852" s="11" t="n">
        <x:f>IF(AND(K2852=1,OR(B2852="ED",B2852="NED")),1,0)</x:f>
        <x:v>0</x:v>
      </x:c>
      <x:c r="N2852" s="11" t="n">
        <x:f>IF(K2852=1,1,0)</x:f>
        <x:v>0</x:v>
      </x:c>
      <x:c r="O2852" s="12" t="str">
        <x:v>Require exact native accession match</x:v>
      </x:c>
      <x:c r="P2852" s="11" t="n">
        <x:v>0</x:v>
      </x:c>
      <x:c r="Q2852" s="12"/>
      <x:c r="R2852" s="12"/>
      <x:c r="S2852" s="11" t="n">
        <x:v>2326</x:v>
      </x:c>
      <x:c r="T2852" s="11"/>
    </x:row>
    <x:row r="2853" ht="23" customHeight="1">
      <x:c r="A2853" s="2" t="str">
        <x:v>Q9D4I9</x:v>
      </x:c>
      <x:c r="B2853" s="2" t="str">
        <x:v>ED</x:v>
      </x:c>
      <x:c r="C2853" s="2"/>
      <x:c r="D2853" s="2"/>
      <x:c r="E2853" s="10"/>
      <x:c r="F2853" s="11"/>
      <x:c r="G2853" s="11" t="n">
        <x:v>0</x:v>
      </x:c>
      <x:c r="H2853" s="11" t="n">
        <x:v>0</x:v>
      </x:c>
      <x:c r="I2853" s="11" t="n">
        <x:v>1</x:v>
      </x:c>
      <x:c r="J2853" s="11" t="n">
        <x:v>0</x:v>
      </x:c>
      <x:c r="K2853" s="11" t="n">
        <x:v>0</x:v>
      </x:c>
      <x:c r="L2853" s="11" t="n">
        <x:f>IF(B2853="NED",1,IF(OR(B2853="ED",B2853="UN"),0,""))</x:f>
        <x:v>0</x:v>
      </x:c>
      <x:c r="M2853" s="11" t="n">
        <x:f>IF(AND(K2853=1,OR(B2853="ED",B2853="NED")),1,0)</x:f>
        <x:v>0</x:v>
      </x:c>
      <x:c r="N2853" s="11" t="n">
        <x:f>IF(K2853=1,1,0)</x:f>
        <x:v>0</x:v>
      </x:c>
      <x:c r="O2853" s="12" t="str">
        <x:v>Require exact native accession match</x:v>
      </x:c>
      <x:c r="P2853" s="11" t="n">
        <x:v>0</x:v>
      </x:c>
      <x:c r="Q2853" s="12"/>
      <x:c r="R2853" s="12"/>
      <x:c r="S2853" s="11" t="n">
        <x:v>3269</x:v>
      </x:c>
      <x:c r="T2853" s="11" t="n">
        <x:v>237</x:v>
      </x:c>
    </x:row>
    <x:row r="2854" ht="23" customHeight="1">
      <x:c r="A2854" s="2" t="str">
        <x:v>Q9D554</x:v>
      </x:c>
      <x:c r="B2854" s="2" t="str">
        <x:v>UN</x:v>
      </x:c>
      <x:c r="C2854" s="2" t="n">
        <x:v>1</x:v>
      </x:c>
      <x:c r="D2854" s="2" t="n">
        <x:v>1</x:v>
      </x:c>
      <x:c r="E2854" s="10" t="n">
        <x:v>85.10962075848303</x:v>
      </x:c>
      <x:c r="F2854" s="11" t="n">
        <x:v>501</x:v>
      </x:c>
      <x:c r="G2854" s="11" t="n">
        <x:v>0</x:v>
      </x:c>
      <x:c r="H2854" s="11" t="n">
        <x:v>0</x:v>
      </x:c>
      <x:c r="I2854" s="11" t="n">
        <x:v>0</x:v>
      </x:c>
      <x:c r="J2854" s="11" t="n">
        <x:v>0</x:v>
      </x:c>
      <x:c r="K2854" s="11" t="n">
        <x:v>1</x:v>
      </x:c>
      <x:c r="L2854" s="11" t="n">
        <x:f>IF(B2854="NED",1,IF(OR(B2854="ED",B2854="UN"),0,""))</x:f>
        <x:v>0</x:v>
      </x:c>
      <x:c r="M2854" s="11" t="n">
        <x:f>IF(AND(K2854=1,OR(B2854="ED",B2854="NED")),1,0)</x:f>
        <x:v>0</x:v>
      </x:c>
      <x:c r="N2854" s="11" t="n">
        <x:f>IF(K2854=1,1,0)</x:f>
        <x:v>1</x:v>
      </x:c>
      <x:c r="O2854" s="12"/>
      <x:c r="P2854" s="11" t="n">
        <x:v>0</x:v>
      </x:c>
      <x:c r="Q2854" s="12" t="str">
        <x:v>AF-Q9D554-F1-model_v6</x:v>
      </x:c>
      <x:c r="R2854" s="12" t="str">
        <x:v>ok</x:v>
      </x:c>
      <x:c r="S2854" s="11" t="n">
        <x:v>2327</x:v>
      </x:c>
      <x:c r="T2854" s="11" t="n">
        <x:v>501</x:v>
      </x:c>
    </x:row>
    <x:row r="2855" ht="23" customHeight="1">
      <x:c r="A2855" s="2" t="str">
        <x:v>Q9D5T0</x:v>
      </x:c>
      <x:c r="B2855" s="2" t="str">
        <x:v>NED</x:v>
      </x:c>
      <x:c r="C2855" s="2" t="n">
        <x:v>1</x:v>
      </x:c>
      <x:c r="D2855" s="2" t="n">
        <x:v>1</x:v>
      </x:c>
      <x:c r="E2855" s="10"/>
      <x:c r="F2855" s="11" t="n">
        <x:v>361</x:v>
      </x:c>
      <x:c r="G2855" s="11" t="n">
        <x:v>0</x:v>
      </x:c>
      <x:c r="H2855" s="11" t="n">
        <x:v>0</x:v>
      </x:c>
      <x:c r="I2855" s="11" t="n">
        <x:v>1</x:v>
      </x:c>
      <x:c r="J2855" s="11" t="n">
        <x:v>0</x:v>
      </x:c>
      <x:c r="K2855" s="11" t="n">
        <x:v>0</x:v>
      </x:c>
      <x:c r="L2855" s="11" t="n">
        <x:f>IF(B2855="NED",1,IF(OR(B2855="ED",B2855="UN"),0,""))</x:f>
        <x:v>1</x:v>
      </x:c>
      <x:c r="M2855" s="11" t="n">
        <x:f>IF(AND(K2855=1,OR(B2855="ED",B2855="NED")),1,0)</x:f>
        <x:v>0</x:v>
      </x:c>
      <x:c r="N2855" s="11" t="n">
        <x:f>IF(K2855=1,1,0)</x:f>
        <x:v>0</x:v>
      </x:c>
      <x:c r="O2855" s="12" t="str">
        <x:v>Exclude UniProt Membrane keyword</x:v>
      </x:c>
      <x:c r="P2855" s="11" t="n">
        <x:v>0</x:v>
      </x:c>
      <x:c r="Q2855" s="12" t="str">
        <x:v>AF-Q9D5T0-F1-model_v6</x:v>
      </x:c>
      <x:c r="R2855" s="12" t="str">
        <x:v>ok</x:v>
      </x:c>
      <x:c r="S2855" s="11" t="n">
        <x:v>2328</x:v>
      </x:c>
      <x:c r="T2855" s="11" t="n">
        <x:v>361</x:v>
      </x:c>
    </x:row>
    <x:row r="2856" ht="23" customHeight="1">
      <x:c r="A2856" s="2" t="str">
        <x:v>Q9D5V5</x:v>
      </x:c>
      <x:c r="B2856" s="2" t="str">
        <x:v>ED</x:v>
      </x:c>
      <x:c r="C2856" s="2" t="n">
        <x:v>1</x:v>
      </x:c>
      <x:c r="D2856" s="2" t="n">
        <x:v>1</x:v>
      </x:c>
      <x:c r="E2856" s="10" t="n">
        <x:v>88.72644871794873</x:v>
      </x:c>
      <x:c r="F2856" s="11" t="n">
        <x:v>780</x:v>
      </x:c>
      <x:c r="G2856" s="11" t="n">
        <x:v>0</x:v>
      </x:c>
      <x:c r="H2856" s="11" t="n">
        <x:v>0</x:v>
      </x:c>
      <x:c r="I2856" s="11" t="n">
        <x:v>0</x:v>
      </x:c>
      <x:c r="J2856" s="11" t="n">
        <x:v>0</x:v>
      </x:c>
      <x:c r="K2856" s="11" t="n">
        <x:v>1</x:v>
      </x:c>
      <x:c r="L2856" s="11" t="n">
        <x:f>IF(B2856="NED",1,IF(OR(B2856="ED",B2856="UN"),0,""))</x:f>
        <x:v>0</x:v>
      </x:c>
      <x:c r="M2856" s="11" t="n">
        <x:f>IF(AND(K2856=1,OR(B2856="ED",B2856="NED")),1,0)</x:f>
        <x:v>1</x:v>
      </x:c>
      <x:c r="N2856" s="11" t="n">
        <x:f>IF(K2856=1,1,0)</x:f>
        <x:v>1</x:v>
      </x:c>
      <x:c r="O2856" s="12"/>
      <x:c r="P2856" s="11" t="n">
        <x:v>0</x:v>
      </x:c>
      <x:c r="Q2856" s="12" t="str">
        <x:v>AF-Q9D5V5-F1-model_v6</x:v>
      </x:c>
      <x:c r="R2856" s="12" t="str">
        <x:v>ok</x:v>
      </x:c>
      <x:c r="S2856" s="11" t="n">
        <x:v>2329</x:v>
      </x:c>
      <x:c r="T2856" s="11" t="n">
        <x:v>780</x:v>
      </x:c>
    </x:row>
    <x:row r="2857" ht="23" customHeight="1">
      <x:c r="A2857" s="2" t="str">
        <x:v>Q9D5V6</x:v>
      </x:c>
      <x:c r="B2857" s="2" t="str">
        <x:v>ED</x:v>
      </x:c>
      <x:c r="C2857" s="2" t="n">
        <x:v>1</x:v>
      </x:c>
      <x:c r="D2857" s="2" t="n">
        <x:v>1</x:v>
      </x:c>
      <x:c r="E2857" s="10"/>
      <x:c r="F2857" s="11" t="n">
        <x:v>365</x:v>
      </x:c>
      <x:c r="G2857" s="11" t="n">
        <x:v>0</x:v>
      </x:c>
      <x:c r="H2857" s="11" t="n">
        <x:v>0</x:v>
      </x:c>
      <x:c r="I2857" s="11" t="n">
        <x:v>1</x:v>
      </x:c>
      <x:c r="J2857" s="11" t="n">
        <x:v>0</x:v>
      </x:c>
      <x:c r="K2857" s="11" t="n">
        <x:v>0</x:v>
      </x:c>
      <x:c r="L2857" s="11" t="n">
        <x:f>IF(B2857="NED",1,IF(OR(B2857="ED",B2857="UN"),0,""))</x:f>
        <x:v>0</x:v>
      </x:c>
      <x:c r="M2857" s="11" t="n">
        <x:f>IF(AND(K2857=1,OR(B2857="ED",B2857="NED")),1,0)</x:f>
        <x:v>0</x:v>
      </x:c>
      <x:c r="N2857" s="11" t="n">
        <x:f>IF(K2857=1,1,0)</x:f>
        <x:v>0</x:v>
      </x:c>
      <x:c r="O2857" s="12" t="str">
        <x:v>Exclude UniProt Membrane keyword</x:v>
      </x:c>
      <x:c r="P2857" s="11" t="n">
        <x:v>0</x:v>
      </x:c>
      <x:c r="Q2857" s="12" t="str">
        <x:v>AF-Q9D5V6-F1-model_v6</x:v>
      </x:c>
      <x:c r="R2857" s="12" t="str">
        <x:v>ok</x:v>
      </x:c>
      <x:c r="S2857" s="11" t="n">
        <x:v>2330</x:v>
      </x:c>
      <x:c r="T2857" s="11" t="n">
        <x:v>365</x:v>
      </x:c>
    </x:row>
    <x:row r="2858" ht="23" customHeight="1">
      <x:c r="A2858" s="2" t="str">
        <x:v>Q9D662</x:v>
      </x:c>
      <x:c r="B2858" s="2" t="str">
        <x:v>ED</x:v>
      </x:c>
      <x:c r="C2858" s="2" t="n">
        <x:v>1</x:v>
      </x:c>
      <x:c r="D2858" s="2" t="n">
        <x:v>1</x:v>
      </x:c>
      <x:c r="E2858" s="10"/>
      <x:c r="F2858" s="11" t="n">
        <x:v>767</x:v>
      </x:c>
      <x:c r="G2858" s="11" t="n">
        <x:v>0</x:v>
      </x:c>
      <x:c r="H2858" s="11" t="n">
        <x:v>0</x:v>
      </x:c>
      <x:c r="I2858" s="11" t="n">
        <x:v>1</x:v>
      </x:c>
      <x:c r="J2858" s="11" t="n">
        <x:v>0</x:v>
      </x:c>
      <x:c r="K2858" s="11" t="n">
        <x:v>0</x:v>
      </x:c>
      <x:c r="L2858" s="11" t="n">
        <x:f>IF(B2858="NED",1,IF(OR(B2858="ED",B2858="UN"),0,""))</x:f>
        <x:v>0</x:v>
      </x:c>
      <x:c r="M2858" s="11" t="n">
        <x:f>IF(AND(K2858=1,OR(B2858="ED",B2858="NED")),1,0)</x:f>
        <x:v>0</x:v>
      </x:c>
      <x:c r="N2858" s="11" t="n">
        <x:f>IF(K2858=1,1,0)</x:f>
        <x:v>0</x:v>
      </x:c>
      <x:c r="O2858" s="12" t="str">
        <x:v>Exclude UniProt Membrane keyword</x:v>
      </x:c>
      <x:c r="P2858" s="11" t="n">
        <x:v>0</x:v>
      </x:c>
      <x:c r="Q2858" s="12" t="str">
        <x:v>AF-Q9D662-F1-model_v6</x:v>
      </x:c>
      <x:c r="R2858" s="12" t="str">
        <x:v>ok</x:v>
      </x:c>
      <x:c r="S2858" s="11" t="n">
        <x:v>2331</x:v>
      </x:c>
      <x:c r="T2858" s="11" t="n">
        <x:v>767</x:v>
      </x:c>
    </x:row>
    <x:row r="2859" ht="23" customHeight="1">
      <x:c r="A2859" s="2" t="str">
        <x:v>Q9D666</x:v>
      </x:c>
      <x:c r="B2859" s="2" t="str">
        <x:v>UN</x:v>
      </x:c>
      <x:c r="C2859" s="2" t="n">
        <x:v>1</x:v>
      </x:c>
      <x:c r="D2859" s="2" t="n">
        <x:v>1</x:v>
      </x:c>
      <x:c r="E2859" s="10"/>
      <x:c r="F2859" s="11" t="n">
        <x:v>913</x:v>
      </x:c>
      <x:c r="G2859" s="11" t="n">
        <x:v>0</x:v>
      </x:c>
      <x:c r="H2859" s="11" t="n">
        <x:v>0</x:v>
      </x:c>
      <x:c r="I2859" s="11" t="n">
        <x:v>1</x:v>
      </x:c>
      <x:c r="J2859" s="11" t="n">
        <x:v>0</x:v>
      </x:c>
      <x:c r="K2859" s="11" t="n">
        <x:v>0</x:v>
      </x:c>
      <x:c r="L2859" s="11" t="n">
        <x:f>IF(B2859="NED",1,IF(OR(B2859="ED",B2859="UN"),0,""))</x:f>
        <x:v>0</x:v>
      </x:c>
      <x:c r="M2859" s="11" t="n">
        <x:f>IF(AND(K2859=1,OR(B2859="ED",B2859="NED")),1,0)</x:f>
        <x:v>0</x:v>
      </x:c>
      <x:c r="N2859" s="11" t="n">
        <x:f>IF(K2859=1,1,0)</x:f>
        <x:v>0</x:v>
      </x:c>
      <x:c r="O2859" s="12" t="str">
        <x:v>Exclude UniProt Membrane keyword</x:v>
      </x:c>
      <x:c r="P2859" s="11" t="n">
        <x:v>0</x:v>
      </x:c>
      <x:c r="Q2859" s="12" t="str">
        <x:v>AF-Q9D666-F1-model_v6</x:v>
      </x:c>
      <x:c r="R2859" s="12" t="str">
        <x:v>ok</x:v>
      </x:c>
      <x:c r="S2859" s="11" t="n">
        <x:v>2332</x:v>
      </x:c>
      <x:c r="T2859" s="11" t="n">
        <x:v>913</x:v>
      </x:c>
    </x:row>
    <x:row r="2860" ht="23" customHeight="1">
      <x:c r="A2860" s="2" t="str">
        <x:v>Q9D6J6</x:v>
      </x:c>
      <x:c r="B2860" s="2" t="str">
        <x:v>NED</x:v>
      </x:c>
      <x:c r="C2860" s="2" t="n">
        <x:v>1</x:v>
      </x:c>
      <x:c r="D2860" s="2" t="n">
        <x:v>1</x:v>
      </x:c>
      <x:c r="E2860" s="10"/>
      <x:c r="F2860" s="11" t="n">
        <x:v>248</x:v>
      </x:c>
      <x:c r="G2860" s="11" t="n">
        <x:v>0</x:v>
      </x:c>
      <x:c r="H2860" s="11" t="n">
        <x:v>0</x:v>
      </x:c>
      <x:c r="I2860" s="11" t="n">
        <x:v>1</x:v>
      </x:c>
      <x:c r="J2860" s="11" t="n">
        <x:v>0</x:v>
      </x:c>
      <x:c r="K2860" s="11" t="n">
        <x:v>0</x:v>
      </x:c>
      <x:c r="L2860" s="11" t="n">
        <x:f>IF(B2860="NED",1,IF(OR(B2860="ED",B2860="UN"),0,""))</x:f>
        <x:v>1</x:v>
      </x:c>
      <x:c r="M2860" s="11" t="n">
        <x:f>IF(AND(K2860=1,OR(B2860="ED",B2860="NED")),1,0)</x:f>
        <x:v>0</x:v>
      </x:c>
      <x:c r="N2860" s="11" t="n">
        <x:f>IF(K2860=1,1,0)</x:f>
        <x:v>0</x:v>
      </x:c>
      <x:c r="O2860" s="12" t="str">
        <x:v>Exclude UniProt Membrane keyword</x:v>
      </x:c>
      <x:c r="P2860" s="11" t="n">
        <x:v>0</x:v>
      </x:c>
      <x:c r="Q2860" s="12" t="str">
        <x:v>AF-Q9D6J6-F1-model_v6</x:v>
      </x:c>
      <x:c r="R2860" s="12" t="str">
        <x:v>ok</x:v>
      </x:c>
      <x:c r="S2860" s="11" t="n">
        <x:v>2333</x:v>
      </x:c>
      <x:c r="T2860" s="11" t="n">
        <x:v>248</x:v>
      </x:c>
    </x:row>
    <x:row r="2861" ht="23" customHeight="1">
      <x:c r="A2861" s="2" t="str">
        <x:v>Q9D6K9</x:v>
      </x:c>
      <x:c r="B2861" s="2" t="str">
        <x:v>UN</x:v>
      </x:c>
      <x:c r="C2861" s="2" t="n">
        <x:v>1</x:v>
      </x:c>
      <x:c r="D2861" s="2" t="n">
        <x:v>1</x:v>
      </x:c>
      <x:c r="E2861" s="10"/>
      <x:c r="F2861" s="11" t="n">
        <x:v>414</x:v>
      </x:c>
      <x:c r="G2861" s="11" t="n">
        <x:v>0</x:v>
      </x:c>
      <x:c r="H2861" s="11" t="n">
        <x:v>0</x:v>
      </x:c>
      <x:c r="I2861" s="11" t="n">
        <x:v>1</x:v>
      </x:c>
      <x:c r="J2861" s="11" t="n">
        <x:v>0</x:v>
      </x:c>
      <x:c r="K2861" s="11" t="n">
        <x:v>0</x:v>
      </x:c>
      <x:c r="L2861" s="11" t="n">
        <x:f>IF(B2861="NED",1,IF(OR(B2861="ED",B2861="UN"),0,""))</x:f>
        <x:v>0</x:v>
      </x:c>
      <x:c r="M2861" s="11" t="n">
        <x:f>IF(AND(K2861=1,OR(B2861="ED",B2861="NED")),1,0)</x:f>
        <x:v>0</x:v>
      </x:c>
      <x:c r="N2861" s="11" t="n">
        <x:f>IF(K2861=1,1,0)</x:f>
        <x:v>0</x:v>
      </x:c>
      <x:c r="O2861" s="12" t="str">
        <x:v>Exclude UniProt Membrane keyword</x:v>
      </x:c>
      <x:c r="P2861" s="11" t="n">
        <x:v>0</x:v>
      </x:c>
      <x:c r="Q2861" s="12" t="str">
        <x:v>AF-Q9D6K9-F1-model_v6</x:v>
      </x:c>
      <x:c r="R2861" s="12" t="str">
        <x:v>ok</x:v>
      </x:c>
      <x:c r="S2861" s="11" t="n">
        <x:v>2334</x:v>
      </x:c>
      <x:c r="T2861" s="11" t="n">
        <x:v>414</x:v>
      </x:c>
    </x:row>
    <x:row r="2862" ht="23" customHeight="1">
      <x:c r="A2862" s="2" t="str">
        <x:v>Q9D6R2</x:v>
      </x:c>
      <x:c r="B2862" s="2" t="str">
        <x:v>ED</x:v>
      </x:c>
      <x:c r="C2862" s="2" t="n">
        <x:v>1</x:v>
      </x:c>
      <x:c r="D2862" s="2" t="n">
        <x:v>1</x:v>
      </x:c>
      <x:c r="E2862" s="10" t="n">
        <x:v>90.3827049180328</x:v>
      </x:c>
      <x:c r="F2862" s="11" t="n">
        <x:v>366</x:v>
      </x:c>
      <x:c r="G2862" s="11" t="n">
        <x:v>0</x:v>
      </x:c>
      <x:c r="H2862" s="11" t="n">
        <x:v>0</x:v>
      </x:c>
      <x:c r="I2862" s="11" t="n">
        <x:v>0</x:v>
      </x:c>
      <x:c r="J2862" s="11" t="n">
        <x:v>0</x:v>
      </x:c>
      <x:c r="K2862" s="11" t="n">
        <x:v>1</x:v>
      </x:c>
      <x:c r="L2862" s="11" t="n">
        <x:f>IF(B2862="NED",1,IF(OR(B2862="ED",B2862="UN"),0,""))</x:f>
        <x:v>0</x:v>
      </x:c>
      <x:c r="M2862" s="11" t="n">
        <x:f>IF(AND(K2862=1,OR(B2862="ED",B2862="NED")),1,0)</x:f>
        <x:v>1</x:v>
      </x:c>
      <x:c r="N2862" s="11" t="n">
        <x:f>IF(K2862=1,1,0)</x:f>
        <x:v>1</x:v>
      </x:c>
      <x:c r="O2862" s="12"/>
      <x:c r="P2862" s="11" t="n">
        <x:v>0</x:v>
      </x:c>
      <x:c r="Q2862" s="12" t="str">
        <x:v>AF-Q9D6R2-F1-model_v6</x:v>
      </x:c>
      <x:c r="R2862" s="12" t="str">
        <x:v>ok</x:v>
      </x:c>
      <x:c r="S2862" s="11" t="n">
        <x:v>2335</x:v>
      </x:c>
      <x:c r="T2862" s="11" t="n">
        <x:v>366</x:v>
      </x:c>
    </x:row>
    <x:row r="2863" ht="23" customHeight="1">
      <x:c r="A2863" s="2" t="str">
        <x:v>Q9D6Z1</x:v>
      </x:c>
      <x:c r="B2863" s="2" t="str">
        <x:v>UN</x:v>
      </x:c>
      <x:c r="C2863" s="2" t="n">
        <x:v>0</x:v>
      </x:c>
      <x:c r="D2863" s="2" t="n">
        <x:v>0</x:v>
      </x:c>
      <x:c r="E2863" s="10" t="n">
        <x:v>75.09108620689655</x:v>
      </x:c>
      <x:c r="F2863" s="11" t="n">
        <x:v>580</x:v>
      </x:c>
      <x:c r="G2863" s="11" t="n">
        <x:v>0</x:v>
      </x:c>
      <x:c r="H2863" s="11" t="n">
        <x:v>0</x:v>
      </x:c>
      <x:c r="I2863" s="11" t="n">
        <x:v>0</x:v>
      </x:c>
      <x:c r="J2863" s="11" t="n">
        <x:v>0</x:v>
      </x:c>
      <x:c r="K2863" s="11" t="n">
        <x:v>1</x:v>
      </x:c>
      <x:c r="L2863" s="11" t="n">
        <x:f>IF(B2863="NED",1,IF(OR(B2863="ED",B2863="UN"),0,""))</x:f>
        <x:v>0</x:v>
      </x:c>
      <x:c r="M2863" s="11" t="n">
        <x:f>IF(AND(K2863=1,OR(B2863="ED",B2863="NED")),1,0)</x:f>
        <x:v>0</x:v>
      </x:c>
      <x:c r="N2863" s="11" t="n">
        <x:f>IF(K2863=1,1,0)</x:f>
        <x:v>1</x:v>
      </x:c>
      <x:c r="O2863" s="12"/>
      <x:c r="P2863" s="11" t="n">
        <x:v>0</x:v>
      </x:c>
      <x:c r="Q2863" s="12" t="str">
        <x:v>AF-Q9D6Z1-F1-model_v6</x:v>
      </x:c>
      <x:c r="R2863" s="12" t="str">
        <x:v>ok</x:v>
      </x:c>
      <x:c r="S2863" s="11" t="n">
        <x:v>2336</x:v>
      </x:c>
      <x:c r="T2863" s="11" t="n">
        <x:v>580</x:v>
      </x:c>
    </x:row>
    <x:row r="2864" ht="23" customHeight="1">
      <x:c r="A2864" s="2" t="str">
        <x:v>Q9D706</x:v>
      </x:c>
      <x:c r="B2864" s="2" t="str">
        <x:v>ED</x:v>
      </x:c>
      <x:c r="C2864" s="2" t="n">
        <x:v>0</x:v>
      </x:c>
      <x:c r="D2864" s="2" t="n">
        <x:v>0</x:v>
      </x:c>
      <x:c r="E2864" s="10" t="n">
        <x:v>73.63454545454546</x:v>
      </x:c>
      <x:c r="F2864" s="11" t="n">
        <x:v>660</x:v>
      </x:c>
      <x:c r="G2864" s="11" t="n">
        <x:v>0</x:v>
      </x:c>
      <x:c r="H2864" s="11" t="n">
        <x:v>0</x:v>
      </x:c>
      <x:c r="I2864" s="11" t="n">
        <x:v>0</x:v>
      </x:c>
      <x:c r="J2864" s="11" t="n">
        <x:v>0</x:v>
      </x:c>
      <x:c r="K2864" s="11" t="n">
        <x:v>1</x:v>
      </x:c>
      <x:c r="L2864" s="11" t="n">
        <x:f>IF(B2864="NED",1,IF(OR(B2864="ED",B2864="UN"),0,""))</x:f>
        <x:v>0</x:v>
      </x:c>
      <x:c r="M2864" s="11" t="n">
        <x:f>IF(AND(K2864=1,OR(B2864="ED",B2864="NED")),1,0)</x:f>
        <x:v>1</x:v>
      </x:c>
      <x:c r="N2864" s="11" t="n">
        <x:f>IF(K2864=1,1,0)</x:f>
        <x:v>1</x:v>
      </x:c>
      <x:c r="O2864" s="12"/>
      <x:c r="P2864" s="11" t="n">
        <x:v>0</x:v>
      </x:c>
      <x:c r="Q2864" s="12" t="str">
        <x:v>AF-Q9D706-F1-model_v6</x:v>
      </x:c>
      <x:c r="R2864" s="12" t="str">
        <x:v>ok</x:v>
      </x:c>
      <x:c r="S2864" s="11" t="n">
        <x:v>2337</x:v>
      </x:c>
      <x:c r="T2864" s="11" t="n">
        <x:v>660</x:v>
      </x:c>
    </x:row>
    <x:row r="2865" ht="23" customHeight="1">
      <x:c r="A2865" s="2" t="str">
        <x:v>Q9D710</x:v>
      </x:c>
      <x:c r="B2865" s="2" t="str">
        <x:v>UN</x:v>
      </x:c>
      <x:c r="C2865" s="2" t="n">
        <x:v>1</x:v>
      </x:c>
      <x:c r="D2865" s="2" t="n">
        <x:v>1</x:v>
      </x:c>
      <x:c r="E2865" s="10"/>
      <x:c r="F2865" s="11" t="n">
        <x:v>295</x:v>
      </x:c>
      <x:c r="G2865" s="11" t="n">
        <x:v>0</x:v>
      </x:c>
      <x:c r="H2865" s="11" t="n">
        <x:v>0</x:v>
      </x:c>
      <x:c r="I2865" s="11" t="n">
        <x:v>1</x:v>
      </x:c>
      <x:c r="J2865" s="11" t="n">
        <x:v>0</x:v>
      </x:c>
      <x:c r="K2865" s="11" t="n">
        <x:v>0</x:v>
      </x:c>
      <x:c r="L2865" s="11" t="n">
        <x:f>IF(B2865="NED",1,IF(OR(B2865="ED",B2865="UN"),0,""))</x:f>
        <x:v>0</x:v>
      </x:c>
      <x:c r="M2865" s="11" t="n">
        <x:f>IF(AND(K2865=1,OR(B2865="ED",B2865="NED")),1,0)</x:f>
        <x:v>0</x:v>
      </x:c>
      <x:c r="N2865" s="11" t="n">
        <x:f>IF(K2865=1,1,0)</x:f>
        <x:v>0</x:v>
      </x:c>
      <x:c r="O2865" s="12" t="str">
        <x:v>Exclude UniProt Membrane keyword</x:v>
      </x:c>
      <x:c r="P2865" s="11" t="n">
        <x:v>0</x:v>
      </x:c>
      <x:c r="Q2865" s="12" t="str">
        <x:v>AF-Q9D710-F1-model_v6</x:v>
      </x:c>
      <x:c r="R2865" s="12" t="str">
        <x:v>ok</x:v>
      </x:c>
      <x:c r="S2865" s="11" t="n">
        <x:v>2338</x:v>
      </x:c>
      <x:c r="T2865" s="11" t="n">
        <x:v>295</x:v>
      </x:c>
    </x:row>
    <x:row r="2866" ht="23" customHeight="1">
      <x:c r="A2866" s="2" t="str">
        <x:v>Q9D786</x:v>
      </x:c>
      <x:c r="B2866" s="2" t="str">
        <x:v>ED</x:v>
      </x:c>
      <x:c r="C2866" s="2" t="n">
        <x:v>0</x:v>
      </x:c>
      <x:c r="D2866" s="2" t="n">
        <x:v>0</x:v>
      </x:c>
      <x:c r="E2866" s="10" t="n">
        <x:v>77.7164943457189</x:v>
      </x:c>
      <x:c r="F2866" s="11" t="n">
        <x:v>619</x:v>
      </x:c>
      <x:c r="G2866" s="11" t="n">
        <x:v>0</x:v>
      </x:c>
      <x:c r="H2866" s="11" t="n">
        <x:v>0</x:v>
      </x:c>
      <x:c r="I2866" s="11" t="n">
        <x:v>0</x:v>
      </x:c>
      <x:c r="J2866" s="11" t="n">
        <x:v>0</x:v>
      </x:c>
      <x:c r="K2866" s="11" t="n">
        <x:v>1</x:v>
      </x:c>
      <x:c r="L2866" s="11" t="n">
        <x:f>IF(B2866="NED",1,IF(OR(B2866="ED",B2866="UN"),0,""))</x:f>
        <x:v>0</x:v>
      </x:c>
      <x:c r="M2866" s="11" t="n">
        <x:f>IF(AND(K2866=1,OR(B2866="ED",B2866="NED")),1,0)</x:f>
        <x:v>1</x:v>
      </x:c>
      <x:c r="N2866" s="11" t="n">
        <x:f>IF(K2866=1,1,0)</x:f>
        <x:v>1</x:v>
      </x:c>
      <x:c r="O2866" s="12"/>
      <x:c r="P2866" s="11" t="n">
        <x:v>0</x:v>
      </x:c>
      <x:c r="Q2866" s="12" t="str">
        <x:v>AF-Q9D786-F1-model_v6</x:v>
      </x:c>
      <x:c r="R2866" s="12" t="str">
        <x:v>ok</x:v>
      </x:c>
      <x:c r="S2866" s="11" t="n">
        <x:v>2339</x:v>
      </x:c>
      <x:c r="T2866" s="11" t="n">
        <x:v>619</x:v>
      </x:c>
    </x:row>
    <x:row r="2867" ht="23" customHeight="1">
      <x:c r="A2867" s="2" t="str">
        <x:v>Q9D787</x:v>
      </x:c>
      <x:c r="B2867" s="2" t="str">
        <x:v>UN</x:v>
      </x:c>
      <x:c r="C2867" s="2" t="n">
        <x:v>1</x:v>
      </x:c>
      <x:c r="D2867" s="2" t="n">
        <x:v>1</x:v>
      </x:c>
      <x:c r="E2867" s="10" t="n">
        <x:v>80.64915547024953</x:v>
      </x:c>
      <x:c r="F2867" s="11" t="n">
        <x:v>521</x:v>
      </x:c>
      <x:c r="G2867" s="11" t="n">
        <x:v>0</x:v>
      </x:c>
      <x:c r="H2867" s="11" t="n">
        <x:v>0</x:v>
      </x:c>
      <x:c r="I2867" s="11" t="n">
        <x:v>0</x:v>
      </x:c>
      <x:c r="J2867" s="11" t="n">
        <x:v>0</x:v>
      </x:c>
      <x:c r="K2867" s="11" t="n">
        <x:v>1</x:v>
      </x:c>
      <x:c r="L2867" s="11" t="n">
        <x:f>IF(B2867="NED",1,IF(OR(B2867="ED",B2867="UN"),0,""))</x:f>
        <x:v>0</x:v>
      </x:c>
      <x:c r="M2867" s="11" t="n">
        <x:f>IF(AND(K2867=1,OR(B2867="ED",B2867="NED")),1,0)</x:f>
        <x:v>0</x:v>
      </x:c>
      <x:c r="N2867" s="11" t="n">
        <x:f>IF(K2867=1,1,0)</x:f>
        <x:v>1</x:v>
      </x:c>
      <x:c r="O2867" s="12"/>
      <x:c r="P2867" s="11" t="n">
        <x:v>0</x:v>
      </x:c>
      <x:c r="Q2867" s="12" t="str">
        <x:v>AF-Q9D787-F1-model_v6</x:v>
      </x:c>
      <x:c r="R2867" s="12" t="str">
        <x:v>ok</x:v>
      </x:c>
      <x:c r="S2867" s="11" t="n">
        <x:v>2340</x:v>
      </x:c>
      <x:c r="T2867" s="11" t="n">
        <x:v>521</x:v>
      </x:c>
    </x:row>
    <x:row r="2868" ht="23" customHeight="1">
      <x:c r="A2868" s="2" t="str">
        <x:v>Q9D7A8</x:v>
      </x:c>
      <x:c r="B2868" s="2" t="str">
        <x:v>ED</x:v>
      </x:c>
      <x:c r="C2868" s="2" t="n">
        <x:v>1</x:v>
      </x:c>
      <x:c r="D2868" s="2" t="n">
        <x:v>1</x:v>
      </x:c>
      <x:c r="E2868" s="10"/>
      <x:c r="F2868" s="11" t="n">
        <x:v>282</x:v>
      </x:c>
      <x:c r="G2868" s="11" t="n">
        <x:v>0</x:v>
      </x:c>
      <x:c r="H2868" s="11" t="n">
        <x:v>0</x:v>
      </x:c>
      <x:c r="I2868" s="11" t="n">
        <x:v>1</x:v>
      </x:c>
      <x:c r="J2868" s="11" t="n">
        <x:v>0</x:v>
      </x:c>
      <x:c r="K2868" s="11" t="n">
        <x:v>0</x:v>
      </x:c>
      <x:c r="L2868" s="11" t="n">
        <x:f>IF(B2868="NED",1,IF(OR(B2868="ED",B2868="UN"),0,""))</x:f>
        <x:v>0</x:v>
      </x:c>
      <x:c r="M2868" s="11" t="n">
        <x:f>IF(AND(K2868=1,OR(B2868="ED",B2868="NED")),1,0)</x:f>
        <x:v>0</x:v>
      </x:c>
      <x:c r="N2868" s="11" t="n">
        <x:f>IF(K2868=1,1,0)</x:f>
        <x:v>0</x:v>
      </x:c>
      <x:c r="O2868" s="12" t="str">
        <x:v>Exclude UniProt Membrane keyword</x:v>
      </x:c>
      <x:c r="P2868" s="11" t="n">
        <x:v>0</x:v>
      </x:c>
      <x:c r="Q2868" s="12" t="str">
        <x:v>AF-Q9D7A8-F1-model_v6</x:v>
      </x:c>
      <x:c r="R2868" s="12" t="str">
        <x:v>ok</x:v>
      </x:c>
      <x:c r="S2868" s="11" t="n">
        <x:v>2341</x:v>
      </x:c>
      <x:c r="T2868" s="11" t="n">
        <x:v>282</x:v>
      </x:c>
    </x:row>
    <x:row r="2869" ht="23" customHeight="1">
      <x:c r="A2869" s="2" t="str">
        <x:v>Q9D7B7</x:v>
      </x:c>
      <x:c r="B2869" s="2" t="str">
        <x:v>ED</x:v>
      </x:c>
      <x:c r="C2869" s="2" t="n">
        <x:v>1</x:v>
      </x:c>
      <x:c r="D2869" s="2" t="n">
        <x:v>1</x:v>
      </x:c>
      <x:c r="E2869" s="10"/>
      <x:c r="F2869" s="11" t="n">
        <x:v>209</x:v>
      </x:c>
      <x:c r="G2869" s="11" t="n">
        <x:v>0</x:v>
      </x:c>
      <x:c r="H2869" s="11" t="n">
        <x:v>0</x:v>
      </x:c>
      <x:c r="I2869" s="11" t="n">
        <x:v>1</x:v>
      </x:c>
      <x:c r="J2869" s="11" t="n">
        <x:v>0</x:v>
      </x:c>
      <x:c r="K2869" s="11" t="n">
        <x:v>0</x:v>
      </x:c>
      <x:c r="L2869" s="11" t="n">
        <x:f>IF(B2869="NED",1,IF(OR(B2869="ED",B2869="UN"),0,""))</x:f>
        <x:v>0</x:v>
      </x:c>
      <x:c r="M2869" s="11" t="n">
        <x:f>IF(AND(K2869=1,OR(B2869="ED",B2869="NED")),1,0)</x:f>
        <x:v>0</x:v>
      </x:c>
      <x:c r="N2869" s="11" t="n">
        <x:f>IF(K2869=1,1,0)</x:f>
        <x:v>0</x:v>
      </x:c>
      <x:c r="O2869" s="12" t="str">
        <x:v>Exclude UniProt Membrane keyword</x:v>
      </x:c>
      <x:c r="P2869" s="11" t="n">
        <x:v>0</x:v>
      </x:c>
      <x:c r="Q2869" s="12" t="str">
        <x:v>AF-Q9D7B7-F1-model_v6</x:v>
      </x:c>
      <x:c r="R2869" s="12" t="str">
        <x:v>ok</x:v>
      </x:c>
      <x:c r="S2869" s="11" t="n">
        <x:v>2342</x:v>
      </x:c>
      <x:c r="T2869" s="11" t="n">
        <x:v>209</x:v>
      </x:c>
    </x:row>
    <x:row r="2870" ht="23" customHeight="1">
      <x:c r="A2870" s="2" t="str">
        <x:v>Q9D7E3</x:v>
      </x:c>
      <x:c r="B2870" s="2" t="str">
        <x:v>UN</x:v>
      </x:c>
      <x:c r="C2870" s="2" t="n">
        <x:v>1</x:v>
      </x:c>
      <x:c r="D2870" s="2" t="n">
        <x:v>1</x:v>
      </x:c>
      <x:c r="E2870" s="10" t="n">
        <x:v>89.99982222222222</x:v>
      </x:c>
      <x:c r="F2870" s="11" t="n">
        <x:v>225</x:v>
      </x:c>
      <x:c r="G2870" s="11" t="n">
        <x:v>0</x:v>
      </x:c>
      <x:c r="H2870" s="11" t="n">
        <x:v>0</x:v>
      </x:c>
      <x:c r="I2870" s="11" t="n">
        <x:v>0</x:v>
      </x:c>
      <x:c r="J2870" s="11" t="n">
        <x:v>0</x:v>
      </x:c>
      <x:c r="K2870" s="11" t="n">
        <x:v>1</x:v>
      </x:c>
      <x:c r="L2870" s="11" t="n">
        <x:f>IF(B2870="NED",1,IF(OR(B2870="ED",B2870="UN"),0,""))</x:f>
        <x:v>0</x:v>
      </x:c>
      <x:c r="M2870" s="11" t="n">
        <x:f>IF(AND(K2870=1,OR(B2870="ED",B2870="NED")),1,0)</x:f>
        <x:v>0</x:v>
      </x:c>
      <x:c r="N2870" s="11" t="n">
        <x:f>IF(K2870=1,1,0)</x:f>
        <x:v>1</x:v>
      </x:c>
      <x:c r="O2870" s="12"/>
      <x:c r="P2870" s="11" t="n">
        <x:v>0</x:v>
      </x:c>
      <x:c r="Q2870" s="12" t="str">
        <x:v>AF-Q9D7E3-F1-model_v6</x:v>
      </x:c>
      <x:c r="R2870" s="12" t="str">
        <x:v>ok</x:v>
      </x:c>
      <x:c r="S2870" s="11" t="n">
        <x:v>2343</x:v>
      </x:c>
      <x:c r="T2870" s="11" t="n">
        <x:v>225</x:v>
      </x:c>
    </x:row>
    <x:row r="2871" ht="23" customHeight="1">
      <x:c r="A2871" s="2" t="str">
        <x:v>Q9D7G0</x:v>
      </x:c>
      <x:c r="B2871" s="2" t="str">
        <x:v>UN</x:v>
      </x:c>
      <x:c r="C2871" s="2" t="n">
        <x:v>1</x:v>
      </x:c>
      <x:c r="D2871" s="2" t="n">
        <x:v>1</x:v>
      </x:c>
      <x:c r="E2871" s="10" t="n">
        <x:v>94.53754716981132</x:v>
      </x:c>
      <x:c r="F2871" s="11" t="n">
        <x:v>318</x:v>
      </x:c>
      <x:c r="G2871" s="11" t="n">
        <x:v>0</x:v>
      </x:c>
      <x:c r="H2871" s="11" t="n">
        <x:v>0</x:v>
      </x:c>
      <x:c r="I2871" s="11" t="n">
        <x:v>0</x:v>
      </x:c>
      <x:c r="J2871" s="11" t="n">
        <x:v>0</x:v>
      </x:c>
      <x:c r="K2871" s="11" t="n">
        <x:v>1</x:v>
      </x:c>
      <x:c r="L2871" s="11" t="n">
        <x:f>IF(B2871="NED",1,IF(OR(B2871="ED",B2871="UN"),0,""))</x:f>
        <x:v>0</x:v>
      </x:c>
      <x:c r="M2871" s="11" t="n">
        <x:f>IF(AND(K2871=1,OR(B2871="ED",B2871="NED")),1,0)</x:f>
        <x:v>0</x:v>
      </x:c>
      <x:c r="N2871" s="11" t="n">
        <x:f>IF(K2871=1,1,0)</x:f>
        <x:v>1</x:v>
      </x:c>
      <x:c r="O2871" s="12"/>
      <x:c r="P2871" s="11" t="n">
        <x:v>0</x:v>
      </x:c>
      <x:c r="Q2871" s="12" t="str">
        <x:v>AF-Q9D7G0-F1-model_v6</x:v>
      </x:c>
      <x:c r="R2871" s="12" t="str">
        <x:v>ok</x:v>
      </x:c>
      <x:c r="S2871" s="11" t="n">
        <x:v>2344</x:v>
      </x:c>
      <x:c r="T2871" s="11" t="n">
        <x:v>318</x:v>
      </x:c>
    </x:row>
    <x:row r="2872" ht="23" customHeight="1">
      <x:c r="A2872" s="2" t="str">
        <x:v>Q9D7H3</x:v>
      </x:c>
      <x:c r="B2872" s="2" t="str">
        <x:v>UN</x:v>
      </x:c>
      <x:c r="C2872" s="2" t="n">
        <x:v>1</x:v>
      </x:c>
      <x:c r="D2872" s="2" t="n">
        <x:v>1</x:v>
      </x:c>
      <x:c r="E2872" s="10" t="n">
        <x:v>95.90565573770492</x:v>
      </x:c>
      <x:c r="F2872" s="11" t="n">
        <x:v>366</x:v>
      </x:c>
      <x:c r="G2872" s="11" t="n">
        <x:v>0</x:v>
      </x:c>
      <x:c r="H2872" s="11" t="n">
        <x:v>0</x:v>
      </x:c>
      <x:c r="I2872" s="11" t="n">
        <x:v>0</x:v>
      </x:c>
      <x:c r="J2872" s="11" t="n">
        <x:v>0</x:v>
      </x:c>
      <x:c r="K2872" s="11" t="n">
        <x:v>1</x:v>
      </x:c>
      <x:c r="L2872" s="11" t="n">
        <x:f>IF(B2872="NED",1,IF(OR(B2872="ED",B2872="UN"),0,""))</x:f>
        <x:v>0</x:v>
      </x:c>
      <x:c r="M2872" s="11" t="n">
        <x:f>IF(AND(K2872=1,OR(B2872="ED",B2872="NED")),1,0)</x:f>
        <x:v>0</x:v>
      </x:c>
      <x:c r="N2872" s="11" t="n">
        <x:f>IF(K2872=1,1,0)</x:f>
        <x:v>1</x:v>
      </x:c>
      <x:c r="O2872" s="12"/>
      <x:c r="P2872" s="11" t="n">
        <x:v>0</x:v>
      </x:c>
      <x:c r="Q2872" s="12" t="str">
        <x:v>AF-Q9D7H3-F1-model_v6</x:v>
      </x:c>
      <x:c r="R2872" s="12" t="str">
        <x:v>ok</x:v>
      </x:c>
      <x:c r="S2872" s="11" t="n">
        <x:v>2345</x:v>
      </x:c>
      <x:c r="T2872" s="11" t="n">
        <x:v>366</x:v>
      </x:c>
    </x:row>
    <x:row r="2873" ht="23" customHeight="1">
      <x:c r="A2873" s="2" t="str">
        <x:v>Q9D7J9</x:v>
      </x:c>
      <x:c r="B2873" s="2" t="str">
        <x:v>ED</x:v>
      </x:c>
      <x:c r="C2873" s="2" t="n">
        <x:v>0</x:v>
      </x:c>
      <x:c r="D2873" s="2" t="n">
        <x:v>0</x:v>
      </x:c>
      <x:c r="E2873" s="10" t="n">
        <x:v>89.69083333333333</x:v>
      </x:c>
      <x:c r="F2873" s="11" t="n">
        <x:v>300</x:v>
      </x:c>
      <x:c r="G2873" s="11" t="n">
        <x:v>0</x:v>
      </x:c>
      <x:c r="H2873" s="11" t="n">
        <x:v>0</x:v>
      </x:c>
      <x:c r="I2873" s="11" t="n">
        <x:v>0</x:v>
      </x:c>
      <x:c r="J2873" s="11" t="n">
        <x:v>0</x:v>
      </x:c>
      <x:c r="K2873" s="11" t="n">
        <x:v>1</x:v>
      </x:c>
      <x:c r="L2873" s="11" t="n">
        <x:f>IF(B2873="NED",1,IF(OR(B2873="ED",B2873="UN"),0,""))</x:f>
        <x:v>0</x:v>
      </x:c>
      <x:c r="M2873" s="11" t="n">
        <x:f>IF(AND(K2873=1,OR(B2873="ED",B2873="NED")),1,0)</x:f>
        <x:v>1</x:v>
      </x:c>
      <x:c r="N2873" s="11" t="n">
        <x:f>IF(K2873=1,1,0)</x:f>
        <x:v>1</x:v>
      </x:c>
      <x:c r="O2873" s="12"/>
      <x:c r="P2873" s="11" t="n">
        <x:v>0</x:v>
      </x:c>
      <x:c r="Q2873" s="12" t="str">
        <x:v>AF-Q9D7J9-F1-model_v6</x:v>
      </x:c>
      <x:c r="R2873" s="12" t="str">
        <x:v>ok</x:v>
      </x:c>
      <x:c r="S2873" s="11" t="n">
        <x:v>2346</x:v>
      </x:c>
      <x:c r="T2873" s="11" t="n">
        <x:v>300</x:v>
      </x:c>
    </x:row>
    <x:row r="2874" ht="23" customHeight="1">
      <x:c r="A2874" s="2" t="str">
        <x:v>Q9D7N3</x:v>
      </x:c>
      <x:c r="B2874" s="2" t="str">
        <x:v>UN</x:v>
      </x:c>
      <x:c r="C2874" s="2" t="n">
        <x:v>1</x:v>
      </x:c>
      <x:c r="D2874" s="2" t="n">
        <x:v>1</x:v>
      </x:c>
      <x:c r="E2874" s="10" t="n">
        <x:v>85.50064102564103</x:v>
      </x:c>
      <x:c r="F2874" s="11" t="n">
        <x:v>390</x:v>
      </x:c>
      <x:c r="G2874" s="11" t="n">
        <x:v>0</x:v>
      </x:c>
      <x:c r="H2874" s="11" t="n">
        <x:v>0</x:v>
      </x:c>
      <x:c r="I2874" s="11" t="n">
        <x:v>0</x:v>
      </x:c>
      <x:c r="J2874" s="11" t="n">
        <x:v>0</x:v>
      </x:c>
      <x:c r="K2874" s="11" t="n">
        <x:v>1</x:v>
      </x:c>
      <x:c r="L2874" s="11" t="n">
        <x:f>IF(B2874="NED",1,IF(OR(B2874="ED",B2874="UN"),0,""))</x:f>
        <x:v>0</x:v>
      </x:c>
      <x:c r="M2874" s="11" t="n">
        <x:f>IF(AND(K2874=1,OR(B2874="ED",B2874="NED")),1,0)</x:f>
        <x:v>0</x:v>
      </x:c>
      <x:c r="N2874" s="11" t="n">
        <x:f>IF(K2874=1,1,0)</x:f>
        <x:v>1</x:v>
      </x:c>
      <x:c r="O2874" s="12"/>
      <x:c r="P2874" s="11" t="n">
        <x:v>0</x:v>
      </x:c>
      <x:c r="Q2874" s="12" t="str">
        <x:v>AF-Q9D7N3-F1-model_v6</x:v>
      </x:c>
      <x:c r="R2874" s="12" t="str">
        <x:v>ok</x:v>
      </x:c>
      <x:c r="S2874" s="11" t="n">
        <x:v>2347</x:v>
      </x:c>
      <x:c r="T2874" s="11" t="n">
        <x:v>390</x:v>
      </x:c>
    </x:row>
    <x:row r="2875" ht="23" customHeight="1">
      <x:c r="A2875" s="2" t="str">
        <x:v>Q9D7N9</x:v>
      </x:c>
      <x:c r="B2875" s="2" t="str">
        <x:v>UN</x:v>
      </x:c>
      <x:c r="C2875" s="2" t="n">
        <x:v>0</x:v>
      </x:c>
      <x:c r="D2875" s="2" t="n">
        <x:v>0</x:v>
      </x:c>
      <x:c r="E2875" s="10"/>
      <x:c r="F2875" s="11" t="n">
        <x:v>415</x:v>
      </x:c>
      <x:c r="G2875" s="11" t="n">
        <x:v>0</x:v>
      </x:c>
      <x:c r="H2875" s="11" t="n">
        <x:v>0</x:v>
      </x:c>
      <x:c r="I2875" s="11" t="n">
        <x:v>1</x:v>
      </x:c>
      <x:c r="J2875" s="11" t="n">
        <x:v>0</x:v>
      </x:c>
      <x:c r="K2875" s="11" t="n">
        <x:v>0</x:v>
      </x:c>
      <x:c r="L2875" s="11" t="n">
        <x:f>IF(B2875="NED",1,IF(OR(B2875="ED",B2875="UN"),0,""))</x:f>
        <x:v>0</x:v>
      </x:c>
      <x:c r="M2875" s="11" t="n">
        <x:f>IF(AND(K2875=1,OR(B2875="ED",B2875="NED")),1,0)</x:f>
        <x:v>0</x:v>
      </x:c>
      <x:c r="N2875" s="11" t="n">
        <x:f>IF(K2875=1,1,0)</x:f>
        <x:v>0</x:v>
      </x:c>
      <x:c r="O2875" s="12" t="str">
        <x:v>Exclude UniProt Membrane keyword</x:v>
      </x:c>
      <x:c r="P2875" s="11" t="n">
        <x:v>0</x:v>
      </x:c>
      <x:c r="Q2875" s="12" t="str">
        <x:v>AF-Q9D7N9-F1-model_v6</x:v>
      </x:c>
      <x:c r="R2875" s="12" t="str">
        <x:v>ok</x:v>
      </x:c>
      <x:c r="S2875" s="11" t="n">
        <x:v>2348</x:v>
      </x:c>
      <x:c r="T2875" s="11" t="n">
        <x:v>415</x:v>
      </x:c>
    </x:row>
    <x:row r="2876" ht="23" customHeight="1">
      <x:c r="A2876" s="2" t="str">
        <x:v>Q9D7X3</x:v>
      </x:c>
      <x:c r="B2876" s="2" t="str">
        <x:v>ED</x:v>
      </x:c>
      <x:c r="C2876" s="2" t="n">
        <x:v>1</x:v>
      </x:c>
      <x:c r="D2876" s="2" t="n">
        <x:v>1</x:v>
      </x:c>
      <x:c r="E2876" s="10" t="n">
        <x:v>95.84643243243244</x:v>
      </x:c>
      <x:c r="F2876" s="11" t="n">
        <x:v>185</x:v>
      </x:c>
      <x:c r="G2876" s="11" t="n">
        <x:v>0</x:v>
      </x:c>
      <x:c r="H2876" s="11" t="n">
        <x:v>0</x:v>
      </x:c>
      <x:c r="I2876" s="11" t="n">
        <x:v>0</x:v>
      </x:c>
      <x:c r="J2876" s="11" t="n">
        <x:v>0</x:v>
      </x:c>
      <x:c r="K2876" s="11" t="n">
        <x:v>1</x:v>
      </x:c>
      <x:c r="L2876" s="11" t="n">
        <x:f>IF(B2876="NED",1,IF(OR(B2876="ED",B2876="UN"),0,""))</x:f>
        <x:v>0</x:v>
      </x:c>
      <x:c r="M2876" s="11" t="n">
        <x:f>IF(AND(K2876=1,OR(B2876="ED",B2876="NED")),1,0)</x:f>
        <x:v>1</x:v>
      </x:c>
      <x:c r="N2876" s="11" t="n">
        <x:f>IF(K2876=1,1,0)</x:f>
        <x:v>1</x:v>
      </x:c>
      <x:c r="O2876" s="12"/>
      <x:c r="P2876" s="11" t="n">
        <x:v>0</x:v>
      </x:c>
      <x:c r="Q2876" s="12" t="str">
        <x:v>AF-Q9D7X3-F1-model_v6</x:v>
      </x:c>
      <x:c r="R2876" s="12" t="str">
        <x:v>ok</x:v>
      </x:c>
      <x:c r="S2876" s="11" t="n">
        <x:v>2349</x:v>
      </x:c>
      <x:c r="T2876" s="11" t="n">
        <x:v>185</x:v>
      </x:c>
    </x:row>
    <x:row r="2877" ht="23" customHeight="1">
      <x:c r="A2877" s="2" t="str">
        <x:v>Q9D7Z3</x:v>
      </x:c>
      <x:c r="B2877" s="2" t="str">
        <x:v>NED</x:v>
      </x:c>
      <x:c r="C2877" s="2" t="n">
        <x:v>0</x:v>
      </x:c>
      <x:c r="D2877" s="2" t="n">
        <x:v>0</x:v>
      </x:c>
      <x:c r="E2877" s="10" t="n">
        <x:v>71.1355905511811</x:v>
      </x:c>
      <x:c r="F2877" s="11" t="n">
        <x:v>254</x:v>
      </x:c>
      <x:c r="G2877" s="11" t="n">
        <x:v>0</x:v>
      </x:c>
      <x:c r="H2877" s="11" t="n">
        <x:v>0</x:v>
      </x:c>
      <x:c r="I2877" s="11" t="n">
        <x:v>0</x:v>
      </x:c>
      <x:c r="J2877" s="11" t="n">
        <x:v>0</x:v>
      </x:c>
      <x:c r="K2877" s="11" t="n">
        <x:v>1</x:v>
      </x:c>
      <x:c r="L2877" s="11" t="n">
        <x:f>IF(B2877="NED",1,IF(OR(B2877="ED",B2877="UN"),0,""))</x:f>
        <x:v>1</x:v>
      </x:c>
      <x:c r="M2877" s="11" t="n">
        <x:f>IF(AND(K2877=1,OR(B2877="ED",B2877="NED")),1,0)</x:f>
        <x:v>1</x:v>
      </x:c>
      <x:c r="N2877" s="11" t="n">
        <x:f>IF(K2877=1,1,0)</x:f>
        <x:v>1</x:v>
      </x:c>
      <x:c r="O2877" s="12"/>
      <x:c r="P2877" s="11" t="n">
        <x:v>0</x:v>
      </x:c>
      <x:c r="Q2877" s="12" t="str">
        <x:v>AF-Q9D7Z3-F1-model_v6</x:v>
      </x:c>
      <x:c r="R2877" s="12" t="str">
        <x:v>ok</x:v>
      </x:c>
      <x:c r="S2877" s="11" t="n">
        <x:v>2350</x:v>
      </x:c>
      <x:c r="T2877" s="11" t="n">
        <x:v>254</x:v>
      </x:c>
    </x:row>
    <x:row r="2878" ht="23" customHeight="1">
      <x:c r="A2878" s="2" t="str">
        <x:v>Q9D819</x:v>
      </x:c>
      <x:c r="B2878" s="2" t="str">
        <x:v>ED</x:v>
      </x:c>
      <x:c r="C2878" s="2" t="n">
        <x:v>1</x:v>
      </x:c>
      <x:c r="D2878" s="2" t="n">
        <x:v>1</x:v>
      </x:c>
      <x:c r="E2878" s="10" t="n">
        <x:v>96.8566089965398</x:v>
      </x:c>
      <x:c r="F2878" s="11" t="n">
        <x:v>289</x:v>
      </x:c>
      <x:c r="G2878" s="11" t="n">
        <x:v>0</x:v>
      </x:c>
      <x:c r="H2878" s="11" t="n">
        <x:v>0</x:v>
      </x:c>
      <x:c r="I2878" s="11" t="n">
        <x:v>0</x:v>
      </x:c>
      <x:c r="J2878" s="11" t="n">
        <x:v>0</x:v>
      </x:c>
      <x:c r="K2878" s="11" t="n">
        <x:v>1</x:v>
      </x:c>
      <x:c r="L2878" s="11" t="n">
        <x:f>IF(B2878="NED",1,IF(OR(B2878="ED",B2878="UN"),0,""))</x:f>
        <x:v>0</x:v>
      </x:c>
      <x:c r="M2878" s="11" t="n">
        <x:f>IF(AND(K2878=1,OR(B2878="ED",B2878="NED")),1,0)</x:f>
        <x:v>1</x:v>
      </x:c>
      <x:c r="N2878" s="11" t="n">
        <x:f>IF(K2878=1,1,0)</x:f>
        <x:v>1</x:v>
      </x:c>
      <x:c r="O2878" s="12"/>
      <x:c r="P2878" s="11" t="n">
        <x:v>0</x:v>
      </x:c>
      <x:c r="Q2878" s="12" t="str">
        <x:v>AF-Q9D819-F1-model_v6</x:v>
      </x:c>
      <x:c r="R2878" s="12" t="str">
        <x:v>ok</x:v>
      </x:c>
      <x:c r="S2878" s="11" t="n">
        <x:v>2351</x:v>
      </x:c>
      <x:c r="T2878" s="11" t="n">
        <x:v>289</x:v>
      </x:c>
    </x:row>
    <x:row r="2879" ht="23" customHeight="1">
      <x:c r="A2879" s="2" t="str">
        <x:v>Q9D824-4</x:v>
      </x:c>
      <x:c r="B2879" s="2" t="str">
        <x:v>UN</x:v>
      </x:c>
      <x:c r="C2879" s="2"/>
      <x:c r="D2879" s="2"/>
      <x:c r="E2879" s="10"/>
      <x:c r="F2879" s="11"/>
      <x:c r="G2879" s="11" t="n">
        <x:v>0</x:v>
      </x:c>
      <x:c r="H2879" s="11" t="n">
        <x:v>0</x:v>
      </x:c>
      <x:c r="I2879" s="11"/>
      <x:c r="J2879" s="11"/>
      <x:c r="K2879" s="11" t="n">
        <x:v>0</x:v>
      </x:c>
      <x:c r="L2879" s="11" t="n">
        <x:f>IF(B2879="NED",1,IF(OR(B2879="ED",B2879="UN"),0,""))</x:f>
        <x:v>0</x:v>
      </x:c>
      <x:c r="M2879" s="11" t="n">
        <x:f>IF(AND(K2879=1,OR(B2879="ED",B2879="NED")),1,0)</x:f>
        <x:v>0</x:v>
      </x:c>
      <x:c r="N2879" s="11" t="n">
        <x:f>IF(K2879=1,1,0)</x:f>
        <x:v>0</x:v>
      </x:c>
      <x:c r="O2879" s="12" t="str">
        <x:v>Require exact native accession match</x:v>
      </x:c>
      <x:c r="P2879" s="11" t="n">
        <x:v>0</x:v>
      </x:c>
      <x:c r="Q2879" s="12"/>
      <x:c r="R2879" s="12"/>
      <x:c r="S2879" s="11" t="n">
        <x:v>2352</x:v>
      </x:c>
      <x:c r="T2879" s="11"/>
    </x:row>
    <x:row r="2880" ht="23" customHeight="1">
      <x:c r="A2880" s="2" t="str">
        <x:v>Q9D832</x:v>
      </x:c>
      <x:c r="B2880" s="2" t="str">
        <x:v>ED</x:v>
      </x:c>
      <x:c r="C2880" s="2" t="n">
        <x:v>1</x:v>
      </x:c>
      <x:c r="D2880" s="2" t="n">
        <x:v>1</x:v>
      </x:c>
      <x:c r="E2880" s="10"/>
      <x:c r="F2880" s="11" t="n">
        <x:v>337</x:v>
      </x:c>
      <x:c r="G2880" s="11" t="n">
        <x:v>0</x:v>
      </x:c>
      <x:c r="H2880" s="11" t="n">
        <x:v>0</x:v>
      </x:c>
      <x:c r="I2880" s="11" t="n">
        <x:v>1</x:v>
      </x:c>
      <x:c r="J2880" s="11" t="n">
        <x:v>0</x:v>
      </x:c>
      <x:c r="K2880" s="11" t="n">
        <x:v>0</x:v>
      </x:c>
      <x:c r="L2880" s="11" t="n">
        <x:f>IF(B2880="NED",1,IF(OR(B2880="ED",B2880="UN"),0,""))</x:f>
        <x:v>0</x:v>
      </x:c>
      <x:c r="M2880" s="11" t="n">
        <x:f>IF(AND(K2880=1,OR(B2880="ED",B2880="NED")),1,0)</x:f>
        <x:v>0</x:v>
      </x:c>
      <x:c r="N2880" s="11" t="n">
        <x:f>IF(K2880=1,1,0)</x:f>
        <x:v>0</x:v>
      </x:c>
      <x:c r="O2880" s="12" t="str">
        <x:v>Exclude UniProt Membrane keyword</x:v>
      </x:c>
      <x:c r="P2880" s="11" t="n">
        <x:v>0</x:v>
      </x:c>
      <x:c r="Q2880" s="12" t="str">
        <x:v>AF-Q9D832-F1-model_v6</x:v>
      </x:c>
      <x:c r="R2880" s="12" t="str">
        <x:v>ok</x:v>
      </x:c>
      <x:c r="S2880" s="11" t="n">
        <x:v>2353</x:v>
      </x:c>
      <x:c r="T2880" s="11" t="n">
        <x:v>337</x:v>
      </x:c>
    </x:row>
    <x:row r="2881" ht="23" customHeight="1">
      <x:c r="A2881" s="2" t="str">
        <x:v>Q9D880</x:v>
      </x:c>
      <x:c r="B2881" s="2" t="str">
        <x:v>UN</x:v>
      </x:c>
      <x:c r="C2881" s="2" t="n">
        <x:v>1</x:v>
      </x:c>
      <x:c r="D2881" s="2" t="n">
        <x:v>1</x:v>
      </x:c>
      <x:c r="E2881" s="10"/>
      <x:c r="F2881" s="11" t="n">
        <x:v>353</x:v>
      </x:c>
      <x:c r="G2881" s="11" t="n">
        <x:v>0</x:v>
      </x:c>
      <x:c r="H2881" s="11" t="n">
        <x:v>0</x:v>
      </x:c>
      <x:c r="I2881" s="11" t="n">
        <x:v>1</x:v>
      </x:c>
      <x:c r="J2881" s="11" t="n">
        <x:v>0</x:v>
      </x:c>
      <x:c r="K2881" s="11" t="n">
        <x:v>0</x:v>
      </x:c>
      <x:c r="L2881" s="11" t="n">
        <x:f>IF(B2881="NED",1,IF(OR(B2881="ED",B2881="UN"),0,""))</x:f>
        <x:v>0</x:v>
      </x:c>
      <x:c r="M2881" s="11" t="n">
        <x:f>IF(AND(K2881=1,OR(B2881="ED",B2881="NED")),1,0)</x:f>
        <x:v>0</x:v>
      </x:c>
      <x:c r="N2881" s="11" t="n">
        <x:f>IF(K2881=1,1,0)</x:f>
        <x:v>0</x:v>
      </x:c>
      <x:c r="O2881" s="12" t="str">
        <x:v>Exclude UniProt Membrane keyword</x:v>
      </x:c>
      <x:c r="P2881" s="11" t="n">
        <x:v>0</x:v>
      </x:c>
      <x:c r="Q2881" s="12" t="str">
        <x:v>AF-Q9D880-F1-model_v6</x:v>
      </x:c>
      <x:c r="R2881" s="12" t="str">
        <x:v>ok</x:v>
      </x:c>
      <x:c r="S2881" s="11" t="n">
        <x:v>2354</x:v>
      </x:c>
      <x:c r="T2881" s="11" t="n">
        <x:v>353</x:v>
      </x:c>
    </x:row>
    <x:row r="2882" ht="23" customHeight="1">
      <x:c r="A2882" s="2" t="str">
        <x:v>Q9D883</x:v>
      </x:c>
      <x:c r="B2882" s="2" t="str">
        <x:v>ED</x:v>
      </x:c>
      <x:c r="C2882" s="2" t="n">
        <x:v>1</x:v>
      </x:c>
      <x:c r="D2882" s="2" t="n">
        <x:v>1</x:v>
      </x:c>
      <x:c r="E2882" s="10" t="n">
        <x:v>79.69050209205021</x:v>
      </x:c>
      <x:c r="F2882" s="11" t="n">
        <x:v>239</x:v>
      </x:c>
      <x:c r="G2882" s="11" t="n">
        <x:v>0</x:v>
      </x:c>
      <x:c r="H2882" s="11" t="n">
        <x:v>0</x:v>
      </x:c>
      <x:c r="I2882" s="11" t="n">
        <x:v>0</x:v>
      </x:c>
      <x:c r="J2882" s="11" t="n">
        <x:v>0</x:v>
      </x:c>
      <x:c r="K2882" s="11" t="n">
        <x:v>1</x:v>
      </x:c>
      <x:c r="L2882" s="11" t="n">
        <x:f>IF(B2882="NED",1,IF(OR(B2882="ED",B2882="UN"),0,""))</x:f>
        <x:v>0</x:v>
      </x:c>
      <x:c r="M2882" s="11" t="n">
        <x:f>IF(AND(K2882=1,OR(B2882="ED",B2882="NED")),1,0)</x:f>
        <x:v>1</x:v>
      </x:c>
      <x:c r="N2882" s="11" t="n">
        <x:f>IF(K2882=1,1,0)</x:f>
        <x:v>1</x:v>
      </x:c>
      <x:c r="O2882" s="12"/>
      <x:c r="P2882" s="11" t="n">
        <x:v>0</x:v>
      </x:c>
      <x:c r="Q2882" s="12" t="str">
        <x:v>AF-Q9D883-F1-model_v6</x:v>
      </x:c>
      <x:c r="R2882" s="12" t="str">
        <x:v>ok</x:v>
      </x:c>
      <x:c r="S2882" s="11" t="n">
        <x:v>2355</x:v>
      </x:c>
      <x:c r="T2882" s="11" t="n">
        <x:v>239</x:v>
      </x:c>
    </x:row>
    <x:row r="2883" ht="23" customHeight="1">
      <x:c r="A2883" s="2" t="str">
        <x:v>Q9D892</x:v>
      </x:c>
      <x:c r="B2883" s="2" t="str">
        <x:v>UN</x:v>
      </x:c>
      <x:c r="C2883" s="2" t="n">
        <x:v>1</x:v>
      </x:c>
      <x:c r="D2883" s="2" t="n">
        <x:v>1</x:v>
      </x:c>
      <x:c r="E2883" s="10" t="n">
        <x:v>94.41146464646464</x:v>
      </x:c>
      <x:c r="F2883" s="11" t="n">
        <x:v>198</x:v>
      </x:c>
      <x:c r="G2883" s="11" t="n">
        <x:v>0</x:v>
      </x:c>
      <x:c r="H2883" s="11" t="n">
        <x:v>0</x:v>
      </x:c>
      <x:c r="I2883" s="11" t="n">
        <x:v>0</x:v>
      </x:c>
      <x:c r="J2883" s="11" t="n">
        <x:v>0</x:v>
      </x:c>
      <x:c r="K2883" s="11" t="n">
        <x:v>1</x:v>
      </x:c>
      <x:c r="L2883" s="11" t="n">
        <x:f>IF(B2883="NED",1,IF(OR(B2883="ED",B2883="UN"),0,""))</x:f>
        <x:v>0</x:v>
      </x:c>
      <x:c r="M2883" s="11" t="n">
        <x:f>IF(AND(K2883=1,OR(B2883="ED",B2883="NED")),1,0)</x:f>
        <x:v>0</x:v>
      </x:c>
      <x:c r="N2883" s="11" t="n">
        <x:f>IF(K2883=1,1,0)</x:f>
        <x:v>1</x:v>
      </x:c>
      <x:c r="O2883" s="12"/>
      <x:c r="P2883" s="11" t="n">
        <x:v>0</x:v>
      </x:c>
      <x:c r="Q2883" s="12" t="str">
        <x:v>AF-Q9D892-F1-model_v6</x:v>
      </x:c>
      <x:c r="R2883" s="12" t="str">
        <x:v>ok</x:v>
      </x:c>
      <x:c r="S2883" s="11" t="n">
        <x:v>2356</x:v>
      </x:c>
      <x:c r="T2883" s="11" t="n">
        <x:v>198</x:v>
      </x:c>
    </x:row>
    <x:row r="2884" ht="23" customHeight="1">
      <x:c r="A2884" s="2" t="str">
        <x:v>Q9D8B3</x:v>
      </x:c>
      <x:c r="B2884" s="2" t="str">
        <x:v>ED</x:v>
      </x:c>
      <x:c r="C2884" s="2" t="n">
        <x:v>0</x:v>
      </x:c>
      <x:c r="D2884" s="2" t="n">
        <x:v>0</x:v>
      </x:c>
      <x:c r="E2884" s="10"/>
      <x:c r="F2884" s="11" t="n">
        <x:v>224</x:v>
      </x:c>
      <x:c r="G2884" s="11" t="n">
        <x:v>0</x:v>
      </x:c>
      <x:c r="H2884" s="11" t="n">
        <x:v>0</x:v>
      </x:c>
      <x:c r="I2884" s="11" t="n">
        <x:v>1</x:v>
      </x:c>
      <x:c r="J2884" s="11" t="n">
        <x:v>0</x:v>
      </x:c>
      <x:c r="K2884" s="11" t="n">
        <x:v>0</x:v>
      </x:c>
      <x:c r="L2884" s="11" t="n">
        <x:f>IF(B2884="NED",1,IF(OR(B2884="ED",B2884="UN"),0,""))</x:f>
        <x:v>0</x:v>
      </x:c>
      <x:c r="M2884" s="11" t="n">
        <x:f>IF(AND(K2884=1,OR(B2884="ED",B2884="NED")),1,0)</x:f>
        <x:v>0</x:v>
      </x:c>
      <x:c r="N2884" s="11" t="n">
        <x:f>IF(K2884=1,1,0)</x:f>
        <x:v>0</x:v>
      </x:c>
      <x:c r="O2884" s="12" t="str">
        <x:v>Exclude UniProt Membrane keyword</x:v>
      </x:c>
      <x:c r="P2884" s="11" t="n">
        <x:v>0</x:v>
      </x:c>
      <x:c r="Q2884" s="12" t="str">
        <x:v>AF-Q9D8B3-F1-model_v6</x:v>
      </x:c>
      <x:c r="R2884" s="12" t="str">
        <x:v>ok</x:v>
      </x:c>
      <x:c r="S2884" s="11" t="n">
        <x:v>2357</x:v>
      </x:c>
      <x:c r="T2884" s="11" t="n">
        <x:v>224</x:v>
      </x:c>
    </x:row>
    <x:row r="2885" ht="23" customHeight="1">
      <x:c r="A2885" s="2" t="str">
        <x:v>Q9D8C4</x:v>
      </x:c>
      <x:c r="B2885" s="2" t="str">
        <x:v>UN</x:v>
      </x:c>
      <x:c r="C2885" s="2" t="n">
        <x:v>1</x:v>
      </x:c>
      <x:c r="D2885" s="2" t="n">
        <x:v>1</x:v>
      </x:c>
      <x:c r="E2885" s="10"/>
      <x:c r="F2885" s="11" t="n">
        <x:v>286</x:v>
      </x:c>
      <x:c r="G2885" s="11" t="n">
        <x:v>0</x:v>
      </x:c>
      <x:c r="H2885" s="11" t="n">
        <x:v>0</x:v>
      </x:c>
      <x:c r="I2885" s="11" t="n">
        <x:v>0</x:v>
      </x:c>
      <x:c r="J2885" s="11" t="n">
        <x:v>1</x:v>
      </x:c>
      <x:c r="K2885" s="11" t="n">
        <x:v>0</x:v>
      </x:c>
      <x:c r="L2885" s="11" t="n">
        <x:f>IF(B2885="NED",1,IF(OR(B2885="ED",B2885="UN"),0,""))</x:f>
        <x:v>0</x:v>
      </x:c>
      <x:c r="M2885" s="11" t="n">
        <x:f>IF(AND(K2885=1,OR(B2885="ED",B2885="NED")),1,0)</x:f>
        <x:v>0</x:v>
      </x:c>
      <x:c r="N2885" s="11" t="n">
        <x:f>IF(K2885=1,1,0)</x:f>
        <x:v>0</x:v>
      </x:c>
      <x:c r="O2885" s="12" t="str">
        <x:v>Exclude UniProt Secreted keyword</x:v>
      </x:c>
      <x:c r="P2885" s="11" t="n">
        <x:v>0</x:v>
      </x:c>
      <x:c r="Q2885" s="12" t="str">
        <x:v>AF-Q9D8C4-F1-model_v6</x:v>
      </x:c>
      <x:c r="R2885" s="12" t="str">
        <x:v>ok</x:v>
      </x:c>
      <x:c r="S2885" s="11" t="n">
        <x:v>2358</x:v>
      </x:c>
      <x:c r="T2885" s="11" t="n">
        <x:v>286</x:v>
      </x:c>
    </x:row>
    <x:row r="2886" ht="23" customHeight="1">
      <x:c r="A2886" s="2" t="str">
        <x:v>Q9D8M4</x:v>
      </x:c>
      <x:c r="B2886" s="2" t="str">
        <x:v>UN</x:v>
      </x:c>
      <x:c r="C2886" s="2" t="n">
        <x:v>1</x:v>
      </x:c>
      <x:c r="D2886" s="2" t="n">
        <x:v>1</x:v>
      </x:c>
      <x:c r="E2886" s="10" t="n">
        <x:v>88.4951219512195</x:v>
      </x:c>
      <x:c r="F2886" s="11" t="n">
        <x:v>246</x:v>
      </x:c>
      <x:c r="G2886" s="11" t="n">
        <x:v>0</x:v>
      </x:c>
      <x:c r="H2886" s="11" t="n">
        <x:v>0</x:v>
      </x:c>
      <x:c r="I2886" s="11" t="n">
        <x:v>0</x:v>
      </x:c>
      <x:c r="J2886" s="11" t="n">
        <x:v>0</x:v>
      </x:c>
      <x:c r="K2886" s="11" t="n">
        <x:v>1</x:v>
      </x:c>
      <x:c r="L2886" s="11" t="n">
        <x:f>IF(B2886="NED",1,IF(OR(B2886="ED",B2886="UN"),0,""))</x:f>
        <x:v>0</x:v>
      </x:c>
      <x:c r="M2886" s="11" t="n">
        <x:f>IF(AND(K2886=1,OR(B2886="ED",B2886="NED")),1,0)</x:f>
        <x:v>0</x:v>
      </x:c>
      <x:c r="N2886" s="11" t="n">
        <x:f>IF(K2886=1,1,0)</x:f>
        <x:v>1</x:v>
      </x:c>
      <x:c r="O2886" s="12"/>
      <x:c r="P2886" s="11" t="n">
        <x:v>0</x:v>
      </x:c>
      <x:c r="Q2886" s="12" t="str">
        <x:v>AF-Q9D8M4-F1-model_v6</x:v>
      </x:c>
      <x:c r="R2886" s="12" t="str">
        <x:v>ok</x:v>
      </x:c>
      <x:c r="S2886" s="11" t="n">
        <x:v>2359</x:v>
      </x:c>
      <x:c r="T2886" s="11" t="n">
        <x:v>246</x:v>
      </x:c>
    </x:row>
    <x:row r="2887" ht="23" customHeight="1">
      <x:c r="A2887" s="2" t="str">
        <x:v>Q9D8M7-2</x:v>
      </x:c>
      <x:c r="B2887" s="2" t="str">
        <x:v>UN</x:v>
      </x:c>
      <x:c r="C2887" s="2"/>
      <x:c r="D2887" s="2"/>
      <x:c r="E2887" s="10"/>
      <x:c r="F2887" s="11"/>
      <x:c r="G2887" s="11" t="n">
        <x:v>0</x:v>
      </x:c>
      <x:c r="H2887" s="11" t="n">
        <x:v>0</x:v>
      </x:c>
      <x:c r="I2887" s="11"/>
      <x:c r="J2887" s="11"/>
      <x:c r="K2887" s="11" t="n">
        <x:v>0</x:v>
      </x:c>
      <x:c r="L2887" s="11" t="n">
        <x:f>IF(B2887="NED",1,IF(OR(B2887="ED",B2887="UN"),0,""))</x:f>
        <x:v>0</x:v>
      </x:c>
      <x:c r="M2887" s="11" t="n">
        <x:f>IF(AND(K2887=1,OR(B2887="ED",B2887="NED")),1,0)</x:f>
        <x:v>0</x:v>
      </x:c>
      <x:c r="N2887" s="11" t="n">
        <x:f>IF(K2887=1,1,0)</x:f>
        <x:v>0</x:v>
      </x:c>
      <x:c r="O2887" s="12" t="str">
        <x:v>Require exact native accession match</x:v>
      </x:c>
      <x:c r="P2887" s="11" t="n">
        <x:v>0</x:v>
      </x:c>
      <x:c r="Q2887" s="12"/>
      <x:c r="R2887" s="12"/>
      <x:c r="S2887" s="11" t="n">
        <x:v>2360</x:v>
      </x:c>
      <x:c r="T2887" s="11"/>
    </x:row>
    <x:row r="2888" ht="23" customHeight="1">
      <x:c r="A2888" s="2" t="str">
        <x:v>Q9D8N0</x:v>
      </x:c>
      <x:c r="B2888" s="2" t="str">
        <x:v>ED</x:v>
      </x:c>
      <x:c r="C2888" s="2" t="n">
        <x:v>1</x:v>
      </x:c>
      <x:c r="D2888" s="2" t="n">
        <x:v>1</x:v>
      </x:c>
      <x:c r="E2888" s="10" t="n">
        <x:v>85.68800915331809</x:v>
      </x:c>
      <x:c r="F2888" s="11" t="n">
        <x:v>437</x:v>
      </x:c>
      <x:c r="G2888" s="11" t="n">
        <x:v>0</x:v>
      </x:c>
      <x:c r="H2888" s="11" t="n">
        <x:v>0</x:v>
      </x:c>
      <x:c r="I2888" s="11" t="n">
        <x:v>0</x:v>
      </x:c>
      <x:c r="J2888" s="11" t="n">
        <x:v>0</x:v>
      </x:c>
      <x:c r="K2888" s="11" t="n">
        <x:v>1</x:v>
      </x:c>
      <x:c r="L2888" s="11" t="n">
        <x:f>IF(B2888="NED",1,IF(OR(B2888="ED",B2888="UN"),0,""))</x:f>
        <x:v>0</x:v>
      </x:c>
      <x:c r="M2888" s="11" t="n">
        <x:f>IF(AND(K2888=1,OR(B2888="ED",B2888="NED")),1,0)</x:f>
        <x:v>1</x:v>
      </x:c>
      <x:c r="N2888" s="11" t="n">
        <x:f>IF(K2888=1,1,0)</x:f>
        <x:v>1</x:v>
      </x:c>
      <x:c r="O2888" s="12"/>
      <x:c r="P2888" s="11" t="n">
        <x:v>0</x:v>
      </x:c>
      <x:c r="Q2888" s="12" t="str">
        <x:v>AF-Q9D8N0-F1-model_v6</x:v>
      </x:c>
      <x:c r="R2888" s="12" t="str">
        <x:v>ok</x:v>
      </x:c>
      <x:c r="S2888" s="11" t="n">
        <x:v>2361</x:v>
      </x:c>
      <x:c r="T2888" s="11" t="n">
        <x:v>437</x:v>
      </x:c>
    </x:row>
    <x:row r="2889" ht="23" customHeight="1">
      <x:c r="A2889" s="2" t="str">
        <x:v>Q9D8S3</x:v>
      </x:c>
      <x:c r="B2889" s="2" t="str">
        <x:v>UN</x:v>
      </x:c>
      <x:c r="C2889" s="2" t="n">
        <x:v>1</x:v>
      </x:c>
      <x:c r="D2889" s="2" t="n">
        <x:v>1</x:v>
      </x:c>
      <x:c r="E2889" s="10"/>
      <x:c r="F2889" s="11" t="n">
        <x:v>523</x:v>
      </x:c>
      <x:c r="G2889" s="11" t="n">
        <x:v>0</x:v>
      </x:c>
      <x:c r="H2889" s="11" t="n">
        <x:v>0</x:v>
      </x:c>
      <x:c r="I2889" s="11" t="n">
        <x:v>1</x:v>
      </x:c>
      <x:c r="J2889" s="11" t="n">
        <x:v>0</x:v>
      </x:c>
      <x:c r="K2889" s="11" t="n">
        <x:v>0</x:v>
      </x:c>
      <x:c r="L2889" s="11" t="n">
        <x:f>IF(B2889="NED",1,IF(OR(B2889="ED",B2889="UN"),0,""))</x:f>
        <x:v>0</x:v>
      </x:c>
      <x:c r="M2889" s="11" t="n">
        <x:f>IF(AND(K2889=1,OR(B2889="ED",B2889="NED")),1,0)</x:f>
        <x:v>0</x:v>
      </x:c>
      <x:c r="N2889" s="11" t="n">
        <x:f>IF(K2889=1,1,0)</x:f>
        <x:v>0</x:v>
      </x:c>
      <x:c r="O2889" s="12" t="str">
        <x:v>Exclude UniProt Membrane keyword</x:v>
      </x:c>
      <x:c r="P2889" s="11" t="n">
        <x:v>0</x:v>
      </x:c>
      <x:c r="Q2889" s="12" t="str">
        <x:v>AF-Q9D8S3-F1-model_v6</x:v>
      </x:c>
      <x:c r="R2889" s="12" t="str">
        <x:v>ok</x:v>
      </x:c>
      <x:c r="S2889" s="11" t="n">
        <x:v>2362</x:v>
      </x:c>
      <x:c r="T2889" s="11" t="n">
        <x:v>523</x:v>
      </x:c>
    </x:row>
    <x:row r="2890" ht="23" customHeight="1">
      <x:c r="A2890" s="2" t="str">
        <x:v>Q9D8T2</x:v>
      </x:c>
      <x:c r="B2890" s="2" t="str">
        <x:v>ED</x:v>
      </x:c>
      <x:c r="C2890" s="2" t="n">
        <x:v>1</x:v>
      </x:c>
      <x:c r="D2890" s="2" t="n">
        <x:v>1</x:v>
      </x:c>
      <x:c r="E2890" s="10"/>
      <x:c r="F2890" s="11" t="n">
        <x:v>487</x:v>
      </x:c>
      <x:c r="G2890" s="11" t="n">
        <x:v>0</x:v>
      </x:c>
      <x:c r="H2890" s="11" t="n">
        <x:v>0</x:v>
      </x:c>
      <x:c r="I2890" s="11" t="n">
        <x:v>1</x:v>
      </x:c>
      <x:c r="J2890" s="11" t="n">
        <x:v>1</x:v>
      </x:c>
      <x:c r="K2890" s="11" t="n">
        <x:v>0</x:v>
      </x:c>
      <x:c r="L2890" s="11" t="n">
        <x:f>IF(B2890="NED",1,IF(OR(B2890="ED",B2890="UN"),0,""))</x:f>
        <x:v>0</x:v>
      </x:c>
      <x:c r="M2890" s="11" t="n">
        <x:f>IF(AND(K2890=1,OR(B2890="ED",B2890="NED")),1,0)</x:f>
        <x:v>0</x:v>
      </x:c>
      <x:c r="N2890" s="11" t="n">
        <x:f>IF(K2890=1,1,0)</x:f>
        <x:v>0</x:v>
      </x:c>
      <x:c r="O2890" s="12" t="str">
        <x:v>Exclude UniProt Membrane keyword</x:v>
      </x:c>
      <x:c r="P2890" s="11" t="n">
        <x:v>0</x:v>
      </x:c>
      <x:c r="Q2890" s="12" t="str">
        <x:v>AF-Q9D8T2-F1-model_v6</x:v>
      </x:c>
      <x:c r="R2890" s="12" t="str">
        <x:v>ok</x:v>
      </x:c>
      <x:c r="S2890" s="11" t="n">
        <x:v>2363</x:v>
      </x:c>
      <x:c r="T2890" s="11" t="n">
        <x:v>487</x:v>
      </x:c>
    </x:row>
    <x:row r="2891" ht="23" customHeight="1">
      <x:c r="A2891" s="2" t="str">
        <x:v>Q9D8U0</x:v>
      </x:c>
      <x:c r="B2891" s="2" t="str">
        <x:v>ED</x:v>
      </x:c>
      <x:c r="C2891" s="2" t="n">
        <x:v>1</x:v>
      </x:c>
      <x:c r="D2891" s="2"/>
      <x:c r="E2891" s="10" t="n">
        <x:v>84.78335600907029</x:v>
      </x:c>
      <x:c r="F2891" s="11" t="n">
        <x:v>441</x:v>
      </x:c>
      <x:c r="G2891" s="11" t="n">
        <x:v>0</x:v>
      </x:c>
      <x:c r="H2891" s="11" t="n">
        <x:v>0</x:v>
      </x:c>
      <x:c r="I2891" s="11" t="n">
        <x:v>0</x:v>
      </x:c>
      <x:c r="J2891" s="11" t="n">
        <x:v>0</x:v>
      </x:c>
      <x:c r="K2891" s="11" t="n">
        <x:v>1</x:v>
      </x:c>
      <x:c r="L2891" s="11" t="n">
        <x:f>IF(B2891="NED",1,IF(OR(B2891="ED",B2891="UN"),0,""))</x:f>
        <x:v>0</x:v>
      </x:c>
      <x:c r="M2891" s="11" t="n">
        <x:f>IF(AND(K2891=1,OR(B2891="ED",B2891="NED")),1,0)</x:f>
        <x:v>1</x:v>
      </x:c>
      <x:c r="N2891" s="11" t="n">
        <x:f>IF(K2891=1,1,0)</x:f>
        <x:v>1</x:v>
      </x:c>
      <x:c r="O2891" s="12"/>
      <x:c r="P2891" s="11" t="n">
        <x:v>0</x:v>
      </x:c>
      <x:c r="Q2891" s="12" t="str">
        <x:v>AF-Q9D8U0-F1-model_v6</x:v>
      </x:c>
      <x:c r="R2891" s="12" t="str">
        <x:v>ok</x:v>
      </x:c>
      <x:c r="S2891" s="11" t="n">
        <x:v>3270</x:v>
      </x:c>
      <x:c r="T2891" s="11" t="n">
        <x:v>441</x:v>
      </x:c>
    </x:row>
    <x:row r="2892" ht="23" customHeight="1">
      <x:c r="A2892" s="2" t="str">
        <x:v>Q9D8U8</x:v>
      </x:c>
      <x:c r="B2892" s="2" t="str">
        <x:v>NED</x:v>
      </x:c>
      <x:c r="C2892" s="2" t="n">
        <x:v>1</x:v>
      </x:c>
      <x:c r="D2892" s="2" t="n">
        <x:v>1</x:v>
      </x:c>
      <x:c r="E2892" s="10"/>
      <x:c r="F2892" s="11" t="n">
        <x:v>404</x:v>
      </x:c>
      <x:c r="G2892" s="11" t="n">
        <x:v>0</x:v>
      </x:c>
      <x:c r="H2892" s="11" t="n">
        <x:v>0</x:v>
      </x:c>
      <x:c r="I2892" s="11" t="n">
        <x:v>1</x:v>
      </x:c>
      <x:c r="J2892" s="11" t="n">
        <x:v>0</x:v>
      </x:c>
      <x:c r="K2892" s="11" t="n">
        <x:v>0</x:v>
      </x:c>
      <x:c r="L2892" s="11" t="n">
        <x:f>IF(B2892="NED",1,IF(OR(B2892="ED",B2892="UN"),0,""))</x:f>
        <x:v>1</x:v>
      </x:c>
      <x:c r="M2892" s="11" t="n">
        <x:f>IF(AND(K2892=1,OR(B2892="ED",B2892="NED")),1,0)</x:f>
        <x:v>0</x:v>
      </x:c>
      <x:c r="N2892" s="11" t="n">
        <x:f>IF(K2892=1,1,0)</x:f>
        <x:v>0</x:v>
      </x:c>
      <x:c r="O2892" s="12" t="str">
        <x:v>Exclude UniProt Membrane keyword</x:v>
      </x:c>
      <x:c r="P2892" s="11" t="n">
        <x:v>0</x:v>
      </x:c>
      <x:c r="Q2892" s="12" t="str">
        <x:v>AF-Q9D8U8-F1-model_v6</x:v>
      </x:c>
      <x:c r="R2892" s="12" t="str">
        <x:v>ok</x:v>
      </x:c>
      <x:c r="S2892" s="11" t="n">
        <x:v>2364</x:v>
      </x:c>
      <x:c r="T2892" s="11" t="n">
        <x:v>404</x:v>
      </x:c>
    </x:row>
    <x:row r="2893" ht="23" customHeight="1">
      <x:c r="A2893" s="2" t="str">
        <x:v>Q9D8W5</x:v>
      </x:c>
      <x:c r="B2893" s="2" t="str">
        <x:v>UN</x:v>
      </x:c>
      <x:c r="C2893" s="2" t="n">
        <x:v>0</x:v>
      </x:c>
      <x:c r="D2893" s="2" t="n">
        <x:v>0</x:v>
      </x:c>
      <x:c r="E2893" s="10" t="n">
        <x:v>81.13848684210527</x:v>
      </x:c>
      <x:c r="F2893" s="11" t="n">
        <x:v>456</x:v>
      </x:c>
      <x:c r="G2893" s="11" t="n">
        <x:v>0</x:v>
      </x:c>
      <x:c r="H2893" s="11" t="n">
        <x:v>0</x:v>
      </x:c>
      <x:c r="I2893" s="11" t="n">
        <x:v>0</x:v>
      </x:c>
      <x:c r="J2893" s="11" t="n">
        <x:v>0</x:v>
      </x:c>
      <x:c r="K2893" s="11" t="n">
        <x:v>1</x:v>
      </x:c>
      <x:c r="L2893" s="11" t="n">
        <x:f>IF(B2893="NED",1,IF(OR(B2893="ED",B2893="UN"),0,""))</x:f>
        <x:v>0</x:v>
      </x:c>
      <x:c r="M2893" s="11" t="n">
        <x:f>IF(AND(K2893=1,OR(B2893="ED",B2893="NED")),1,0)</x:f>
        <x:v>0</x:v>
      </x:c>
      <x:c r="N2893" s="11" t="n">
        <x:f>IF(K2893=1,1,0)</x:f>
        <x:v>1</x:v>
      </x:c>
      <x:c r="O2893" s="12"/>
      <x:c r="P2893" s="11" t="n">
        <x:v>0</x:v>
      </x:c>
      <x:c r="Q2893" s="12" t="str">
        <x:v>AF-Q9D8W5-F1-model_v6</x:v>
      </x:c>
      <x:c r="R2893" s="12" t="str">
        <x:v>ok</x:v>
      </x:c>
      <x:c r="S2893" s="11" t="n">
        <x:v>2365</x:v>
      </x:c>
      <x:c r="T2893" s="11" t="n">
        <x:v>456</x:v>
      </x:c>
    </x:row>
    <x:row r="2894" ht="23" customHeight="1">
      <x:c r="A2894" s="2" t="str">
        <x:v>Q9D903</x:v>
      </x:c>
      <x:c r="B2894" s="2" t="str">
        <x:v>UN</x:v>
      </x:c>
      <x:c r="C2894" s="2" t="n">
        <x:v>0</x:v>
      </x:c>
      <x:c r="D2894" s="2" t="n">
        <x:v>0</x:v>
      </x:c>
      <x:c r="E2894" s="10" t="n">
        <x:v>76.00307189542484</x:v>
      </x:c>
      <x:c r="F2894" s="11" t="n">
        <x:v>306</x:v>
      </x:c>
      <x:c r="G2894" s="11" t="n">
        <x:v>0</x:v>
      </x:c>
      <x:c r="H2894" s="11" t="n">
        <x:v>0</x:v>
      </x:c>
      <x:c r="I2894" s="11" t="n">
        <x:v>0</x:v>
      </x:c>
      <x:c r="J2894" s="11" t="n">
        <x:v>0</x:v>
      </x:c>
      <x:c r="K2894" s="11" t="n">
        <x:v>1</x:v>
      </x:c>
      <x:c r="L2894" s="11" t="n">
        <x:f>IF(B2894="NED",1,IF(OR(B2894="ED",B2894="UN"),0,""))</x:f>
        <x:v>0</x:v>
      </x:c>
      <x:c r="M2894" s="11" t="n">
        <x:f>IF(AND(K2894=1,OR(B2894="ED",B2894="NED")),1,0)</x:f>
        <x:v>0</x:v>
      </x:c>
      <x:c r="N2894" s="11" t="n">
        <x:f>IF(K2894=1,1,0)</x:f>
        <x:v>1</x:v>
      </x:c>
      <x:c r="O2894" s="12"/>
      <x:c r="P2894" s="11" t="n">
        <x:v>0</x:v>
      </x:c>
      <x:c r="Q2894" s="12" t="str">
        <x:v>AF-Q9D903-F1-model_v6</x:v>
      </x:c>
      <x:c r="R2894" s="12" t="str">
        <x:v>ok</x:v>
      </x:c>
      <x:c r="S2894" s="11" t="n">
        <x:v>2366</x:v>
      </x:c>
      <x:c r="T2894" s="11" t="n">
        <x:v>306</x:v>
      </x:c>
    </x:row>
    <x:row r="2895" ht="23" customHeight="1">
      <x:c r="A2895" s="2" t="str">
        <x:v>Q9D906</x:v>
      </x:c>
      <x:c r="B2895" s="2" t="str">
        <x:v>UN</x:v>
      </x:c>
      <x:c r="C2895" s="2" t="n">
        <x:v>1</x:v>
      </x:c>
      <x:c r="D2895" s="2" t="n">
        <x:v>1</x:v>
      </x:c>
      <x:c r="E2895" s="10" t="n">
        <x:v>88.0014899713467</x:v>
      </x:c>
      <x:c r="F2895" s="11" t="n">
        <x:v>698</x:v>
      </x:c>
      <x:c r="G2895" s="11" t="n">
        <x:v>0</x:v>
      </x:c>
      <x:c r="H2895" s="11" t="n">
        <x:v>0</x:v>
      </x:c>
      <x:c r="I2895" s="11" t="n">
        <x:v>0</x:v>
      </x:c>
      <x:c r="J2895" s="11" t="n">
        <x:v>0</x:v>
      </x:c>
      <x:c r="K2895" s="11" t="n">
        <x:v>1</x:v>
      </x:c>
      <x:c r="L2895" s="11" t="n">
        <x:f>IF(B2895="NED",1,IF(OR(B2895="ED",B2895="UN"),0,""))</x:f>
        <x:v>0</x:v>
      </x:c>
      <x:c r="M2895" s="11" t="n">
        <x:f>IF(AND(K2895=1,OR(B2895="ED",B2895="NED")),1,0)</x:f>
        <x:v>0</x:v>
      </x:c>
      <x:c r="N2895" s="11" t="n">
        <x:f>IF(K2895=1,1,0)</x:f>
        <x:v>1</x:v>
      </x:c>
      <x:c r="O2895" s="12"/>
      <x:c r="P2895" s="11" t="n">
        <x:v>0</x:v>
      </x:c>
      <x:c r="Q2895" s="12" t="str">
        <x:v>AF-Q9D906-F1-model_v6</x:v>
      </x:c>
      <x:c r="R2895" s="12" t="str">
        <x:v>ok</x:v>
      </x:c>
      <x:c r="S2895" s="11" t="n">
        <x:v>2367</x:v>
      </x:c>
      <x:c r="T2895" s="11" t="n">
        <x:v>698</x:v>
      </x:c>
    </x:row>
    <x:row r="2896" ht="23" customHeight="1">
      <x:c r="A2896" s="2" t="str">
        <x:v>Q9D937</x:v>
      </x:c>
      <x:c r="B2896" s="2" t="str">
        <x:v>UN</x:v>
      </x:c>
      <x:c r="C2896" s="2" t="n">
        <x:v>0</x:v>
      </x:c>
      <x:c r="D2896" s="2" t="n">
        <x:v>0</x:v>
      </x:c>
      <x:c r="E2896" s="10" t="n">
        <x:v>75.16674796747968</x:v>
      </x:c>
      <x:c r="F2896" s="11" t="n">
        <x:v>123</x:v>
      </x:c>
      <x:c r="G2896" s="11" t="n">
        <x:v>0</x:v>
      </x:c>
      <x:c r="H2896" s="11" t="n">
        <x:v>0</x:v>
      </x:c>
      <x:c r="I2896" s="11" t="n">
        <x:v>0</x:v>
      </x:c>
      <x:c r="J2896" s="11" t="n">
        <x:v>0</x:v>
      </x:c>
      <x:c r="K2896" s="11" t="n">
        <x:v>1</x:v>
      </x:c>
      <x:c r="L2896" s="11" t="n">
        <x:f>IF(B2896="NED",1,IF(OR(B2896="ED",B2896="UN"),0,""))</x:f>
        <x:v>0</x:v>
      </x:c>
      <x:c r="M2896" s="11" t="n">
        <x:f>IF(AND(K2896=1,OR(B2896="ED",B2896="NED")),1,0)</x:f>
        <x:v>0</x:v>
      </x:c>
      <x:c r="N2896" s="11" t="n">
        <x:f>IF(K2896=1,1,0)</x:f>
        <x:v>1</x:v>
      </x:c>
      <x:c r="O2896" s="12"/>
      <x:c r="P2896" s="11" t="n">
        <x:v>0</x:v>
      </x:c>
      <x:c r="Q2896" s="12" t="str">
        <x:v>AF-Q9D937-F1-model_v6</x:v>
      </x:c>
      <x:c r="R2896" s="12" t="str">
        <x:v>ok</x:v>
      </x:c>
      <x:c r="S2896" s="11" t="n">
        <x:v>3271</x:v>
      </x:c>
      <x:c r="T2896" s="11" t="n">
        <x:v>123</x:v>
      </x:c>
    </x:row>
    <x:row r="2897" ht="23" customHeight="1">
      <x:c r="A2897" s="2" t="str">
        <x:v>Q9DAI2</x:v>
      </x:c>
      <x:c r="B2897" s="2" t="str">
        <x:v>ED</x:v>
      </x:c>
      <x:c r="C2897" s="2" t="n">
        <x:v>1</x:v>
      </x:c>
      <x:c r="D2897" s="2" t="n">
        <x:v>1</x:v>
      </x:c>
      <x:c r="E2897" s="10" t="n">
        <x:v>92.14297297297296</x:v>
      </x:c>
      <x:c r="F2897" s="11" t="n">
        <x:v>185</x:v>
      </x:c>
      <x:c r="G2897" s="11" t="n">
        <x:v>0</x:v>
      </x:c>
      <x:c r="H2897" s="11" t="n">
        <x:v>0</x:v>
      </x:c>
      <x:c r="I2897" s="11" t="n">
        <x:v>0</x:v>
      </x:c>
      <x:c r="J2897" s="11" t="n">
        <x:v>0</x:v>
      </x:c>
      <x:c r="K2897" s="11" t="n">
        <x:v>1</x:v>
      </x:c>
      <x:c r="L2897" s="11" t="n">
        <x:f>IF(B2897="NED",1,IF(OR(B2897="ED",B2897="UN"),0,""))</x:f>
        <x:v>0</x:v>
      </x:c>
      <x:c r="M2897" s="11" t="n">
        <x:f>IF(AND(K2897=1,OR(B2897="ED",B2897="NED")),1,0)</x:f>
        <x:v>1</x:v>
      </x:c>
      <x:c r="N2897" s="11" t="n">
        <x:f>IF(K2897=1,1,0)</x:f>
        <x:v>1</x:v>
      </x:c>
      <x:c r="O2897" s="12"/>
      <x:c r="P2897" s="11" t="n">
        <x:v>0</x:v>
      </x:c>
      <x:c r="Q2897" s="12" t="str">
        <x:v>AF-Q9DAI2-F1-model_v6</x:v>
      </x:c>
      <x:c r="R2897" s="12" t="str">
        <x:v>ok</x:v>
      </x:c>
      <x:c r="S2897" s="11" t="n">
        <x:v>2368</x:v>
      </x:c>
      <x:c r="T2897" s="11" t="n">
        <x:v>185</x:v>
      </x:c>
    </x:row>
    <x:row r="2898" ht="23" customHeight="1">
      <x:c r="A2898" s="2" t="str">
        <x:v>Q9DAM7</x:v>
      </x:c>
      <x:c r="B2898" s="2" t="str">
        <x:v>ED</x:v>
      </x:c>
      <x:c r="C2898" s="2" t="n">
        <x:v>0</x:v>
      </x:c>
      <x:c r="D2898" s="2" t="n">
        <x:v>0</x:v>
      </x:c>
      <x:c r="E2898" s="10"/>
      <x:c r="F2898" s="11" t="n">
        <x:v>115</x:v>
      </x:c>
      <x:c r="G2898" s="11" t="n">
        <x:v>0</x:v>
      </x:c>
      <x:c r="H2898" s="11" t="n">
        <x:v>0</x:v>
      </x:c>
      <x:c r="I2898" s="11" t="n">
        <x:v>1</x:v>
      </x:c>
      <x:c r="J2898" s="11" t="n">
        <x:v>0</x:v>
      </x:c>
      <x:c r="K2898" s="11" t="n">
        <x:v>0</x:v>
      </x:c>
      <x:c r="L2898" s="11" t="n">
        <x:f>IF(B2898="NED",1,IF(OR(B2898="ED",B2898="UN"),0,""))</x:f>
        <x:v>0</x:v>
      </x:c>
      <x:c r="M2898" s="11" t="n">
        <x:f>IF(AND(K2898=1,OR(B2898="ED",B2898="NED")),1,0)</x:f>
        <x:v>0</x:v>
      </x:c>
      <x:c r="N2898" s="11" t="n">
        <x:f>IF(K2898=1,1,0)</x:f>
        <x:v>0</x:v>
      </x:c>
      <x:c r="O2898" s="12" t="str">
        <x:v>Exclude UniProt Membrane keyword</x:v>
      </x:c>
      <x:c r="P2898" s="11" t="n">
        <x:v>0</x:v>
      </x:c>
      <x:c r="Q2898" s="12" t="str">
        <x:v>AF-Q9DAM7-F1-model_v6</x:v>
      </x:c>
      <x:c r="R2898" s="12" t="str">
        <x:v>ok</x:v>
      </x:c>
      <x:c r="S2898" s="11" t="n">
        <x:v>2369</x:v>
      </x:c>
      <x:c r="T2898" s="11" t="n">
        <x:v>115</x:v>
      </x:c>
    </x:row>
    <x:row r="2899" ht="23" customHeight="1">
      <x:c r="A2899" s="2" t="str">
        <x:v>Q9DAR7</x:v>
      </x:c>
      <x:c r="B2899" s="2" t="str">
        <x:v>ED</x:v>
      </x:c>
      <x:c r="C2899" s="2" t="n">
        <x:v>1</x:v>
      </x:c>
      <x:c r="D2899" s="2" t="n">
        <x:v>1</x:v>
      </x:c>
      <x:c r="E2899" s="10" t="n">
        <x:v>88.13683431952663</x:v>
      </x:c>
      <x:c r="F2899" s="11" t="n">
        <x:v>338</x:v>
      </x:c>
      <x:c r="G2899" s="11" t="n">
        <x:v>0</x:v>
      </x:c>
      <x:c r="H2899" s="11" t="n">
        <x:v>0</x:v>
      </x:c>
      <x:c r="I2899" s="11" t="n">
        <x:v>0</x:v>
      </x:c>
      <x:c r="J2899" s="11" t="n">
        <x:v>0</x:v>
      </x:c>
      <x:c r="K2899" s="11" t="n">
        <x:v>1</x:v>
      </x:c>
      <x:c r="L2899" s="11" t="n">
        <x:f>IF(B2899="NED",1,IF(OR(B2899="ED",B2899="UN"),0,""))</x:f>
        <x:v>0</x:v>
      </x:c>
      <x:c r="M2899" s="11" t="n">
        <x:f>IF(AND(K2899=1,OR(B2899="ED",B2899="NED")),1,0)</x:f>
        <x:v>1</x:v>
      </x:c>
      <x:c r="N2899" s="11" t="n">
        <x:f>IF(K2899=1,1,0)</x:f>
        <x:v>1</x:v>
      </x:c>
      <x:c r="O2899" s="12"/>
      <x:c r="P2899" s="11" t="n">
        <x:v>0</x:v>
      </x:c>
      <x:c r="Q2899" s="12" t="str">
        <x:v>AF-Q9DAR7-F1-model_v6</x:v>
      </x:c>
      <x:c r="R2899" s="12" t="str">
        <x:v>ok</x:v>
      </x:c>
      <x:c r="S2899" s="11" t="n">
        <x:v>2370</x:v>
      </x:c>
      <x:c r="T2899" s="11" t="n">
        <x:v>338</x:v>
      </x:c>
    </x:row>
    <x:row r="2900" ht="23" customHeight="1">
      <x:c r="A2900" s="2" t="str">
        <x:v>Q9DAS9</x:v>
      </x:c>
      <x:c r="B2900" s="2" t="str">
        <x:v>UN</x:v>
      </x:c>
      <x:c r="C2900" s="2" t="n">
        <x:v>0</x:v>
      </x:c>
      <x:c r="D2900" s="2" t="n">
        <x:v>0</x:v>
      </x:c>
      <x:c r="E2900" s="10"/>
      <x:c r="F2900" s="11" t="n">
        <x:v>72</x:v>
      </x:c>
      <x:c r="G2900" s="11" t="n">
        <x:v>0</x:v>
      </x:c>
      <x:c r="H2900" s="11" t="n">
        <x:v>0</x:v>
      </x:c>
      <x:c r="I2900" s="11" t="n">
        <x:v>1</x:v>
      </x:c>
      <x:c r="J2900" s="11" t="n">
        <x:v>0</x:v>
      </x:c>
      <x:c r="K2900" s="11" t="n">
        <x:v>0</x:v>
      </x:c>
      <x:c r="L2900" s="11" t="n">
        <x:f>IF(B2900="NED",1,IF(OR(B2900="ED",B2900="UN"),0,""))</x:f>
        <x:v>0</x:v>
      </x:c>
      <x:c r="M2900" s="11" t="n">
        <x:f>IF(AND(K2900=1,OR(B2900="ED",B2900="NED")),1,0)</x:f>
        <x:v>0</x:v>
      </x:c>
      <x:c r="N2900" s="11" t="n">
        <x:f>IF(K2900=1,1,0)</x:f>
        <x:v>0</x:v>
      </x:c>
      <x:c r="O2900" s="12" t="str">
        <x:v>Exclude UniProt Membrane keyword</x:v>
      </x:c>
      <x:c r="P2900" s="11" t="n">
        <x:v>0</x:v>
      </x:c>
      <x:c r="Q2900" s="12" t="str">
        <x:v>AF-Q9DAS9-F1-model_v6</x:v>
      </x:c>
      <x:c r="R2900" s="12" t="str">
        <x:v>ok</x:v>
      </x:c>
      <x:c r="S2900" s="11" t="n">
        <x:v>2371</x:v>
      </x:c>
      <x:c r="T2900" s="11" t="n">
        <x:v>72</x:v>
      </x:c>
    </x:row>
    <x:row r="2901" ht="23" customHeight="1">
      <x:c r="A2901" s="2" t="str">
        <x:v>Q9DAU1</x:v>
      </x:c>
      <x:c r="B2901" s="2" t="str">
        <x:v>ED</x:v>
      </x:c>
      <x:c r="C2901" s="2" t="n">
        <x:v>1</x:v>
      </x:c>
      <x:c r="D2901" s="2"/>
      <x:c r="E2901" s="10" t="n">
        <x:v>71.30119565217392</x:v>
      </x:c>
      <x:c r="F2901" s="11" t="n">
        <x:v>276</x:v>
      </x:c>
      <x:c r="G2901" s="11" t="n">
        <x:v>0</x:v>
      </x:c>
      <x:c r="H2901" s="11" t="n">
        <x:v>0</x:v>
      </x:c>
      <x:c r="I2901" s="11" t="n">
        <x:v>0</x:v>
      </x:c>
      <x:c r="J2901" s="11" t="n">
        <x:v>0</x:v>
      </x:c>
      <x:c r="K2901" s="11" t="n">
        <x:v>1</x:v>
      </x:c>
      <x:c r="L2901" s="11" t="n">
        <x:f>IF(B2901="NED",1,IF(OR(B2901="ED",B2901="UN"),0,""))</x:f>
        <x:v>0</x:v>
      </x:c>
      <x:c r="M2901" s="11" t="n">
        <x:f>IF(AND(K2901=1,OR(B2901="ED",B2901="NED")),1,0)</x:f>
        <x:v>1</x:v>
      </x:c>
      <x:c r="N2901" s="11" t="n">
        <x:f>IF(K2901=1,1,0)</x:f>
        <x:v>1</x:v>
      </x:c>
      <x:c r="O2901" s="12"/>
      <x:c r="P2901" s="11" t="n">
        <x:v>0</x:v>
      </x:c>
      <x:c r="Q2901" s="12" t="str">
        <x:v>AF-Q9DAU1-F1-model_v6</x:v>
      </x:c>
      <x:c r="R2901" s="12" t="str">
        <x:v>ok</x:v>
      </x:c>
      <x:c r="S2901" s="11" t="n">
        <x:v>2372</x:v>
      </x:c>
      <x:c r="T2901" s="11" t="n">
        <x:v>276</x:v>
      </x:c>
    </x:row>
    <x:row r="2902" ht="23" customHeight="1">
      <x:c r="A2902" s="2" t="str">
        <x:v>Q9DAW6</x:v>
      </x:c>
      <x:c r="B2902" s="2" t="str">
        <x:v>ED</x:v>
      </x:c>
      <x:c r="C2902" s="2" t="n">
        <x:v>1</x:v>
      </x:c>
      <x:c r="D2902" s="2" t="n">
        <x:v>1</x:v>
      </x:c>
      <x:c r="E2902" s="10" t="n">
        <x:v>83.76508637236084</x:v>
      </x:c>
      <x:c r="F2902" s="11" t="n">
        <x:v>521</x:v>
      </x:c>
      <x:c r="G2902" s="11" t="n">
        <x:v>0</x:v>
      </x:c>
      <x:c r="H2902" s="11" t="n">
        <x:v>0</x:v>
      </x:c>
      <x:c r="I2902" s="11" t="n">
        <x:v>0</x:v>
      </x:c>
      <x:c r="J2902" s="11" t="n">
        <x:v>0</x:v>
      </x:c>
      <x:c r="K2902" s="11" t="n">
        <x:v>1</x:v>
      </x:c>
      <x:c r="L2902" s="11" t="n">
        <x:f>IF(B2902="NED",1,IF(OR(B2902="ED",B2902="UN"),0,""))</x:f>
        <x:v>0</x:v>
      </x:c>
      <x:c r="M2902" s="11" t="n">
        <x:f>IF(AND(K2902=1,OR(B2902="ED",B2902="NED")),1,0)</x:f>
        <x:v>1</x:v>
      </x:c>
      <x:c r="N2902" s="11" t="n">
        <x:f>IF(K2902=1,1,0)</x:f>
        <x:v>1</x:v>
      </x:c>
      <x:c r="O2902" s="12"/>
      <x:c r="P2902" s="11" t="n">
        <x:v>0</x:v>
      </x:c>
      <x:c r="Q2902" s="12" t="str">
        <x:v>AF-Q9DAW6-F1-model_v6</x:v>
      </x:c>
      <x:c r="R2902" s="12" t="str">
        <x:v>ok</x:v>
      </x:c>
      <x:c r="S2902" s="11" t="n">
        <x:v>2373</x:v>
      </x:c>
      <x:c r="T2902" s="11" t="n">
        <x:v>521</x:v>
      </x:c>
    </x:row>
    <x:row r="2903" ht="23" customHeight="1">
      <x:c r="A2903" s="2" t="str">
        <x:v>Q9DAW9</x:v>
      </x:c>
      <x:c r="B2903" s="2" t="str">
        <x:v>ED</x:v>
      </x:c>
      <x:c r="C2903" s="2" t="n">
        <x:v>0</x:v>
      </x:c>
      <x:c r="D2903" s="2" t="n">
        <x:v>0</x:v>
      </x:c>
      <x:c r="E2903" s="10" t="n">
        <x:v>69.34678787878788</x:v>
      </x:c>
      <x:c r="F2903" s="11" t="n">
        <x:v>330</x:v>
      </x:c>
      <x:c r="G2903" s="11" t="n">
        <x:v>0</x:v>
      </x:c>
      <x:c r="H2903" s="11" t="n">
        <x:v>0</x:v>
      </x:c>
      <x:c r="I2903" s="11" t="n">
        <x:v>0</x:v>
      </x:c>
      <x:c r="J2903" s="11" t="n">
        <x:v>0</x:v>
      </x:c>
      <x:c r="K2903" s="11" t="n">
        <x:v>0</x:v>
      </x:c>
      <x:c r="L2903" s="11" t="n">
        <x:f>IF(B2903="NED",1,IF(OR(B2903="ED",B2903="UN"),0,""))</x:f>
        <x:v>0</x:v>
      </x:c>
      <x:c r="M2903" s="11" t="n">
        <x:f>IF(AND(K2903=1,OR(B2903="ED",B2903="NED")),1,0)</x:f>
        <x:v>0</x:v>
      </x:c>
      <x:c r="N2903" s="11" t="n">
        <x:f>IF(K2903=1,1,0)</x:f>
        <x:v>0</x:v>
      </x:c>
      <x:c r="O2903" s="12" t="str">
        <x:v>Retain protein mean pLDDT &gt;=70</x:v>
      </x:c>
      <x:c r="P2903" s="11" t="n">
        <x:v>0</x:v>
      </x:c>
      <x:c r="Q2903" s="12" t="str">
        <x:v>AF-Q9DAW9-F1-model_v6</x:v>
      </x:c>
      <x:c r="R2903" s="12" t="str">
        <x:v>ok</x:v>
      </x:c>
      <x:c r="S2903" s="11" t="n">
        <x:v>2374</x:v>
      </x:c>
      <x:c r="T2903" s="11" t="n">
        <x:v>330</x:v>
      </x:c>
    </x:row>
    <x:row r="2904" ht="23" customHeight="1">
      <x:c r="A2904" s="2" t="str">
        <x:v>Q9DB05</x:v>
      </x:c>
      <x:c r="B2904" s="2" t="str">
        <x:v>UN</x:v>
      </x:c>
      <x:c r="C2904" s="2" t="n">
        <x:v>0</x:v>
      </x:c>
      <x:c r="D2904" s="2" t="n">
        <x:v>0</x:v>
      </x:c>
      <x:c r="E2904" s="10"/>
      <x:c r="F2904" s="11" t="n">
        <x:v>295</x:v>
      </x:c>
      <x:c r="G2904" s="11" t="n">
        <x:v>0</x:v>
      </x:c>
      <x:c r="H2904" s="11" t="n">
        <x:v>0</x:v>
      </x:c>
      <x:c r="I2904" s="11" t="n">
        <x:v>1</x:v>
      </x:c>
      <x:c r="J2904" s="11" t="n">
        <x:v>0</x:v>
      </x:c>
      <x:c r="K2904" s="11" t="n">
        <x:v>0</x:v>
      </x:c>
      <x:c r="L2904" s="11" t="n">
        <x:f>IF(B2904="NED",1,IF(OR(B2904="ED",B2904="UN"),0,""))</x:f>
        <x:v>0</x:v>
      </x:c>
      <x:c r="M2904" s="11" t="n">
        <x:f>IF(AND(K2904=1,OR(B2904="ED",B2904="NED")),1,0)</x:f>
        <x:v>0</x:v>
      </x:c>
      <x:c r="N2904" s="11" t="n">
        <x:f>IF(K2904=1,1,0)</x:f>
        <x:v>0</x:v>
      </x:c>
      <x:c r="O2904" s="12" t="str">
        <x:v>Exclude UniProt Membrane keyword</x:v>
      </x:c>
      <x:c r="P2904" s="11" t="n">
        <x:v>0</x:v>
      </x:c>
      <x:c r="Q2904" s="12" t="str">
        <x:v>AF-Q9DB05-F1-model_v6</x:v>
      </x:c>
      <x:c r="R2904" s="12" t="str">
        <x:v>ok</x:v>
      </x:c>
      <x:c r="S2904" s="11" t="n">
        <x:v>2375</x:v>
      </x:c>
      <x:c r="T2904" s="11" t="n">
        <x:v>295</x:v>
      </x:c>
    </x:row>
    <x:row r="2905" ht="23" customHeight="1">
      <x:c r="A2905" s="2" t="str">
        <x:v>Q9DB15</x:v>
      </x:c>
      <x:c r="B2905" s="2" t="str">
        <x:v>NED</x:v>
      </x:c>
      <x:c r="C2905" s="2" t="n">
        <x:v>0</x:v>
      </x:c>
      <x:c r="D2905" s="2" t="n">
        <x:v>0</x:v>
      </x:c>
      <x:c r="E2905" s="10" t="n">
        <x:v>68.67398009950249</x:v>
      </x:c>
      <x:c r="F2905" s="11" t="n">
        <x:v>201</x:v>
      </x:c>
      <x:c r="G2905" s="11" t="n">
        <x:v>0</x:v>
      </x:c>
      <x:c r="H2905" s="11" t="n">
        <x:v>0</x:v>
      </x:c>
      <x:c r="I2905" s="11" t="n">
        <x:v>0</x:v>
      </x:c>
      <x:c r="J2905" s="11" t="n">
        <x:v>0</x:v>
      </x:c>
      <x:c r="K2905" s="11" t="n">
        <x:v>0</x:v>
      </x:c>
      <x:c r="L2905" s="11" t="n">
        <x:f>IF(B2905="NED",1,IF(OR(B2905="ED",B2905="UN"),0,""))</x:f>
        <x:v>1</x:v>
      </x:c>
      <x:c r="M2905" s="11" t="n">
        <x:f>IF(AND(K2905=1,OR(B2905="ED",B2905="NED")),1,0)</x:f>
        <x:v>0</x:v>
      </x:c>
      <x:c r="N2905" s="11" t="n">
        <x:f>IF(K2905=1,1,0)</x:f>
        <x:v>0</x:v>
      </x:c>
      <x:c r="O2905" s="12" t="str">
        <x:v>Retain protein mean pLDDT &gt;=70</x:v>
      </x:c>
      <x:c r="P2905" s="11" t="n">
        <x:v>0</x:v>
      </x:c>
      <x:c r="Q2905" s="12" t="str">
        <x:v>AF-Q9DB15-F1-model_v6</x:v>
      </x:c>
      <x:c r="R2905" s="12" t="str">
        <x:v>ok</x:v>
      </x:c>
      <x:c r="S2905" s="11" t="n">
        <x:v>2376</x:v>
      </x:c>
      <x:c r="T2905" s="11" t="n">
        <x:v>201</x:v>
      </x:c>
    </x:row>
    <x:row r="2906" ht="23" customHeight="1">
      <x:c r="A2906" s="2" t="str">
        <x:v>Q9DB20</x:v>
      </x:c>
      <x:c r="B2906" s="2" t="str">
        <x:v>UN</x:v>
      </x:c>
      <x:c r="C2906" s="2" t="n">
        <x:v>1</x:v>
      </x:c>
      <x:c r="D2906" s="2" t="n">
        <x:v>1</x:v>
      </x:c>
      <x:c r="E2906" s="10"/>
      <x:c r="F2906" s="11" t="n">
        <x:v>213</x:v>
      </x:c>
      <x:c r="G2906" s="11" t="n">
        <x:v>0</x:v>
      </x:c>
      <x:c r="H2906" s="11" t="n">
        <x:v>0</x:v>
      </x:c>
      <x:c r="I2906" s="11" t="n">
        <x:v>1</x:v>
      </x:c>
      <x:c r="J2906" s="11" t="n">
        <x:v>0</x:v>
      </x:c>
      <x:c r="K2906" s="11" t="n">
        <x:v>0</x:v>
      </x:c>
      <x:c r="L2906" s="11" t="n">
        <x:f>IF(B2906="NED",1,IF(OR(B2906="ED",B2906="UN"),0,""))</x:f>
        <x:v>0</x:v>
      </x:c>
      <x:c r="M2906" s="11" t="n">
        <x:f>IF(AND(K2906=1,OR(B2906="ED",B2906="NED")),1,0)</x:f>
        <x:v>0</x:v>
      </x:c>
      <x:c r="N2906" s="11" t="n">
        <x:f>IF(K2906=1,1,0)</x:f>
        <x:v>0</x:v>
      </x:c>
      <x:c r="O2906" s="12" t="str">
        <x:v>Exclude UniProt Membrane keyword</x:v>
      </x:c>
      <x:c r="P2906" s="11" t="n">
        <x:v>0</x:v>
      </x:c>
      <x:c r="Q2906" s="12" t="str">
        <x:v>AF-Q9DB20-F1-model_v6</x:v>
      </x:c>
      <x:c r="R2906" s="12" t="str">
        <x:v>ok</x:v>
      </x:c>
      <x:c r="S2906" s="11" t="n">
        <x:v>2377</x:v>
      </x:c>
      <x:c r="T2906" s="11" t="n">
        <x:v>213</x:v>
      </x:c>
    </x:row>
    <x:row r="2907" ht="23" customHeight="1">
      <x:c r="A2907" s="2" t="str">
        <x:v>Q9DB25</x:v>
      </x:c>
      <x:c r="B2907" s="2" t="str">
        <x:v>UN</x:v>
      </x:c>
      <x:c r="C2907" s="2" t="n">
        <x:v>1</x:v>
      </x:c>
      <x:c r="D2907" s="2" t="n">
        <x:v>1</x:v>
      </x:c>
      <x:c r="E2907" s="10"/>
      <x:c r="F2907" s="11" t="n">
        <x:v>324</x:v>
      </x:c>
      <x:c r="G2907" s="11" t="n">
        <x:v>0</x:v>
      </x:c>
      <x:c r="H2907" s="11" t="n">
        <x:v>0</x:v>
      </x:c>
      <x:c r="I2907" s="11" t="n">
        <x:v>1</x:v>
      </x:c>
      <x:c r="J2907" s="11" t="n">
        <x:v>0</x:v>
      </x:c>
      <x:c r="K2907" s="11" t="n">
        <x:v>0</x:v>
      </x:c>
      <x:c r="L2907" s="11" t="n">
        <x:f>IF(B2907="NED",1,IF(OR(B2907="ED",B2907="UN"),0,""))</x:f>
        <x:v>0</x:v>
      </x:c>
      <x:c r="M2907" s="11" t="n">
        <x:f>IF(AND(K2907=1,OR(B2907="ED",B2907="NED")),1,0)</x:f>
        <x:v>0</x:v>
      </x:c>
      <x:c r="N2907" s="11" t="n">
        <x:f>IF(K2907=1,1,0)</x:f>
        <x:v>0</x:v>
      </x:c>
      <x:c r="O2907" s="12" t="str">
        <x:v>Exclude UniProt Membrane keyword</x:v>
      </x:c>
      <x:c r="P2907" s="11" t="n">
        <x:v>0</x:v>
      </x:c>
      <x:c r="Q2907" s="12" t="str">
        <x:v>AF-Q9DB25-F1-model_v6</x:v>
      </x:c>
      <x:c r="R2907" s="12" t="str">
        <x:v>ok</x:v>
      </x:c>
      <x:c r="S2907" s="11" t="n">
        <x:v>2378</x:v>
      </x:c>
      <x:c r="T2907" s="11" t="n">
        <x:v>324</x:v>
      </x:c>
    </x:row>
    <x:row r="2908" ht="23" customHeight="1">
      <x:c r="A2908" s="2" t="str">
        <x:v>Q9DB27</x:v>
      </x:c>
      <x:c r="B2908" s="2" t="str">
        <x:v>UN</x:v>
      </x:c>
      <x:c r="C2908" s="2" t="n">
        <x:v>1</x:v>
      </x:c>
      <x:c r="D2908" s="2" t="n">
        <x:v>1</x:v>
      </x:c>
      <x:c r="E2908" s="10" t="n">
        <x:v>97.0028729281768</x:v>
      </x:c>
      <x:c r="F2908" s="11" t="n">
        <x:v>181</x:v>
      </x:c>
      <x:c r="G2908" s="11" t="n">
        <x:v>0</x:v>
      </x:c>
      <x:c r="H2908" s="11" t="n">
        <x:v>0</x:v>
      </x:c>
      <x:c r="I2908" s="11" t="n">
        <x:v>0</x:v>
      </x:c>
      <x:c r="J2908" s="11" t="n">
        <x:v>0</x:v>
      </x:c>
      <x:c r="K2908" s="11" t="n">
        <x:v>1</x:v>
      </x:c>
      <x:c r="L2908" s="11" t="n">
        <x:f>IF(B2908="NED",1,IF(OR(B2908="ED",B2908="UN"),0,""))</x:f>
        <x:v>0</x:v>
      </x:c>
      <x:c r="M2908" s="11" t="n">
        <x:f>IF(AND(K2908=1,OR(B2908="ED",B2908="NED")),1,0)</x:f>
        <x:v>0</x:v>
      </x:c>
      <x:c r="N2908" s="11" t="n">
        <x:f>IF(K2908=1,1,0)</x:f>
        <x:v>1</x:v>
      </x:c>
      <x:c r="O2908" s="12"/>
      <x:c r="P2908" s="11" t="n">
        <x:v>0</x:v>
      </x:c>
      <x:c r="Q2908" s="12" t="str">
        <x:v>AF-Q9DB27-F1-model_v6</x:v>
      </x:c>
      <x:c r="R2908" s="12" t="str">
        <x:v>ok</x:v>
      </x:c>
      <x:c r="S2908" s="11" t="n">
        <x:v>2379</x:v>
      </x:c>
      <x:c r="T2908" s="11" t="n">
        <x:v>181</x:v>
      </x:c>
    </x:row>
    <x:row r="2909" ht="23" customHeight="1">
      <x:c r="A2909" s="2" t="str">
        <x:v>Q9DB34</x:v>
      </x:c>
      <x:c r="B2909" s="2" t="str">
        <x:v>ED</x:v>
      </x:c>
      <x:c r="C2909" s="2" t="n">
        <x:v>0</x:v>
      </x:c>
      <x:c r="D2909" s="2" t="n">
        <x:v>0</x:v>
      </x:c>
      <x:c r="E2909" s="10"/>
      <x:c r="F2909" s="11" t="n">
        <x:v>222</x:v>
      </x:c>
      <x:c r="G2909" s="11" t="n">
        <x:v>0</x:v>
      </x:c>
      <x:c r="H2909" s="11" t="n">
        <x:v>0</x:v>
      </x:c>
      <x:c r="I2909" s="11" t="n">
        <x:v>1</x:v>
      </x:c>
      <x:c r="J2909" s="11" t="n">
        <x:v>0</x:v>
      </x:c>
      <x:c r="K2909" s="11" t="n">
        <x:v>0</x:v>
      </x:c>
      <x:c r="L2909" s="11" t="n">
        <x:f>IF(B2909="NED",1,IF(OR(B2909="ED",B2909="UN"),0,""))</x:f>
        <x:v>0</x:v>
      </x:c>
      <x:c r="M2909" s="11" t="n">
        <x:f>IF(AND(K2909=1,OR(B2909="ED",B2909="NED")),1,0)</x:f>
        <x:v>0</x:v>
      </x:c>
      <x:c r="N2909" s="11" t="n">
        <x:f>IF(K2909=1,1,0)</x:f>
        <x:v>0</x:v>
      </x:c>
      <x:c r="O2909" s="12" t="str">
        <x:v>Exclude UniProt Membrane keyword</x:v>
      </x:c>
      <x:c r="P2909" s="11" t="n">
        <x:v>0</x:v>
      </x:c>
      <x:c r="Q2909" s="12" t="str">
        <x:v>AF-Q9DB34-F1-model_v6</x:v>
      </x:c>
      <x:c r="R2909" s="12" t="str">
        <x:v>ok</x:v>
      </x:c>
      <x:c r="S2909" s="11" t="n">
        <x:v>2380</x:v>
      </x:c>
      <x:c r="T2909" s="11" t="n">
        <x:v>222</x:v>
      </x:c>
    </x:row>
    <x:row r="2910" ht="23" customHeight="1">
      <x:c r="A2910" s="2" t="str">
        <x:v>Q9DB40-2</x:v>
      </x:c>
      <x:c r="B2910" s="2" t="str">
        <x:v>UN</x:v>
      </x:c>
      <x:c r="C2910" s="2"/>
      <x:c r="D2910" s="2"/>
      <x:c r="E2910" s="10"/>
      <x:c r="F2910" s="11"/>
      <x:c r="G2910" s="11" t="n">
        <x:v>0</x:v>
      </x:c>
      <x:c r="H2910" s="11" t="n">
        <x:v>0</x:v>
      </x:c>
      <x:c r="I2910" s="11"/>
      <x:c r="J2910" s="11"/>
      <x:c r="K2910" s="11" t="n">
        <x:v>0</x:v>
      </x:c>
      <x:c r="L2910" s="11" t="n">
        <x:f>IF(B2910="NED",1,IF(OR(B2910="ED",B2910="UN"),0,""))</x:f>
        <x:v>0</x:v>
      </x:c>
      <x:c r="M2910" s="11" t="n">
        <x:f>IF(AND(K2910=1,OR(B2910="ED",B2910="NED")),1,0)</x:f>
        <x:v>0</x:v>
      </x:c>
      <x:c r="N2910" s="11" t="n">
        <x:f>IF(K2910=1,1,0)</x:f>
        <x:v>0</x:v>
      </x:c>
      <x:c r="O2910" s="12" t="str">
        <x:v>Require exact native accession match</x:v>
      </x:c>
      <x:c r="P2910" s="11" t="n">
        <x:v>0</x:v>
      </x:c>
      <x:c r="Q2910" s="12"/>
      <x:c r="R2910" s="12"/>
      <x:c r="S2910" s="11" t="n">
        <x:v>2381</x:v>
      </x:c>
      <x:c r="T2910" s="11"/>
    </x:row>
    <x:row r="2911" ht="23" customHeight="1">
      <x:c r="A2911" s="2" t="str">
        <x:v>Q9DB42</x:v>
      </x:c>
      <x:c r="B2911" s="2" t="str">
        <x:v>ED</x:v>
      </x:c>
      <x:c r="C2911" s="2" t="n">
        <x:v>0</x:v>
      </x:c>
      <x:c r="D2911" s="2" t="n">
        <x:v>0</x:v>
      </x:c>
      <x:c r="E2911" s="10" t="n">
        <x:v>78.86514925373135</x:v>
      </x:c>
      <x:c r="F2911" s="11" t="n">
        <x:v>134</x:v>
      </x:c>
      <x:c r="G2911" s="11" t="n">
        <x:v>0</x:v>
      </x:c>
      <x:c r="H2911" s="11" t="n">
        <x:v>0</x:v>
      </x:c>
      <x:c r="I2911" s="11" t="n">
        <x:v>0</x:v>
      </x:c>
      <x:c r="J2911" s="11" t="n">
        <x:v>0</x:v>
      </x:c>
      <x:c r="K2911" s="11" t="n">
        <x:v>1</x:v>
      </x:c>
      <x:c r="L2911" s="11" t="n">
        <x:f>IF(B2911="NED",1,IF(OR(B2911="ED",B2911="UN"),0,""))</x:f>
        <x:v>0</x:v>
      </x:c>
      <x:c r="M2911" s="11" t="n">
        <x:f>IF(AND(K2911=1,OR(B2911="ED",B2911="NED")),1,0)</x:f>
        <x:v>1</x:v>
      </x:c>
      <x:c r="N2911" s="11" t="n">
        <x:f>IF(K2911=1,1,0)</x:f>
        <x:v>1</x:v>
      </x:c>
      <x:c r="O2911" s="12"/>
      <x:c r="P2911" s="11" t="n">
        <x:v>0</x:v>
      </x:c>
      <x:c r="Q2911" s="12" t="str">
        <x:v>AF-Q9DB42-F1-model_v6</x:v>
      </x:c>
      <x:c r="R2911" s="12" t="str">
        <x:v>ok</x:v>
      </x:c>
      <x:c r="S2911" s="11" t="n">
        <x:v>2382</x:v>
      </x:c>
      <x:c r="T2911" s="11" t="n">
        <x:v>134</x:v>
      </x:c>
    </x:row>
    <x:row r="2912" ht="23" customHeight="1">
      <x:c r="A2912" s="2" t="str">
        <x:v>Q9DB73</x:v>
      </x:c>
      <x:c r="B2912" s="2" t="str">
        <x:v>UN</x:v>
      </x:c>
      <x:c r="C2912" s="2" t="n">
        <x:v>1</x:v>
      </x:c>
      <x:c r="D2912" s="2" t="n">
        <x:v>1</x:v>
      </x:c>
      <x:c r="E2912" s="10"/>
      <x:c r="F2912" s="11" t="n">
        <x:v>305</x:v>
      </x:c>
      <x:c r="G2912" s="11" t="n">
        <x:v>0</x:v>
      </x:c>
      <x:c r="H2912" s="11" t="n">
        <x:v>0</x:v>
      </x:c>
      <x:c r="I2912" s="11" t="n">
        <x:v>1</x:v>
      </x:c>
      <x:c r="J2912" s="11" t="n">
        <x:v>0</x:v>
      </x:c>
      <x:c r="K2912" s="11" t="n">
        <x:v>0</x:v>
      </x:c>
      <x:c r="L2912" s="11" t="n">
        <x:f>IF(B2912="NED",1,IF(OR(B2912="ED",B2912="UN"),0,""))</x:f>
        <x:v>0</x:v>
      </x:c>
      <x:c r="M2912" s="11" t="n">
        <x:f>IF(AND(K2912=1,OR(B2912="ED",B2912="NED")),1,0)</x:f>
        <x:v>0</x:v>
      </x:c>
      <x:c r="N2912" s="11" t="n">
        <x:f>IF(K2912=1,1,0)</x:f>
        <x:v>0</x:v>
      </x:c>
      <x:c r="O2912" s="12" t="str">
        <x:v>Exclude UniProt Membrane keyword</x:v>
      </x:c>
      <x:c r="P2912" s="11" t="n">
        <x:v>0</x:v>
      </x:c>
      <x:c r="Q2912" s="12" t="str">
        <x:v>AF-Q9DB73-F1-model_v6</x:v>
      </x:c>
      <x:c r="R2912" s="12" t="str">
        <x:v>ok</x:v>
      </x:c>
      <x:c r="S2912" s="11" t="n">
        <x:v>2383</x:v>
      </x:c>
      <x:c r="T2912" s="11" t="n">
        <x:v>305</x:v>
      </x:c>
    </x:row>
    <x:row r="2913" ht="23" customHeight="1">
      <x:c r="A2913" s="2" t="str">
        <x:v>Q9DB77</x:v>
      </x:c>
      <x:c r="B2913" s="2" t="str">
        <x:v>NED</x:v>
      </x:c>
      <x:c r="C2913" s="2" t="n">
        <x:v>1</x:v>
      </x:c>
      <x:c r="D2913" s="2" t="n">
        <x:v>1</x:v>
      </x:c>
      <x:c r="E2913" s="10"/>
      <x:c r="F2913" s="11" t="n">
        <x:v>453</x:v>
      </x:c>
      <x:c r="G2913" s="11" t="n">
        <x:v>0</x:v>
      </x:c>
      <x:c r="H2913" s="11" t="n">
        <x:v>0</x:v>
      </x:c>
      <x:c r="I2913" s="11" t="n">
        <x:v>1</x:v>
      </x:c>
      <x:c r="J2913" s="11" t="n">
        <x:v>0</x:v>
      </x:c>
      <x:c r="K2913" s="11" t="n">
        <x:v>0</x:v>
      </x:c>
      <x:c r="L2913" s="11" t="n">
        <x:f>IF(B2913="NED",1,IF(OR(B2913="ED",B2913="UN"),0,""))</x:f>
        <x:v>1</x:v>
      </x:c>
      <x:c r="M2913" s="11" t="n">
        <x:f>IF(AND(K2913=1,OR(B2913="ED",B2913="NED")),1,0)</x:f>
        <x:v>0</x:v>
      </x:c>
      <x:c r="N2913" s="11" t="n">
        <x:f>IF(K2913=1,1,0)</x:f>
        <x:v>0</x:v>
      </x:c>
      <x:c r="O2913" s="12" t="str">
        <x:v>Exclude UniProt Membrane keyword</x:v>
      </x:c>
      <x:c r="P2913" s="11" t="n">
        <x:v>0</x:v>
      </x:c>
      <x:c r="Q2913" s="12" t="str">
        <x:v>AF-Q9DB77-F1-model_v6</x:v>
      </x:c>
      <x:c r="R2913" s="12" t="str">
        <x:v>ok</x:v>
      </x:c>
      <x:c r="S2913" s="11" t="n">
        <x:v>2384</x:v>
      </x:c>
      <x:c r="T2913" s="11" t="n">
        <x:v>453</x:v>
      </x:c>
    </x:row>
    <x:row r="2914" ht="23" customHeight="1">
      <x:c r="A2914" s="2" t="str">
        <x:v>Q9DB85</x:v>
      </x:c>
      <x:c r="B2914" s="2" t="str">
        <x:v>ED</x:v>
      </x:c>
      <x:c r="C2914" s="2" t="n">
        <x:v>1</x:v>
      </x:c>
      <x:c r="D2914" s="2" t="n">
        <x:v>1</x:v>
      </x:c>
      <x:c r="E2914" s="10" t="n">
        <x:v>71.67330415754924</x:v>
      </x:c>
      <x:c r="F2914" s="11" t="n">
        <x:v>457</x:v>
      </x:c>
      <x:c r="G2914" s="11" t="n">
        <x:v>0</x:v>
      </x:c>
      <x:c r="H2914" s="11" t="n">
        <x:v>0</x:v>
      </x:c>
      <x:c r="I2914" s="11" t="n">
        <x:v>0</x:v>
      </x:c>
      <x:c r="J2914" s="11" t="n">
        <x:v>0</x:v>
      </x:c>
      <x:c r="K2914" s="11" t="n">
        <x:v>1</x:v>
      </x:c>
      <x:c r="L2914" s="11" t="n">
        <x:f>IF(B2914="NED",1,IF(OR(B2914="ED",B2914="UN"),0,""))</x:f>
        <x:v>0</x:v>
      </x:c>
      <x:c r="M2914" s="11" t="n">
        <x:f>IF(AND(K2914=1,OR(B2914="ED",B2914="NED")),1,0)</x:f>
        <x:v>1</x:v>
      </x:c>
      <x:c r="N2914" s="11" t="n">
        <x:f>IF(K2914=1,1,0)</x:f>
        <x:v>1</x:v>
      </x:c>
      <x:c r="O2914" s="12"/>
      <x:c r="P2914" s="11" t="n">
        <x:v>0</x:v>
      </x:c>
      <x:c r="Q2914" s="12" t="str">
        <x:v>AF-Q9DB85-F1-model_v6</x:v>
      </x:c>
      <x:c r="R2914" s="12" t="str">
        <x:v>ok</x:v>
      </x:c>
      <x:c r="S2914" s="11" t="n">
        <x:v>2385</x:v>
      </x:c>
      <x:c r="T2914" s="11" t="n">
        <x:v>457</x:v>
      </x:c>
    </x:row>
    <x:row r="2915" ht="23" customHeight="1">
      <x:c r="A2915" s="2" t="str">
        <x:v>Q9DB96</x:v>
      </x:c>
      <x:c r="B2915" s="2" t="str">
        <x:v>ED</x:v>
      </x:c>
      <x:c r="C2915" s="2" t="n">
        <x:v>0</x:v>
      </x:c>
      <x:c r="D2915" s="2" t="n">
        <x:v>0</x:v>
      </x:c>
      <x:c r="E2915" s="10" t="n">
        <x:v>75.30511111111112</x:v>
      </x:c>
      <x:c r="F2915" s="11" t="n">
        <x:v>315</x:v>
      </x:c>
      <x:c r="G2915" s="11" t="n">
        <x:v>0</x:v>
      </x:c>
      <x:c r="H2915" s="11" t="n">
        <x:v>0</x:v>
      </x:c>
      <x:c r="I2915" s="11" t="n">
        <x:v>0</x:v>
      </x:c>
      <x:c r="J2915" s="11" t="n">
        <x:v>0</x:v>
      </x:c>
      <x:c r="K2915" s="11" t="n">
        <x:v>1</x:v>
      </x:c>
      <x:c r="L2915" s="11" t="n">
        <x:f>IF(B2915="NED",1,IF(OR(B2915="ED",B2915="UN"),0,""))</x:f>
        <x:v>0</x:v>
      </x:c>
      <x:c r="M2915" s="11" t="n">
        <x:f>IF(AND(K2915=1,OR(B2915="ED",B2915="NED")),1,0)</x:f>
        <x:v>1</x:v>
      </x:c>
      <x:c r="N2915" s="11" t="n">
        <x:f>IF(K2915=1,1,0)</x:f>
        <x:v>1</x:v>
      </x:c>
      <x:c r="O2915" s="12"/>
      <x:c r="P2915" s="11" t="n">
        <x:v>0</x:v>
      </x:c>
      <x:c r="Q2915" s="12" t="str">
        <x:v>AF-Q9DB96-F1-model_v6</x:v>
      </x:c>
      <x:c r="R2915" s="12" t="str">
        <x:v>ok</x:v>
      </x:c>
      <x:c r="S2915" s="11" t="n">
        <x:v>2386</x:v>
      </x:c>
      <x:c r="T2915" s="11" t="n">
        <x:v>315</x:v>
      </x:c>
    </x:row>
    <x:row r="2916" ht="23" customHeight="1">
      <x:c r="A2916" s="2" t="str">
        <x:v>Q9DBB4</x:v>
      </x:c>
      <x:c r="B2916" s="2" t="str">
        <x:v>ED</x:v>
      </x:c>
      <x:c r="C2916" s="2" t="n">
        <x:v>1</x:v>
      </x:c>
      <x:c r="D2916" s="2" t="n">
        <x:v>1</x:v>
      </x:c>
      <x:c r="E2916" s="10" t="n">
        <x:v>87.94684027777778</x:v>
      </x:c>
      <x:c r="F2916" s="11" t="n">
        <x:v>864</x:v>
      </x:c>
      <x:c r="G2916" s="11" t="n">
        <x:v>0</x:v>
      </x:c>
      <x:c r="H2916" s="11" t="n">
        <x:v>0</x:v>
      </x:c>
      <x:c r="I2916" s="11" t="n">
        <x:v>0</x:v>
      </x:c>
      <x:c r="J2916" s="11" t="n">
        <x:v>0</x:v>
      </x:c>
      <x:c r="K2916" s="11" t="n">
        <x:v>1</x:v>
      </x:c>
      <x:c r="L2916" s="11" t="n">
        <x:f>IF(B2916="NED",1,IF(OR(B2916="ED",B2916="UN"),0,""))</x:f>
        <x:v>0</x:v>
      </x:c>
      <x:c r="M2916" s="11" t="n">
        <x:f>IF(AND(K2916=1,OR(B2916="ED",B2916="NED")),1,0)</x:f>
        <x:v>1</x:v>
      </x:c>
      <x:c r="N2916" s="11" t="n">
        <x:f>IF(K2916=1,1,0)</x:f>
        <x:v>1</x:v>
      </x:c>
      <x:c r="O2916" s="12"/>
      <x:c r="P2916" s="11" t="n">
        <x:v>0</x:v>
      </x:c>
      <x:c r="Q2916" s="12" t="str">
        <x:v>AF-Q9DBB4-F1-model_v6</x:v>
      </x:c>
      <x:c r="R2916" s="12" t="str">
        <x:v>ok</x:v>
      </x:c>
      <x:c r="S2916" s="11" t="n">
        <x:v>2387</x:v>
      </x:c>
      <x:c r="T2916" s="11" t="n">
        <x:v>864</x:v>
      </x:c>
    </x:row>
    <x:row r="2917" ht="23" customHeight="1">
      <x:c r="A2917" s="2" t="str">
        <x:v>Q9DBC3</x:v>
      </x:c>
      <x:c r="B2917" s="2" t="str">
        <x:v>UN</x:v>
      </x:c>
      <x:c r="C2917" s="2" t="n">
        <x:v>1</x:v>
      </x:c>
      <x:c r="D2917" s="2" t="n">
        <x:v>1</x:v>
      </x:c>
      <x:c r="E2917" s="10" t="n">
        <x:v>85.29764635603345</x:v>
      </x:c>
      <x:c r="F2917" s="11" t="n">
        <x:v>837</x:v>
      </x:c>
      <x:c r="G2917" s="11" t="n">
        <x:v>0</x:v>
      </x:c>
      <x:c r="H2917" s="11" t="n">
        <x:v>0</x:v>
      </x:c>
      <x:c r="I2917" s="11" t="n">
        <x:v>0</x:v>
      </x:c>
      <x:c r="J2917" s="11" t="n">
        <x:v>0</x:v>
      </x:c>
      <x:c r="K2917" s="11" t="n">
        <x:v>1</x:v>
      </x:c>
      <x:c r="L2917" s="11" t="n">
        <x:f>IF(B2917="NED",1,IF(OR(B2917="ED",B2917="UN"),0,""))</x:f>
        <x:v>0</x:v>
      </x:c>
      <x:c r="M2917" s="11" t="n">
        <x:f>IF(AND(K2917=1,OR(B2917="ED",B2917="NED")),1,0)</x:f>
        <x:v>0</x:v>
      </x:c>
      <x:c r="N2917" s="11" t="n">
        <x:f>IF(K2917=1,1,0)</x:f>
        <x:v>1</x:v>
      </x:c>
      <x:c r="O2917" s="12"/>
      <x:c r="P2917" s="11" t="n">
        <x:v>0</x:v>
      </x:c>
      <x:c r="Q2917" s="12" t="str">
        <x:v>AF-Q9DBC3-F1-model_v6</x:v>
      </x:c>
      <x:c r="R2917" s="12" t="str">
        <x:v>ok</x:v>
      </x:c>
      <x:c r="S2917" s="11" t="n">
        <x:v>2388</x:v>
      </x:c>
      <x:c r="T2917" s="11" t="n">
        <x:v>837</x:v>
      </x:c>
    </x:row>
    <x:row r="2918" ht="23" customHeight="1">
      <x:c r="A2918" s="2" t="str">
        <x:v>Q9DBD5</x:v>
      </x:c>
      <x:c r="B2918" s="2" t="str">
        <x:v>UN</x:v>
      </x:c>
      <x:c r="C2918" s="2" t="n">
        <x:v>1</x:v>
      </x:c>
      <x:c r="D2918" s="2" t="n">
        <x:v>1</x:v>
      </x:c>
      <x:c r="E2918" s="10" t="n">
        <x:v>61.91904719501336</x:v>
      </x:c>
      <x:c r="F2918" s="11" t="n">
        <x:v>1123</x:v>
      </x:c>
      <x:c r="G2918" s="11" t="n">
        <x:v>0</x:v>
      </x:c>
      <x:c r="H2918" s="11" t="n">
        <x:v>0</x:v>
      </x:c>
      <x:c r="I2918" s="11" t="n">
        <x:v>0</x:v>
      </x:c>
      <x:c r="J2918" s="11" t="n">
        <x:v>0</x:v>
      </x:c>
      <x:c r="K2918" s="11" t="n">
        <x:v>0</x:v>
      </x:c>
      <x:c r="L2918" s="11" t="n">
        <x:f>IF(B2918="NED",1,IF(OR(B2918="ED",B2918="UN"),0,""))</x:f>
        <x:v>0</x:v>
      </x:c>
      <x:c r="M2918" s="11" t="n">
        <x:f>IF(AND(K2918=1,OR(B2918="ED",B2918="NED")),1,0)</x:f>
        <x:v>0</x:v>
      </x:c>
      <x:c r="N2918" s="11" t="n">
        <x:f>IF(K2918=1,1,0)</x:f>
        <x:v>0</x:v>
      </x:c>
      <x:c r="O2918" s="12" t="str">
        <x:v>Retain protein mean pLDDT &gt;=70</x:v>
      </x:c>
      <x:c r="P2918" s="11" t="n">
        <x:v>0</x:v>
      </x:c>
      <x:c r="Q2918" s="12" t="str">
        <x:v>AF-Q9DBD5-F1-model_v6</x:v>
      </x:c>
      <x:c r="R2918" s="12" t="str">
        <x:v>ok</x:v>
      </x:c>
      <x:c r="S2918" s="11" t="n">
        <x:v>2389</x:v>
      </x:c>
      <x:c r="T2918" s="11" t="n">
        <x:v>1123</x:v>
      </x:c>
    </x:row>
    <x:row r="2919" ht="23" customHeight="1">
      <x:c r="A2919" s="2" t="str">
        <x:v>Q9DBE8</x:v>
      </x:c>
      <x:c r="B2919" s="2" t="str">
        <x:v>NED</x:v>
      </x:c>
      <x:c r="C2919" s="2" t="n">
        <x:v>1</x:v>
      </x:c>
      <x:c r="D2919" s="2" t="n">
        <x:v>1</x:v>
      </x:c>
      <x:c r="E2919" s="10"/>
      <x:c r="F2919" s="11" t="n">
        <x:v>415</x:v>
      </x:c>
      <x:c r="G2919" s="11" t="n">
        <x:v>0</x:v>
      </x:c>
      <x:c r="H2919" s="11" t="n">
        <x:v>0</x:v>
      </x:c>
      <x:c r="I2919" s="11" t="n">
        <x:v>1</x:v>
      </x:c>
      <x:c r="J2919" s="11" t="n">
        <x:v>0</x:v>
      </x:c>
      <x:c r="K2919" s="11" t="n">
        <x:v>0</x:v>
      </x:c>
      <x:c r="L2919" s="11" t="n">
        <x:f>IF(B2919="NED",1,IF(OR(B2919="ED",B2919="UN"),0,""))</x:f>
        <x:v>1</x:v>
      </x:c>
      <x:c r="M2919" s="11" t="n">
        <x:f>IF(AND(K2919=1,OR(B2919="ED",B2919="NED")),1,0)</x:f>
        <x:v>0</x:v>
      </x:c>
      <x:c r="N2919" s="11" t="n">
        <x:f>IF(K2919=1,1,0)</x:f>
        <x:v>0</x:v>
      </x:c>
      <x:c r="O2919" s="12" t="str">
        <x:v>Exclude UniProt Membrane keyword</x:v>
      </x:c>
      <x:c r="P2919" s="11" t="n">
        <x:v>0</x:v>
      </x:c>
      <x:c r="Q2919" s="12" t="str">
        <x:v>AF-Q9DBE8-F1-model_v6</x:v>
      </x:c>
      <x:c r="R2919" s="12" t="str">
        <x:v>ok</x:v>
      </x:c>
      <x:c r="S2919" s="11" t="n">
        <x:v>2390</x:v>
      </x:c>
      <x:c r="T2919" s="11" t="n">
        <x:v>415</x:v>
      </x:c>
    </x:row>
    <x:row r="2920" ht="23" customHeight="1">
      <x:c r="A2920" s="2" t="str">
        <x:v>Q9DBF1-2</x:v>
      </x:c>
      <x:c r="B2920" s="2" t="str">
        <x:v>ED</x:v>
      </x:c>
      <x:c r="C2920" s="2"/>
      <x:c r="D2920" s="2"/>
      <x:c r="E2920" s="10"/>
      <x:c r="F2920" s="11"/>
      <x:c r="G2920" s="11" t="n">
        <x:v>0</x:v>
      </x:c>
      <x:c r="H2920" s="11" t="n">
        <x:v>0</x:v>
      </x:c>
      <x:c r="I2920" s="11"/>
      <x:c r="J2920" s="11"/>
      <x:c r="K2920" s="11" t="n">
        <x:v>0</x:v>
      </x:c>
      <x:c r="L2920" s="11" t="n">
        <x:f>IF(B2920="NED",1,IF(OR(B2920="ED",B2920="UN"),0,""))</x:f>
        <x:v>0</x:v>
      </x:c>
      <x:c r="M2920" s="11" t="n">
        <x:f>IF(AND(K2920=1,OR(B2920="ED",B2920="NED")),1,0)</x:f>
        <x:v>0</x:v>
      </x:c>
      <x:c r="N2920" s="11" t="n">
        <x:f>IF(K2920=1,1,0)</x:f>
        <x:v>0</x:v>
      </x:c>
      <x:c r="O2920" s="12" t="str">
        <x:v>Require exact native accession match</x:v>
      </x:c>
      <x:c r="P2920" s="11" t="n">
        <x:v>0</x:v>
      </x:c>
      <x:c r="Q2920" s="12"/>
      <x:c r="R2920" s="12"/>
      <x:c r="S2920" s="11" t="n">
        <x:v>2391</x:v>
      </x:c>
      <x:c r="T2920" s="11"/>
    </x:row>
    <x:row r="2921" ht="23" customHeight="1">
      <x:c r="A2921" s="2" t="str">
        <x:v>Q9DBG3</x:v>
      </x:c>
      <x:c r="B2921" s="2" t="str">
        <x:v>NED</x:v>
      </x:c>
      <x:c r="C2921" s="2" t="n">
        <x:v>1</x:v>
      </x:c>
      <x:c r="D2921" s="2" t="n">
        <x:v>1</x:v>
      </x:c>
      <x:c r="E2921" s="10"/>
      <x:c r="F2921" s="11" t="n">
        <x:v>937</x:v>
      </x:c>
      <x:c r="G2921" s="11" t="n">
        <x:v>0</x:v>
      </x:c>
      <x:c r="H2921" s="11" t="n">
        <x:v>0</x:v>
      </x:c>
      <x:c r="I2921" s="11" t="n">
        <x:v>1</x:v>
      </x:c>
      <x:c r="J2921" s="11" t="n">
        <x:v>0</x:v>
      </x:c>
      <x:c r="K2921" s="11" t="n">
        <x:v>0</x:v>
      </x:c>
      <x:c r="L2921" s="11" t="n">
        <x:f>IF(B2921="NED",1,IF(OR(B2921="ED",B2921="UN"),0,""))</x:f>
        <x:v>1</x:v>
      </x:c>
      <x:c r="M2921" s="11" t="n">
        <x:f>IF(AND(K2921=1,OR(B2921="ED",B2921="NED")),1,0)</x:f>
        <x:v>0</x:v>
      </x:c>
      <x:c r="N2921" s="11" t="n">
        <x:f>IF(K2921=1,1,0)</x:f>
        <x:v>0</x:v>
      </x:c>
      <x:c r="O2921" s="12" t="str">
        <x:v>Exclude UniProt Membrane keyword</x:v>
      </x:c>
      <x:c r="P2921" s="11" t="n">
        <x:v>0</x:v>
      </x:c>
      <x:c r="Q2921" s="12" t="str">
        <x:v>AF-Q9DBG3-F1-model_v6</x:v>
      </x:c>
      <x:c r="R2921" s="12" t="str">
        <x:v>ok</x:v>
      </x:c>
      <x:c r="S2921" s="11" t="n">
        <x:v>2392</x:v>
      </x:c>
      <x:c r="T2921" s="11" t="n">
        <x:v>937</x:v>
      </x:c>
    </x:row>
    <x:row r="2922" ht="23" customHeight="1">
      <x:c r="A2922" s="2" t="str">
        <x:v>Q9DBG5</x:v>
      </x:c>
      <x:c r="B2922" s="2" t="str">
        <x:v>ED</x:v>
      </x:c>
      <x:c r="C2922" s="2" t="n">
        <x:v>1</x:v>
      </x:c>
      <x:c r="D2922" s="2" t="n">
        <x:v>1</x:v>
      </x:c>
      <x:c r="E2922" s="10"/>
      <x:c r="F2922" s="11" t="n">
        <x:v>437</x:v>
      </x:c>
      <x:c r="G2922" s="11" t="n">
        <x:v>0</x:v>
      </x:c>
      <x:c r="H2922" s="11" t="n">
        <x:v>0</x:v>
      </x:c>
      <x:c r="I2922" s="11" t="n">
        <x:v>1</x:v>
      </x:c>
      <x:c r="J2922" s="11" t="n">
        <x:v>0</x:v>
      </x:c>
      <x:c r="K2922" s="11" t="n">
        <x:v>0</x:v>
      </x:c>
      <x:c r="L2922" s="11" t="n">
        <x:f>IF(B2922="NED",1,IF(OR(B2922="ED",B2922="UN"),0,""))</x:f>
        <x:v>0</x:v>
      </x:c>
      <x:c r="M2922" s="11" t="n">
        <x:f>IF(AND(K2922=1,OR(B2922="ED",B2922="NED")),1,0)</x:f>
        <x:v>0</x:v>
      </x:c>
      <x:c r="N2922" s="11" t="n">
        <x:f>IF(K2922=1,1,0)</x:f>
        <x:v>0</x:v>
      </x:c>
      <x:c r="O2922" s="12" t="str">
        <x:v>Exclude UniProt Membrane keyword</x:v>
      </x:c>
      <x:c r="P2922" s="11" t="n">
        <x:v>0</x:v>
      </x:c>
      <x:c r="Q2922" s="12" t="str">
        <x:v>AF-Q9DBG5-F1-model_v6</x:v>
      </x:c>
      <x:c r="R2922" s="12" t="str">
        <x:v>ok</x:v>
      </x:c>
      <x:c r="S2922" s="11" t="n">
        <x:v>2393</x:v>
      </x:c>
      <x:c r="T2922" s="11" t="n">
        <x:v>437</x:v>
      </x:c>
    </x:row>
    <x:row r="2923" ht="23" customHeight="1">
      <x:c r="A2923" s="2" t="str">
        <x:v>Q9DBG7</x:v>
      </x:c>
      <x:c r="B2923" s="2" t="str">
        <x:v>UN</x:v>
      </x:c>
      <x:c r="C2923" s="2" t="n">
        <x:v>1</x:v>
      </x:c>
      <x:c r="D2923" s="2" t="n">
        <x:v>1</x:v>
      </x:c>
      <x:c r="E2923" s="10"/>
      <x:c r="F2923" s="11" t="n">
        <x:v>636</x:v>
      </x:c>
      <x:c r="G2923" s="11" t="n">
        <x:v>0</x:v>
      </x:c>
      <x:c r="H2923" s="11" t="n">
        <x:v>0</x:v>
      </x:c>
      <x:c r="I2923" s="11" t="n">
        <x:v>1</x:v>
      </x:c>
      <x:c r="J2923" s="11" t="n">
        <x:v>0</x:v>
      </x:c>
      <x:c r="K2923" s="11" t="n">
        <x:v>0</x:v>
      </x:c>
      <x:c r="L2923" s="11" t="n">
        <x:f>IF(B2923="NED",1,IF(OR(B2923="ED",B2923="UN"),0,""))</x:f>
        <x:v>0</x:v>
      </x:c>
      <x:c r="M2923" s="11" t="n">
        <x:f>IF(AND(K2923=1,OR(B2923="ED",B2923="NED")),1,0)</x:f>
        <x:v>0</x:v>
      </x:c>
      <x:c r="N2923" s="11" t="n">
        <x:f>IF(K2923=1,1,0)</x:f>
        <x:v>0</x:v>
      </x:c>
      <x:c r="O2923" s="12" t="str">
        <x:v>Exclude UniProt Membrane keyword</x:v>
      </x:c>
      <x:c r="P2923" s="11" t="n">
        <x:v>0</x:v>
      </x:c>
      <x:c r="Q2923" s="12" t="str">
        <x:v>AF-Q9DBG7-F1-model_v6</x:v>
      </x:c>
      <x:c r="R2923" s="12" t="str">
        <x:v>ok</x:v>
      </x:c>
      <x:c r="S2923" s="11" t="n">
        <x:v>2394</x:v>
      </x:c>
      <x:c r="T2923" s="11" t="n">
        <x:v>636</x:v>
      </x:c>
    </x:row>
    <x:row r="2924" ht="23" customHeight="1">
      <x:c r="A2924" s="2" t="str">
        <x:v>Q9DBG9</x:v>
      </x:c>
      <x:c r="B2924" s="2" t="str">
        <x:v>ED</x:v>
      </x:c>
      <x:c r="C2924" s="2" t="n">
        <x:v>0</x:v>
      </x:c>
      <x:c r="D2924" s="2" t="n">
        <x:v>0</x:v>
      </x:c>
      <x:c r="E2924" s="10"/>
      <x:c r="F2924" s="11" t="n">
        <x:v>124</x:v>
      </x:c>
      <x:c r="G2924" s="11" t="n">
        <x:v>0</x:v>
      </x:c>
      <x:c r="H2924" s="11" t="n">
        <x:v>0</x:v>
      </x:c>
      <x:c r="I2924" s="11" t="n">
        <x:v>1</x:v>
      </x:c>
      <x:c r="J2924" s="11" t="n">
        <x:v>0</x:v>
      </x:c>
      <x:c r="K2924" s="11" t="n">
        <x:v>0</x:v>
      </x:c>
      <x:c r="L2924" s="11" t="n">
        <x:f>IF(B2924="NED",1,IF(OR(B2924="ED",B2924="UN"),0,""))</x:f>
        <x:v>0</x:v>
      </x:c>
      <x:c r="M2924" s="11" t="n">
        <x:f>IF(AND(K2924=1,OR(B2924="ED",B2924="NED")),1,0)</x:f>
        <x:v>0</x:v>
      </x:c>
      <x:c r="N2924" s="11" t="n">
        <x:f>IF(K2924=1,1,0)</x:f>
        <x:v>0</x:v>
      </x:c>
      <x:c r="O2924" s="12" t="str">
        <x:v>Exclude UniProt Membrane keyword</x:v>
      </x:c>
      <x:c r="P2924" s="11" t="n">
        <x:v>0</x:v>
      </x:c>
      <x:c r="Q2924" s="12" t="str">
        <x:v>AF-Q9DBG9-F1-model_v6</x:v>
      </x:c>
      <x:c r="R2924" s="12" t="str">
        <x:v>ok</x:v>
      </x:c>
      <x:c r="S2924" s="11" t="n">
        <x:v>2395</x:v>
      </x:c>
      <x:c r="T2924" s="11" t="n">
        <x:v>124</x:v>
      </x:c>
    </x:row>
    <x:row r="2925" ht="23" customHeight="1">
      <x:c r="A2925" s="2" t="str">
        <x:v>Q9DBH0</x:v>
      </x:c>
      <x:c r="B2925" s="2" t="str">
        <x:v>ED</x:v>
      </x:c>
      <x:c r="C2925" s="2" t="n">
        <x:v>1</x:v>
      </x:c>
      <x:c r="D2925" s="2" t="n">
        <x:v>1</x:v>
      </x:c>
      <x:c r="E2925" s="10" t="n">
        <x:v>76.07190804597701</x:v>
      </x:c>
      <x:c r="F2925" s="11" t="n">
        <x:v>870</x:v>
      </x:c>
      <x:c r="G2925" s="11" t="n">
        <x:v>0</x:v>
      </x:c>
      <x:c r="H2925" s="11" t="n">
        <x:v>0</x:v>
      </x:c>
      <x:c r="I2925" s="11" t="n">
        <x:v>0</x:v>
      </x:c>
      <x:c r="J2925" s="11" t="n">
        <x:v>0</x:v>
      </x:c>
      <x:c r="K2925" s="11" t="n">
        <x:v>1</x:v>
      </x:c>
      <x:c r="L2925" s="11" t="n">
        <x:f>IF(B2925="NED",1,IF(OR(B2925="ED",B2925="UN"),0,""))</x:f>
        <x:v>0</x:v>
      </x:c>
      <x:c r="M2925" s="11" t="n">
        <x:f>IF(AND(K2925=1,OR(B2925="ED",B2925="NED")),1,0)</x:f>
        <x:v>1</x:v>
      </x:c>
      <x:c r="N2925" s="11" t="n">
        <x:f>IF(K2925=1,1,0)</x:f>
        <x:v>1</x:v>
      </x:c>
      <x:c r="O2925" s="12"/>
      <x:c r="P2925" s="11" t="n">
        <x:v>0</x:v>
      </x:c>
      <x:c r="Q2925" s="12" t="str">
        <x:v>AF-Q9DBH0-F1-model_v6</x:v>
      </x:c>
      <x:c r="R2925" s="12" t="str">
        <x:v>ok</x:v>
      </x:c>
      <x:c r="S2925" s="11" t="n">
        <x:v>2396</x:v>
      </x:c>
      <x:c r="T2925" s="11" t="n">
        <x:v>870</x:v>
      </x:c>
    </x:row>
    <x:row r="2926" ht="23" customHeight="1">
      <x:c r="A2926" s="2" t="str">
        <x:v>Q9DBH5</x:v>
      </x:c>
      <x:c r="B2926" s="2" t="str">
        <x:v>UN</x:v>
      </x:c>
      <x:c r="C2926" s="2" t="n">
        <x:v>1</x:v>
      </x:c>
      <x:c r="D2926" s="2" t="n">
        <x:v>1</x:v>
      </x:c>
      <x:c r="E2926" s="10"/>
      <x:c r="F2926" s="11" t="n">
        <x:v>358</x:v>
      </x:c>
      <x:c r="G2926" s="11" t="n">
        <x:v>0</x:v>
      </x:c>
      <x:c r="H2926" s="11" t="n">
        <x:v>0</x:v>
      </x:c>
      <x:c r="I2926" s="11" t="n">
        <x:v>1</x:v>
      </x:c>
      <x:c r="J2926" s="11" t="n">
        <x:v>0</x:v>
      </x:c>
      <x:c r="K2926" s="11" t="n">
        <x:v>0</x:v>
      </x:c>
      <x:c r="L2926" s="11" t="n">
        <x:f>IF(B2926="NED",1,IF(OR(B2926="ED",B2926="UN"),0,""))</x:f>
        <x:v>0</x:v>
      </x:c>
      <x:c r="M2926" s="11" t="n">
        <x:f>IF(AND(K2926=1,OR(B2926="ED",B2926="NED")),1,0)</x:f>
        <x:v>0</x:v>
      </x:c>
      <x:c r="N2926" s="11" t="n">
        <x:f>IF(K2926=1,1,0)</x:f>
        <x:v>0</x:v>
      </x:c>
      <x:c r="O2926" s="12" t="str">
        <x:v>Exclude UniProt Membrane keyword</x:v>
      </x:c>
      <x:c r="P2926" s="11" t="n">
        <x:v>0</x:v>
      </x:c>
      <x:c r="Q2926" s="12" t="str">
        <x:v>AF-Q9DBH5-F1-model_v6</x:v>
      </x:c>
      <x:c r="R2926" s="12" t="str">
        <x:v>ok</x:v>
      </x:c>
      <x:c r="S2926" s="11" t="n">
        <x:v>2397</x:v>
      </x:c>
      <x:c r="T2926" s="11" t="n">
        <x:v>358</x:v>
      </x:c>
    </x:row>
    <x:row r="2927" ht="23" customHeight="1">
      <x:c r="A2927" s="2" t="str">
        <x:v>Q9DBJ1</x:v>
      </x:c>
      <x:c r="B2927" s="2" t="str">
        <x:v>ED</x:v>
      </x:c>
      <x:c r="C2927" s="2" t="n">
        <x:v>1</x:v>
      </x:c>
      <x:c r="D2927" s="2" t="n">
        <x:v>1</x:v>
      </x:c>
      <x:c r="E2927" s="10" t="n">
        <x:v>94.1213779527559</x:v>
      </x:c>
      <x:c r="F2927" s="11" t="n">
        <x:v>254</x:v>
      </x:c>
      <x:c r="G2927" s="11" t="n">
        <x:v>0</x:v>
      </x:c>
      <x:c r="H2927" s="11" t="n">
        <x:v>0</x:v>
      </x:c>
      <x:c r="I2927" s="11" t="n">
        <x:v>0</x:v>
      </x:c>
      <x:c r="J2927" s="11" t="n">
        <x:v>0</x:v>
      </x:c>
      <x:c r="K2927" s="11" t="n">
        <x:v>1</x:v>
      </x:c>
      <x:c r="L2927" s="11" t="n">
        <x:f>IF(B2927="NED",1,IF(OR(B2927="ED",B2927="UN"),0,""))</x:f>
        <x:v>0</x:v>
      </x:c>
      <x:c r="M2927" s="11" t="n">
        <x:f>IF(AND(K2927=1,OR(B2927="ED",B2927="NED")),1,0)</x:f>
        <x:v>1</x:v>
      </x:c>
      <x:c r="N2927" s="11" t="n">
        <x:f>IF(K2927=1,1,0)</x:f>
        <x:v>1</x:v>
      </x:c>
      <x:c r="O2927" s="12"/>
      <x:c r="P2927" s="11" t="n">
        <x:v>0</x:v>
      </x:c>
      <x:c r="Q2927" s="12" t="str">
        <x:v>AF-Q9DBJ1-F1-model_v6</x:v>
      </x:c>
      <x:c r="R2927" s="12" t="str">
        <x:v>ok</x:v>
      </x:c>
      <x:c r="S2927" s="11" t="n">
        <x:v>2398</x:v>
      </x:c>
      <x:c r="T2927" s="11" t="n">
        <x:v>254</x:v>
      </x:c>
    </x:row>
    <x:row r="2928" ht="23" customHeight="1">
      <x:c r="A2928" s="2" t="str">
        <x:v>Q9DBL7</x:v>
      </x:c>
      <x:c r="B2928" s="2" t="str">
        <x:v>ED</x:v>
      </x:c>
      <x:c r="C2928" s="2" t="n">
        <x:v>1</x:v>
      </x:c>
      <x:c r="D2928" s="2" t="n">
        <x:v>1</x:v>
      </x:c>
      <x:c r="E2928" s="10" t="n">
        <x:v>90.452486678508</x:v>
      </x:c>
      <x:c r="F2928" s="11" t="n">
        <x:v>563</x:v>
      </x:c>
      <x:c r="G2928" s="11" t="n">
        <x:v>0</x:v>
      </x:c>
      <x:c r="H2928" s="11" t="n">
        <x:v>0</x:v>
      </x:c>
      <x:c r="I2928" s="11" t="n">
        <x:v>0</x:v>
      </x:c>
      <x:c r="J2928" s="11" t="n">
        <x:v>0</x:v>
      </x:c>
      <x:c r="K2928" s="11" t="n">
        <x:v>1</x:v>
      </x:c>
      <x:c r="L2928" s="11" t="n">
        <x:f>IF(B2928="NED",1,IF(OR(B2928="ED",B2928="UN"),0,""))</x:f>
        <x:v>0</x:v>
      </x:c>
      <x:c r="M2928" s="11" t="n">
        <x:f>IF(AND(K2928=1,OR(B2928="ED",B2928="NED")),1,0)</x:f>
        <x:v>1</x:v>
      </x:c>
      <x:c r="N2928" s="11" t="n">
        <x:f>IF(K2928=1,1,0)</x:f>
        <x:v>1</x:v>
      </x:c>
      <x:c r="O2928" s="12"/>
      <x:c r="P2928" s="11" t="n">
        <x:v>0</x:v>
      </x:c>
      <x:c r="Q2928" s="12" t="str">
        <x:v>AF-Q9DBL7-F1-model_v6</x:v>
      </x:c>
      <x:c r="R2928" s="12" t="str">
        <x:v>ok</x:v>
      </x:c>
      <x:c r="S2928" s="11" t="n">
        <x:v>2399</x:v>
      </x:c>
      <x:c r="T2928" s="11" t="n">
        <x:v>563</x:v>
      </x:c>
    </x:row>
    <x:row r="2929" ht="23" customHeight="1">
      <x:c r="A2929" s="2" t="str">
        <x:v>Q9DBN5</x:v>
      </x:c>
      <x:c r="B2929" s="2" t="str">
        <x:v>ED</x:v>
      </x:c>
      <x:c r="C2929" s="2" t="n">
        <x:v>1</x:v>
      </x:c>
      <x:c r="D2929" s="2" t="n">
        <x:v>1</x:v>
      </x:c>
      <x:c r="E2929" s="10" t="n">
        <x:v>78.00424882629108</x:v>
      </x:c>
      <x:c r="F2929" s="11" t="n">
        <x:v>852</x:v>
      </x:c>
      <x:c r="G2929" s="11" t="n">
        <x:v>0</x:v>
      </x:c>
      <x:c r="H2929" s="11" t="n">
        <x:v>0</x:v>
      </x:c>
      <x:c r="I2929" s="11" t="n">
        <x:v>0</x:v>
      </x:c>
      <x:c r="J2929" s="11" t="n">
        <x:v>0</x:v>
      </x:c>
      <x:c r="K2929" s="11" t="n">
        <x:v>1</x:v>
      </x:c>
      <x:c r="L2929" s="11" t="n">
        <x:f>IF(B2929="NED",1,IF(OR(B2929="ED",B2929="UN"),0,""))</x:f>
        <x:v>0</x:v>
      </x:c>
      <x:c r="M2929" s="11" t="n">
        <x:f>IF(AND(K2929=1,OR(B2929="ED",B2929="NED")),1,0)</x:f>
        <x:v>1</x:v>
      </x:c>
      <x:c r="N2929" s="11" t="n">
        <x:f>IF(K2929=1,1,0)</x:f>
        <x:v>1</x:v>
      </x:c>
      <x:c r="O2929" s="12"/>
      <x:c r="P2929" s="11" t="n">
        <x:v>0</x:v>
      </x:c>
      <x:c r="Q2929" s="12" t="str">
        <x:v>AF-Q9DBN5-F1-model_v6</x:v>
      </x:c>
      <x:c r="R2929" s="12" t="str">
        <x:v>ok</x:v>
      </x:c>
      <x:c r="S2929" s="11" t="n">
        <x:v>2400</x:v>
      </x:c>
      <x:c r="T2929" s="11" t="n">
        <x:v>852</x:v>
      </x:c>
    </x:row>
    <x:row r="2930" ht="23" customHeight="1">
      <x:c r="A2930" s="2" t="str">
        <x:v>Q9DBN9-2</x:v>
      </x:c>
      <x:c r="B2930" s="2" t="str">
        <x:v>ED</x:v>
      </x:c>
      <x:c r="C2930" s="2"/>
      <x:c r="D2930" s="2"/>
      <x:c r="E2930" s="10"/>
      <x:c r="F2930" s="11"/>
      <x:c r="G2930" s="11" t="n">
        <x:v>0</x:v>
      </x:c>
      <x:c r="H2930" s="11" t="n">
        <x:v>0</x:v>
      </x:c>
      <x:c r="I2930" s="11"/>
      <x:c r="J2930" s="11"/>
      <x:c r="K2930" s="11" t="n">
        <x:v>0</x:v>
      </x:c>
      <x:c r="L2930" s="11" t="n">
        <x:f>IF(B2930="NED",1,IF(OR(B2930="ED",B2930="UN"),0,""))</x:f>
        <x:v>0</x:v>
      </x:c>
      <x:c r="M2930" s="11" t="n">
        <x:f>IF(AND(K2930=1,OR(B2930="ED",B2930="NED")),1,0)</x:f>
        <x:v>0</x:v>
      </x:c>
      <x:c r="N2930" s="11" t="n">
        <x:f>IF(K2930=1,1,0)</x:f>
        <x:v>0</x:v>
      </x:c>
      <x:c r="O2930" s="12" t="str">
        <x:v>Require exact native accession match</x:v>
      </x:c>
      <x:c r="P2930" s="11" t="n">
        <x:v>0</x:v>
      </x:c>
      <x:c r="Q2930" s="12"/>
      <x:c r="R2930" s="12"/>
      <x:c r="S2930" s="11" t="n">
        <x:v>2401</x:v>
      </x:c>
      <x:c r="T2930" s="11"/>
    </x:row>
    <x:row r="2931" ht="23" customHeight="1">
      <x:c r="A2931" s="2" t="str">
        <x:v>Q9DBP5</x:v>
      </x:c>
      <x:c r="B2931" s="2" t="str">
        <x:v>ED</x:v>
      </x:c>
      <x:c r="C2931" s="2" t="n">
        <x:v>1</x:v>
      </x:c>
      <x:c r="D2931" s="2" t="n">
        <x:v>1</x:v>
      </x:c>
      <x:c r="E2931" s="10" t="n">
        <x:v>97.12403061224492</x:v>
      </x:c>
      <x:c r="F2931" s="11" t="n">
        <x:v>196</x:v>
      </x:c>
      <x:c r="G2931" s="11" t="n">
        <x:v>0</x:v>
      </x:c>
      <x:c r="H2931" s="11" t="n">
        <x:v>0</x:v>
      </x:c>
      <x:c r="I2931" s="11" t="n">
        <x:v>0</x:v>
      </x:c>
      <x:c r="J2931" s="11" t="n">
        <x:v>0</x:v>
      </x:c>
      <x:c r="K2931" s="11" t="n">
        <x:v>1</x:v>
      </x:c>
      <x:c r="L2931" s="11" t="n">
        <x:f>IF(B2931="NED",1,IF(OR(B2931="ED",B2931="UN"),0,""))</x:f>
        <x:v>0</x:v>
      </x:c>
      <x:c r="M2931" s="11" t="n">
        <x:f>IF(AND(K2931=1,OR(B2931="ED",B2931="NED")),1,0)</x:f>
        <x:v>1</x:v>
      </x:c>
      <x:c r="N2931" s="11" t="n">
        <x:f>IF(K2931=1,1,0)</x:f>
        <x:v>1</x:v>
      </x:c>
      <x:c r="O2931" s="12"/>
      <x:c r="P2931" s="11" t="n">
        <x:v>0</x:v>
      </x:c>
      <x:c r="Q2931" s="12" t="str">
        <x:v>AF-Q9DBP5-F1-model_v6</x:v>
      </x:c>
      <x:c r="R2931" s="12" t="str">
        <x:v>ok</x:v>
      </x:c>
      <x:c r="S2931" s="11" t="n">
        <x:v>2402</x:v>
      </x:c>
      <x:c r="T2931" s="11" t="n">
        <x:v>196</x:v>
      </x:c>
    </x:row>
    <x:row r="2932" ht="23" customHeight="1">
      <x:c r="A2932" s="2" t="str">
        <x:v>Q9DBR0</x:v>
      </x:c>
      <x:c r="B2932" s="2" t="str">
        <x:v>ED</x:v>
      </x:c>
      <x:c r="C2932" s="2" t="n">
        <x:v>1</x:v>
      </x:c>
      <x:c r="D2932" s="2" t="n">
        <x:v>1</x:v>
      </x:c>
      <x:c r="E2932" s="10"/>
      <x:c r="F2932" s="11" t="n">
        <x:v>687</x:v>
      </x:c>
      <x:c r="G2932" s="11" t="n">
        <x:v>1</x:v>
      </x:c>
      <x:c r="H2932" s="11" t="n">
        <x:v>0</x:v>
      </x:c>
      <x:c r="I2932" s="11" t="n">
        <x:v>0</x:v>
      </x:c>
      <x:c r="J2932" s="11" t="n">
        <x:v>0</x:v>
      </x:c>
      <x:c r="K2932" s="11" t="n">
        <x:v>0</x:v>
      </x:c>
      <x:c r="L2932" s="11" t="n">
        <x:f>IF(B2932="NED",1,IF(OR(B2932="ED",B2932="UN"),0,""))</x:f>
        <x:v>0</x:v>
      </x:c>
      <x:c r="M2932" s="11" t="n">
        <x:f>IF(AND(K2932=1,OR(B2932="ED",B2932="NED")),1,0)</x:f>
        <x:v>0</x:v>
      </x:c>
      <x:c r="N2932" s="11" t="n">
        <x:f>IF(K2932=1,1,0)</x:f>
        <x:v>0</x:v>
      </x:c>
      <x:c r="O2932" s="12" t="str">
        <x:v>Exclude supplied knotted proteins</x:v>
      </x:c>
      <x:c r="P2932" s="11" t="n">
        <x:v>0</x:v>
      </x:c>
      <x:c r="Q2932" s="12" t="str">
        <x:v>AF-Q9DBR0-F1-model_v6</x:v>
      </x:c>
      <x:c r="R2932" s="12" t="str">
        <x:v>ok</x:v>
      </x:c>
      <x:c r="S2932" s="11" t="n">
        <x:v>2403</x:v>
      </x:c>
      <x:c r="T2932" s="11" t="n">
        <x:v>687</x:v>
      </x:c>
    </x:row>
    <x:row r="2933" ht="23" customHeight="1">
      <x:c r="A2933" s="2" t="str">
        <x:v>Q9DBR7</x:v>
      </x:c>
      <x:c r="B2933" s="2" t="str">
        <x:v>ED</x:v>
      </x:c>
      <x:c r="C2933" s="2" t="n">
        <x:v>1</x:v>
      </x:c>
      <x:c r="D2933" s="2"/>
      <x:c r="E2933" s="10" t="n">
        <x:v>60.08588921282799</x:v>
      </x:c>
      <x:c r="F2933" s="11" t="n">
        <x:v>1029</x:v>
      </x:c>
      <x:c r="G2933" s="11" t="n">
        <x:v>0</x:v>
      </x:c>
      <x:c r="H2933" s="11" t="n">
        <x:v>0</x:v>
      </x:c>
      <x:c r="I2933" s="11" t="n">
        <x:v>0</x:v>
      </x:c>
      <x:c r="J2933" s="11" t="n">
        <x:v>0</x:v>
      </x:c>
      <x:c r="K2933" s="11" t="n">
        <x:v>0</x:v>
      </x:c>
      <x:c r="L2933" s="11" t="n">
        <x:f>IF(B2933="NED",1,IF(OR(B2933="ED",B2933="UN"),0,""))</x:f>
        <x:v>0</x:v>
      </x:c>
      <x:c r="M2933" s="11" t="n">
        <x:f>IF(AND(K2933=1,OR(B2933="ED",B2933="NED")),1,0)</x:f>
        <x:v>0</x:v>
      </x:c>
      <x:c r="N2933" s="11" t="n">
        <x:f>IF(K2933=1,1,0)</x:f>
        <x:v>0</x:v>
      </x:c>
      <x:c r="O2933" s="12" t="str">
        <x:v>Retain protein mean pLDDT &gt;=70</x:v>
      </x:c>
      <x:c r="P2933" s="11" t="n">
        <x:v>0</x:v>
      </x:c>
      <x:c r="Q2933" s="12" t="str">
        <x:v>AF-Q9DBR7-F1-model_v6</x:v>
      </x:c>
      <x:c r="R2933" s="12" t="str">
        <x:v>ok</x:v>
      </x:c>
      <x:c r="S2933" s="11" t="n">
        <x:v>2404</x:v>
      </x:c>
      <x:c r="T2933" s="11" t="n">
        <x:v>1029</x:v>
      </x:c>
    </x:row>
    <x:row r="2934" ht="23" customHeight="1">
      <x:c r="A2934" s="2" t="str">
        <x:v>Q9DBT5</x:v>
      </x:c>
      <x:c r="B2934" s="2" t="str">
        <x:v>UN</x:v>
      </x:c>
      <x:c r="C2934" s="2" t="n">
        <x:v>1</x:v>
      </x:c>
      <x:c r="D2934" s="2" t="n">
        <x:v>1</x:v>
      </x:c>
      <x:c r="E2934" s="10" t="n">
        <x:v>80.8320145631068</x:v>
      </x:c>
      <x:c r="F2934" s="11" t="n">
        <x:v>824</x:v>
      </x:c>
      <x:c r="G2934" s="11" t="n">
        <x:v>0</x:v>
      </x:c>
      <x:c r="H2934" s="11" t="n">
        <x:v>0</x:v>
      </x:c>
      <x:c r="I2934" s="11" t="n">
        <x:v>0</x:v>
      </x:c>
      <x:c r="J2934" s="11" t="n">
        <x:v>0</x:v>
      </x:c>
      <x:c r="K2934" s="11" t="n">
        <x:v>1</x:v>
      </x:c>
      <x:c r="L2934" s="11" t="n">
        <x:f>IF(B2934="NED",1,IF(OR(B2934="ED",B2934="UN"),0,""))</x:f>
        <x:v>0</x:v>
      </x:c>
      <x:c r="M2934" s="11" t="n">
        <x:f>IF(AND(K2934=1,OR(B2934="ED",B2934="NED")),1,0)</x:f>
        <x:v>0</x:v>
      </x:c>
      <x:c r="N2934" s="11" t="n">
        <x:f>IF(K2934=1,1,0)</x:f>
        <x:v>1</x:v>
      </x:c>
      <x:c r="O2934" s="12"/>
      <x:c r="P2934" s="11" t="n">
        <x:v>0</x:v>
      </x:c>
      <x:c r="Q2934" s="12" t="str">
        <x:v>AF-Q9DBT5-F1-model_v6</x:v>
      </x:c>
      <x:c r="R2934" s="12" t="str">
        <x:v>ok</x:v>
      </x:c>
      <x:c r="S2934" s="11" t="n">
        <x:v>2405</x:v>
      </x:c>
      <x:c r="T2934" s="11" t="n">
        <x:v>824</x:v>
      </x:c>
    </x:row>
    <x:row r="2935" ht="23" customHeight="1">
      <x:c r="A2935" s="2" t="str">
        <x:v>Q9DBX2</x:v>
      </x:c>
      <x:c r="B2935" s="2" t="str">
        <x:v>UN</x:v>
      </x:c>
      <x:c r="C2935" s="2" t="n">
        <x:v>1</x:v>
      </x:c>
      <x:c r="D2935" s="2" t="n">
        <x:v>1</x:v>
      </x:c>
      <x:c r="E2935" s="10" t="n">
        <x:v>77.2898338870432</x:v>
      </x:c>
      <x:c r="F2935" s="11" t="n">
        <x:v>301</x:v>
      </x:c>
      <x:c r="G2935" s="11" t="n">
        <x:v>0</x:v>
      </x:c>
      <x:c r="H2935" s="11" t="n">
        <x:v>0</x:v>
      </x:c>
      <x:c r="I2935" s="11" t="n">
        <x:v>0</x:v>
      </x:c>
      <x:c r="J2935" s="11" t="n">
        <x:v>0</x:v>
      </x:c>
      <x:c r="K2935" s="11" t="n">
        <x:v>1</x:v>
      </x:c>
      <x:c r="L2935" s="11" t="n">
        <x:f>IF(B2935="NED",1,IF(OR(B2935="ED",B2935="UN"),0,""))</x:f>
        <x:v>0</x:v>
      </x:c>
      <x:c r="M2935" s="11" t="n">
        <x:f>IF(AND(K2935=1,OR(B2935="ED",B2935="NED")),1,0)</x:f>
        <x:v>0</x:v>
      </x:c>
      <x:c r="N2935" s="11" t="n">
        <x:f>IF(K2935=1,1,0)</x:f>
        <x:v>1</x:v>
      </x:c>
      <x:c r="O2935" s="12"/>
      <x:c r="P2935" s="11" t="n">
        <x:v>0</x:v>
      </x:c>
      <x:c r="Q2935" s="12" t="str">
        <x:v>AF-Q9DBX2-F1-model_v6</x:v>
      </x:c>
      <x:c r="R2935" s="12" t="str">
        <x:v>ok</x:v>
      </x:c>
      <x:c r="S2935" s="11" t="n">
        <x:v>2406</x:v>
      </x:c>
      <x:c r="T2935" s="11" t="n">
        <x:v>301</x:v>
      </x:c>
    </x:row>
    <x:row r="2936" ht="23" customHeight="1">
      <x:c r="A2936" s="2" t="str">
        <x:v>Q9DBY8</x:v>
      </x:c>
      <x:c r="B2936" s="2" t="str">
        <x:v>ED</x:v>
      </x:c>
      <x:c r="C2936" s="2" t="n">
        <x:v>1</x:v>
      </x:c>
      <x:c r="D2936" s="2" t="n">
        <x:v>1</x:v>
      </x:c>
      <x:c r="E2936" s="10" t="n">
        <x:v>71.99995321637427</x:v>
      </x:c>
      <x:c r="F2936" s="11" t="n">
        <x:v>855</x:v>
      </x:c>
      <x:c r="G2936" s="11" t="n">
        <x:v>0</x:v>
      </x:c>
      <x:c r="H2936" s="11" t="n">
        <x:v>0</x:v>
      </x:c>
      <x:c r="I2936" s="11" t="n">
        <x:v>0</x:v>
      </x:c>
      <x:c r="J2936" s="11" t="n">
        <x:v>0</x:v>
      </x:c>
      <x:c r="K2936" s="11" t="n">
        <x:v>1</x:v>
      </x:c>
      <x:c r="L2936" s="11" t="n">
        <x:f>IF(B2936="NED",1,IF(OR(B2936="ED",B2936="UN"),0,""))</x:f>
        <x:v>0</x:v>
      </x:c>
      <x:c r="M2936" s="11" t="n">
        <x:f>IF(AND(K2936=1,OR(B2936="ED",B2936="NED")),1,0)</x:f>
        <x:v>1</x:v>
      </x:c>
      <x:c r="N2936" s="11" t="n">
        <x:f>IF(K2936=1,1,0)</x:f>
        <x:v>1</x:v>
      </x:c>
      <x:c r="O2936" s="12"/>
      <x:c r="P2936" s="11" t="n">
        <x:v>0</x:v>
      </x:c>
      <x:c r="Q2936" s="12" t="str">
        <x:v>AF-Q9DBY8-F1-model_v6</x:v>
      </x:c>
      <x:c r="R2936" s="12" t="str">
        <x:v>ok</x:v>
      </x:c>
      <x:c r="S2936" s="11" t="n">
        <x:v>2407</x:v>
      </x:c>
      <x:c r="T2936" s="11" t="n">
        <x:v>855</x:v>
      </x:c>
    </x:row>
    <x:row r="2937" ht="23" customHeight="1">
      <x:c r="A2937" s="2" t="str">
        <x:v>Q9DBZ5</x:v>
      </x:c>
      <x:c r="B2937" s="2" t="str">
        <x:v>NED</x:v>
      </x:c>
      <x:c r="C2937" s="2" t="n">
        <x:v>0</x:v>
      </x:c>
      <x:c r="D2937" s="2" t="n">
        <x:v>0</x:v>
      </x:c>
      <x:c r="E2937" s="10" t="n">
        <x:v>86.4138990825688</x:v>
      </x:c>
      <x:c r="F2937" s="11" t="n">
        <x:v>218</x:v>
      </x:c>
      <x:c r="G2937" s="11" t="n">
        <x:v>0</x:v>
      </x:c>
      <x:c r="H2937" s="11" t="n">
        <x:v>0</x:v>
      </x:c>
      <x:c r="I2937" s="11" t="n">
        <x:v>0</x:v>
      </x:c>
      <x:c r="J2937" s="11" t="n">
        <x:v>0</x:v>
      </x:c>
      <x:c r="K2937" s="11" t="n">
        <x:v>1</x:v>
      </x:c>
      <x:c r="L2937" s="11" t="n">
        <x:f>IF(B2937="NED",1,IF(OR(B2937="ED",B2937="UN"),0,""))</x:f>
        <x:v>1</x:v>
      </x:c>
      <x:c r="M2937" s="11" t="n">
        <x:f>IF(AND(K2937=1,OR(B2937="ED",B2937="NED")),1,0)</x:f>
        <x:v>1</x:v>
      </x:c>
      <x:c r="N2937" s="11" t="n">
        <x:f>IF(K2937=1,1,0)</x:f>
        <x:v>1</x:v>
      </x:c>
      <x:c r="O2937" s="12"/>
      <x:c r="P2937" s="11" t="n">
        <x:v>0</x:v>
      </x:c>
      <x:c r="Q2937" s="12" t="str">
        <x:v>AF-Q9DBZ5-F1-model_v6</x:v>
      </x:c>
      <x:c r="R2937" s="12" t="str">
        <x:v>ok</x:v>
      </x:c>
      <x:c r="S2937" s="11" t="n">
        <x:v>2408</x:v>
      </x:c>
      <x:c r="T2937" s="11" t="n">
        <x:v>218</x:v>
      </x:c>
    </x:row>
    <x:row r="2938" ht="23" customHeight="1">
      <x:c r="A2938" s="2" t="str">
        <x:v>Q9DC16</x:v>
      </x:c>
      <x:c r="B2938" s="2" t="str">
        <x:v>UN</x:v>
      </x:c>
      <x:c r="C2938" s="2" t="n">
        <x:v>1</x:v>
      </x:c>
      <x:c r="D2938" s="2" t="n">
        <x:v>1</x:v>
      </x:c>
      <x:c r="E2938" s="10"/>
      <x:c r="F2938" s="11" t="n">
        <x:v>290</x:v>
      </x:c>
      <x:c r="G2938" s="11" t="n">
        <x:v>0</x:v>
      </x:c>
      <x:c r="H2938" s="11" t="n">
        <x:v>0</x:v>
      </x:c>
      <x:c r="I2938" s="11" t="n">
        <x:v>1</x:v>
      </x:c>
      <x:c r="J2938" s="11" t="n">
        <x:v>0</x:v>
      </x:c>
      <x:c r="K2938" s="11" t="n">
        <x:v>0</x:v>
      </x:c>
      <x:c r="L2938" s="11" t="n">
        <x:f>IF(B2938="NED",1,IF(OR(B2938="ED",B2938="UN"),0,""))</x:f>
        <x:v>0</x:v>
      </x:c>
      <x:c r="M2938" s="11" t="n">
        <x:f>IF(AND(K2938=1,OR(B2938="ED",B2938="NED")),1,0)</x:f>
        <x:v>0</x:v>
      </x:c>
      <x:c r="N2938" s="11" t="n">
        <x:f>IF(K2938=1,1,0)</x:f>
        <x:v>0</x:v>
      </x:c>
      <x:c r="O2938" s="12" t="str">
        <x:v>Exclude UniProt Membrane keyword</x:v>
      </x:c>
      <x:c r="P2938" s="11" t="n">
        <x:v>0</x:v>
      </x:c>
      <x:c r="Q2938" s="12" t="str">
        <x:v>AF-Q9DC16-F1-model_v6</x:v>
      </x:c>
      <x:c r="R2938" s="12" t="str">
        <x:v>ok</x:v>
      </x:c>
      <x:c r="S2938" s="11" t="n">
        <x:v>2409</x:v>
      </x:c>
      <x:c r="T2938" s="11" t="n">
        <x:v>290</x:v>
      </x:c>
    </x:row>
    <x:row r="2939" ht="23" customHeight="1">
      <x:c r="A2939" s="2" t="str">
        <x:v>Q9DC23</x:v>
      </x:c>
      <x:c r="B2939" s="2" t="str">
        <x:v>UN</x:v>
      </x:c>
      <x:c r="C2939" s="2" t="n">
        <x:v>1</x:v>
      </x:c>
      <x:c r="D2939" s="2" t="n">
        <x:v>1</x:v>
      </x:c>
      <x:c r="E2939" s="10" t="n">
        <x:v>89.56295081967212</x:v>
      </x:c>
      <x:c r="F2939" s="11" t="n">
        <x:v>793</x:v>
      </x:c>
      <x:c r="G2939" s="11" t="n">
        <x:v>0</x:v>
      </x:c>
      <x:c r="H2939" s="11" t="n">
        <x:v>0</x:v>
      </x:c>
      <x:c r="I2939" s="11" t="n">
        <x:v>0</x:v>
      </x:c>
      <x:c r="J2939" s="11" t="n">
        <x:v>0</x:v>
      </x:c>
      <x:c r="K2939" s="11" t="n">
        <x:v>1</x:v>
      </x:c>
      <x:c r="L2939" s="11" t="n">
        <x:f>IF(B2939="NED",1,IF(OR(B2939="ED",B2939="UN"),0,""))</x:f>
        <x:v>0</x:v>
      </x:c>
      <x:c r="M2939" s="11" t="n">
        <x:f>IF(AND(K2939=1,OR(B2939="ED",B2939="NED")),1,0)</x:f>
        <x:v>0</x:v>
      </x:c>
      <x:c r="N2939" s="11" t="n">
        <x:f>IF(K2939=1,1,0)</x:f>
        <x:v>1</x:v>
      </x:c>
      <x:c r="O2939" s="12"/>
      <x:c r="P2939" s="11" t="n">
        <x:v>0</x:v>
      </x:c>
      <x:c r="Q2939" s="12" t="str">
        <x:v>AF-Q9DC23-F1-model_v6</x:v>
      </x:c>
      <x:c r="R2939" s="12" t="str">
        <x:v>ok</x:v>
      </x:c>
      <x:c r="S2939" s="11" t="n">
        <x:v>2410</x:v>
      </x:c>
      <x:c r="T2939" s="11" t="n">
        <x:v>793</x:v>
      </x:c>
    </x:row>
    <x:row r="2940" ht="23" customHeight="1">
      <x:c r="A2940" s="2" t="str">
        <x:v>Q9DC28</x:v>
      </x:c>
      <x:c r="B2940" s="2" t="str">
        <x:v>UN</x:v>
      </x:c>
      <x:c r="C2940" s="2" t="n">
        <x:v>1</x:v>
      </x:c>
      <x:c r="D2940" s="2" t="n">
        <x:v>1</x:v>
      </x:c>
      <x:c r="E2940" s="10"/>
      <x:c r="F2940" s="11" t="n">
        <x:v>415</x:v>
      </x:c>
      <x:c r="G2940" s="11" t="n">
        <x:v>0</x:v>
      </x:c>
      <x:c r="H2940" s="11" t="n">
        <x:v>0</x:v>
      </x:c>
      <x:c r="I2940" s="11" t="n">
        <x:v>1</x:v>
      </x:c>
      <x:c r="J2940" s="11" t="n">
        <x:v>0</x:v>
      </x:c>
      <x:c r="K2940" s="11" t="n">
        <x:v>0</x:v>
      </x:c>
      <x:c r="L2940" s="11" t="n">
        <x:f>IF(B2940="NED",1,IF(OR(B2940="ED",B2940="UN"),0,""))</x:f>
        <x:v>0</x:v>
      </x:c>
      <x:c r="M2940" s="11" t="n">
        <x:f>IF(AND(K2940=1,OR(B2940="ED",B2940="NED")),1,0)</x:f>
        <x:v>0</x:v>
      </x:c>
      <x:c r="N2940" s="11" t="n">
        <x:f>IF(K2940=1,1,0)</x:f>
        <x:v>0</x:v>
      </x:c>
      <x:c r="O2940" s="12" t="str">
        <x:v>Exclude UniProt Membrane keyword</x:v>
      </x:c>
      <x:c r="P2940" s="11" t="n">
        <x:v>0</x:v>
      </x:c>
      <x:c r="Q2940" s="12" t="str">
        <x:v>AF-Q9DC28-F1-model_v6</x:v>
      </x:c>
      <x:c r="R2940" s="12" t="str">
        <x:v>ok</x:v>
      </x:c>
      <x:c r="S2940" s="11" t="n">
        <x:v>2411</x:v>
      </x:c>
      <x:c r="T2940" s="11" t="n">
        <x:v>415</x:v>
      </x:c>
    </x:row>
    <x:row r="2941" ht="23" customHeight="1">
      <x:c r="A2941" s="2" t="str">
        <x:v>Q9DC33</x:v>
      </x:c>
      <x:c r="B2941" s="2" t="str">
        <x:v>ED</x:v>
      </x:c>
      <x:c r="C2941" s="2" t="n">
        <x:v>0</x:v>
      </x:c>
      <x:c r="D2941" s="2" t="n">
        <x:v>0</x:v>
      </x:c>
      <x:c r="E2941" s="10" t="n">
        <x:v>74.01202312138729</x:v>
      </x:c>
      <x:c r="F2941" s="11" t="n">
        <x:v>346</x:v>
      </x:c>
      <x:c r="G2941" s="11" t="n">
        <x:v>0</x:v>
      </x:c>
      <x:c r="H2941" s="11" t="n">
        <x:v>0</x:v>
      </x:c>
      <x:c r="I2941" s="11" t="n">
        <x:v>0</x:v>
      </x:c>
      <x:c r="J2941" s="11" t="n">
        <x:v>0</x:v>
      </x:c>
      <x:c r="K2941" s="11" t="n">
        <x:v>1</x:v>
      </x:c>
      <x:c r="L2941" s="11" t="n">
        <x:f>IF(B2941="NED",1,IF(OR(B2941="ED",B2941="UN"),0,""))</x:f>
        <x:v>0</x:v>
      </x:c>
      <x:c r="M2941" s="11" t="n">
        <x:f>IF(AND(K2941=1,OR(B2941="ED",B2941="NED")),1,0)</x:f>
        <x:v>1</x:v>
      </x:c>
      <x:c r="N2941" s="11" t="n">
        <x:f>IF(K2941=1,1,0)</x:f>
        <x:v>1</x:v>
      </x:c>
      <x:c r="O2941" s="12"/>
      <x:c r="P2941" s="11" t="n">
        <x:v>0</x:v>
      </x:c>
      <x:c r="Q2941" s="12" t="str">
        <x:v>AF-Q9DC33-F1-model_v6</x:v>
      </x:c>
      <x:c r="R2941" s="12" t="str">
        <x:v>ok</x:v>
      </x:c>
      <x:c r="S2941" s="11" t="n">
        <x:v>2412</x:v>
      </x:c>
      <x:c r="T2941" s="11" t="n">
        <x:v>346</x:v>
      </x:c>
    </x:row>
    <x:row r="2942" ht="23" customHeight="1">
      <x:c r="A2942" s="2" t="str">
        <x:v>Q9DC40</x:v>
      </x:c>
      <x:c r="B2942" s="2" t="str">
        <x:v>ED</x:v>
      </x:c>
      <x:c r="C2942" s="2" t="n">
        <x:v>0</x:v>
      </x:c>
      <x:c r="D2942" s="2" t="n">
        <x:v>0</x:v>
      </x:c>
      <x:c r="E2942" s="10"/>
      <x:c r="F2942" s="11" t="n">
        <x:v>840</x:v>
      </x:c>
      <x:c r="G2942" s="11" t="n">
        <x:v>0</x:v>
      </x:c>
      <x:c r="H2942" s="11" t="n">
        <x:v>0</x:v>
      </x:c>
      <x:c r="I2942" s="11" t="n">
        <x:v>1</x:v>
      </x:c>
      <x:c r="J2942" s="11" t="n">
        <x:v>0</x:v>
      </x:c>
      <x:c r="K2942" s="11" t="n">
        <x:v>0</x:v>
      </x:c>
      <x:c r="L2942" s="11" t="n">
        <x:f>IF(B2942="NED",1,IF(OR(B2942="ED",B2942="UN"),0,""))</x:f>
        <x:v>0</x:v>
      </x:c>
      <x:c r="M2942" s="11" t="n">
        <x:f>IF(AND(K2942=1,OR(B2942="ED",B2942="NED")),1,0)</x:f>
        <x:v>0</x:v>
      </x:c>
      <x:c r="N2942" s="11" t="n">
        <x:f>IF(K2942=1,1,0)</x:f>
        <x:v>0</x:v>
      </x:c>
      <x:c r="O2942" s="12" t="str">
        <x:v>Exclude UniProt Membrane keyword</x:v>
      </x:c>
      <x:c r="P2942" s="11" t="n">
        <x:v>0</x:v>
      </x:c>
      <x:c r="Q2942" s="12" t="str">
        <x:v>AF-Q9DC40-F1-model_v6</x:v>
      </x:c>
      <x:c r="R2942" s="12" t="str">
        <x:v>ok</x:v>
      </x:c>
      <x:c r="S2942" s="11" t="n">
        <x:v>2413</x:v>
      </x:c>
      <x:c r="T2942" s="11" t="n">
        <x:v>840</x:v>
      </x:c>
    </x:row>
    <x:row r="2943" ht="23" customHeight="1">
      <x:c r="A2943" s="2" t="str">
        <x:v>Q9DC48</x:v>
      </x:c>
      <x:c r="B2943" s="2" t="str">
        <x:v>ED</x:v>
      </x:c>
      <x:c r="C2943" s="2" t="n">
        <x:v>1</x:v>
      </x:c>
      <x:c r="D2943" s="2" t="n">
        <x:v>1</x:v>
      </x:c>
      <x:c r="E2943" s="10" t="n">
        <x:v>85.00839378238342</x:v>
      </x:c>
      <x:c r="F2943" s="11" t="n">
        <x:v>579</x:v>
      </x:c>
      <x:c r="G2943" s="11" t="n">
        <x:v>0</x:v>
      </x:c>
      <x:c r="H2943" s="11" t="n">
        <x:v>0</x:v>
      </x:c>
      <x:c r="I2943" s="11" t="n">
        <x:v>0</x:v>
      </x:c>
      <x:c r="J2943" s="11" t="n">
        <x:v>0</x:v>
      </x:c>
      <x:c r="K2943" s="11" t="n">
        <x:v>1</x:v>
      </x:c>
      <x:c r="L2943" s="11" t="n">
        <x:f>IF(B2943="NED",1,IF(OR(B2943="ED",B2943="UN"),0,""))</x:f>
        <x:v>0</x:v>
      </x:c>
      <x:c r="M2943" s="11" t="n">
        <x:f>IF(AND(K2943=1,OR(B2943="ED",B2943="NED")),1,0)</x:f>
        <x:v>1</x:v>
      </x:c>
      <x:c r="N2943" s="11" t="n">
        <x:f>IF(K2943=1,1,0)</x:f>
        <x:v>1</x:v>
      </x:c>
      <x:c r="O2943" s="12"/>
      <x:c r="P2943" s="11" t="n">
        <x:v>0</x:v>
      </x:c>
      <x:c r="Q2943" s="12" t="str">
        <x:v>AF-Q9DC48-F1-model_v6</x:v>
      </x:c>
      <x:c r="R2943" s="12" t="str">
        <x:v>ok</x:v>
      </x:c>
      <x:c r="S2943" s="11" t="n">
        <x:v>2414</x:v>
      </x:c>
      <x:c r="T2943" s="11" t="n">
        <x:v>579</x:v>
      </x:c>
    </x:row>
    <x:row r="2944" ht="23" customHeight="1">
      <x:c r="A2944" s="2" t="str">
        <x:v>Q9DC51</x:v>
      </x:c>
      <x:c r="B2944" s="2" t="str">
        <x:v>UN</x:v>
      </x:c>
      <x:c r="C2944" s="2" t="n">
        <x:v>1</x:v>
      </x:c>
      <x:c r="D2944" s="2" t="n">
        <x:v>1</x:v>
      </x:c>
      <x:c r="E2944" s="10"/>
      <x:c r="F2944" s="11" t="n">
        <x:v>354</x:v>
      </x:c>
      <x:c r="G2944" s="11" t="n">
        <x:v>0</x:v>
      </x:c>
      <x:c r="H2944" s="11" t="n">
        <x:v>0</x:v>
      </x:c>
      <x:c r="I2944" s="11" t="n">
        <x:v>1</x:v>
      </x:c>
      <x:c r="J2944" s="11" t="n">
        <x:v>0</x:v>
      </x:c>
      <x:c r="K2944" s="11" t="n">
        <x:v>0</x:v>
      </x:c>
      <x:c r="L2944" s="11" t="n">
        <x:f>IF(B2944="NED",1,IF(OR(B2944="ED",B2944="UN"),0,""))</x:f>
        <x:v>0</x:v>
      </x:c>
      <x:c r="M2944" s="11" t="n">
        <x:f>IF(AND(K2944=1,OR(B2944="ED",B2944="NED")),1,0)</x:f>
        <x:v>0</x:v>
      </x:c>
      <x:c r="N2944" s="11" t="n">
        <x:f>IF(K2944=1,1,0)</x:f>
        <x:v>0</x:v>
      </x:c>
      <x:c r="O2944" s="12" t="str">
        <x:v>Exclude UniProt Membrane keyword</x:v>
      </x:c>
      <x:c r="P2944" s="11" t="n">
        <x:v>0</x:v>
      </x:c>
      <x:c r="Q2944" s="12" t="str">
        <x:v>AF-Q9DC51-F1-model_v6</x:v>
      </x:c>
      <x:c r="R2944" s="12" t="str">
        <x:v>ok</x:v>
      </x:c>
      <x:c r="S2944" s="11" t="n">
        <x:v>2415</x:v>
      </x:c>
      <x:c r="T2944" s="11" t="n">
        <x:v>354</x:v>
      </x:c>
    </x:row>
    <x:row r="2945" ht="23" customHeight="1">
      <x:c r="A2945" s="2" t="str">
        <x:v>Q9DC61</x:v>
      </x:c>
      <x:c r="B2945" s="2" t="str">
        <x:v>UN</x:v>
      </x:c>
      <x:c r="C2945" s="2" t="n">
        <x:v>1</x:v>
      </x:c>
      <x:c r="D2945" s="2" t="n">
        <x:v>1</x:v>
      </x:c>
      <x:c r="E2945" s="10"/>
      <x:c r="F2945" s="11" t="n">
        <x:v>524</x:v>
      </x:c>
      <x:c r="G2945" s="11" t="n">
        <x:v>0</x:v>
      </x:c>
      <x:c r="H2945" s="11" t="n">
        <x:v>0</x:v>
      </x:c>
      <x:c r="I2945" s="11" t="n">
        <x:v>1</x:v>
      </x:c>
      <x:c r="J2945" s="11" t="n">
        <x:v>0</x:v>
      </x:c>
      <x:c r="K2945" s="11" t="n">
        <x:v>0</x:v>
      </x:c>
      <x:c r="L2945" s="11" t="n">
        <x:f>IF(B2945="NED",1,IF(OR(B2945="ED",B2945="UN"),0,""))</x:f>
        <x:v>0</x:v>
      </x:c>
      <x:c r="M2945" s="11" t="n">
        <x:f>IF(AND(K2945=1,OR(B2945="ED",B2945="NED")),1,0)</x:f>
        <x:v>0</x:v>
      </x:c>
      <x:c r="N2945" s="11" t="n">
        <x:f>IF(K2945=1,1,0)</x:f>
        <x:v>0</x:v>
      </x:c>
      <x:c r="O2945" s="12" t="str">
        <x:v>Exclude UniProt Membrane keyword</x:v>
      </x:c>
      <x:c r="P2945" s="11" t="n">
        <x:v>0</x:v>
      </x:c>
      <x:c r="Q2945" s="12" t="str">
        <x:v>AF-Q9DC61-F1-model_v6</x:v>
      </x:c>
      <x:c r="R2945" s="12" t="str">
        <x:v>ok</x:v>
      </x:c>
      <x:c r="S2945" s="11" t="n">
        <x:v>2416</x:v>
      </x:c>
      <x:c r="T2945" s="11" t="n">
        <x:v>524</x:v>
      </x:c>
    </x:row>
    <x:row r="2946" ht="23" customHeight="1">
      <x:c r="A2946" s="2" t="str">
        <x:v>Q9DC69</x:v>
      </x:c>
      <x:c r="B2946" s="2" t="str">
        <x:v>UN</x:v>
      </x:c>
      <x:c r="C2946" s="2" t="n">
        <x:v>1</x:v>
      </x:c>
      <x:c r="D2946" s="2" t="n">
        <x:v>1</x:v>
      </x:c>
      <x:c r="E2946" s="10" t="n">
        <x:v>88.64724137931034</x:v>
      </x:c>
      <x:c r="F2946" s="11" t="n">
        <x:v>377</x:v>
      </x:c>
      <x:c r="G2946" s="11" t="n">
        <x:v>0</x:v>
      </x:c>
      <x:c r="H2946" s="11" t="n">
        <x:v>0</x:v>
      </x:c>
      <x:c r="I2946" s="11" t="n">
        <x:v>0</x:v>
      </x:c>
      <x:c r="J2946" s="11" t="n">
        <x:v>0</x:v>
      </x:c>
      <x:c r="K2946" s="11" t="n">
        <x:v>1</x:v>
      </x:c>
      <x:c r="L2946" s="11" t="n">
        <x:f>IF(B2946="NED",1,IF(OR(B2946="ED",B2946="UN"),0,""))</x:f>
        <x:v>0</x:v>
      </x:c>
      <x:c r="M2946" s="11" t="n">
        <x:f>IF(AND(K2946=1,OR(B2946="ED",B2946="NED")),1,0)</x:f>
        <x:v>0</x:v>
      </x:c>
      <x:c r="N2946" s="11" t="n">
        <x:f>IF(K2946=1,1,0)</x:f>
        <x:v>1</x:v>
      </x:c>
      <x:c r="O2946" s="12"/>
      <x:c r="P2946" s="11" t="n">
        <x:v>0</x:v>
      </x:c>
      <x:c r="Q2946" s="12" t="str">
        <x:v>AF-Q9DC69-F1-model_v6</x:v>
      </x:c>
      <x:c r="R2946" s="12" t="str">
        <x:v>ok</x:v>
      </x:c>
      <x:c r="S2946" s="11" t="n">
        <x:v>2417</x:v>
      </x:c>
      <x:c r="T2946" s="11" t="n">
        <x:v>377</x:v>
      </x:c>
    </x:row>
    <x:row r="2947" ht="23" customHeight="1">
      <x:c r="A2947" s="2" t="str">
        <x:v>Q9DC71</x:v>
      </x:c>
      <x:c r="B2947" s="2" t="str">
        <x:v>UN</x:v>
      </x:c>
      <x:c r="C2947" s="2" t="n">
        <x:v>0</x:v>
      </x:c>
      <x:c r="D2947" s="2" t="n">
        <x:v>0</x:v>
      </x:c>
      <x:c r="E2947" s="10" t="n">
        <x:v>79.0346511627907</x:v>
      </x:c>
      <x:c r="F2947" s="11" t="n">
        <x:v>258</x:v>
      </x:c>
      <x:c r="G2947" s="11" t="n">
        <x:v>0</x:v>
      </x:c>
      <x:c r="H2947" s="11" t="n">
        <x:v>0</x:v>
      </x:c>
      <x:c r="I2947" s="11" t="n">
        <x:v>0</x:v>
      </x:c>
      <x:c r="J2947" s="11" t="n">
        <x:v>0</x:v>
      </x:c>
      <x:c r="K2947" s="11" t="n">
        <x:v>1</x:v>
      </x:c>
      <x:c r="L2947" s="11" t="n">
        <x:f>IF(B2947="NED",1,IF(OR(B2947="ED",B2947="UN"),0,""))</x:f>
        <x:v>0</x:v>
      </x:c>
      <x:c r="M2947" s="11" t="n">
        <x:f>IF(AND(K2947=1,OR(B2947="ED",B2947="NED")),1,0)</x:f>
        <x:v>0</x:v>
      </x:c>
      <x:c r="N2947" s="11" t="n">
        <x:f>IF(K2947=1,1,0)</x:f>
        <x:v>1</x:v>
      </x:c>
      <x:c r="O2947" s="12"/>
      <x:c r="P2947" s="11" t="n">
        <x:v>0</x:v>
      </x:c>
      <x:c r="Q2947" s="12" t="str">
        <x:v>AF-Q9DC71-F1-model_v6</x:v>
      </x:c>
      <x:c r="R2947" s="12" t="str">
        <x:v>ok</x:v>
      </x:c>
      <x:c r="S2947" s="11" t="n">
        <x:v>2418</x:v>
      </x:c>
      <x:c r="T2947" s="11" t="n">
        <x:v>258</x:v>
      </x:c>
    </x:row>
    <x:row r="2948" ht="23" customHeight="1">
      <x:c r="A2948" s="2" t="str">
        <x:v>Q9DCA2</x:v>
      </x:c>
      <x:c r="B2948" s="2" t="str">
        <x:v>NED</x:v>
      </x:c>
      <x:c r="C2948" s="2" t="n">
        <x:v>0</x:v>
      </x:c>
      <x:c r="D2948" s="2" t="n">
        <x:v>0</x:v>
      </x:c>
      <x:c r="E2948" s="10" t="n">
        <x:v>81.89890052356021</x:v>
      </x:c>
      <x:c r="F2948" s="11" t="n">
        <x:v>191</x:v>
      </x:c>
      <x:c r="G2948" s="11" t="n">
        <x:v>0</x:v>
      </x:c>
      <x:c r="H2948" s="11" t="n">
        <x:v>0</x:v>
      </x:c>
      <x:c r="I2948" s="11" t="n">
        <x:v>0</x:v>
      </x:c>
      <x:c r="J2948" s="11" t="n">
        <x:v>0</x:v>
      </x:c>
      <x:c r="K2948" s="11" t="n">
        <x:v>1</x:v>
      </x:c>
      <x:c r="L2948" s="11" t="n">
        <x:f>IF(B2948="NED",1,IF(OR(B2948="ED",B2948="UN"),0,""))</x:f>
        <x:v>1</x:v>
      </x:c>
      <x:c r="M2948" s="11" t="n">
        <x:f>IF(AND(K2948=1,OR(B2948="ED",B2948="NED")),1,0)</x:f>
        <x:v>1</x:v>
      </x:c>
      <x:c r="N2948" s="11" t="n">
        <x:f>IF(K2948=1,1,0)</x:f>
        <x:v>1</x:v>
      </x:c>
      <x:c r="O2948" s="12"/>
      <x:c r="P2948" s="11" t="n">
        <x:v>0</x:v>
      </x:c>
      <x:c r="Q2948" s="12" t="str">
        <x:v>AF-Q9DCA2-F1-model_v6</x:v>
      </x:c>
      <x:c r="R2948" s="12" t="str">
        <x:v>ok</x:v>
      </x:c>
      <x:c r="S2948" s="11" t="n">
        <x:v>2419</x:v>
      </x:c>
      <x:c r="T2948" s="11" t="n">
        <x:v>191</x:v>
      </x:c>
    </x:row>
    <x:row r="2949" ht="23" customHeight="1">
      <x:c r="A2949" s="2" t="str">
        <x:v>Q9DCA5</x:v>
      </x:c>
      <x:c r="B2949" s="2" t="str">
        <x:v>ED</x:v>
      </x:c>
      <x:c r="C2949" s="2" t="n">
        <x:v>1</x:v>
      </x:c>
      <x:c r="D2949" s="2" t="n">
        <x:v>1</x:v>
      </x:c>
      <x:c r="E2949" s="10" t="n">
        <x:v>81.71424929178471</x:v>
      </x:c>
      <x:c r="F2949" s="11" t="n">
        <x:v>353</x:v>
      </x:c>
      <x:c r="G2949" s="11" t="n">
        <x:v>0</x:v>
      </x:c>
      <x:c r="H2949" s="11" t="n">
        <x:v>0</x:v>
      </x:c>
      <x:c r="I2949" s="11" t="n">
        <x:v>0</x:v>
      </x:c>
      <x:c r="J2949" s="11" t="n">
        <x:v>0</x:v>
      </x:c>
      <x:c r="K2949" s="11" t="n">
        <x:v>1</x:v>
      </x:c>
      <x:c r="L2949" s="11" t="n">
        <x:f>IF(B2949="NED",1,IF(OR(B2949="ED",B2949="UN"),0,""))</x:f>
        <x:v>0</x:v>
      </x:c>
      <x:c r="M2949" s="11" t="n">
        <x:f>IF(AND(K2949=1,OR(B2949="ED",B2949="NED")),1,0)</x:f>
        <x:v>1</x:v>
      </x:c>
      <x:c r="N2949" s="11" t="n">
        <x:f>IF(K2949=1,1,0)</x:f>
        <x:v>1</x:v>
      </x:c>
      <x:c r="O2949" s="12"/>
      <x:c r="P2949" s="11" t="n">
        <x:v>0</x:v>
      </x:c>
      <x:c r="Q2949" s="12" t="str">
        <x:v>AF-Q9DCA5-F1-model_v6</x:v>
      </x:c>
      <x:c r="R2949" s="12" t="str">
        <x:v>ok</x:v>
      </x:c>
      <x:c r="S2949" s="11" t="n">
        <x:v>2420</x:v>
      </x:c>
      <x:c r="T2949" s="11" t="n">
        <x:v>353</x:v>
      </x:c>
    </x:row>
    <x:row r="2950" ht="23" customHeight="1">
      <x:c r="A2950" s="2" t="str">
        <x:v>Q9DCC1</x:v>
      </x:c>
      <x:c r="B2950" s="2" t="str">
        <x:v>UN</x:v>
      </x:c>
      <x:c r="C2950" s="2"/>
      <x:c r="D2950" s="2"/>
      <x:c r="E2950" s="10"/>
      <x:c r="F2950" s="11"/>
      <x:c r="G2950" s="11" t="n">
        <x:v>0</x:v>
      </x:c>
      <x:c r="H2950" s="11" t="n">
        <x:v>0</x:v>
      </x:c>
      <x:c r="I2950" s="11" t="n">
        <x:v>0</x:v>
      </x:c>
      <x:c r="J2950" s="11" t="n">
        <x:v>0</x:v>
      </x:c>
      <x:c r="K2950" s="11" t="n">
        <x:v>0</x:v>
      </x:c>
      <x:c r="L2950" s="11" t="n">
        <x:f>IF(B2950="NED",1,IF(OR(B2950="ED",B2950="UN"),0,""))</x:f>
        <x:v>0</x:v>
      </x:c>
      <x:c r="M2950" s="11" t="n">
        <x:f>IF(AND(K2950=1,OR(B2950="ED",B2950="NED")),1,0)</x:f>
        <x:v>0</x:v>
      </x:c>
      <x:c r="N2950" s="11" t="n">
        <x:f>IF(K2950=1,1,0)</x:f>
        <x:v>0</x:v>
      </x:c>
      <x:c r="O2950" s="12" t="str">
        <x:v>Require exact native accession match</x:v>
      </x:c>
      <x:c r="P2950" s="11" t="n">
        <x:v>0</x:v>
      </x:c>
      <x:c r="Q2950" s="12"/>
      <x:c r="R2950" s="12"/>
      <x:c r="S2950" s="11" t="n">
        <x:v>3272</x:v>
      </x:c>
      <x:c r="T2950" s="11" t="n">
        <x:v>581</x:v>
      </x:c>
    </x:row>
    <x:row r="2951" ht="23" customHeight="1">
      <x:c r="A2951" s="2" t="str">
        <x:v>Q9DCC4</x:v>
      </x:c>
      <x:c r="B2951" s="2" t="str">
        <x:v>UN</x:v>
      </x:c>
      <x:c r="C2951" s="2" t="n">
        <x:v>1</x:v>
      </x:c>
      <x:c r="D2951" s="2" t="n">
        <x:v>1</x:v>
      </x:c>
      <x:c r="E2951" s="10" t="n">
        <x:v>94.75784671532848</x:v>
      </x:c>
      <x:c r="F2951" s="11" t="n">
        <x:v>274</x:v>
      </x:c>
      <x:c r="G2951" s="11" t="n">
        <x:v>0</x:v>
      </x:c>
      <x:c r="H2951" s="11" t="n">
        <x:v>0</x:v>
      </x:c>
      <x:c r="I2951" s="11" t="n">
        <x:v>0</x:v>
      </x:c>
      <x:c r="J2951" s="11" t="n">
        <x:v>0</x:v>
      </x:c>
      <x:c r="K2951" s="11" t="n">
        <x:v>1</x:v>
      </x:c>
      <x:c r="L2951" s="11" t="n">
        <x:f>IF(B2951="NED",1,IF(OR(B2951="ED",B2951="UN"),0,""))</x:f>
        <x:v>0</x:v>
      </x:c>
      <x:c r="M2951" s="11" t="n">
        <x:f>IF(AND(K2951=1,OR(B2951="ED",B2951="NED")),1,0)</x:f>
        <x:v>0</x:v>
      </x:c>
      <x:c r="N2951" s="11" t="n">
        <x:f>IF(K2951=1,1,0)</x:f>
        <x:v>1</x:v>
      </x:c>
      <x:c r="O2951" s="12"/>
      <x:c r="P2951" s="11" t="n">
        <x:v>0</x:v>
      </x:c>
      <x:c r="Q2951" s="12" t="str">
        <x:v>AF-Q9DCC4-F1-model_v6</x:v>
      </x:c>
      <x:c r="R2951" s="12" t="str">
        <x:v>ok</x:v>
      </x:c>
      <x:c r="S2951" s="11" t="n">
        <x:v>2421</x:v>
      </x:c>
      <x:c r="T2951" s="11" t="n">
        <x:v>274</x:v>
      </x:c>
    </x:row>
    <x:row r="2952" ht="23" customHeight="1">
      <x:c r="A2952" s="2" t="str">
        <x:v>Q9DCC5</x:v>
      </x:c>
      <x:c r="B2952" s="2" t="str">
        <x:v>UN</x:v>
      </x:c>
      <x:c r="C2952" s="2"/>
      <x:c r="D2952" s="2"/>
      <x:c r="E2952" s="10"/>
      <x:c r="F2952" s="11"/>
      <x:c r="G2952" s="11" t="n">
        <x:v>0</x:v>
      </x:c>
      <x:c r="H2952" s="11" t="n">
        <x:v>0</x:v>
      </x:c>
      <x:c r="I2952" s="11" t="n">
        <x:v>0</x:v>
      </x:c>
      <x:c r="J2952" s="11" t="n">
        <x:v>0</x:v>
      </x:c>
      <x:c r="K2952" s="11" t="n">
        <x:v>0</x:v>
      </x:c>
      <x:c r="L2952" s="11" t="n">
        <x:f>IF(B2952="NED",1,IF(OR(B2952="ED",B2952="UN"),0,""))</x:f>
        <x:v>0</x:v>
      </x:c>
      <x:c r="M2952" s="11" t="n">
        <x:f>IF(AND(K2952=1,OR(B2952="ED",B2952="NED")),1,0)</x:f>
        <x:v>0</x:v>
      </x:c>
      <x:c r="N2952" s="11" t="n">
        <x:f>IF(K2952=1,1,0)</x:f>
        <x:v>0</x:v>
      </x:c>
      <x:c r="O2952" s="12" t="str">
        <x:v>Require exact native accession match</x:v>
      </x:c>
      <x:c r="P2952" s="11" t="n">
        <x:v>0</x:v>
      </x:c>
      <x:c r="Q2952" s="12"/>
      <x:c r="R2952" s="12"/>
      <x:c r="S2952" s="11" t="n">
        <x:v>3273</x:v>
      </x:c>
      <x:c r="T2952" s="11" t="n">
        <x:v>183</x:v>
      </x:c>
    </x:row>
    <x:row r="2953" ht="23" customHeight="1">
      <x:c r="A2953" s="2" t="str">
        <x:v>Q9DCD0</x:v>
      </x:c>
      <x:c r="B2953" s="2" t="str">
        <x:v>UN</x:v>
      </x:c>
      <x:c r="C2953" s="2" t="n">
        <x:v>1</x:v>
      </x:c>
      <x:c r="D2953" s="2" t="n">
        <x:v>1</x:v>
      </x:c>
      <x:c r="E2953" s="10" t="n">
        <x:v>96.28296066252588</x:v>
      </x:c>
      <x:c r="F2953" s="11" t="n">
        <x:v>483</x:v>
      </x:c>
      <x:c r="G2953" s="11" t="n">
        <x:v>0</x:v>
      </x:c>
      <x:c r="H2953" s="11" t="n">
        <x:v>0</x:v>
      </x:c>
      <x:c r="I2953" s="11" t="n">
        <x:v>0</x:v>
      </x:c>
      <x:c r="J2953" s="11" t="n">
        <x:v>0</x:v>
      </x:c>
      <x:c r="K2953" s="11" t="n">
        <x:v>1</x:v>
      </x:c>
      <x:c r="L2953" s="11" t="n">
        <x:f>IF(B2953="NED",1,IF(OR(B2953="ED",B2953="UN"),0,""))</x:f>
        <x:v>0</x:v>
      </x:c>
      <x:c r="M2953" s="11" t="n">
        <x:f>IF(AND(K2953=1,OR(B2953="ED",B2953="NED")),1,0)</x:f>
        <x:v>0</x:v>
      </x:c>
      <x:c r="N2953" s="11" t="n">
        <x:f>IF(K2953=1,1,0)</x:f>
        <x:v>1</x:v>
      </x:c>
      <x:c r="O2953" s="12"/>
      <x:c r="P2953" s="11" t="n">
        <x:v>0</x:v>
      </x:c>
      <x:c r="Q2953" s="12" t="str">
        <x:v>AF-Q9DCD0-F1-model_v6</x:v>
      </x:c>
      <x:c r="R2953" s="12" t="str">
        <x:v>ok</x:v>
      </x:c>
      <x:c r="S2953" s="11" t="n">
        <x:v>2422</x:v>
      </x:c>
      <x:c r="T2953" s="11" t="n">
        <x:v>483</x:v>
      </x:c>
    </x:row>
    <x:row r="2954" ht="23" customHeight="1">
      <x:c r="A2954" s="2" t="str">
        <x:v>Q9DCD5</x:v>
      </x:c>
      <x:c r="B2954" s="2" t="str">
        <x:v>ED</x:v>
      </x:c>
      <x:c r="C2954" s="2" t="n">
        <x:v>0</x:v>
      </x:c>
      <x:c r="D2954" s="2" t="n">
        <x:v>0</x:v>
      </x:c>
      <x:c r="E2954" s="10"/>
      <x:c r="F2954" s="11" t="n">
        <x:v>549</x:v>
      </x:c>
      <x:c r="G2954" s="11" t="n">
        <x:v>0</x:v>
      </x:c>
      <x:c r="H2954" s="11" t="n">
        <x:v>0</x:v>
      </x:c>
      <x:c r="I2954" s="11" t="n">
        <x:v>1</x:v>
      </x:c>
      <x:c r="J2954" s="11" t="n">
        <x:v>0</x:v>
      </x:c>
      <x:c r="K2954" s="11" t="n">
        <x:v>0</x:v>
      </x:c>
      <x:c r="L2954" s="11" t="n">
        <x:f>IF(B2954="NED",1,IF(OR(B2954="ED",B2954="UN"),0,""))</x:f>
        <x:v>0</x:v>
      </x:c>
      <x:c r="M2954" s="11" t="n">
        <x:f>IF(AND(K2954=1,OR(B2954="ED",B2954="NED")),1,0)</x:f>
        <x:v>0</x:v>
      </x:c>
      <x:c r="N2954" s="11" t="n">
        <x:f>IF(K2954=1,1,0)</x:f>
        <x:v>0</x:v>
      </x:c>
      <x:c r="O2954" s="12" t="str">
        <x:v>Exclude UniProt Membrane keyword</x:v>
      </x:c>
      <x:c r="P2954" s="11" t="n">
        <x:v>0</x:v>
      </x:c>
      <x:c r="Q2954" s="12" t="str">
        <x:v>AF-Q9DCD5-F1-model_v6</x:v>
      </x:c>
      <x:c r="R2954" s="12" t="str">
        <x:v>ok</x:v>
      </x:c>
      <x:c r="S2954" s="11" t="n">
        <x:v>2423</x:v>
      </x:c>
      <x:c r="T2954" s="11" t="n">
        <x:v>549</x:v>
      </x:c>
    </x:row>
    <x:row r="2955" ht="23" customHeight="1">
      <x:c r="A2955" s="2" t="str">
        <x:v>Q9DCE5</x:v>
      </x:c>
      <x:c r="B2955" s="2" t="str">
        <x:v>UN</x:v>
      </x:c>
      <x:c r="C2955" s="2" t="n">
        <x:v>1</x:v>
      </x:c>
      <x:c r="D2955" s="2" t="n">
        <x:v>1</x:v>
      </x:c>
      <x:c r="E2955" s="10" t="n">
        <x:v>81.75641361256545</x:v>
      </x:c>
      <x:c r="F2955" s="11" t="n">
        <x:v>382</x:v>
      </x:c>
      <x:c r="G2955" s="11" t="n">
        <x:v>0</x:v>
      </x:c>
      <x:c r="H2955" s="11" t="n">
        <x:v>0</x:v>
      </x:c>
      <x:c r="I2955" s="11" t="n">
        <x:v>0</x:v>
      </x:c>
      <x:c r="J2955" s="11" t="n">
        <x:v>0</x:v>
      </x:c>
      <x:c r="K2955" s="11" t="n">
        <x:v>1</x:v>
      </x:c>
      <x:c r="L2955" s="11" t="n">
        <x:f>IF(B2955="NED",1,IF(OR(B2955="ED",B2955="UN"),0,""))</x:f>
        <x:v>0</x:v>
      </x:c>
      <x:c r="M2955" s="11" t="n">
        <x:f>IF(AND(K2955=1,OR(B2955="ED",B2955="NED")),1,0)</x:f>
        <x:v>0</x:v>
      </x:c>
      <x:c r="N2955" s="11" t="n">
        <x:f>IF(K2955=1,1,0)</x:f>
        <x:v>1</x:v>
      </x:c>
      <x:c r="O2955" s="12"/>
      <x:c r="P2955" s="11" t="n">
        <x:v>0</x:v>
      </x:c>
      <x:c r="Q2955" s="12" t="str">
        <x:v>AF-Q9DCE5-F1-model_v6</x:v>
      </x:c>
      <x:c r="R2955" s="12" t="str">
        <x:v>ok</x:v>
      </x:c>
      <x:c r="S2955" s="11" t="n">
        <x:v>2424</x:v>
      </x:c>
      <x:c r="T2955" s="11" t="n">
        <x:v>382</x:v>
      </x:c>
    </x:row>
    <x:row r="2956" ht="23" customHeight="1">
      <x:c r="A2956" s="2" t="str">
        <x:v>Q9DCG9</x:v>
      </x:c>
      <x:c r="B2956" s="2" t="str">
        <x:v>NED</x:v>
      </x:c>
      <x:c r="C2956" s="2" t="n">
        <x:v>1</x:v>
      </x:c>
      <x:c r="D2956" s="2" t="n">
        <x:v>1</x:v>
      </x:c>
      <x:c r="E2956" s="10" t="n">
        <x:v>95.06168</x:v>
      </x:c>
      <x:c r="F2956" s="11" t="n">
        <x:v>125</x:v>
      </x:c>
      <x:c r="G2956" s="11" t="n">
        <x:v>0</x:v>
      </x:c>
      <x:c r="H2956" s="11" t="n">
        <x:v>0</x:v>
      </x:c>
      <x:c r="I2956" s="11" t="n">
        <x:v>0</x:v>
      </x:c>
      <x:c r="J2956" s="11" t="n">
        <x:v>0</x:v>
      </x:c>
      <x:c r="K2956" s="11" t="n">
        <x:v>1</x:v>
      </x:c>
      <x:c r="L2956" s="11" t="n">
        <x:f>IF(B2956="NED",1,IF(OR(B2956="ED",B2956="UN"),0,""))</x:f>
        <x:v>1</x:v>
      </x:c>
      <x:c r="M2956" s="11" t="n">
        <x:f>IF(AND(K2956=1,OR(B2956="ED",B2956="NED")),1,0)</x:f>
        <x:v>1</x:v>
      </x:c>
      <x:c r="N2956" s="11" t="n">
        <x:f>IF(K2956=1,1,0)</x:f>
        <x:v>1</x:v>
      </x:c>
      <x:c r="O2956" s="12"/>
      <x:c r="P2956" s="11" t="n">
        <x:v>0</x:v>
      </x:c>
      <x:c r="Q2956" s="12" t="str">
        <x:v>AF-Q9DCG9-F1-model_v6</x:v>
      </x:c>
      <x:c r="R2956" s="12" t="str">
        <x:v>ok</x:v>
      </x:c>
      <x:c r="S2956" s="11" t="n">
        <x:v>2425</x:v>
      </x:c>
      <x:c r="T2956" s="11" t="n">
        <x:v>125</x:v>
      </x:c>
    </x:row>
    <x:row r="2957" ht="23" customHeight="1">
      <x:c r="A2957" s="2" t="str">
        <x:v>Q9DCH4</x:v>
      </x:c>
      <x:c r="B2957" s="2" t="str">
        <x:v>NED</x:v>
      </x:c>
      <x:c r="C2957" s="2" t="n">
        <x:v>1</x:v>
      </x:c>
      <x:c r="D2957" s="2" t="n">
        <x:v>1</x:v>
      </x:c>
      <x:c r="E2957" s="10" t="n">
        <x:v>73.79072022160665</x:v>
      </x:c>
      <x:c r="F2957" s="11" t="n">
        <x:v>361</x:v>
      </x:c>
      <x:c r="G2957" s="11" t="n">
        <x:v>0</x:v>
      </x:c>
      <x:c r="H2957" s="11" t="n">
        <x:v>0</x:v>
      </x:c>
      <x:c r="I2957" s="11" t="n">
        <x:v>0</x:v>
      </x:c>
      <x:c r="J2957" s="11" t="n">
        <x:v>0</x:v>
      </x:c>
      <x:c r="K2957" s="11" t="n">
        <x:v>1</x:v>
      </x:c>
      <x:c r="L2957" s="11" t="n">
        <x:f>IF(B2957="NED",1,IF(OR(B2957="ED",B2957="UN"),0,""))</x:f>
        <x:v>1</x:v>
      </x:c>
      <x:c r="M2957" s="11" t="n">
        <x:f>IF(AND(K2957=1,OR(B2957="ED",B2957="NED")),1,0)</x:f>
        <x:v>1</x:v>
      </x:c>
      <x:c r="N2957" s="11" t="n">
        <x:f>IF(K2957=1,1,0)</x:f>
        <x:v>1</x:v>
      </x:c>
      <x:c r="O2957" s="12"/>
      <x:c r="P2957" s="11" t="n">
        <x:v>0</x:v>
      </x:c>
      <x:c r="Q2957" s="12" t="str">
        <x:v>AF-Q9DCH4-F1-model_v6</x:v>
      </x:c>
      <x:c r="R2957" s="12" t="str">
        <x:v>ok</x:v>
      </x:c>
      <x:c r="S2957" s="11" t="n">
        <x:v>2426</x:v>
      </x:c>
      <x:c r="T2957" s="11" t="n">
        <x:v>361</x:v>
      </x:c>
    </x:row>
    <x:row r="2958" ht="23" customHeight="1">
      <x:c r="A2958" s="2" t="str">
        <x:v>Q9DCJ5</x:v>
      </x:c>
      <x:c r="B2958" s="2" t="str">
        <x:v>NED</x:v>
      </x:c>
      <x:c r="C2958" s="2" t="n">
        <x:v>0</x:v>
      </x:c>
      <x:c r="D2958" s="2" t="n">
        <x:v>0</x:v>
      </x:c>
      <x:c r="E2958" s="10"/>
      <x:c r="F2958" s="11" t="n">
        <x:v>172</x:v>
      </x:c>
      <x:c r="G2958" s="11" t="n">
        <x:v>0</x:v>
      </x:c>
      <x:c r="H2958" s="11" t="n">
        <x:v>0</x:v>
      </x:c>
      <x:c r="I2958" s="11" t="n">
        <x:v>1</x:v>
      </x:c>
      <x:c r="J2958" s="11" t="n">
        <x:v>0</x:v>
      </x:c>
      <x:c r="K2958" s="11" t="n">
        <x:v>0</x:v>
      </x:c>
      <x:c r="L2958" s="11" t="n">
        <x:f>IF(B2958="NED",1,IF(OR(B2958="ED",B2958="UN"),0,""))</x:f>
        <x:v>1</x:v>
      </x:c>
      <x:c r="M2958" s="11" t="n">
        <x:f>IF(AND(K2958=1,OR(B2958="ED",B2958="NED")),1,0)</x:f>
        <x:v>0</x:v>
      </x:c>
      <x:c r="N2958" s="11" t="n">
        <x:f>IF(K2958=1,1,0)</x:f>
        <x:v>0</x:v>
      </x:c>
      <x:c r="O2958" s="12" t="str">
        <x:v>Exclude UniProt Membrane keyword</x:v>
      </x:c>
      <x:c r="P2958" s="11" t="n">
        <x:v>0</x:v>
      </x:c>
      <x:c r="Q2958" s="12" t="str">
        <x:v>AF-Q9DCJ5-F1-model_v6</x:v>
      </x:c>
      <x:c r="R2958" s="12" t="str">
        <x:v>ok</x:v>
      </x:c>
      <x:c r="S2958" s="11" t="n">
        <x:v>2427</x:v>
      </x:c>
      <x:c r="T2958" s="11" t="n">
        <x:v>172</x:v>
      </x:c>
    </x:row>
    <x:row r="2959" ht="23" customHeight="1">
      <x:c r="A2959" s="2" t="str">
        <x:v>Q9DCL9</x:v>
      </x:c>
      <x:c r="B2959" s="2" t="str">
        <x:v>ED</x:v>
      </x:c>
      <x:c r="C2959" s="2" t="n">
        <x:v>1</x:v>
      </x:c>
      <x:c r="D2959" s="2" t="n">
        <x:v>1</x:v>
      </x:c>
      <x:c r="E2959" s="10" t="n">
        <x:v>97.02762352941176</x:v>
      </x:c>
      <x:c r="F2959" s="11" t="n">
        <x:v>425</x:v>
      </x:c>
      <x:c r="G2959" s="11" t="n">
        <x:v>0</x:v>
      </x:c>
      <x:c r="H2959" s="11" t="n">
        <x:v>0</x:v>
      </x:c>
      <x:c r="I2959" s="11" t="n">
        <x:v>0</x:v>
      </x:c>
      <x:c r="J2959" s="11" t="n">
        <x:v>0</x:v>
      </x:c>
      <x:c r="K2959" s="11" t="n">
        <x:v>1</x:v>
      </x:c>
      <x:c r="L2959" s="11" t="n">
        <x:f>IF(B2959="NED",1,IF(OR(B2959="ED",B2959="UN"),0,""))</x:f>
        <x:v>0</x:v>
      </x:c>
      <x:c r="M2959" s="11" t="n">
        <x:f>IF(AND(K2959=1,OR(B2959="ED",B2959="NED")),1,0)</x:f>
        <x:v>1</x:v>
      </x:c>
      <x:c r="N2959" s="11" t="n">
        <x:f>IF(K2959=1,1,0)</x:f>
        <x:v>1</x:v>
      </x:c>
      <x:c r="O2959" s="12"/>
      <x:c r="P2959" s="11" t="n">
        <x:v>0</x:v>
      </x:c>
      <x:c r="Q2959" s="12" t="str">
        <x:v>AF-Q9DCL9-F1-model_v6</x:v>
      </x:c>
      <x:c r="R2959" s="12" t="str">
        <x:v>ok</x:v>
      </x:c>
      <x:c r="S2959" s="11" t="n">
        <x:v>2428</x:v>
      </x:c>
      <x:c r="T2959" s="11" t="n">
        <x:v>425</x:v>
      </x:c>
    </x:row>
    <x:row r="2960" ht="23" customHeight="1">
      <x:c r="A2960" s="2" t="str">
        <x:v>Q9DCM0</x:v>
      </x:c>
      <x:c r="B2960" s="2" t="str">
        <x:v>UN</x:v>
      </x:c>
      <x:c r="C2960" s="2" t="n">
        <x:v>1</x:v>
      </x:c>
      <x:c r="D2960" s="2" t="n">
        <x:v>1</x:v>
      </x:c>
      <x:c r="E2960" s="10" t="n">
        <x:v>92.90110236220472</x:v>
      </x:c>
      <x:c r="F2960" s="11" t="n">
        <x:v>254</x:v>
      </x:c>
      <x:c r="G2960" s="11" t="n">
        <x:v>0</x:v>
      </x:c>
      <x:c r="H2960" s="11" t="n">
        <x:v>0</x:v>
      </x:c>
      <x:c r="I2960" s="11" t="n">
        <x:v>0</x:v>
      </x:c>
      <x:c r="J2960" s="11" t="n">
        <x:v>0</x:v>
      </x:c>
      <x:c r="K2960" s="11" t="n">
        <x:v>1</x:v>
      </x:c>
      <x:c r="L2960" s="11" t="n">
        <x:f>IF(B2960="NED",1,IF(OR(B2960="ED",B2960="UN"),0,""))</x:f>
        <x:v>0</x:v>
      </x:c>
      <x:c r="M2960" s="11" t="n">
        <x:f>IF(AND(K2960=1,OR(B2960="ED",B2960="NED")),1,0)</x:f>
        <x:v>0</x:v>
      </x:c>
      <x:c r="N2960" s="11" t="n">
        <x:f>IF(K2960=1,1,0)</x:f>
        <x:v>1</x:v>
      </x:c>
      <x:c r="O2960" s="12"/>
      <x:c r="P2960" s="11" t="n">
        <x:v>0</x:v>
      </x:c>
      <x:c r="Q2960" s="12" t="str">
        <x:v>AF-Q9DCM0-F1-model_v6</x:v>
      </x:c>
      <x:c r="R2960" s="12" t="str">
        <x:v>ok</x:v>
      </x:c>
      <x:c r="S2960" s="11" t="n">
        <x:v>2429</x:v>
      </x:c>
      <x:c r="T2960" s="11" t="n">
        <x:v>254</x:v>
      </x:c>
    </x:row>
    <x:row r="2961" ht="23" customHeight="1">
      <x:c r="A2961" s="2" t="str">
        <x:v>Q9DCN2-2</x:v>
      </x:c>
      <x:c r="B2961" s="2" t="str">
        <x:v>ED</x:v>
      </x:c>
      <x:c r="C2961" s="2"/>
      <x:c r="D2961" s="2"/>
      <x:c r="E2961" s="10"/>
      <x:c r="F2961" s="11"/>
      <x:c r="G2961" s="11" t="n">
        <x:v>0</x:v>
      </x:c>
      <x:c r="H2961" s="11" t="n">
        <x:v>0</x:v>
      </x:c>
      <x:c r="I2961" s="11"/>
      <x:c r="J2961" s="11"/>
      <x:c r="K2961" s="11" t="n">
        <x:v>0</x:v>
      </x:c>
      <x:c r="L2961" s="11" t="n">
        <x:f>IF(B2961="NED",1,IF(OR(B2961="ED",B2961="UN"),0,""))</x:f>
        <x:v>0</x:v>
      </x:c>
      <x:c r="M2961" s="11" t="n">
        <x:f>IF(AND(K2961=1,OR(B2961="ED",B2961="NED")),1,0)</x:f>
        <x:v>0</x:v>
      </x:c>
      <x:c r="N2961" s="11" t="n">
        <x:f>IF(K2961=1,1,0)</x:f>
        <x:v>0</x:v>
      </x:c>
      <x:c r="O2961" s="12" t="str">
        <x:v>Require exact native accession match</x:v>
      </x:c>
      <x:c r="P2961" s="11" t="n">
        <x:v>0</x:v>
      </x:c>
      <x:c r="Q2961" s="12"/>
      <x:c r="R2961" s="12"/>
      <x:c r="S2961" s="11" t="n">
        <x:v>2430</x:v>
      </x:c>
      <x:c r="T2961" s="11"/>
    </x:row>
    <x:row r="2962" ht="23" customHeight="1">
      <x:c r="A2962" s="2" t="str">
        <x:v>Q9DCS3</x:v>
      </x:c>
      <x:c r="B2962" s="2" t="str">
        <x:v>ED</x:v>
      </x:c>
      <x:c r="C2962" s="2" t="n">
        <x:v>1</x:v>
      </x:c>
      <x:c r="D2962" s="2" t="n">
        <x:v>1</x:v>
      </x:c>
      <x:c r="E2962" s="10" t="n">
        <x:v>90.12967828418232</x:v>
      </x:c>
      <x:c r="F2962" s="11" t="n">
        <x:v>373</x:v>
      </x:c>
      <x:c r="G2962" s="11" t="n">
        <x:v>0</x:v>
      </x:c>
      <x:c r="H2962" s="11" t="n">
        <x:v>0</x:v>
      </x:c>
      <x:c r="I2962" s="11" t="n">
        <x:v>0</x:v>
      </x:c>
      <x:c r="J2962" s="11" t="n">
        <x:v>0</x:v>
      </x:c>
      <x:c r="K2962" s="11" t="n">
        <x:v>1</x:v>
      </x:c>
      <x:c r="L2962" s="11" t="n">
        <x:f>IF(B2962="NED",1,IF(OR(B2962="ED",B2962="UN"),0,""))</x:f>
        <x:v>0</x:v>
      </x:c>
      <x:c r="M2962" s="11" t="n">
        <x:f>IF(AND(K2962=1,OR(B2962="ED",B2962="NED")),1,0)</x:f>
        <x:v>1</x:v>
      </x:c>
      <x:c r="N2962" s="11" t="n">
        <x:f>IF(K2962=1,1,0)</x:f>
        <x:v>1</x:v>
      </x:c>
      <x:c r="O2962" s="12"/>
      <x:c r="P2962" s="11" t="n">
        <x:v>0</x:v>
      </x:c>
      <x:c r="Q2962" s="12" t="str">
        <x:v>AF-Q9DCS3-F1-model_v6</x:v>
      </x:c>
      <x:c r="R2962" s="12" t="str">
        <x:v>ok</x:v>
      </x:c>
      <x:c r="S2962" s="11" t="n">
        <x:v>2431</x:v>
      </x:c>
      <x:c r="T2962" s="11" t="n">
        <x:v>373</x:v>
      </x:c>
    </x:row>
    <x:row r="2963" ht="23" customHeight="1">
      <x:c r="A2963" s="2" t="str">
        <x:v>Q9DCS9</x:v>
      </x:c>
      <x:c r="B2963" s="2" t="str">
        <x:v>UN</x:v>
      </x:c>
      <x:c r="C2963" s="2" t="n">
        <x:v>0</x:v>
      </x:c>
      <x:c r="D2963" s="2" t="n">
        <x:v>0</x:v>
      </x:c>
      <x:c r="E2963" s="10"/>
      <x:c r="F2963" s="11" t="n">
        <x:v>176</x:v>
      </x:c>
      <x:c r="G2963" s="11" t="n">
        <x:v>0</x:v>
      </x:c>
      <x:c r="H2963" s="11" t="n">
        <x:v>0</x:v>
      </x:c>
      <x:c r="I2963" s="11" t="n">
        <x:v>1</x:v>
      </x:c>
      <x:c r="J2963" s="11" t="n">
        <x:v>0</x:v>
      </x:c>
      <x:c r="K2963" s="11" t="n">
        <x:v>0</x:v>
      </x:c>
      <x:c r="L2963" s="11" t="n">
        <x:f>IF(B2963="NED",1,IF(OR(B2963="ED",B2963="UN"),0,""))</x:f>
        <x:v>0</x:v>
      </x:c>
      <x:c r="M2963" s="11" t="n">
        <x:f>IF(AND(K2963=1,OR(B2963="ED",B2963="NED")),1,0)</x:f>
        <x:v>0</x:v>
      </x:c>
      <x:c r="N2963" s="11" t="n">
        <x:f>IF(K2963=1,1,0)</x:f>
        <x:v>0</x:v>
      </x:c>
      <x:c r="O2963" s="12" t="str">
        <x:v>Exclude UniProt Membrane keyword</x:v>
      </x:c>
      <x:c r="P2963" s="11" t="n">
        <x:v>0</x:v>
      </x:c>
      <x:c r="Q2963" s="12" t="str">
        <x:v>AF-Q9DCS9-F1-model_v6</x:v>
      </x:c>
      <x:c r="R2963" s="12" t="str">
        <x:v>ok</x:v>
      </x:c>
      <x:c r="S2963" s="11" t="n">
        <x:v>2432</x:v>
      </x:c>
      <x:c r="T2963" s="11" t="n">
        <x:v>176</x:v>
      </x:c>
    </x:row>
    <x:row r="2964" ht="23" customHeight="1">
      <x:c r="A2964" s="2" t="str">
        <x:v>Q9DCT6-2</x:v>
      </x:c>
      <x:c r="B2964" s="2" t="str">
        <x:v>NED</x:v>
      </x:c>
      <x:c r="C2964" s="2"/>
      <x:c r="D2964" s="2"/>
      <x:c r="E2964" s="10"/>
      <x:c r="F2964" s="11"/>
      <x:c r="G2964" s="11" t="n">
        <x:v>0</x:v>
      </x:c>
      <x:c r="H2964" s="11" t="n">
        <x:v>0</x:v>
      </x:c>
      <x:c r="I2964" s="11"/>
      <x:c r="J2964" s="11"/>
      <x:c r="K2964" s="11" t="n">
        <x:v>0</x:v>
      </x:c>
      <x:c r="L2964" s="11" t="n">
        <x:f>IF(B2964="NED",1,IF(OR(B2964="ED",B2964="UN"),0,""))</x:f>
        <x:v>1</x:v>
      </x:c>
      <x:c r="M2964" s="11" t="n">
        <x:f>IF(AND(K2964=1,OR(B2964="ED",B2964="NED")),1,0)</x:f>
        <x:v>0</x:v>
      </x:c>
      <x:c r="N2964" s="11" t="n">
        <x:f>IF(K2964=1,1,0)</x:f>
        <x:v>0</x:v>
      </x:c>
      <x:c r="O2964" s="12" t="str">
        <x:v>Require exact native accession match</x:v>
      </x:c>
      <x:c r="P2964" s="11" t="n">
        <x:v>0</x:v>
      </x:c>
      <x:c r="Q2964" s="12"/>
      <x:c r="R2964" s="12"/>
      <x:c r="S2964" s="11" t="n">
        <x:v>2433</x:v>
      </x:c>
      <x:c r="T2964" s="11"/>
    </x:row>
    <x:row r="2965" ht="23" customHeight="1">
      <x:c r="A2965" s="2" t="str">
        <x:v>Q9DCU6</x:v>
      </x:c>
      <x:c r="B2965" s="2" t="str">
        <x:v>UN</x:v>
      </x:c>
      <x:c r="C2965" s="2" t="n">
        <x:v>1</x:v>
      </x:c>
      <x:c r="D2965" s="2" t="n">
        <x:v>1</x:v>
      </x:c>
      <x:c r="E2965" s="10" t="n">
        <x:v>86.95785714285715</x:v>
      </x:c>
      <x:c r="F2965" s="11" t="n">
        <x:v>294</x:v>
      </x:c>
      <x:c r="G2965" s="11" t="n">
        <x:v>0</x:v>
      </x:c>
      <x:c r="H2965" s="11" t="n">
        <x:v>0</x:v>
      </x:c>
      <x:c r="I2965" s="11" t="n">
        <x:v>0</x:v>
      </x:c>
      <x:c r="J2965" s="11" t="n">
        <x:v>0</x:v>
      </x:c>
      <x:c r="K2965" s="11" t="n">
        <x:v>1</x:v>
      </x:c>
      <x:c r="L2965" s="11" t="n">
        <x:f>IF(B2965="NED",1,IF(OR(B2965="ED",B2965="UN"),0,""))</x:f>
        <x:v>0</x:v>
      </x:c>
      <x:c r="M2965" s="11" t="n">
        <x:f>IF(AND(K2965=1,OR(B2965="ED",B2965="NED")),1,0)</x:f>
        <x:v>0</x:v>
      </x:c>
      <x:c r="N2965" s="11" t="n">
        <x:f>IF(K2965=1,1,0)</x:f>
        <x:v>1</x:v>
      </x:c>
      <x:c r="O2965" s="12"/>
      <x:c r="P2965" s="11" t="n">
        <x:v>0</x:v>
      </x:c>
      <x:c r="Q2965" s="12" t="str">
        <x:v>AF-Q9DCU6-F1-model_v6</x:v>
      </x:c>
      <x:c r="R2965" s="12" t="str">
        <x:v>ok</x:v>
      </x:c>
      <x:c r="S2965" s="11" t="n">
        <x:v>2434</x:v>
      </x:c>
      <x:c r="T2965" s="11" t="n">
        <x:v>294</x:v>
      </x:c>
    </x:row>
    <x:row r="2966" ht="23" customHeight="1">
      <x:c r="A2966" s="2" t="str">
        <x:v>Q9DCW4</x:v>
      </x:c>
      <x:c r="B2966" s="2" t="str">
        <x:v>NED</x:v>
      </x:c>
      <x:c r="C2966" s="2" t="n">
        <x:v>1</x:v>
      </x:c>
      <x:c r="D2966" s="2" t="n">
        <x:v>1</x:v>
      </x:c>
      <x:c r="E2966" s="10" t="n">
        <x:v>96.85007843137257</x:v>
      </x:c>
      <x:c r="F2966" s="11" t="n">
        <x:v>255</x:v>
      </x:c>
      <x:c r="G2966" s="11" t="n">
        <x:v>0</x:v>
      </x:c>
      <x:c r="H2966" s="11" t="n">
        <x:v>0</x:v>
      </x:c>
      <x:c r="I2966" s="11" t="n">
        <x:v>0</x:v>
      </x:c>
      <x:c r="J2966" s="11" t="n">
        <x:v>0</x:v>
      </x:c>
      <x:c r="K2966" s="11" t="n">
        <x:v>1</x:v>
      </x:c>
      <x:c r="L2966" s="11" t="n">
        <x:f>IF(B2966="NED",1,IF(OR(B2966="ED",B2966="UN"),0,""))</x:f>
        <x:v>1</x:v>
      </x:c>
      <x:c r="M2966" s="11" t="n">
        <x:f>IF(AND(K2966=1,OR(B2966="ED",B2966="NED")),1,0)</x:f>
        <x:v>1</x:v>
      </x:c>
      <x:c r="N2966" s="11" t="n">
        <x:f>IF(K2966=1,1,0)</x:f>
        <x:v>1</x:v>
      </x:c>
      <x:c r="O2966" s="12"/>
      <x:c r="P2966" s="11" t="n">
        <x:v>0</x:v>
      </x:c>
      <x:c r="Q2966" s="12" t="str">
        <x:v>AF-Q9DCW4-F1-model_v6</x:v>
      </x:c>
      <x:c r="R2966" s="12" t="str">
        <x:v>ok</x:v>
      </x:c>
      <x:c r="S2966" s="11" t="n">
        <x:v>2435</x:v>
      </x:c>
      <x:c r="T2966" s="11" t="n">
        <x:v>255</x:v>
      </x:c>
    </x:row>
    <x:row r="2967" ht="23" customHeight="1">
      <x:c r="A2967" s="2" t="str">
        <x:v>Q9EP69</x:v>
      </x:c>
      <x:c r="B2967" s="2" t="str">
        <x:v>UN</x:v>
      </x:c>
      <x:c r="C2967" s="2" t="n">
        <x:v>1</x:v>
      </x:c>
      <x:c r="D2967" s="2" t="n">
        <x:v>1</x:v>
      </x:c>
      <x:c r="E2967" s="10"/>
      <x:c r="F2967" s="11" t="n">
        <x:v>587</x:v>
      </x:c>
      <x:c r="G2967" s="11" t="n">
        <x:v>0</x:v>
      </x:c>
      <x:c r="H2967" s="11" t="n">
        <x:v>0</x:v>
      </x:c>
      <x:c r="I2967" s="11" t="n">
        <x:v>1</x:v>
      </x:c>
      <x:c r="J2967" s="11" t="n">
        <x:v>0</x:v>
      </x:c>
      <x:c r="K2967" s="11" t="n">
        <x:v>0</x:v>
      </x:c>
      <x:c r="L2967" s="11" t="n">
        <x:f>IF(B2967="NED",1,IF(OR(B2967="ED",B2967="UN"),0,""))</x:f>
        <x:v>0</x:v>
      </x:c>
      <x:c r="M2967" s="11" t="n">
        <x:f>IF(AND(K2967=1,OR(B2967="ED",B2967="NED")),1,0)</x:f>
        <x:v>0</x:v>
      </x:c>
      <x:c r="N2967" s="11" t="n">
        <x:f>IF(K2967=1,1,0)</x:f>
        <x:v>0</x:v>
      </x:c>
      <x:c r="O2967" s="12" t="str">
        <x:v>Exclude UniProt Membrane keyword</x:v>
      </x:c>
      <x:c r="P2967" s="11" t="n">
        <x:v>0</x:v>
      </x:c>
      <x:c r="Q2967" s="12" t="str">
        <x:v>AF-Q9EP69-F1-model_v6</x:v>
      </x:c>
      <x:c r="R2967" s="12" t="str">
        <x:v>ok</x:v>
      </x:c>
      <x:c r="S2967" s="11" t="n">
        <x:v>2436</x:v>
      </x:c>
      <x:c r="T2967" s="11" t="n">
        <x:v>587</x:v>
      </x:c>
    </x:row>
    <x:row r="2968" ht="23" customHeight="1">
      <x:c r="A2968" s="2" t="str">
        <x:v>Q9EP71</x:v>
      </x:c>
      <x:c r="B2968" s="2" t="str">
        <x:v>ED</x:v>
      </x:c>
      <x:c r="C2968" s="2" t="n">
        <x:v>0</x:v>
      </x:c>
      <x:c r="D2968" s="2" t="n">
        <x:v>0</x:v>
      </x:c>
      <x:c r="E2968" s="10" t="n">
        <x:v>72.56968335035751</x:v>
      </x:c>
      <x:c r="F2968" s="11" t="n">
        <x:v>979</x:v>
      </x:c>
      <x:c r="G2968" s="11" t="n">
        <x:v>0</x:v>
      </x:c>
      <x:c r="H2968" s="11" t="n">
        <x:v>0</x:v>
      </x:c>
      <x:c r="I2968" s="11" t="n">
        <x:v>0</x:v>
      </x:c>
      <x:c r="J2968" s="11" t="n">
        <x:v>0</x:v>
      </x:c>
      <x:c r="K2968" s="11" t="n">
        <x:v>1</x:v>
      </x:c>
      <x:c r="L2968" s="11" t="n">
        <x:f>IF(B2968="NED",1,IF(OR(B2968="ED",B2968="UN"),0,""))</x:f>
        <x:v>0</x:v>
      </x:c>
      <x:c r="M2968" s="11" t="n">
        <x:f>IF(AND(K2968=1,OR(B2968="ED",B2968="NED")),1,0)</x:f>
        <x:v>1</x:v>
      </x:c>
      <x:c r="N2968" s="11" t="n">
        <x:f>IF(K2968=1,1,0)</x:f>
        <x:v>1</x:v>
      </x:c>
      <x:c r="O2968" s="12"/>
      <x:c r="P2968" s="11" t="n">
        <x:v>0</x:v>
      </x:c>
      <x:c r="Q2968" s="12" t="str">
        <x:v>AF-Q9EP71-F1-model_v6</x:v>
      </x:c>
      <x:c r="R2968" s="12" t="str">
        <x:v>ok</x:v>
      </x:c>
      <x:c r="S2968" s="11" t="n">
        <x:v>2437</x:v>
      </x:c>
      <x:c r="T2968" s="11" t="n">
        <x:v>979</x:v>
      </x:c>
    </x:row>
    <x:row r="2969" ht="23" customHeight="1">
      <x:c r="A2969" s="2" t="str">
        <x:v>Q9EP72</x:v>
      </x:c>
      <x:c r="B2969" s="2" t="str">
        <x:v>ED</x:v>
      </x:c>
      <x:c r="C2969" s="2" t="n">
        <x:v>0</x:v>
      </x:c>
      <x:c r="D2969" s="2" t="n">
        <x:v>0</x:v>
      </x:c>
      <x:c r="E2969" s="10"/>
      <x:c r="F2969" s="11" t="n">
        <x:v>241</x:v>
      </x:c>
      <x:c r="G2969" s="11" t="n">
        <x:v>0</x:v>
      </x:c>
      <x:c r="H2969" s="11" t="n">
        <x:v>0</x:v>
      </x:c>
      <x:c r="I2969" s="11" t="n">
        <x:v>1</x:v>
      </x:c>
      <x:c r="J2969" s="11" t="n">
        <x:v>0</x:v>
      </x:c>
      <x:c r="K2969" s="11" t="n">
        <x:v>0</x:v>
      </x:c>
      <x:c r="L2969" s="11" t="n">
        <x:f>IF(B2969="NED",1,IF(OR(B2969="ED",B2969="UN"),0,""))</x:f>
        <x:v>0</x:v>
      </x:c>
      <x:c r="M2969" s="11" t="n">
        <x:f>IF(AND(K2969=1,OR(B2969="ED",B2969="NED")),1,0)</x:f>
        <x:v>0</x:v>
      </x:c>
      <x:c r="N2969" s="11" t="n">
        <x:f>IF(K2969=1,1,0)</x:f>
        <x:v>0</x:v>
      </x:c>
      <x:c r="O2969" s="12" t="str">
        <x:v>Exclude UniProt Membrane keyword</x:v>
      </x:c>
      <x:c r="P2969" s="11" t="n">
        <x:v>0</x:v>
      </x:c>
      <x:c r="Q2969" s="12" t="str">
        <x:v>AF-Q9EP72-F1-model_v6</x:v>
      </x:c>
      <x:c r="R2969" s="12" t="str">
        <x:v>ok</x:v>
      </x:c>
      <x:c r="S2969" s="11" t="n">
        <x:v>2438</x:v>
      </x:c>
      <x:c r="T2969" s="11" t="n">
        <x:v>241</x:v>
      </x:c>
    </x:row>
    <x:row r="2970" ht="23" customHeight="1">
      <x:c r="A2970" s="2" t="str">
        <x:v>Q9EP97</x:v>
      </x:c>
      <x:c r="B2970" s="2" t="str">
        <x:v>UN</x:v>
      </x:c>
      <x:c r="C2970" s="2" t="n">
        <x:v>1</x:v>
      </x:c>
      <x:c r="D2970" s="2"/>
      <x:c r="E2970" s="10" t="n">
        <x:v>64.79392605633802</x:v>
      </x:c>
      <x:c r="F2970" s="11" t="n">
        <x:v>568</x:v>
      </x:c>
      <x:c r="G2970" s="11" t="n">
        <x:v>0</x:v>
      </x:c>
      <x:c r="H2970" s="11" t="n">
        <x:v>0</x:v>
      </x:c>
      <x:c r="I2970" s="11" t="n">
        <x:v>0</x:v>
      </x:c>
      <x:c r="J2970" s="11" t="n">
        <x:v>0</x:v>
      </x:c>
      <x:c r="K2970" s="11" t="n">
        <x:v>0</x:v>
      </x:c>
      <x:c r="L2970" s="11" t="n">
        <x:f>IF(B2970="NED",1,IF(OR(B2970="ED",B2970="UN"),0,""))</x:f>
        <x:v>0</x:v>
      </x:c>
      <x:c r="M2970" s="11" t="n">
        <x:f>IF(AND(K2970=1,OR(B2970="ED",B2970="NED")),1,0)</x:f>
        <x:v>0</x:v>
      </x:c>
      <x:c r="N2970" s="11" t="n">
        <x:f>IF(K2970=1,1,0)</x:f>
        <x:v>0</x:v>
      </x:c>
      <x:c r="O2970" s="12" t="str">
        <x:v>Retain protein mean pLDDT &gt;=70</x:v>
      </x:c>
      <x:c r="P2970" s="11" t="n">
        <x:v>0</x:v>
      </x:c>
      <x:c r="Q2970" s="12" t="str">
        <x:v>AF-Q9EP97-F1-model_v6</x:v>
      </x:c>
      <x:c r="R2970" s="12" t="str">
        <x:v>ok</x:v>
      </x:c>
      <x:c r="S2970" s="11" t="n">
        <x:v>2439</x:v>
      </x:c>
      <x:c r="T2970" s="11" t="n">
        <x:v>568</x:v>
      </x:c>
    </x:row>
    <x:row r="2971" ht="23" customHeight="1">
      <x:c r="A2971" s="2" t="str">
        <x:v>Q9EPE9</x:v>
      </x:c>
      <x:c r="B2971" s="2" t="str">
        <x:v>UN</x:v>
      </x:c>
      <x:c r="C2971" s="2" t="n">
        <x:v>1</x:v>
      </x:c>
      <x:c r="D2971" s="2" t="n">
        <x:v>1</x:v>
      </x:c>
      <x:c r="E2971" s="10"/>
      <x:c r="F2971" s="11" t="n">
        <x:v>1200</x:v>
      </x:c>
      <x:c r="G2971" s="11" t="n">
        <x:v>0</x:v>
      </x:c>
      <x:c r="H2971" s="11" t="n">
        <x:v>0</x:v>
      </x:c>
      <x:c r="I2971" s="11" t="n">
        <x:v>1</x:v>
      </x:c>
      <x:c r="J2971" s="11" t="n">
        <x:v>0</x:v>
      </x:c>
      <x:c r="K2971" s="11" t="n">
        <x:v>0</x:v>
      </x:c>
      <x:c r="L2971" s="11" t="n">
        <x:f>IF(B2971="NED",1,IF(OR(B2971="ED",B2971="UN"),0,""))</x:f>
        <x:v>0</x:v>
      </x:c>
      <x:c r="M2971" s="11" t="n">
        <x:f>IF(AND(K2971=1,OR(B2971="ED",B2971="NED")),1,0)</x:f>
        <x:v>0</x:v>
      </x:c>
      <x:c r="N2971" s="11" t="n">
        <x:f>IF(K2971=1,1,0)</x:f>
        <x:v>0</x:v>
      </x:c>
      <x:c r="O2971" s="12" t="str">
        <x:v>Exclude UniProt Membrane keyword</x:v>
      </x:c>
      <x:c r="P2971" s="11" t="n">
        <x:v>0</x:v>
      </x:c>
      <x:c r="Q2971" s="12" t="str">
        <x:v>AF-Q9EPE9-F1-model_v6</x:v>
      </x:c>
      <x:c r="R2971" s="12" t="str">
        <x:v>ok</x:v>
      </x:c>
      <x:c r="S2971" s="11" t="n">
        <x:v>2440</x:v>
      </x:c>
      <x:c r="T2971" s="11" t="n">
        <x:v>1200</x:v>
      </x:c>
    </x:row>
    <x:row r="2972" ht="23" customHeight="1">
      <x:c r="A2972" s="2" t="str">
        <x:v>Q9EPK5</x:v>
      </x:c>
      <x:c r="B2972" s="2" t="str">
        <x:v>NED</x:v>
      </x:c>
      <x:c r="C2972" s="2" t="n">
        <x:v>1</x:v>
      </x:c>
      <x:c r="D2972" s="2"/>
      <x:c r="E2972" s="10"/>
      <x:c r="F2972" s="11" t="n">
        <x:v>395</x:v>
      </x:c>
      <x:c r="G2972" s="11" t="n">
        <x:v>0</x:v>
      </x:c>
      <x:c r="H2972" s="11" t="n">
        <x:v>0</x:v>
      </x:c>
      <x:c r="I2972" s="11" t="n">
        <x:v>1</x:v>
      </x:c>
      <x:c r="J2972" s="11" t="n">
        <x:v>0</x:v>
      </x:c>
      <x:c r="K2972" s="11" t="n">
        <x:v>0</x:v>
      </x:c>
      <x:c r="L2972" s="11" t="n">
        <x:f>IF(B2972="NED",1,IF(OR(B2972="ED",B2972="UN"),0,""))</x:f>
        <x:v>1</x:v>
      </x:c>
      <x:c r="M2972" s="11" t="n">
        <x:f>IF(AND(K2972=1,OR(B2972="ED",B2972="NED")),1,0)</x:f>
        <x:v>0</x:v>
      </x:c>
      <x:c r="N2972" s="11" t="n">
        <x:f>IF(K2972=1,1,0)</x:f>
        <x:v>0</x:v>
      </x:c>
      <x:c r="O2972" s="12" t="str">
        <x:v>Exclude UniProt Membrane keyword</x:v>
      </x:c>
      <x:c r="P2972" s="11" t="n">
        <x:v>0</x:v>
      </x:c>
      <x:c r="Q2972" s="12" t="str">
        <x:v>AF-Q9EPK5-F1-model_v6</x:v>
      </x:c>
      <x:c r="R2972" s="12" t="str">
        <x:v>ok</x:v>
      </x:c>
      <x:c r="S2972" s="11" t="n">
        <x:v>2441</x:v>
      </x:c>
      <x:c r="T2972" s="11" t="n">
        <x:v>395</x:v>
      </x:c>
    </x:row>
    <x:row r="2973" ht="23" customHeight="1">
      <x:c r="A2973" s="2" t="str">
        <x:v>Q9EPK7</x:v>
      </x:c>
      <x:c r="B2973" s="2" t="str">
        <x:v>ED</x:v>
      </x:c>
      <x:c r="C2973" s="2" t="n">
        <x:v>0</x:v>
      </x:c>
      <x:c r="D2973" s="2" t="n">
        <x:v>0</x:v>
      </x:c>
      <x:c r="E2973" s="10" t="n">
        <x:v>87.5009383624655</x:v>
      </x:c>
      <x:c r="F2973" s="11" t="n">
        <x:v>1087</x:v>
      </x:c>
      <x:c r="G2973" s="11" t="n">
        <x:v>0</x:v>
      </x:c>
      <x:c r="H2973" s="11" t="n">
        <x:v>0</x:v>
      </x:c>
      <x:c r="I2973" s="11" t="n">
        <x:v>0</x:v>
      </x:c>
      <x:c r="J2973" s="11" t="n">
        <x:v>0</x:v>
      </x:c>
      <x:c r="K2973" s="11" t="n">
        <x:v>1</x:v>
      </x:c>
      <x:c r="L2973" s="11" t="n">
        <x:f>IF(B2973="NED",1,IF(OR(B2973="ED",B2973="UN"),0,""))</x:f>
        <x:v>0</x:v>
      </x:c>
      <x:c r="M2973" s="11" t="n">
        <x:f>IF(AND(K2973=1,OR(B2973="ED",B2973="NED")),1,0)</x:f>
        <x:v>1</x:v>
      </x:c>
      <x:c r="N2973" s="11" t="n">
        <x:f>IF(K2973=1,1,0)</x:f>
        <x:v>1</x:v>
      </x:c>
      <x:c r="O2973" s="12"/>
      <x:c r="P2973" s="11" t="n">
        <x:v>0</x:v>
      </x:c>
      <x:c r="Q2973" s="12" t="str">
        <x:v>AF-Q9EPK7-F1-model_v6</x:v>
      </x:c>
      <x:c r="R2973" s="12" t="str">
        <x:v>ok</x:v>
      </x:c>
      <x:c r="S2973" s="11" t="n">
        <x:v>2442</x:v>
      </x:c>
      <x:c r="T2973" s="11" t="n">
        <x:v>1087</x:v>
      </x:c>
    </x:row>
    <x:row r="2974" ht="23" customHeight="1">
      <x:c r="A2974" s="2" t="str">
        <x:v>Q9EPL8</x:v>
      </x:c>
      <x:c r="B2974" s="2" t="str">
        <x:v>ED</x:v>
      </x:c>
      <x:c r="C2974" s="2" t="n">
        <x:v>1</x:v>
      </x:c>
      <x:c r="D2974" s="2" t="n">
        <x:v>1</x:v>
      </x:c>
      <x:c r="E2974" s="10" t="n">
        <x:v>88.4095183044316</x:v>
      </x:c>
      <x:c r="F2974" s="11" t="n">
        <x:v>1038</x:v>
      </x:c>
      <x:c r="G2974" s="11" t="n">
        <x:v>0</x:v>
      </x:c>
      <x:c r="H2974" s="11" t="n">
        <x:v>0</x:v>
      </x:c>
      <x:c r="I2974" s="11" t="n">
        <x:v>0</x:v>
      </x:c>
      <x:c r="J2974" s="11" t="n">
        <x:v>0</x:v>
      </x:c>
      <x:c r="K2974" s="11" t="n">
        <x:v>1</x:v>
      </x:c>
      <x:c r="L2974" s="11" t="n">
        <x:f>IF(B2974="NED",1,IF(OR(B2974="ED",B2974="UN"),0,""))</x:f>
        <x:v>0</x:v>
      </x:c>
      <x:c r="M2974" s="11" t="n">
        <x:f>IF(AND(K2974=1,OR(B2974="ED",B2974="NED")),1,0)</x:f>
        <x:v>1</x:v>
      </x:c>
      <x:c r="N2974" s="11" t="n">
        <x:f>IF(K2974=1,1,0)</x:f>
        <x:v>1</x:v>
      </x:c>
      <x:c r="O2974" s="12"/>
      <x:c r="P2974" s="11" t="n">
        <x:v>0</x:v>
      </x:c>
      <x:c r="Q2974" s="12" t="str">
        <x:v>AF-Q9EPL8-F1-model_v6</x:v>
      </x:c>
      <x:c r="R2974" s="12" t="str">
        <x:v>ok</x:v>
      </x:c>
      <x:c r="S2974" s="11" t="n">
        <x:v>2443</x:v>
      </x:c>
      <x:c r="T2974" s="11" t="n">
        <x:v>1038</x:v>
      </x:c>
    </x:row>
    <x:row r="2975" ht="23" customHeight="1">
      <x:c r="A2975" s="2" t="str">
        <x:v>Q9EPN1-3</x:v>
      </x:c>
      <x:c r="B2975" s="2" t="str">
        <x:v>ED</x:v>
      </x:c>
      <x:c r="C2975" s="2"/>
      <x:c r="D2975" s="2"/>
      <x:c r="E2975" s="10"/>
      <x:c r="F2975" s="11"/>
      <x:c r="G2975" s="11" t="n">
        <x:v>0</x:v>
      </x:c>
      <x:c r="H2975" s="11" t="n">
        <x:v>0</x:v>
      </x:c>
      <x:c r="I2975" s="11"/>
      <x:c r="J2975" s="11"/>
      <x:c r="K2975" s="11" t="n">
        <x:v>0</x:v>
      </x:c>
      <x:c r="L2975" s="11" t="n">
        <x:f>IF(B2975="NED",1,IF(OR(B2975="ED",B2975="UN"),0,""))</x:f>
        <x:v>0</x:v>
      </x:c>
      <x:c r="M2975" s="11" t="n">
        <x:f>IF(AND(K2975=1,OR(B2975="ED",B2975="NED")),1,0)</x:f>
        <x:v>0</x:v>
      </x:c>
      <x:c r="N2975" s="11" t="n">
        <x:f>IF(K2975=1,1,0)</x:f>
        <x:v>0</x:v>
      </x:c>
      <x:c r="O2975" s="12" t="str">
        <x:v>Require exact native accession match</x:v>
      </x:c>
      <x:c r="P2975" s="11" t="n">
        <x:v>0</x:v>
      </x:c>
      <x:c r="Q2975" s="12"/>
      <x:c r="R2975" s="12"/>
      <x:c r="S2975" s="11" t="n">
        <x:v>2444</x:v>
      </x:c>
      <x:c r="T2975" s="11"/>
    </x:row>
    <x:row r="2976" ht="23" customHeight="1">
      <x:c r="A2976" s="2" t="str">
        <x:v>Q9EPQ8-2</x:v>
      </x:c>
      <x:c r="B2976" s="2" t="str">
        <x:v>UN</x:v>
      </x:c>
      <x:c r="C2976" s="2"/>
      <x:c r="D2976" s="2"/>
      <x:c r="E2976" s="10"/>
      <x:c r="F2976" s="11"/>
      <x:c r="G2976" s="11" t="n">
        <x:v>0</x:v>
      </x:c>
      <x:c r="H2976" s="11" t="n">
        <x:v>0</x:v>
      </x:c>
      <x:c r="I2976" s="11"/>
      <x:c r="J2976" s="11"/>
      <x:c r="K2976" s="11" t="n">
        <x:v>0</x:v>
      </x:c>
      <x:c r="L2976" s="11" t="n">
        <x:f>IF(B2976="NED",1,IF(OR(B2976="ED",B2976="UN"),0,""))</x:f>
        <x:v>0</x:v>
      </x:c>
      <x:c r="M2976" s="11" t="n">
        <x:f>IF(AND(K2976=1,OR(B2976="ED",B2976="NED")),1,0)</x:f>
        <x:v>0</x:v>
      </x:c>
      <x:c r="N2976" s="11" t="n">
        <x:f>IF(K2976=1,1,0)</x:f>
        <x:v>0</x:v>
      </x:c>
      <x:c r="O2976" s="12" t="str">
        <x:v>Require exact native accession match</x:v>
      </x:c>
      <x:c r="P2976" s="11" t="n">
        <x:v>0</x:v>
      </x:c>
      <x:c r="Q2976" s="12"/>
      <x:c r="R2976" s="12"/>
      <x:c r="S2976" s="11" t="n">
        <x:v>2445</x:v>
      </x:c>
      <x:c r="T2976" s="11"/>
    </x:row>
    <x:row r="2977" ht="23" customHeight="1">
      <x:c r="A2977" s="2" t="str">
        <x:v>Q9EPU0-2</x:v>
      </x:c>
      <x:c r="B2977" s="2" t="str">
        <x:v>ED</x:v>
      </x:c>
      <x:c r="C2977" s="2"/>
      <x:c r="D2977" s="2"/>
      <x:c r="E2977" s="10"/>
      <x:c r="F2977" s="11"/>
      <x:c r="G2977" s="11" t="n">
        <x:v>0</x:v>
      </x:c>
      <x:c r="H2977" s="11" t="n">
        <x:v>0</x:v>
      </x:c>
      <x:c r="I2977" s="11"/>
      <x:c r="J2977" s="11"/>
      <x:c r="K2977" s="11" t="n">
        <x:v>0</x:v>
      </x:c>
      <x:c r="L2977" s="11" t="n">
        <x:f>IF(B2977="NED",1,IF(OR(B2977="ED",B2977="UN"),0,""))</x:f>
        <x:v>0</x:v>
      </x:c>
      <x:c r="M2977" s="11" t="n">
        <x:f>IF(AND(K2977=1,OR(B2977="ED",B2977="NED")),1,0)</x:f>
        <x:v>0</x:v>
      </x:c>
      <x:c r="N2977" s="11" t="n">
        <x:f>IF(K2977=1,1,0)</x:f>
        <x:v>0</x:v>
      </x:c>
      <x:c r="O2977" s="12" t="str">
        <x:v>Require exact native accession match</x:v>
      </x:c>
      <x:c r="P2977" s="11" t="n">
        <x:v>0</x:v>
      </x:c>
      <x:c r="Q2977" s="12"/>
      <x:c r="R2977" s="12"/>
      <x:c r="S2977" s="11" t="n">
        <x:v>2446</x:v>
      </x:c>
      <x:c r="T2977" s="11"/>
    </x:row>
    <x:row r="2978" ht="23" customHeight="1">
      <x:c r="A2978" s="2" t="str">
        <x:v>Q9EPU4</x:v>
      </x:c>
      <x:c r="B2978" s="2" t="str">
        <x:v>NED</x:v>
      </x:c>
      <x:c r="C2978" s="2" t="n">
        <x:v>1</x:v>
      </x:c>
      <x:c r="D2978" s="2" t="n">
        <x:v>1</x:v>
      </x:c>
      <x:c r="E2978" s="10" t="n">
        <x:v>83.11760582928522</x:v>
      </x:c>
      <x:c r="F2978" s="11" t="n">
        <x:v>1441</x:v>
      </x:c>
      <x:c r="G2978" s="11" t="n">
        <x:v>0</x:v>
      </x:c>
      <x:c r="H2978" s="11" t="n">
        <x:v>0</x:v>
      </x:c>
      <x:c r="I2978" s="11" t="n">
        <x:v>0</x:v>
      </x:c>
      <x:c r="J2978" s="11" t="n">
        <x:v>0</x:v>
      </x:c>
      <x:c r="K2978" s="11" t="n">
        <x:v>1</x:v>
      </x:c>
      <x:c r="L2978" s="11" t="n">
        <x:f>IF(B2978="NED",1,IF(OR(B2978="ED",B2978="UN"),0,""))</x:f>
        <x:v>1</x:v>
      </x:c>
      <x:c r="M2978" s="11" t="n">
        <x:f>IF(AND(K2978=1,OR(B2978="ED",B2978="NED")),1,0)</x:f>
        <x:v>1</x:v>
      </x:c>
      <x:c r="N2978" s="11" t="n">
        <x:f>IF(K2978=1,1,0)</x:f>
        <x:v>1</x:v>
      </x:c>
      <x:c r="O2978" s="12"/>
      <x:c r="P2978" s="11" t="n">
        <x:v>0</x:v>
      </x:c>
      <x:c r="Q2978" s="12" t="str">
        <x:v>AF-Q9EPU4-F1-model_v6</x:v>
      </x:c>
      <x:c r="R2978" s="12" t="str">
        <x:v>ok</x:v>
      </x:c>
      <x:c r="S2978" s="11" t="n">
        <x:v>2447</x:v>
      </x:c>
      <x:c r="T2978" s="11" t="n">
        <x:v>1441</x:v>
      </x:c>
    </x:row>
    <x:row r="2979" ht="23" customHeight="1">
      <x:c r="A2979" s="2" t="str">
        <x:v>Q9EQ61</x:v>
      </x:c>
      <x:c r="B2979" s="2" t="str">
        <x:v>UN</x:v>
      </x:c>
      <x:c r="C2979" s="2" t="n">
        <x:v>1</x:v>
      </x:c>
      <x:c r="D2979" s="2" t="n">
        <x:v>1</x:v>
      </x:c>
      <x:c r="E2979" s="10" t="n">
        <x:v>78.8330308219178</x:v>
      </x:c>
      <x:c r="F2979" s="11" t="n">
        <x:v>584</x:v>
      </x:c>
      <x:c r="G2979" s="11" t="n">
        <x:v>0</x:v>
      </x:c>
      <x:c r="H2979" s="11" t="n">
        <x:v>0</x:v>
      </x:c>
      <x:c r="I2979" s="11" t="n">
        <x:v>0</x:v>
      </x:c>
      <x:c r="J2979" s="11" t="n">
        <x:v>0</x:v>
      </x:c>
      <x:c r="K2979" s="11" t="n">
        <x:v>1</x:v>
      </x:c>
      <x:c r="L2979" s="11" t="n">
        <x:f>IF(B2979="NED",1,IF(OR(B2979="ED",B2979="UN"),0,""))</x:f>
        <x:v>0</x:v>
      </x:c>
      <x:c r="M2979" s="11" t="n">
        <x:f>IF(AND(K2979=1,OR(B2979="ED",B2979="NED")),1,0)</x:f>
        <x:v>0</x:v>
      </x:c>
      <x:c r="N2979" s="11" t="n">
        <x:f>IF(K2979=1,1,0)</x:f>
        <x:v>1</x:v>
      </x:c>
      <x:c r="O2979" s="12"/>
      <x:c r="P2979" s="11" t="n">
        <x:v>0</x:v>
      </x:c>
      <x:c r="Q2979" s="12" t="str">
        <x:v>AF-Q9EQ61-F1-model_v6</x:v>
      </x:c>
      <x:c r="R2979" s="12" t="str">
        <x:v>ok</x:v>
      </x:c>
      <x:c r="S2979" s="11" t="n">
        <x:v>2448</x:v>
      </x:c>
      <x:c r="T2979" s="11" t="n">
        <x:v>584</x:v>
      </x:c>
    </x:row>
    <x:row r="2980" ht="23" customHeight="1">
      <x:c r="A2980" s="2" t="str">
        <x:v>Q9EQ80</x:v>
      </x:c>
      <x:c r="B2980" s="2" t="str">
        <x:v>ED</x:v>
      </x:c>
      <x:c r="C2980" s="2" t="n">
        <x:v>1</x:v>
      </x:c>
      <x:c r="D2980" s="2" t="n">
        <x:v>1</x:v>
      </x:c>
      <x:c r="E2980" s="10" t="n">
        <x:v>91.75978723404256</x:v>
      </x:c>
      <x:c r="F2980" s="11" t="n">
        <x:v>376</x:v>
      </x:c>
      <x:c r="G2980" s="11" t="n">
        <x:v>0</x:v>
      </x:c>
      <x:c r="H2980" s="11" t="n">
        <x:v>0</x:v>
      </x:c>
      <x:c r="I2980" s="11" t="n">
        <x:v>0</x:v>
      </x:c>
      <x:c r="J2980" s="11" t="n">
        <x:v>0</x:v>
      </x:c>
      <x:c r="K2980" s="11" t="n">
        <x:v>1</x:v>
      </x:c>
      <x:c r="L2980" s="11" t="n">
        <x:f>IF(B2980="NED",1,IF(OR(B2980="ED",B2980="UN"),0,""))</x:f>
        <x:v>0</x:v>
      </x:c>
      <x:c r="M2980" s="11" t="n">
        <x:f>IF(AND(K2980=1,OR(B2980="ED",B2980="NED")),1,0)</x:f>
        <x:v>1</x:v>
      </x:c>
      <x:c r="N2980" s="11" t="n">
        <x:f>IF(K2980=1,1,0)</x:f>
        <x:v>1</x:v>
      </x:c>
      <x:c r="O2980" s="12"/>
      <x:c r="P2980" s="11" t="n">
        <x:v>0</x:v>
      </x:c>
      <x:c r="Q2980" s="12" t="str">
        <x:v>AF-Q9EQ80-F1-model_v6</x:v>
      </x:c>
      <x:c r="R2980" s="12" t="str">
        <x:v>ok</x:v>
      </x:c>
      <x:c r="S2980" s="11" t="n">
        <x:v>2449</x:v>
      </x:c>
      <x:c r="T2980" s="11" t="n">
        <x:v>376</x:v>
      </x:c>
    </x:row>
    <x:row r="2981" ht="23" customHeight="1">
      <x:c r="A2981" s="2" t="str">
        <x:v>Q9EQC5</x:v>
      </x:c>
      <x:c r="B2981" s="2" t="str">
        <x:v>ED</x:v>
      </x:c>
      <x:c r="C2981" s="2" t="n">
        <x:v>1</x:v>
      </x:c>
      <x:c r="D2981" s="2" t="n">
        <x:v>1</x:v>
      </x:c>
      <x:c r="E2981" s="10" t="n">
        <x:v>75.10316377171216</x:v>
      </x:c>
      <x:c r="F2981" s="11" t="n">
        <x:v>806</x:v>
      </x:c>
      <x:c r="G2981" s="11" t="n">
        <x:v>0</x:v>
      </x:c>
      <x:c r="H2981" s="11" t="n">
        <x:v>0</x:v>
      </x:c>
      <x:c r="I2981" s="11" t="n">
        <x:v>0</x:v>
      </x:c>
      <x:c r="J2981" s="11" t="n">
        <x:v>0</x:v>
      </x:c>
      <x:c r="K2981" s="11" t="n">
        <x:v>1</x:v>
      </x:c>
      <x:c r="L2981" s="11" t="n">
        <x:f>IF(B2981="NED",1,IF(OR(B2981="ED",B2981="UN"),0,""))</x:f>
        <x:v>0</x:v>
      </x:c>
      <x:c r="M2981" s="11" t="n">
        <x:f>IF(AND(K2981=1,OR(B2981="ED",B2981="NED")),1,0)</x:f>
        <x:v>1</x:v>
      </x:c>
      <x:c r="N2981" s="11" t="n">
        <x:f>IF(K2981=1,1,0)</x:f>
        <x:v>1</x:v>
      </x:c>
      <x:c r="O2981" s="12"/>
      <x:c r="P2981" s="11" t="n">
        <x:v>0</x:v>
      </x:c>
      <x:c r="Q2981" s="12" t="str">
        <x:v>AF-Q9EQC5-F1-model_v6</x:v>
      </x:c>
      <x:c r="R2981" s="12" t="str">
        <x:v>ok</x:v>
      </x:c>
      <x:c r="S2981" s="11" t="n">
        <x:v>2450</x:v>
      </x:c>
      <x:c r="T2981" s="11" t="n">
        <x:v>806</x:v>
      </x:c>
    </x:row>
    <x:row r="2982" ht="23" customHeight="1">
      <x:c r="A2982" s="2" t="str">
        <x:v>Q9EQC8</x:v>
      </x:c>
      <x:c r="B2982" s="2" t="str">
        <x:v>ED</x:v>
      </x:c>
      <x:c r="C2982" s="2" t="n">
        <x:v>0</x:v>
      </x:c>
      <x:c r="D2982" s="2" t="n">
        <x:v>0</x:v>
      </x:c>
      <x:c r="E2982" s="10" t="n">
        <x:v>58.64307535641548</x:v>
      </x:c>
      <x:c r="F2982" s="11" t="n">
        <x:v>491</x:v>
      </x:c>
      <x:c r="G2982" s="11" t="n">
        <x:v>0</x:v>
      </x:c>
      <x:c r="H2982" s="11" t="n">
        <x:v>0</x:v>
      </x:c>
      <x:c r="I2982" s="11" t="n">
        <x:v>0</x:v>
      </x:c>
      <x:c r="J2982" s="11" t="n">
        <x:v>0</x:v>
      </x:c>
      <x:c r="K2982" s="11" t="n">
        <x:v>0</x:v>
      </x:c>
      <x:c r="L2982" s="11" t="n">
        <x:f>IF(B2982="NED",1,IF(OR(B2982="ED",B2982="UN"),0,""))</x:f>
        <x:v>0</x:v>
      </x:c>
      <x:c r="M2982" s="11" t="n">
        <x:f>IF(AND(K2982=1,OR(B2982="ED",B2982="NED")),1,0)</x:f>
        <x:v>0</x:v>
      </x:c>
      <x:c r="N2982" s="11" t="n">
        <x:f>IF(K2982=1,1,0)</x:f>
        <x:v>0</x:v>
      </x:c>
      <x:c r="O2982" s="12" t="str">
        <x:v>Retain protein mean pLDDT &gt;=70</x:v>
      </x:c>
      <x:c r="P2982" s="11" t="n">
        <x:v>0</x:v>
      </x:c>
      <x:c r="Q2982" s="12" t="str">
        <x:v>AF-Q9EQC8-F1-model_v6</x:v>
      </x:c>
      <x:c r="R2982" s="12" t="str">
        <x:v>ok</x:v>
      </x:c>
      <x:c r="S2982" s="11" t="n">
        <x:v>3274</x:v>
      </x:c>
      <x:c r="T2982" s="11" t="n">
        <x:v>491</x:v>
      </x:c>
    </x:row>
    <x:row r="2983" ht="23" customHeight="1">
      <x:c r="A2983" s="2" t="str">
        <x:v>Q9EQG9-2</x:v>
      </x:c>
      <x:c r="B2983" s="2" t="str">
        <x:v>ED</x:v>
      </x:c>
      <x:c r="C2983" s="2"/>
      <x:c r="D2983" s="2"/>
      <x:c r="E2983" s="10"/>
      <x:c r="F2983" s="11"/>
      <x:c r="G2983" s="11" t="n">
        <x:v>0</x:v>
      </x:c>
      <x:c r="H2983" s="11" t="n">
        <x:v>0</x:v>
      </x:c>
      <x:c r="I2983" s="11"/>
      <x:c r="J2983" s="11"/>
      <x:c r="K2983" s="11" t="n">
        <x:v>0</x:v>
      </x:c>
      <x:c r="L2983" s="11" t="n">
        <x:f>IF(B2983="NED",1,IF(OR(B2983="ED",B2983="UN"),0,""))</x:f>
        <x:v>0</x:v>
      </x:c>
      <x:c r="M2983" s="11" t="n">
        <x:f>IF(AND(K2983=1,OR(B2983="ED",B2983="NED")),1,0)</x:f>
        <x:v>0</x:v>
      </x:c>
      <x:c r="N2983" s="11" t="n">
        <x:f>IF(K2983=1,1,0)</x:f>
        <x:v>0</x:v>
      </x:c>
      <x:c r="O2983" s="12" t="str">
        <x:v>Require exact native accession match</x:v>
      </x:c>
      <x:c r="P2983" s="11" t="n">
        <x:v>0</x:v>
      </x:c>
      <x:c r="Q2983" s="12"/>
      <x:c r="R2983" s="12"/>
      <x:c r="S2983" s="11" t="n">
        <x:v>2451</x:v>
      </x:c>
      <x:c r="T2983" s="11"/>
    </x:row>
    <x:row r="2984" ht="23" customHeight="1">
      <x:c r="A2984" s="2" t="str">
        <x:v>Q9EQH2</x:v>
      </x:c>
      <x:c r="B2984" s="2" t="str">
        <x:v>UN</x:v>
      </x:c>
      <x:c r="C2984" s="2" t="n">
        <x:v>1</x:v>
      </x:c>
      <x:c r="D2984" s="2" t="n">
        <x:v>1</x:v>
      </x:c>
      <x:c r="E2984" s="10"/>
      <x:c r="F2984" s="11" t="n">
        <x:v>930</x:v>
      </x:c>
      <x:c r="G2984" s="11" t="n">
        <x:v>0</x:v>
      </x:c>
      <x:c r="H2984" s="11" t="n">
        <x:v>0</x:v>
      </x:c>
      <x:c r="I2984" s="11" t="n">
        <x:v>1</x:v>
      </x:c>
      <x:c r="J2984" s="11" t="n">
        <x:v>0</x:v>
      </x:c>
      <x:c r="K2984" s="11" t="n">
        <x:v>0</x:v>
      </x:c>
      <x:c r="L2984" s="11" t="n">
        <x:f>IF(B2984="NED",1,IF(OR(B2984="ED",B2984="UN"),0,""))</x:f>
        <x:v>0</x:v>
      </x:c>
      <x:c r="M2984" s="11" t="n">
        <x:f>IF(AND(K2984=1,OR(B2984="ED",B2984="NED")),1,0)</x:f>
        <x:v>0</x:v>
      </x:c>
      <x:c r="N2984" s="11" t="n">
        <x:f>IF(K2984=1,1,0)</x:f>
        <x:v>0</x:v>
      </x:c>
      <x:c r="O2984" s="12" t="str">
        <x:v>Exclude UniProt Membrane keyword</x:v>
      </x:c>
      <x:c r="P2984" s="11" t="n">
        <x:v>0</x:v>
      </x:c>
      <x:c r="Q2984" s="12" t="str">
        <x:v>AF-Q9EQH2-F1-model_v6</x:v>
      </x:c>
      <x:c r="R2984" s="12" t="str">
        <x:v>ok</x:v>
      </x:c>
      <x:c r="S2984" s="11" t="n">
        <x:v>2452</x:v>
      </x:c>
      <x:c r="T2984" s="11" t="n">
        <x:v>930</x:v>
      </x:c>
    </x:row>
    <x:row r="2985" ht="23" customHeight="1">
      <x:c r="A2985" s="2" t="str">
        <x:v>Q9EQH3</x:v>
      </x:c>
      <x:c r="B2985" s="2" t="str">
        <x:v>ED</x:v>
      </x:c>
      <x:c r="C2985" s="2" t="n">
        <x:v>0</x:v>
      </x:c>
      <x:c r="D2985" s="2" t="n">
        <x:v>0</x:v>
      </x:c>
      <x:c r="E2985" s="10"/>
      <x:c r="F2985" s="11" t="n">
        <x:v>796</x:v>
      </x:c>
      <x:c r="G2985" s="11" t="n">
        <x:v>0</x:v>
      </x:c>
      <x:c r="H2985" s="11" t="n">
        <x:v>0</x:v>
      </x:c>
      <x:c r="I2985" s="11" t="n">
        <x:v>1</x:v>
      </x:c>
      <x:c r="J2985" s="11" t="n">
        <x:v>0</x:v>
      </x:c>
      <x:c r="K2985" s="11" t="n">
        <x:v>0</x:v>
      </x:c>
      <x:c r="L2985" s="11" t="n">
        <x:f>IF(B2985="NED",1,IF(OR(B2985="ED",B2985="UN"),0,""))</x:f>
        <x:v>0</x:v>
      </x:c>
      <x:c r="M2985" s="11" t="n">
        <x:f>IF(AND(K2985=1,OR(B2985="ED",B2985="NED")),1,0)</x:f>
        <x:v>0</x:v>
      </x:c>
      <x:c r="N2985" s="11" t="n">
        <x:f>IF(K2985=1,1,0)</x:f>
        <x:v>0</x:v>
      </x:c>
      <x:c r="O2985" s="12" t="str">
        <x:v>Exclude UniProt Membrane keyword</x:v>
      </x:c>
      <x:c r="P2985" s="11" t="n">
        <x:v>0</x:v>
      </x:c>
      <x:c r="Q2985" s="12" t="str">
        <x:v>AF-Q9EQH3-F1-model_v6</x:v>
      </x:c>
      <x:c r="R2985" s="12" t="str">
        <x:v>ok</x:v>
      </x:c>
      <x:c r="S2985" s="11" t="n">
        <x:v>2453</x:v>
      </x:c>
      <x:c r="T2985" s="11" t="n">
        <x:v>796</x:v>
      </x:c>
    </x:row>
    <x:row r="2986" ht="23" customHeight="1">
      <x:c r="A2986" s="2" t="str">
        <x:v>Q9EQJ9-2</x:v>
      </x:c>
      <x:c r="B2986" s="2" t="str">
        <x:v>ED</x:v>
      </x:c>
      <x:c r="C2986" s="2"/>
      <x:c r="D2986" s="2"/>
      <x:c r="E2986" s="10"/>
      <x:c r="F2986" s="11"/>
      <x:c r="G2986" s="11" t="n">
        <x:v>0</x:v>
      </x:c>
      <x:c r="H2986" s="11" t="n">
        <x:v>0</x:v>
      </x:c>
      <x:c r="I2986" s="11"/>
      <x:c r="J2986" s="11"/>
      <x:c r="K2986" s="11" t="n">
        <x:v>0</x:v>
      </x:c>
      <x:c r="L2986" s="11" t="n">
        <x:f>IF(B2986="NED",1,IF(OR(B2986="ED",B2986="UN"),0,""))</x:f>
        <x:v>0</x:v>
      </x:c>
      <x:c r="M2986" s="11" t="n">
        <x:f>IF(AND(K2986=1,OR(B2986="ED",B2986="NED")),1,0)</x:f>
        <x:v>0</x:v>
      </x:c>
      <x:c r="N2986" s="11" t="n">
        <x:f>IF(K2986=1,1,0)</x:f>
        <x:v>0</x:v>
      </x:c>
      <x:c r="O2986" s="12" t="str">
        <x:v>Require exact native accession match</x:v>
      </x:c>
      <x:c r="P2986" s="11" t="n">
        <x:v>0</x:v>
      </x:c>
      <x:c r="Q2986" s="12"/>
      <x:c r="R2986" s="12"/>
      <x:c r="S2986" s="11" t="n">
        <x:v>2454</x:v>
      </x:c>
      <x:c r="T2986" s="11"/>
    </x:row>
    <x:row r="2987" ht="23" customHeight="1">
      <x:c r="A2987" s="2" t="str">
        <x:v>Q9EQM6</x:v>
      </x:c>
      <x:c r="B2987" s="2" t="str">
        <x:v>ED</x:v>
      </x:c>
      <x:c r="C2987" s="2" t="n">
        <x:v>1</x:v>
      </x:c>
      <x:c r="D2987" s="2" t="n">
        <x:v>1</x:v>
      </x:c>
      <x:c r="E2987" s="10" t="n">
        <x:v>62.94780077619664</x:v>
      </x:c>
      <x:c r="F2987" s="11" t="n">
        <x:v>773</x:v>
      </x:c>
      <x:c r="G2987" s="11" t="n">
        <x:v>0</x:v>
      </x:c>
      <x:c r="H2987" s="11" t="n">
        <x:v>0</x:v>
      </x:c>
      <x:c r="I2987" s="11" t="n">
        <x:v>0</x:v>
      </x:c>
      <x:c r="J2987" s="11" t="n">
        <x:v>0</x:v>
      </x:c>
      <x:c r="K2987" s="11" t="n">
        <x:v>0</x:v>
      </x:c>
      <x:c r="L2987" s="11" t="n">
        <x:f>IF(B2987="NED",1,IF(OR(B2987="ED",B2987="UN"),0,""))</x:f>
        <x:v>0</x:v>
      </x:c>
      <x:c r="M2987" s="11" t="n">
        <x:f>IF(AND(K2987=1,OR(B2987="ED",B2987="NED")),1,0)</x:f>
        <x:v>0</x:v>
      </x:c>
      <x:c r="N2987" s="11" t="n">
        <x:f>IF(K2987=1,1,0)</x:f>
        <x:v>0</x:v>
      </x:c>
      <x:c r="O2987" s="12" t="str">
        <x:v>Retain protein mean pLDDT &gt;=70</x:v>
      </x:c>
      <x:c r="P2987" s="11" t="n">
        <x:v>0</x:v>
      </x:c>
      <x:c r="Q2987" s="12" t="str">
        <x:v>AF-Q9EQM6-F1-model_v6</x:v>
      </x:c>
      <x:c r="R2987" s="12" t="str">
        <x:v>ok</x:v>
      </x:c>
      <x:c r="S2987" s="11" t="n">
        <x:v>2455</x:v>
      </x:c>
      <x:c r="T2987" s="11" t="n">
        <x:v>773</x:v>
      </x:c>
    </x:row>
    <x:row r="2988" ht="23" customHeight="1">
      <x:c r="A2988" s="2" t="str">
        <x:v>Q9EQQ9</x:v>
      </x:c>
      <x:c r="B2988" s="2" t="str">
        <x:v>UN</x:v>
      </x:c>
      <x:c r="C2988" s="2" t="n">
        <x:v>1</x:v>
      </x:c>
      <x:c r="D2988" s="2" t="n">
        <x:v>1</x:v>
      </x:c>
      <x:c r="E2988" s="10" t="n">
        <x:v>74.93765283842795</x:v>
      </x:c>
      <x:c r="F2988" s="11" t="n">
        <x:v>916</x:v>
      </x:c>
      <x:c r="G2988" s="11" t="n">
        <x:v>0</x:v>
      </x:c>
      <x:c r="H2988" s="11" t="n">
        <x:v>0</x:v>
      </x:c>
      <x:c r="I2988" s="11" t="n">
        <x:v>0</x:v>
      </x:c>
      <x:c r="J2988" s="11" t="n">
        <x:v>0</x:v>
      </x:c>
      <x:c r="K2988" s="11" t="n">
        <x:v>1</x:v>
      </x:c>
      <x:c r="L2988" s="11" t="n">
        <x:f>IF(B2988="NED",1,IF(OR(B2988="ED",B2988="UN"),0,""))</x:f>
        <x:v>0</x:v>
      </x:c>
      <x:c r="M2988" s="11" t="n">
        <x:f>IF(AND(K2988=1,OR(B2988="ED",B2988="NED")),1,0)</x:f>
        <x:v>0</x:v>
      </x:c>
      <x:c r="N2988" s="11" t="n">
        <x:f>IF(K2988=1,1,0)</x:f>
        <x:v>1</x:v>
      </x:c>
      <x:c r="O2988" s="12"/>
      <x:c r="P2988" s="11" t="n">
        <x:v>0</x:v>
      </x:c>
      <x:c r="Q2988" s="12" t="str">
        <x:v>AF-Q9EQQ9-F1-model_v6</x:v>
      </x:c>
      <x:c r="R2988" s="12" t="str">
        <x:v>ok</x:v>
      </x:c>
      <x:c r="S2988" s="11" t="n">
        <x:v>2456</x:v>
      </x:c>
      <x:c r="T2988" s="11" t="n">
        <x:v>916</x:v>
      </x:c>
    </x:row>
    <x:row r="2989" ht="23" customHeight="1">
      <x:c r="A2989" s="2" t="str">
        <x:v>Q9ER00</x:v>
      </x:c>
      <x:c r="B2989" s="2" t="str">
        <x:v>ED</x:v>
      </x:c>
      <x:c r="C2989" s="2" t="n">
        <x:v>0</x:v>
      </x:c>
      <x:c r="D2989" s="2" t="n">
        <x:v>0</x:v>
      </x:c>
      <x:c r="E2989" s="10"/>
      <x:c r="F2989" s="11" t="n">
        <x:v>274</x:v>
      </x:c>
      <x:c r="G2989" s="11" t="n">
        <x:v>0</x:v>
      </x:c>
      <x:c r="H2989" s="11" t="n">
        <x:v>0</x:v>
      </x:c>
      <x:c r="I2989" s="11" t="n">
        <x:v>1</x:v>
      </x:c>
      <x:c r="J2989" s="11" t="n">
        <x:v>0</x:v>
      </x:c>
      <x:c r="K2989" s="11" t="n">
        <x:v>0</x:v>
      </x:c>
      <x:c r="L2989" s="11" t="n">
        <x:f>IF(B2989="NED",1,IF(OR(B2989="ED",B2989="UN"),0,""))</x:f>
        <x:v>0</x:v>
      </x:c>
      <x:c r="M2989" s="11" t="n">
        <x:f>IF(AND(K2989=1,OR(B2989="ED",B2989="NED")),1,0)</x:f>
        <x:v>0</x:v>
      </x:c>
      <x:c r="N2989" s="11" t="n">
        <x:f>IF(K2989=1,1,0)</x:f>
        <x:v>0</x:v>
      </x:c>
      <x:c r="O2989" s="12" t="str">
        <x:v>Exclude UniProt Membrane keyword</x:v>
      </x:c>
      <x:c r="P2989" s="11" t="n">
        <x:v>0</x:v>
      </x:c>
      <x:c r="Q2989" s="12" t="str">
        <x:v>AF-Q9ER00-F1-model_v6</x:v>
      </x:c>
      <x:c r="R2989" s="12" t="str">
        <x:v>ok</x:v>
      </x:c>
      <x:c r="S2989" s="11" t="n">
        <x:v>2457</x:v>
      </x:c>
      <x:c r="T2989" s="11" t="n">
        <x:v>274</x:v>
      </x:c>
    </x:row>
    <x:row r="2990" ht="23" customHeight="1">
      <x:c r="A2990" s="2" t="str">
        <x:v>Q9ER41</x:v>
      </x:c>
      <x:c r="B2990" s="2" t="str">
        <x:v>ED</x:v>
      </x:c>
      <x:c r="C2990" s="2" t="n">
        <x:v>1</x:v>
      </x:c>
      <x:c r="D2990" s="2" t="n">
        <x:v>1</x:v>
      </x:c>
      <x:c r="E2990" s="10"/>
      <x:c r="F2990" s="11" t="n">
        <x:v>336</x:v>
      </x:c>
      <x:c r="G2990" s="11" t="n">
        <x:v>0</x:v>
      </x:c>
      <x:c r="H2990" s="11" t="n">
        <x:v>0</x:v>
      </x:c>
      <x:c r="I2990" s="11" t="n">
        <x:v>1</x:v>
      </x:c>
      <x:c r="J2990" s="11" t="n">
        <x:v>0</x:v>
      </x:c>
      <x:c r="K2990" s="11" t="n">
        <x:v>0</x:v>
      </x:c>
      <x:c r="L2990" s="11" t="n">
        <x:f>IF(B2990="NED",1,IF(OR(B2990="ED",B2990="UN"),0,""))</x:f>
        <x:v>0</x:v>
      </x:c>
      <x:c r="M2990" s="11" t="n">
        <x:f>IF(AND(K2990=1,OR(B2990="ED",B2990="NED")),1,0)</x:f>
        <x:v>0</x:v>
      </x:c>
      <x:c r="N2990" s="11" t="n">
        <x:f>IF(K2990=1,1,0)</x:f>
        <x:v>0</x:v>
      </x:c>
      <x:c r="O2990" s="12" t="str">
        <x:v>Exclude UniProt Membrane keyword</x:v>
      </x:c>
      <x:c r="P2990" s="11" t="n">
        <x:v>0</x:v>
      </x:c>
      <x:c r="Q2990" s="12" t="str">
        <x:v>AF-Q9ER41-F1-model_v6</x:v>
      </x:c>
      <x:c r="R2990" s="12" t="str">
        <x:v>ok</x:v>
      </x:c>
      <x:c r="S2990" s="11" t="n">
        <x:v>2458</x:v>
      </x:c>
      <x:c r="T2990" s="11" t="n">
        <x:v>336</x:v>
      </x:c>
    </x:row>
    <x:row r="2991" ht="23" customHeight="1">
      <x:c r="A2991" s="2" t="str">
        <x:v>Q9ER67</x:v>
      </x:c>
      <x:c r="B2991" s="2" t="str">
        <x:v>ED</x:v>
      </x:c>
      <x:c r="C2991" s="2" t="n">
        <x:v>1</x:v>
      </x:c>
      <x:c r="D2991" s="2" t="n">
        <x:v>1</x:v>
      </x:c>
      <x:c r="E2991" s="10" t="n">
        <x:v>57.56420454545455</x:v>
      </x:c>
      <x:c r="F2991" s="11" t="n">
        <x:v>616</x:v>
      </x:c>
      <x:c r="G2991" s="11" t="n">
        <x:v>0</x:v>
      </x:c>
      <x:c r="H2991" s="11" t="n">
        <x:v>0</x:v>
      </x:c>
      <x:c r="I2991" s="11" t="n">
        <x:v>0</x:v>
      </x:c>
      <x:c r="J2991" s="11" t="n">
        <x:v>0</x:v>
      </x:c>
      <x:c r="K2991" s="11" t="n">
        <x:v>0</x:v>
      </x:c>
      <x:c r="L2991" s="11" t="n">
        <x:f>IF(B2991="NED",1,IF(OR(B2991="ED",B2991="UN"),0,""))</x:f>
        <x:v>0</x:v>
      </x:c>
      <x:c r="M2991" s="11" t="n">
        <x:f>IF(AND(K2991=1,OR(B2991="ED",B2991="NED")),1,0)</x:f>
        <x:v>0</x:v>
      </x:c>
      <x:c r="N2991" s="11" t="n">
        <x:f>IF(K2991=1,1,0)</x:f>
        <x:v>0</x:v>
      </x:c>
      <x:c r="O2991" s="12" t="str">
        <x:v>Retain protein mean pLDDT &gt;=70</x:v>
      </x:c>
      <x:c r="P2991" s="11" t="n">
        <x:v>0</x:v>
      </x:c>
      <x:c r="Q2991" s="12" t="str">
        <x:v>AF-Q9ER67-F1-model_v6</x:v>
      </x:c>
      <x:c r="R2991" s="12" t="str">
        <x:v>ok</x:v>
      </x:c>
      <x:c r="S2991" s="11" t="n">
        <x:v>3275</x:v>
      </x:c>
      <x:c r="T2991" s="11" t="n">
        <x:v>616</x:v>
      </x:c>
    </x:row>
    <x:row r="2992" ht="23" customHeight="1">
      <x:c r="A2992" s="2" t="str">
        <x:v>Q9ER69</x:v>
      </x:c>
      <x:c r="B2992" s="2" t="str">
        <x:v>UN</x:v>
      </x:c>
      <x:c r="C2992" s="2" t="n">
        <x:v>0</x:v>
      </x:c>
      <x:c r="D2992" s="2" t="n">
        <x:v>0</x:v>
      </x:c>
      <x:c r="E2992" s="10" t="n">
        <x:v>71.50838383838384</x:v>
      </x:c>
      <x:c r="F2992" s="11" t="n">
        <x:v>396</x:v>
      </x:c>
      <x:c r="G2992" s="11" t="n">
        <x:v>0</x:v>
      </x:c>
      <x:c r="H2992" s="11" t="n">
        <x:v>0</x:v>
      </x:c>
      <x:c r="I2992" s="11" t="n">
        <x:v>0</x:v>
      </x:c>
      <x:c r="J2992" s="11" t="n">
        <x:v>0</x:v>
      </x:c>
      <x:c r="K2992" s="11" t="n">
        <x:v>1</x:v>
      </x:c>
      <x:c r="L2992" s="11" t="n">
        <x:f>IF(B2992="NED",1,IF(OR(B2992="ED",B2992="UN"),0,""))</x:f>
        <x:v>0</x:v>
      </x:c>
      <x:c r="M2992" s="11" t="n">
        <x:f>IF(AND(K2992=1,OR(B2992="ED",B2992="NED")),1,0)</x:f>
        <x:v>0</x:v>
      </x:c>
      <x:c r="N2992" s="11" t="n">
        <x:f>IF(K2992=1,1,0)</x:f>
        <x:v>1</x:v>
      </x:c>
      <x:c r="O2992" s="12"/>
      <x:c r="P2992" s="11" t="n">
        <x:v>0</x:v>
      </x:c>
      <x:c r="Q2992" s="12" t="str">
        <x:v>AF-Q9ER69-F1-model_v6</x:v>
      </x:c>
      <x:c r="R2992" s="12" t="str">
        <x:v>ok</x:v>
      </x:c>
      <x:c r="S2992" s="11" t="n">
        <x:v>2459</x:v>
      </x:c>
      <x:c r="T2992" s="11" t="n">
        <x:v>396</x:v>
      </x:c>
    </x:row>
    <x:row r="2993" ht="23" customHeight="1">
      <x:c r="A2993" s="2" t="str">
        <x:v>Q9ER72</x:v>
      </x:c>
      <x:c r="B2993" s="2" t="str">
        <x:v>ED</x:v>
      </x:c>
      <x:c r="C2993" s="2" t="n">
        <x:v>1</x:v>
      </x:c>
      <x:c r="D2993" s="2" t="n">
        <x:v>1</x:v>
      </x:c>
      <x:c r="E2993" s="10" t="n">
        <x:v>87.72125150421179</x:v>
      </x:c>
      <x:c r="F2993" s="11" t="n">
        <x:v>831</x:v>
      </x:c>
      <x:c r="G2993" s="11" t="n">
        <x:v>0</x:v>
      </x:c>
      <x:c r="H2993" s="11" t="n">
        <x:v>0</x:v>
      </x:c>
      <x:c r="I2993" s="11" t="n">
        <x:v>0</x:v>
      </x:c>
      <x:c r="J2993" s="11" t="n">
        <x:v>0</x:v>
      </x:c>
      <x:c r="K2993" s="11" t="n">
        <x:v>1</x:v>
      </x:c>
      <x:c r="L2993" s="11" t="n">
        <x:f>IF(B2993="NED",1,IF(OR(B2993="ED",B2993="UN"),0,""))</x:f>
        <x:v>0</x:v>
      </x:c>
      <x:c r="M2993" s="11" t="n">
        <x:f>IF(AND(K2993=1,OR(B2993="ED",B2993="NED")),1,0)</x:f>
        <x:v>1</x:v>
      </x:c>
      <x:c r="N2993" s="11" t="n">
        <x:f>IF(K2993=1,1,0)</x:f>
        <x:v>1</x:v>
      </x:c>
      <x:c r="O2993" s="12"/>
      <x:c r="P2993" s="11" t="n">
        <x:v>0</x:v>
      </x:c>
      <x:c r="Q2993" s="12" t="str">
        <x:v>AF-Q9ER72-F1-model_v6</x:v>
      </x:c>
      <x:c r="R2993" s="12" t="str">
        <x:v>ok</x:v>
      </x:c>
      <x:c r="S2993" s="11" t="n">
        <x:v>2460</x:v>
      </x:c>
      <x:c r="T2993" s="11" t="n">
        <x:v>831</x:v>
      </x:c>
    </x:row>
    <x:row r="2994" ht="23" customHeight="1">
      <x:c r="A2994" s="2" t="str">
        <x:v>Q9ER88</x:v>
      </x:c>
      <x:c r="B2994" s="2" t="str">
        <x:v>NED</x:v>
      </x:c>
      <x:c r="C2994" s="2" t="n">
        <x:v>1</x:v>
      </x:c>
      <x:c r="D2994" s="2" t="n">
        <x:v>1</x:v>
      </x:c>
      <x:c r="E2994" s="10" t="n">
        <x:v>86.45644501278773</x:v>
      </x:c>
      <x:c r="F2994" s="11" t="n">
        <x:v>391</x:v>
      </x:c>
      <x:c r="G2994" s="11" t="n">
        <x:v>0</x:v>
      </x:c>
      <x:c r="H2994" s="11" t="n">
        <x:v>0</x:v>
      </x:c>
      <x:c r="I2994" s="11" t="n">
        <x:v>0</x:v>
      </x:c>
      <x:c r="J2994" s="11" t="n">
        <x:v>0</x:v>
      </x:c>
      <x:c r="K2994" s="11" t="n">
        <x:v>1</x:v>
      </x:c>
      <x:c r="L2994" s="11" t="n">
        <x:f>IF(B2994="NED",1,IF(OR(B2994="ED",B2994="UN"),0,""))</x:f>
        <x:v>1</x:v>
      </x:c>
      <x:c r="M2994" s="11" t="n">
        <x:f>IF(AND(K2994=1,OR(B2994="ED",B2994="NED")),1,0)</x:f>
        <x:v>1</x:v>
      </x:c>
      <x:c r="N2994" s="11" t="n">
        <x:f>IF(K2994=1,1,0)</x:f>
        <x:v>1</x:v>
      </x:c>
      <x:c r="O2994" s="12"/>
      <x:c r="P2994" s="11" t="n">
        <x:v>0</x:v>
      </x:c>
      <x:c r="Q2994" s="12" t="str">
        <x:v>AF-Q9ER88-F1-model_v6</x:v>
      </x:c>
      <x:c r="R2994" s="12" t="str">
        <x:v>ok</x:v>
      </x:c>
      <x:c r="S2994" s="11" t="n">
        <x:v>2461</x:v>
      </x:c>
      <x:c r="T2994" s="11" t="n">
        <x:v>391</x:v>
      </x:c>
    </x:row>
    <x:row r="2995" ht="23" customHeight="1">
      <x:c r="A2995" s="2" t="str">
        <x:v>Q9ERA6</x:v>
      </x:c>
      <x:c r="B2995" s="2" t="str">
        <x:v>UN</x:v>
      </x:c>
      <x:c r="C2995" s="2" t="n">
        <x:v>0</x:v>
      </x:c>
      <x:c r="D2995" s="2" t="n">
        <x:v>0</x:v>
      </x:c>
      <x:c r="E2995" s="10" t="n">
        <x:v>72.95637231503581</x:v>
      </x:c>
      <x:c r="F2995" s="11" t="n">
        <x:v>838</x:v>
      </x:c>
      <x:c r="G2995" s="11" t="n">
        <x:v>0</x:v>
      </x:c>
      <x:c r="H2995" s="11" t="n">
        <x:v>0</x:v>
      </x:c>
      <x:c r="I2995" s="11" t="n">
        <x:v>0</x:v>
      </x:c>
      <x:c r="J2995" s="11" t="n">
        <x:v>0</x:v>
      </x:c>
      <x:c r="K2995" s="11" t="n">
        <x:v>1</x:v>
      </x:c>
      <x:c r="L2995" s="11" t="n">
        <x:f>IF(B2995="NED",1,IF(OR(B2995="ED",B2995="UN"),0,""))</x:f>
        <x:v>0</x:v>
      </x:c>
      <x:c r="M2995" s="11" t="n">
        <x:f>IF(AND(K2995=1,OR(B2995="ED",B2995="NED")),1,0)</x:f>
        <x:v>0</x:v>
      </x:c>
      <x:c r="N2995" s="11" t="n">
        <x:f>IF(K2995=1,1,0)</x:f>
        <x:v>1</x:v>
      </x:c>
      <x:c r="O2995" s="12"/>
      <x:c r="P2995" s="11" t="n">
        <x:v>0</x:v>
      </x:c>
      <x:c r="Q2995" s="12" t="str">
        <x:v>AF-Q9ERA6-F1-model_v6</x:v>
      </x:c>
      <x:c r="R2995" s="12" t="str">
        <x:v>ok</x:v>
      </x:c>
      <x:c r="S2995" s="11" t="n">
        <x:v>2462</x:v>
      </x:c>
      <x:c r="T2995" s="11" t="n">
        <x:v>838</x:v>
      </x:c>
    </x:row>
    <x:row r="2996" ht="23" customHeight="1">
      <x:c r="A2996" s="2" t="str">
        <x:v>Q9ERB0</x:v>
      </x:c>
      <x:c r="B2996" s="2" t="str">
        <x:v>ED</x:v>
      </x:c>
      <x:c r="C2996" s="2" t="n">
        <x:v>0</x:v>
      </x:c>
      <x:c r="D2996" s="2" t="n">
        <x:v>0</x:v>
      </x:c>
      <x:c r="E2996" s="10"/>
      <x:c r="F2996" s="11" t="n">
        <x:v>260</x:v>
      </x:c>
      <x:c r="G2996" s="11" t="n">
        <x:v>0</x:v>
      </x:c>
      <x:c r="H2996" s="11" t="n">
        <x:v>0</x:v>
      </x:c>
      <x:c r="I2996" s="11" t="n">
        <x:v>1</x:v>
      </x:c>
      <x:c r="J2996" s="11" t="n">
        <x:v>0</x:v>
      </x:c>
      <x:c r="K2996" s="11" t="n">
        <x:v>0</x:v>
      </x:c>
      <x:c r="L2996" s="11" t="n">
        <x:f>IF(B2996="NED",1,IF(OR(B2996="ED",B2996="UN"),0,""))</x:f>
        <x:v>0</x:v>
      </x:c>
      <x:c r="M2996" s="11" t="n">
        <x:f>IF(AND(K2996=1,OR(B2996="ED",B2996="NED")),1,0)</x:f>
        <x:v>0</x:v>
      </x:c>
      <x:c r="N2996" s="11" t="n">
        <x:f>IF(K2996=1,1,0)</x:f>
        <x:v>0</x:v>
      </x:c>
      <x:c r="O2996" s="12" t="str">
        <x:v>Exclude UniProt Membrane keyword</x:v>
      </x:c>
      <x:c r="P2996" s="11" t="n">
        <x:v>0</x:v>
      </x:c>
      <x:c r="Q2996" s="12" t="str">
        <x:v>AF-Q9ERB0-F1-model_v6</x:v>
      </x:c>
      <x:c r="R2996" s="12" t="str">
        <x:v>ok</x:v>
      </x:c>
      <x:c r="S2996" s="11" t="n">
        <x:v>2463</x:v>
      </x:c>
      <x:c r="T2996" s="11" t="n">
        <x:v>260</x:v>
      </x:c>
    </x:row>
    <x:row r="2997" ht="23" customHeight="1">
      <x:c r="A2997" s="2" t="str">
        <x:v>Q9ERE7</x:v>
      </x:c>
      <x:c r="B2997" s="2" t="str">
        <x:v>ED</x:v>
      </x:c>
      <x:c r="C2997" s="2" t="n">
        <x:v>0</x:v>
      </x:c>
      <x:c r="D2997" s="2" t="n">
        <x:v>0</x:v>
      </x:c>
      <x:c r="E2997" s="10" t="n">
        <x:v>66.20303571428572</x:v>
      </x:c>
      <x:c r="F2997" s="11" t="n">
        <x:v>224</x:v>
      </x:c>
      <x:c r="G2997" s="11" t="n">
        <x:v>0</x:v>
      </x:c>
      <x:c r="H2997" s="11" t="n">
        <x:v>0</x:v>
      </x:c>
      <x:c r="I2997" s="11" t="n">
        <x:v>0</x:v>
      </x:c>
      <x:c r="J2997" s="11" t="n">
        <x:v>0</x:v>
      </x:c>
      <x:c r="K2997" s="11" t="n">
        <x:v>0</x:v>
      </x:c>
      <x:c r="L2997" s="11" t="n">
        <x:f>IF(B2997="NED",1,IF(OR(B2997="ED",B2997="UN"),0,""))</x:f>
        <x:v>0</x:v>
      </x:c>
      <x:c r="M2997" s="11" t="n">
        <x:f>IF(AND(K2997=1,OR(B2997="ED",B2997="NED")),1,0)</x:f>
        <x:v>0</x:v>
      </x:c>
      <x:c r="N2997" s="11" t="n">
        <x:f>IF(K2997=1,1,0)</x:f>
        <x:v>0</x:v>
      </x:c>
      <x:c r="O2997" s="12" t="str">
        <x:v>Retain protein mean pLDDT &gt;=70</x:v>
      </x:c>
      <x:c r="P2997" s="11" t="n">
        <x:v>0</x:v>
      </x:c>
      <x:c r="Q2997" s="12" t="str">
        <x:v>AF-Q9ERE7-F1-model_v6</x:v>
      </x:c>
      <x:c r="R2997" s="12" t="str">
        <x:v>ok</x:v>
      </x:c>
      <x:c r="S2997" s="11" t="n">
        <x:v>2464</x:v>
      </x:c>
      <x:c r="T2997" s="11" t="n">
        <x:v>224</x:v>
      </x:c>
    </x:row>
    <x:row r="2998" ht="23" customHeight="1">
      <x:c r="A2998" s="2" t="str">
        <x:v>Q9ERF3</x:v>
      </x:c>
      <x:c r="B2998" s="2" t="str">
        <x:v>UN</x:v>
      </x:c>
      <x:c r="C2998" s="2" t="n">
        <x:v>1</x:v>
      </x:c>
      <x:c r="D2998" s="2" t="n">
        <x:v>1</x:v>
      </x:c>
      <x:c r="E2998" s="10" t="n">
        <x:v>95.8632786885246</x:v>
      </x:c>
      <x:c r="F2998" s="11" t="n">
        <x:v>305</x:v>
      </x:c>
      <x:c r="G2998" s="11" t="n">
        <x:v>0</x:v>
      </x:c>
      <x:c r="H2998" s="11" t="n">
        <x:v>0</x:v>
      </x:c>
      <x:c r="I2998" s="11" t="n">
        <x:v>0</x:v>
      </x:c>
      <x:c r="J2998" s="11" t="n">
        <x:v>0</x:v>
      </x:c>
      <x:c r="K2998" s="11" t="n">
        <x:v>1</x:v>
      </x:c>
      <x:c r="L2998" s="11" t="n">
        <x:f>IF(B2998="NED",1,IF(OR(B2998="ED",B2998="UN"),0,""))</x:f>
        <x:v>0</x:v>
      </x:c>
      <x:c r="M2998" s="11" t="n">
        <x:f>IF(AND(K2998=1,OR(B2998="ED",B2998="NED")),1,0)</x:f>
        <x:v>0</x:v>
      </x:c>
      <x:c r="N2998" s="11" t="n">
        <x:f>IF(K2998=1,1,0)</x:f>
        <x:v>1</x:v>
      </x:c>
      <x:c r="O2998" s="12"/>
      <x:c r="P2998" s="11" t="n">
        <x:v>0</x:v>
      </x:c>
      <x:c r="Q2998" s="12" t="str">
        <x:v>AF-Q9ERF3-F1-model_v6</x:v>
      </x:c>
      <x:c r="R2998" s="12" t="str">
        <x:v>ok</x:v>
      </x:c>
      <x:c r="S2998" s="11" t="n">
        <x:v>2465</x:v>
      </x:c>
      <x:c r="T2998" s="11" t="n">
        <x:v>305</x:v>
      </x:c>
    </x:row>
    <x:row r="2999" ht="23" customHeight="1">
      <x:c r="A2999" s="2" t="str">
        <x:v>Q9ERG0</x:v>
      </x:c>
      <x:c r="B2999" s="2" t="str">
        <x:v>UN</x:v>
      </x:c>
      <x:c r="C2999" s="2" t="n">
        <x:v>0</x:v>
      </x:c>
      <x:c r="D2999" s="2" t="n">
        <x:v>0</x:v>
      </x:c>
      <x:c r="E2999" s="10"/>
      <x:c r="F2999" s="11" t="n">
        <x:v>753</x:v>
      </x:c>
      <x:c r="G2999" s="11" t="n">
        <x:v>0</x:v>
      </x:c>
      <x:c r="H2999" s="11" t="n">
        <x:v>0</x:v>
      </x:c>
      <x:c r="I2999" s="11" t="n">
        <x:v>1</x:v>
      </x:c>
      <x:c r="J2999" s="11" t="n">
        <x:v>0</x:v>
      </x:c>
      <x:c r="K2999" s="11" t="n">
        <x:v>0</x:v>
      </x:c>
      <x:c r="L2999" s="11" t="n">
        <x:f>IF(B2999="NED",1,IF(OR(B2999="ED",B2999="UN"),0,""))</x:f>
        <x:v>0</x:v>
      </x:c>
      <x:c r="M2999" s="11" t="n">
        <x:f>IF(AND(K2999=1,OR(B2999="ED",B2999="NED")),1,0)</x:f>
        <x:v>0</x:v>
      </x:c>
      <x:c r="N2999" s="11" t="n">
        <x:f>IF(K2999=1,1,0)</x:f>
        <x:v>0</x:v>
      </x:c>
      <x:c r="O2999" s="12" t="str">
        <x:v>Exclude UniProt Membrane keyword</x:v>
      </x:c>
      <x:c r="P2999" s="11" t="n">
        <x:v>0</x:v>
      </x:c>
      <x:c r="Q2999" s="12" t="str">
        <x:v>AF-Q9ERG0-F1-model_v6</x:v>
      </x:c>
      <x:c r="R2999" s="12" t="str">
        <x:v>ok</x:v>
      </x:c>
      <x:c r="S2999" s="11" t="n">
        <x:v>2466</x:v>
      </x:c>
      <x:c r="T2999" s="11" t="n">
        <x:v>753</x:v>
      </x:c>
    </x:row>
    <x:row r="3000" ht="23" customHeight="1">
      <x:c r="A3000" s="2" t="str">
        <x:v>Q9ERG2</x:v>
      </x:c>
      <x:c r="B3000" s="2" t="str">
        <x:v>ED</x:v>
      </x:c>
      <x:c r="C3000" s="2" t="n">
        <x:v>1</x:v>
      </x:c>
      <x:c r="D3000" s="2" t="n">
        <x:v>1</x:v>
      </x:c>
      <x:c r="E3000" s="10"/>
      <x:c r="F3000" s="11" t="n">
        <x:v>796</x:v>
      </x:c>
      <x:c r="G3000" s="11" t="n">
        <x:v>0</x:v>
      </x:c>
      <x:c r="H3000" s="11" t="n">
        <x:v>0</x:v>
      </x:c>
      <x:c r="I3000" s="11" t="n">
        <x:v>1</x:v>
      </x:c>
      <x:c r="J3000" s="11" t="n">
        <x:v>0</x:v>
      </x:c>
      <x:c r="K3000" s="11" t="n">
        <x:v>0</x:v>
      </x:c>
      <x:c r="L3000" s="11" t="n">
        <x:f>IF(B3000="NED",1,IF(OR(B3000="ED",B3000="UN"),0,""))</x:f>
        <x:v>0</x:v>
      </x:c>
      <x:c r="M3000" s="11" t="n">
        <x:f>IF(AND(K3000=1,OR(B3000="ED",B3000="NED")),1,0)</x:f>
        <x:v>0</x:v>
      </x:c>
      <x:c r="N3000" s="11" t="n">
        <x:f>IF(K3000=1,1,0)</x:f>
        <x:v>0</x:v>
      </x:c>
      <x:c r="O3000" s="12" t="str">
        <x:v>Exclude UniProt Membrane keyword</x:v>
      </x:c>
      <x:c r="P3000" s="11" t="n">
        <x:v>0</x:v>
      </x:c>
      <x:c r="Q3000" s="12" t="str">
        <x:v>AF-Q9ERG2-F1-model_v6</x:v>
      </x:c>
      <x:c r="R3000" s="12" t="str">
        <x:v>ok</x:v>
      </x:c>
      <x:c r="S3000" s="11" t="n">
        <x:v>2467</x:v>
      </x:c>
      <x:c r="T3000" s="11" t="n">
        <x:v>796</x:v>
      </x:c>
    </x:row>
    <x:row r="3001" ht="23" customHeight="1">
      <x:c r="A3001" s="2" t="str">
        <x:v>Q9ERK4</x:v>
      </x:c>
      <x:c r="B3001" s="2" t="str">
        <x:v>UN</x:v>
      </x:c>
      <x:c r="C3001" s="2" t="n">
        <x:v>1</x:v>
      </x:c>
      <x:c r="D3001" s="2" t="n">
        <x:v>1</x:v>
      </x:c>
      <x:c r="E3001" s="10" t="n">
        <x:v>91.06609680741502</x:v>
      </x:c>
      <x:c r="F3001" s="11" t="n">
        <x:v>971</x:v>
      </x:c>
      <x:c r="G3001" s="11" t="n">
        <x:v>0</x:v>
      </x:c>
      <x:c r="H3001" s="11" t="n">
        <x:v>0</x:v>
      </x:c>
      <x:c r="I3001" s="11" t="n">
        <x:v>0</x:v>
      </x:c>
      <x:c r="J3001" s="11" t="n">
        <x:v>0</x:v>
      </x:c>
      <x:c r="K3001" s="11" t="n">
        <x:v>1</x:v>
      </x:c>
      <x:c r="L3001" s="11" t="n">
        <x:f>IF(B3001="NED",1,IF(OR(B3001="ED",B3001="UN"),0,""))</x:f>
        <x:v>0</x:v>
      </x:c>
      <x:c r="M3001" s="11" t="n">
        <x:f>IF(AND(K3001=1,OR(B3001="ED",B3001="NED")),1,0)</x:f>
        <x:v>0</x:v>
      </x:c>
      <x:c r="N3001" s="11" t="n">
        <x:f>IF(K3001=1,1,0)</x:f>
        <x:v>1</x:v>
      </x:c>
      <x:c r="O3001" s="12"/>
      <x:c r="P3001" s="11" t="n">
        <x:v>0</x:v>
      </x:c>
      <x:c r="Q3001" s="12" t="str">
        <x:v>AF-Q9ERK4-F1-model_v6</x:v>
      </x:c>
      <x:c r="R3001" s="12" t="str">
        <x:v>ok</x:v>
      </x:c>
      <x:c r="S3001" s="11" t="n">
        <x:v>2468</x:v>
      </x:c>
      <x:c r="T3001" s="11" t="n">
        <x:v>971</x:v>
      </x:c>
    </x:row>
    <x:row r="3002" ht="23" customHeight="1">
      <x:c r="A3002" s="2" t="str">
        <x:v>Q9ERS2</x:v>
      </x:c>
      <x:c r="B3002" s="2" t="str">
        <x:v>UN</x:v>
      </x:c>
      <x:c r="C3002" s="2" t="n">
        <x:v>0</x:v>
      </x:c>
      <x:c r="D3002" s="2" t="n">
        <x:v>0</x:v>
      </x:c>
      <x:c r="E3002" s="10"/>
      <x:c r="F3002" s="11" t="n">
        <x:v>144</x:v>
      </x:c>
      <x:c r="G3002" s="11" t="n">
        <x:v>0</x:v>
      </x:c>
      <x:c r="H3002" s="11" t="n">
        <x:v>0</x:v>
      </x:c>
      <x:c r="I3002" s="11" t="n">
        <x:v>1</x:v>
      </x:c>
      <x:c r="J3002" s="11" t="n">
        <x:v>0</x:v>
      </x:c>
      <x:c r="K3002" s="11" t="n">
        <x:v>0</x:v>
      </x:c>
      <x:c r="L3002" s="11" t="n">
        <x:f>IF(B3002="NED",1,IF(OR(B3002="ED",B3002="UN"),0,""))</x:f>
        <x:v>0</x:v>
      </x:c>
      <x:c r="M3002" s="11" t="n">
        <x:f>IF(AND(K3002=1,OR(B3002="ED",B3002="NED")),1,0)</x:f>
        <x:v>0</x:v>
      </x:c>
      <x:c r="N3002" s="11" t="n">
        <x:f>IF(K3002=1,1,0)</x:f>
        <x:v>0</x:v>
      </x:c>
      <x:c r="O3002" s="12" t="str">
        <x:v>Exclude UniProt Membrane keyword</x:v>
      </x:c>
      <x:c r="P3002" s="11" t="n">
        <x:v>0</x:v>
      </x:c>
      <x:c r="Q3002" s="12" t="str">
        <x:v>AF-Q9ERS2-F1-model_v6</x:v>
      </x:c>
      <x:c r="R3002" s="12" t="str">
        <x:v>ok</x:v>
      </x:c>
      <x:c r="S3002" s="11" t="n">
        <x:v>2469</x:v>
      </x:c>
      <x:c r="T3002" s="11" t="n">
        <x:v>144</x:v>
      </x:c>
    </x:row>
    <x:row r="3003" ht="23" customHeight="1">
      <x:c r="A3003" s="2" t="str">
        <x:v>Q9ERU9</x:v>
      </x:c>
      <x:c r="B3003" s="2" t="str">
        <x:v>NED</x:v>
      </x:c>
      <x:c r="C3003" s="2"/>
      <x:c r="D3003" s="2"/>
      <x:c r="E3003" s="10"/>
      <x:c r="F3003" s="11"/>
      <x:c r="G3003" s="11" t="n">
        <x:v>0</x:v>
      </x:c>
      <x:c r="H3003" s="11" t="n">
        <x:v>0</x:v>
      </x:c>
      <x:c r="I3003" s="11" t="n">
        <x:v>1</x:v>
      </x:c>
      <x:c r="J3003" s="11" t="n">
        <x:v>0</x:v>
      </x:c>
      <x:c r="K3003" s="11" t="n">
        <x:v>0</x:v>
      </x:c>
      <x:c r="L3003" s="11" t="n">
        <x:f>IF(B3003="NED",1,IF(OR(B3003="ED",B3003="UN"),0,""))</x:f>
        <x:v>1</x:v>
      </x:c>
      <x:c r="M3003" s="11" t="n">
        <x:f>IF(AND(K3003=1,OR(B3003="ED",B3003="NED")),1,0)</x:f>
        <x:v>0</x:v>
      </x:c>
      <x:c r="N3003" s="11" t="n">
        <x:f>IF(K3003=1,1,0)</x:f>
        <x:v>0</x:v>
      </x:c>
      <x:c r="O3003" s="12" t="str">
        <x:v>Require exact native accession match</x:v>
      </x:c>
      <x:c r="P3003" s="11" t="n">
        <x:v>0</x:v>
      </x:c>
      <x:c r="Q3003" s="12"/>
      <x:c r="R3003" s="12"/>
      <x:c r="S3003" s="11" t="n">
        <x:v>2470</x:v>
      </x:c>
      <x:c r="T3003" s="11" t="n">
        <x:v>3053</x:v>
      </x:c>
    </x:row>
    <x:row r="3004" ht="23" customHeight="1">
      <x:c r="A3004" s="2" t="str">
        <x:v>Q9ES00</x:v>
      </x:c>
      <x:c r="B3004" s="2" t="str">
        <x:v>UN</x:v>
      </x:c>
      <x:c r="C3004" s="2" t="n">
        <x:v>1</x:v>
      </x:c>
      <x:c r="D3004" s="2" t="n">
        <x:v>1</x:v>
      </x:c>
      <x:c r="E3004" s="10" t="n">
        <x:v>79.54811594202899</x:v>
      </x:c>
      <x:c r="F3004" s="11" t="n">
        <x:v>1173</x:v>
      </x:c>
      <x:c r="G3004" s="11" t="n">
        <x:v>0</x:v>
      </x:c>
      <x:c r="H3004" s="11" t="n">
        <x:v>0</x:v>
      </x:c>
      <x:c r="I3004" s="11" t="n">
        <x:v>0</x:v>
      </x:c>
      <x:c r="J3004" s="11" t="n">
        <x:v>0</x:v>
      </x:c>
      <x:c r="K3004" s="11" t="n">
        <x:v>1</x:v>
      </x:c>
      <x:c r="L3004" s="11" t="n">
        <x:f>IF(B3004="NED",1,IF(OR(B3004="ED",B3004="UN"),0,""))</x:f>
        <x:v>0</x:v>
      </x:c>
      <x:c r="M3004" s="11" t="n">
        <x:f>IF(AND(K3004=1,OR(B3004="ED",B3004="NED")),1,0)</x:f>
        <x:v>0</x:v>
      </x:c>
      <x:c r="N3004" s="11" t="n">
        <x:f>IF(K3004=1,1,0)</x:f>
        <x:v>1</x:v>
      </x:c>
      <x:c r="O3004" s="12"/>
      <x:c r="P3004" s="11" t="n">
        <x:v>0</x:v>
      </x:c>
      <x:c r="Q3004" s="12" t="str">
        <x:v>AF-Q9ES00-F1-model_v6</x:v>
      </x:c>
      <x:c r="R3004" s="12" t="str">
        <x:v>ok</x:v>
      </x:c>
      <x:c r="S3004" s="11" t="n">
        <x:v>2471</x:v>
      </x:c>
      <x:c r="T3004" s="11" t="n">
        <x:v>1173</x:v>
      </x:c>
    </x:row>
    <x:row r="3005" ht="23" customHeight="1">
      <x:c r="A3005" s="2" t="str">
        <x:v>Q9ES46</x:v>
      </x:c>
      <x:c r="B3005" s="2" t="str">
        <x:v>NED</x:v>
      </x:c>
      <x:c r="C3005" s="2" t="n">
        <x:v>0</x:v>
      </x:c>
      <x:c r="D3005" s="2" t="n">
        <x:v>0</x:v>
      </x:c>
      <x:c r="E3005" s="10"/>
      <x:c r="F3005" s="11" t="n">
        <x:v>365</x:v>
      </x:c>
      <x:c r="G3005" s="11" t="n">
        <x:v>0</x:v>
      </x:c>
      <x:c r="H3005" s="11" t="n">
        <x:v>0</x:v>
      </x:c>
      <x:c r="I3005" s="11" t="n">
        <x:v>1</x:v>
      </x:c>
      <x:c r="J3005" s="11" t="n">
        <x:v>0</x:v>
      </x:c>
      <x:c r="K3005" s="11" t="n">
        <x:v>0</x:v>
      </x:c>
      <x:c r="L3005" s="11" t="n">
        <x:f>IF(B3005="NED",1,IF(OR(B3005="ED",B3005="UN"),0,""))</x:f>
        <x:v>1</x:v>
      </x:c>
      <x:c r="M3005" s="11" t="n">
        <x:f>IF(AND(K3005=1,OR(B3005="ED",B3005="NED")),1,0)</x:f>
        <x:v>0</x:v>
      </x:c>
      <x:c r="N3005" s="11" t="n">
        <x:f>IF(K3005=1,1,0)</x:f>
        <x:v>0</x:v>
      </x:c>
      <x:c r="O3005" s="12" t="str">
        <x:v>Exclude UniProt Membrane keyword</x:v>
      </x:c>
      <x:c r="P3005" s="11" t="n">
        <x:v>0</x:v>
      </x:c>
      <x:c r="Q3005" s="12" t="str">
        <x:v>AF-Q9ES46-F1-model_v6</x:v>
      </x:c>
      <x:c r="R3005" s="12" t="str">
        <x:v>ok</x:v>
      </x:c>
      <x:c r="S3005" s="11" t="n">
        <x:v>2472</x:v>
      </x:c>
      <x:c r="T3005" s="11" t="n">
        <x:v>365</x:v>
      </x:c>
    </x:row>
    <x:row r="3006" ht="23" customHeight="1">
      <x:c r="A3006" s="2" t="str">
        <x:v>Q9ES74</x:v>
      </x:c>
      <x:c r="B3006" s="2" t="str">
        <x:v>ED</x:v>
      </x:c>
      <x:c r="C3006" s="2" t="n">
        <x:v>1</x:v>
      </x:c>
      <x:c r="D3006" s="2" t="n">
        <x:v>1</x:v>
      </x:c>
      <x:c r="E3006" s="10" t="n">
        <x:v>87.11334437086093</x:v>
      </x:c>
      <x:c r="F3006" s="11" t="n">
        <x:v>302</x:v>
      </x:c>
      <x:c r="G3006" s="11" t="n">
        <x:v>0</x:v>
      </x:c>
      <x:c r="H3006" s="11" t="n">
        <x:v>0</x:v>
      </x:c>
      <x:c r="I3006" s="11" t="n">
        <x:v>0</x:v>
      </x:c>
      <x:c r="J3006" s="11" t="n">
        <x:v>0</x:v>
      </x:c>
      <x:c r="K3006" s="11" t="n">
        <x:v>1</x:v>
      </x:c>
      <x:c r="L3006" s="11" t="n">
        <x:f>IF(B3006="NED",1,IF(OR(B3006="ED",B3006="UN"),0,""))</x:f>
        <x:v>0</x:v>
      </x:c>
      <x:c r="M3006" s="11" t="n">
        <x:f>IF(AND(K3006=1,OR(B3006="ED",B3006="NED")),1,0)</x:f>
        <x:v>1</x:v>
      </x:c>
      <x:c r="N3006" s="11" t="n">
        <x:f>IF(K3006=1,1,0)</x:f>
        <x:v>1</x:v>
      </x:c>
      <x:c r="O3006" s="12"/>
      <x:c r="P3006" s="11" t="n">
        <x:v>0</x:v>
      </x:c>
      <x:c r="Q3006" s="12" t="str">
        <x:v>AF-Q9ES74-F1-model_v6</x:v>
      </x:c>
      <x:c r="R3006" s="12" t="str">
        <x:v>ok</x:v>
      </x:c>
      <x:c r="S3006" s="11" t="n">
        <x:v>2473</x:v>
      </x:c>
      <x:c r="T3006" s="11" t="n">
        <x:v>302</x:v>
      </x:c>
    </x:row>
    <x:row r="3007" ht="23" customHeight="1">
      <x:c r="A3007" s="2" t="str">
        <x:v>Q9ESJ0</x:v>
      </x:c>
      <x:c r="B3007" s="2" t="str">
        <x:v>ED</x:v>
      </x:c>
      <x:c r="C3007" s="2" t="n">
        <x:v>1</x:v>
      </x:c>
      <x:c r="D3007" s="2" t="n">
        <x:v>1</x:v>
      </x:c>
      <x:c r="E3007" s="10" t="n">
        <x:v>88.9035013032146</x:v>
      </x:c>
      <x:c r="F3007" s="11" t="n">
        <x:v>1151</x:v>
      </x:c>
      <x:c r="G3007" s="11" t="n">
        <x:v>0</x:v>
      </x:c>
      <x:c r="H3007" s="11" t="n">
        <x:v>0</x:v>
      </x:c>
      <x:c r="I3007" s="11" t="n">
        <x:v>0</x:v>
      </x:c>
      <x:c r="J3007" s="11" t="n">
        <x:v>0</x:v>
      </x:c>
      <x:c r="K3007" s="11" t="n">
        <x:v>1</x:v>
      </x:c>
      <x:c r="L3007" s="11" t="n">
        <x:f>IF(B3007="NED",1,IF(OR(B3007="ED",B3007="UN"),0,""))</x:f>
        <x:v>0</x:v>
      </x:c>
      <x:c r="M3007" s="11" t="n">
        <x:f>IF(AND(K3007=1,OR(B3007="ED",B3007="NED")),1,0)</x:f>
        <x:v>1</x:v>
      </x:c>
      <x:c r="N3007" s="11" t="n">
        <x:f>IF(K3007=1,1,0)</x:f>
        <x:v>1</x:v>
      </x:c>
      <x:c r="O3007" s="12"/>
      <x:c r="P3007" s="11" t="n">
        <x:v>0</x:v>
      </x:c>
      <x:c r="Q3007" s="12" t="str">
        <x:v>AF-Q9ESJ0-F1-model_v6</x:v>
      </x:c>
      <x:c r="R3007" s="12" t="str">
        <x:v>ok</x:v>
      </x:c>
      <x:c r="S3007" s="11" t="n">
        <x:v>2474</x:v>
      </x:c>
      <x:c r="T3007" s="11" t="n">
        <x:v>1151</x:v>
      </x:c>
    </x:row>
    <x:row r="3008" ht="23" customHeight="1">
      <x:c r="A3008" s="2" t="str">
        <x:v>Q9ESL4</x:v>
      </x:c>
      <x:c r="B3008" s="2" t="str">
        <x:v>UN</x:v>
      </x:c>
      <x:c r="C3008" s="2" t="n">
        <x:v>1</x:v>
      </x:c>
      <x:c r="D3008" s="2" t="n">
        <x:v>1</x:v>
      </x:c>
      <x:c r="E3008" s="10" t="n">
        <x:v>68.35117206982544</x:v>
      </x:c>
      <x:c r="F3008" s="11" t="n">
        <x:v>802</x:v>
      </x:c>
      <x:c r="G3008" s="11" t="n">
        <x:v>0</x:v>
      </x:c>
      <x:c r="H3008" s="11" t="n">
        <x:v>0</x:v>
      </x:c>
      <x:c r="I3008" s="11" t="n">
        <x:v>0</x:v>
      </x:c>
      <x:c r="J3008" s="11" t="n">
        <x:v>0</x:v>
      </x:c>
      <x:c r="K3008" s="11" t="n">
        <x:v>0</x:v>
      </x:c>
      <x:c r="L3008" s="11" t="n">
        <x:f>IF(B3008="NED",1,IF(OR(B3008="ED",B3008="UN"),0,""))</x:f>
        <x:v>0</x:v>
      </x:c>
      <x:c r="M3008" s="11" t="n">
        <x:f>IF(AND(K3008=1,OR(B3008="ED",B3008="NED")),1,0)</x:f>
        <x:v>0</x:v>
      </x:c>
      <x:c r="N3008" s="11" t="n">
        <x:f>IF(K3008=1,1,0)</x:f>
        <x:v>0</x:v>
      </x:c>
      <x:c r="O3008" s="12" t="str">
        <x:v>Retain protein mean pLDDT &gt;=70</x:v>
      </x:c>
      <x:c r="P3008" s="11" t="n">
        <x:v>0</x:v>
      </x:c>
      <x:c r="Q3008" s="12" t="str">
        <x:v>AF-Q9ESL4-F1-model_v6</x:v>
      </x:c>
      <x:c r="R3008" s="12" t="str">
        <x:v>ok</x:v>
      </x:c>
      <x:c r="S3008" s="11" t="n">
        <x:v>2475</x:v>
      </x:c>
      <x:c r="T3008" s="11" t="n">
        <x:v>802</x:v>
      </x:c>
    </x:row>
    <x:row r="3009" ht="23" customHeight="1">
      <x:c r="A3009" s="2" t="str">
        <x:v>Q9ESP1</x:v>
      </x:c>
      <x:c r="B3009" s="2" t="str">
        <x:v>ED</x:v>
      </x:c>
      <x:c r="C3009" s="2" t="n">
        <x:v>1</x:v>
      </x:c>
      <x:c r="D3009" s="2" t="n">
        <x:v>1</x:v>
      </x:c>
      <x:c r="E3009" s="10" t="n">
        <x:v>88.24837104072398</x:v>
      </x:c>
      <x:c r="F3009" s="11" t="n">
        <x:v>221</x:v>
      </x:c>
      <x:c r="G3009" s="11" t="n">
        <x:v>0</x:v>
      </x:c>
      <x:c r="H3009" s="11" t="n">
        <x:v>0</x:v>
      </x:c>
      <x:c r="I3009" s="11" t="n">
        <x:v>0</x:v>
      </x:c>
      <x:c r="J3009" s="11" t="n">
        <x:v>0</x:v>
      </x:c>
      <x:c r="K3009" s="11" t="n">
        <x:v>1</x:v>
      </x:c>
      <x:c r="L3009" s="11" t="n">
        <x:f>IF(B3009="NED",1,IF(OR(B3009="ED",B3009="UN"),0,""))</x:f>
        <x:v>0</x:v>
      </x:c>
      <x:c r="M3009" s="11" t="n">
        <x:f>IF(AND(K3009=1,OR(B3009="ED",B3009="NED")),1,0)</x:f>
        <x:v>1</x:v>
      </x:c>
      <x:c r="N3009" s="11" t="n">
        <x:f>IF(K3009=1,1,0)</x:f>
        <x:v>1</x:v>
      </x:c>
      <x:c r="O3009" s="12"/>
      <x:c r="P3009" s="11" t="n">
        <x:v>0</x:v>
      </x:c>
      <x:c r="Q3009" s="12" t="str">
        <x:v>AF-Q9ESP1-F1-model_v6</x:v>
      </x:c>
      <x:c r="R3009" s="12" t="str">
        <x:v>ok</x:v>
      </x:c>
      <x:c r="S3009" s="11" t="n">
        <x:v>2476</x:v>
      </x:c>
      <x:c r="T3009" s="11" t="n">
        <x:v>221</x:v>
      </x:c>
    </x:row>
    <x:row r="3010" ht="23" customHeight="1">
      <x:c r="A3010" s="2" t="str">
        <x:v>Q9EST3</x:v>
      </x:c>
      <x:c r="B3010" s="2" t="str">
        <x:v>ED</x:v>
      </x:c>
      <x:c r="C3010" s="2" t="n">
        <x:v>1</x:v>
      </x:c>
      <x:c r="D3010" s="2"/>
      <x:c r="E3010" s="10" t="n">
        <x:v>51.16658189216684</x:v>
      </x:c>
      <x:c r="F3010" s="11" t="n">
        <x:v>983</x:v>
      </x:c>
      <x:c r="G3010" s="11" t="n">
        <x:v>0</x:v>
      </x:c>
      <x:c r="H3010" s="11" t="n">
        <x:v>0</x:v>
      </x:c>
      <x:c r="I3010" s="11" t="n">
        <x:v>0</x:v>
      </x:c>
      <x:c r="J3010" s="11" t="n">
        <x:v>0</x:v>
      </x:c>
      <x:c r="K3010" s="11" t="n">
        <x:v>0</x:v>
      </x:c>
      <x:c r="L3010" s="11" t="n">
        <x:f>IF(B3010="NED",1,IF(OR(B3010="ED",B3010="UN"),0,""))</x:f>
        <x:v>0</x:v>
      </x:c>
      <x:c r="M3010" s="11" t="n">
        <x:f>IF(AND(K3010=1,OR(B3010="ED",B3010="NED")),1,0)</x:f>
        <x:v>0</x:v>
      </x:c>
      <x:c r="N3010" s="11" t="n">
        <x:f>IF(K3010=1,1,0)</x:f>
        <x:v>0</x:v>
      </x:c>
      <x:c r="O3010" s="12" t="str">
        <x:v>Retain protein mean pLDDT &gt;=70</x:v>
      </x:c>
      <x:c r="P3010" s="11" t="n">
        <x:v>0</x:v>
      </x:c>
      <x:c r="Q3010" s="12" t="str">
        <x:v>AF-Q9EST3-F1-model_v6</x:v>
      </x:c>
      <x:c r="R3010" s="12" t="str">
        <x:v>ok</x:v>
      </x:c>
      <x:c r="S3010" s="11" t="n">
        <x:v>2477</x:v>
      </x:c>
      <x:c r="T3010" s="11" t="n">
        <x:v>983</x:v>
      </x:c>
    </x:row>
    <x:row r="3011" ht="23" customHeight="1">
      <x:c r="A3011" s="2" t="str">
        <x:v>Q9EST4-3</x:v>
      </x:c>
      <x:c r="B3011" s="2" t="str">
        <x:v>ED</x:v>
      </x:c>
      <x:c r="C3011" s="2"/>
      <x:c r="D3011" s="2"/>
      <x:c r="E3011" s="10"/>
      <x:c r="F3011" s="11"/>
      <x:c r="G3011" s="11" t="n">
        <x:v>0</x:v>
      </x:c>
      <x:c r="H3011" s="11" t="n">
        <x:v>0</x:v>
      </x:c>
      <x:c r="I3011" s="11"/>
      <x:c r="J3011" s="11"/>
      <x:c r="K3011" s="11" t="n">
        <x:v>0</x:v>
      </x:c>
      <x:c r="L3011" s="11" t="n">
        <x:f>IF(B3011="NED",1,IF(OR(B3011="ED",B3011="UN"),0,""))</x:f>
        <x:v>0</x:v>
      </x:c>
      <x:c r="M3011" s="11" t="n">
        <x:f>IF(AND(K3011=1,OR(B3011="ED",B3011="NED")),1,0)</x:f>
        <x:v>0</x:v>
      </x:c>
      <x:c r="N3011" s="11" t="n">
        <x:f>IF(K3011=1,1,0)</x:f>
        <x:v>0</x:v>
      </x:c>
      <x:c r="O3011" s="12" t="str">
        <x:v>Require exact native accession match</x:v>
      </x:c>
      <x:c r="P3011" s="11" t="n">
        <x:v>0</x:v>
      </x:c>
      <x:c r="Q3011" s="12"/>
      <x:c r="R3011" s="12"/>
      <x:c r="S3011" s="11" t="n">
        <x:v>2478</x:v>
      </x:c>
      <x:c r="T3011" s="11"/>
    </x:row>
    <x:row r="3012" ht="23" customHeight="1">
      <x:c r="A3012" s="2" t="str">
        <x:v>Q9EST5</x:v>
      </x:c>
      <x:c r="B3012" s="2" t="str">
        <x:v>ED</x:v>
      </x:c>
      <x:c r="C3012" s="2" t="n">
        <x:v>0</x:v>
      </x:c>
      <x:c r="D3012" s="2" t="n">
        <x:v>0</x:v>
      </x:c>
      <x:c r="E3012" s="10" t="n">
        <x:v>76.63643382352942</x:v>
      </x:c>
      <x:c r="F3012" s="11" t="n">
        <x:v>272</x:v>
      </x:c>
      <x:c r="G3012" s="11" t="n">
        <x:v>0</x:v>
      </x:c>
      <x:c r="H3012" s="11" t="n">
        <x:v>0</x:v>
      </x:c>
      <x:c r="I3012" s="11" t="n">
        <x:v>0</x:v>
      </x:c>
      <x:c r="J3012" s="11" t="n">
        <x:v>0</x:v>
      </x:c>
      <x:c r="K3012" s="11" t="n">
        <x:v>1</x:v>
      </x:c>
      <x:c r="L3012" s="11" t="n">
        <x:f>IF(B3012="NED",1,IF(OR(B3012="ED",B3012="UN"),0,""))</x:f>
        <x:v>0</x:v>
      </x:c>
      <x:c r="M3012" s="11" t="n">
        <x:f>IF(AND(K3012=1,OR(B3012="ED",B3012="NED")),1,0)</x:f>
        <x:v>1</x:v>
      </x:c>
      <x:c r="N3012" s="11" t="n">
        <x:f>IF(K3012=1,1,0)</x:f>
        <x:v>1</x:v>
      </x:c>
      <x:c r="O3012" s="12"/>
      <x:c r="P3012" s="11" t="n">
        <x:v>0</x:v>
      </x:c>
      <x:c r="Q3012" s="12" t="str">
        <x:v>AF-Q9EST5-F1-model_v6</x:v>
      </x:c>
      <x:c r="R3012" s="12" t="str">
        <x:v>ok</x:v>
      </x:c>
      <x:c r="S3012" s="11" t="n">
        <x:v>2479</x:v>
      </x:c>
      <x:c r="T3012" s="11" t="n">
        <x:v>272</x:v>
      </x:c>
    </x:row>
    <x:row r="3013" ht="23" customHeight="1">
      <x:c r="A3013" s="2" t="str">
        <x:v>Q9ESU6</x:v>
      </x:c>
      <x:c r="B3013" s="2" t="str">
        <x:v>UN</x:v>
      </x:c>
      <x:c r="C3013" s="2" t="n">
        <x:v>1</x:v>
      </x:c>
      <x:c r="D3013" s="2" t="n">
        <x:v>1</x:v>
      </x:c>
      <x:c r="E3013" s="10" t="n">
        <x:v>55.04588571428572</x:v>
      </x:c>
      <x:c r="F3013" s="11" t="n">
        <x:v>1400</x:v>
      </x:c>
      <x:c r="G3013" s="11" t="n">
        <x:v>0</x:v>
      </x:c>
      <x:c r="H3013" s="11" t="n">
        <x:v>0</x:v>
      </x:c>
      <x:c r="I3013" s="11" t="n">
        <x:v>0</x:v>
      </x:c>
      <x:c r="J3013" s="11" t="n">
        <x:v>0</x:v>
      </x:c>
      <x:c r="K3013" s="11" t="n">
        <x:v>0</x:v>
      </x:c>
      <x:c r="L3013" s="11" t="n">
        <x:f>IF(B3013="NED",1,IF(OR(B3013="ED",B3013="UN"),0,""))</x:f>
        <x:v>0</x:v>
      </x:c>
      <x:c r="M3013" s="11" t="n">
        <x:f>IF(AND(K3013=1,OR(B3013="ED",B3013="NED")),1,0)</x:f>
        <x:v>0</x:v>
      </x:c>
      <x:c r="N3013" s="11" t="n">
        <x:f>IF(K3013=1,1,0)</x:f>
        <x:v>0</x:v>
      </x:c>
      <x:c r="O3013" s="12" t="str">
        <x:v>Retain protein mean pLDDT &gt;=70</x:v>
      </x:c>
      <x:c r="P3013" s="11" t="n">
        <x:v>0</x:v>
      </x:c>
      <x:c r="Q3013" s="12" t="str">
        <x:v>AF-Q9ESU6-F1-model_v6</x:v>
      </x:c>
      <x:c r="R3013" s="12" t="str">
        <x:v>ok</x:v>
      </x:c>
      <x:c r="S3013" s="11" t="n">
        <x:v>2480</x:v>
      </x:c>
      <x:c r="T3013" s="11" t="n">
        <x:v>1400</x:v>
      </x:c>
    </x:row>
    <x:row r="3014" ht="23" customHeight="1">
      <x:c r="A3014" s="2" t="str">
        <x:v>Q9ESU7</x:v>
      </x:c>
      <x:c r="B3014" s="2" t="str">
        <x:v>NED</x:v>
      </x:c>
      <x:c r="C3014" s="2"/>
      <x:c r="D3014" s="2"/>
      <x:c r="E3014" s="10"/>
      <x:c r="F3014" s="11"/>
      <x:c r="G3014" s="11" t="n">
        <x:v>0</x:v>
      </x:c>
      <x:c r="H3014" s="11" t="n">
        <x:v>0</x:v>
      </x:c>
      <x:c r="I3014" s="11" t="n">
        <x:v>1</x:v>
      </x:c>
      <x:c r="J3014" s="11" t="n">
        <x:v>0</x:v>
      </x:c>
      <x:c r="K3014" s="11" t="n">
        <x:v>0</x:v>
      </x:c>
      <x:c r="L3014" s="11" t="n">
        <x:f>IF(B3014="NED",1,IF(OR(B3014="ED",B3014="UN"),0,""))</x:f>
        <x:v>1</x:v>
      </x:c>
      <x:c r="M3014" s="11" t="n">
        <x:f>IF(AND(K3014=1,OR(B3014="ED",B3014="NED")),1,0)</x:f>
        <x:v>0</x:v>
      </x:c>
      <x:c r="N3014" s="11" t="n">
        <x:f>IF(K3014=1,1,0)</x:f>
        <x:v>0</x:v>
      </x:c>
      <x:c r="O3014" s="12" t="str">
        <x:v>Require exact native accession match</x:v>
      </x:c>
      <x:c r="P3014" s="11" t="n">
        <x:v>0</x:v>
      </x:c>
      <x:c r="Q3014" s="12"/>
      <x:c r="R3014" s="12"/>
      <x:c r="S3014" s="11" t="n">
        <x:v>3276</x:v>
      </x:c>
      <x:c r="T3014" s="11" t="n">
        <x:v>555</x:v>
      </x:c>
    </x:row>
    <x:row r="3015" ht="23" customHeight="1">
      <x:c r="A3015" s="2" t="str">
        <x:v>Q9ESV0</x:v>
      </x:c>
      <x:c r="B3015" s="2" t="str">
        <x:v>UN</x:v>
      </x:c>
      <x:c r="C3015" s="2" t="n">
        <x:v>1</x:v>
      </x:c>
      <x:c r="D3015" s="2" t="n">
        <x:v>1</x:v>
      </x:c>
      <x:c r="E3015" s="10" t="n">
        <x:v>65.6520886814469</x:v>
      </x:c>
      <x:c r="F3015" s="11" t="n">
        <x:v>857</x:v>
      </x:c>
      <x:c r="G3015" s="11" t="n">
        <x:v>0</x:v>
      </x:c>
      <x:c r="H3015" s="11" t="n">
        <x:v>0</x:v>
      </x:c>
      <x:c r="I3015" s="11" t="n">
        <x:v>0</x:v>
      </x:c>
      <x:c r="J3015" s="11" t="n">
        <x:v>0</x:v>
      </x:c>
      <x:c r="K3015" s="11" t="n">
        <x:v>0</x:v>
      </x:c>
      <x:c r="L3015" s="11" t="n">
        <x:f>IF(B3015="NED",1,IF(OR(B3015="ED",B3015="UN"),0,""))</x:f>
        <x:v>0</x:v>
      </x:c>
      <x:c r="M3015" s="11" t="n">
        <x:f>IF(AND(K3015=1,OR(B3015="ED",B3015="NED")),1,0)</x:f>
        <x:v>0</x:v>
      </x:c>
      <x:c r="N3015" s="11" t="n">
        <x:f>IF(K3015=1,1,0)</x:f>
        <x:v>0</x:v>
      </x:c>
      <x:c r="O3015" s="12" t="str">
        <x:v>Retain protein mean pLDDT &gt;=70</x:v>
      </x:c>
      <x:c r="P3015" s="11" t="n">
        <x:v>0</x:v>
      </x:c>
      <x:c r="Q3015" s="12" t="str">
        <x:v>AF-Q9ESV0-F1-model_v6</x:v>
      </x:c>
      <x:c r="R3015" s="12" t="str">
        <x:v>ok</x:v>
      </x:c>
      <x:c r="S3015" s="11" t="n">
        <x:v>2481</x:v>
      </x:c>
      <x:c r="T3015" s="11" t="n">
        <x:v>857</x:v>
      </x:c>
    </x:row>
    <x:row r="3016" ht="23" customHeight="1">
      <x:c r="A3016" s="2" t="str">
        <x:v>Q9ESW4</x:v>
      </x:c>
      <x:c r="B3016" s="2" t="str">
        <x:v>UN</x:v>
      </x:c>
      <x:c r="C3016" s="2" t="n">
        <x:v>1</x:v>
      </x:c>
      <x:c r="D3016" s="2" t="n">
        <x:v>1</x:v>
      </x:c>
      <x:c r="E3016" s="10"/>
      <x:c r="F3016" s="11" t="n">
        <x:v>421</x:v>
      </x:c>
      <x:c r="G3016" s="11" t="n">
        <x:v>0</x:v>
      </x:c>
      <x:c r="H3016" s="11" t="n">
        <x:v>0</x:v>
      </x:c>
      <x:c r="I3016" s="11" t="n">
        <x:v>1</x:v>
      </x:c>
      <x:c r="J3016" s="11" t="n">
        <x:v>0</x:v>
      </x:c>
      <x:c r="K3016" s="11" t="n">
        <x:v>0</x:v>
      </x:c>
      <x:c r="L3016" s="11" t="n">
        <x:f>IF(B3016="NED",1,IF(OR(B3016="ED",B3016="UN"),0,""))</x:f>
        <x:v>0</x:v>
      </x:c>
      <x:c r="M3016" s="11" t="n">
        <x:f>IF(AND(K3016=1,OR(B3016="ED",B3016="NED")),1,0)</x:f>
        <x:v>0</x:v>
      </x:c>
      <x:c r="N3016" s="11" t="n">
        <x:f>IF(K3016=1,1,0)</x:f>
        <x:v>0</x:v>
      </x:c>
      <x:c r="O3016" s="12" t="str">
        <x:v>Exclude UniProt Membrane keyword</x:v>
      </x:c>
      <x:c r="P3016" s="11" t="n">
        <x:v>0</x:v>
      </x:c>
      <x:c r="Q3016" s="12" t="str">
        <x:v>AF-Q9ESW4-F1-model_v6</x:v>
      </x:c>
      <x:c r="R3016" s="12" t="str">
        <x:v>ok</x:v>
      </x:c>
      <x:c r="S3016" s="11" t="n">
        <x:v>2482</x:v>
      </x:c>
      <x:c r="T3016" s="11" t="n">
        <x:v>421</x:v>
      </x:c>
    </x:row>
    <x:row r="3017" ht="23" customHeight="1">
      <x:c r="A3017" s="2" t="str">
        <x:v>Q9ESX5</x:v>
      </x:c>
      <x:c r="B3017" s="2" t="str">
        <x:v>NED</x:v>
      </x:c>
      <x:c r="C3017" s="2" t="n">
        <x:v>1</x:v>
      </x:c>
      <x:c r="D3017" s="2" t="n">
        <x:v>1</x:v>
      </x:c>
      <x:c r="E3017" s="10" t="n">
        <x:v>79.57884086444007</x:v>
      </x:c>
      <x:c r="F3017" s="11" t="n">
        <x:v>509</x:v>
      </x:c>
      <x:c r="G3017" s="11" t="n">
        <x:v>0</x:v>
      </x:c>
      <x:c r="H3017" s="11" t="n">
        <x:v>0</x:v>
      </x:c>
      <x:c r="I3017" s="11" t="n">
        <x:v>0</x:v>
      </x:c>
      <x:c r="J3017" s="11" t="n">
        <x:v>0</x:v>
      </x:c>
      <x:c r="K3017" s="11" t="n">
        <x:v>1</x:v>
      </x:c>
      <x:c r="L3017" s="11" t="n">
        <x:f>IF(B3017="NED",1,IF(OR(B3017="ED",B3017="UN"),0,""))</x:f>
        <x:v>1</x:v>
      </x:c>
      <x:c r="M3017" s="11" t="n">
        <x:f>IF(AND(K3017=1,OR(B3017="ED",B3017="NED")),1,0)</x:f>
        <x:v>1</x:v>
      </x:c>
      <x:c r="N3017" s="11" t="n">
        <x:f>IF(K3017=1,1,0)</x:f>
        <x:v>1</x:v>
      </x:c>
      <x:c r="O3017" s="12"/>
      <x:c r="P3017" s="11" t="n">
        <x:v>0</x:v>
      </x:c>
      <x:c r="Q3017" s="12" t="str">
        <x:v>AF-Q9ESX5-F1-model_v6</x:v>
      </x:c>
      <x:c r="R3017" s="12" t="str">
        <x:v>ok</x:v>
      </x:c>
      <x:c r="S3017" s="11" t="n">
        <x:v>2483</x:v>
      </x:c>
      <x:c r="T3017" s="11" t="n">
        <x:v>509</x:v>
      </x:c>
    </x:row>
    <x:row r="3018" ht="23" customHeight="1">
      <x:c r="A3018" s="2" t="str">
        <x:v>Q9ET30</x:v>
      </x:c>
      <x:c r="B3018" s="2" t="str">
        <x:v>UN</x:v>
      </x:c>
      <x:c r="C3018" s="2" t="n">
        <x:v>1</x:v>
      </x:c>
      <x:c r="D3018" s="2" t="n">
        <x:v>1</x:v>
      </x:c>
      <x:c r="E3018" s="10"/>
      <x:c r="F3018" s="11" t="n">
        <x:v>587</x:v>
      </x:c>
      <x:c r="G3018" s="11" t="n">
        <x:v>0</x:v>
      </x:c>
      <x:c r="H3018" s="11" t="n">
        <x:v>0</x:v>
      </x:c>
      <x:c r="I3018" s="11" t="n">
        <x:v>1</x:v>
      </x:c>
      <x:c r="J3018" s="11" t="n">
        <x:v>0</x:v>
      </x:c>
      <x:c r="K3018" s="11" t="n">
        <x:v>0</x:v>
      </x:c>
      <x:c r="L3018" s="11" t="n">
        <x:f>IF(B3018="NED",1,IF(OR(B3018="ED",B3018="UN"),0,""))</x:f>
        <x:v>0</x:v>
      </x:c>
      <x:c r="M3018" s="11" t="n">
        <x:f>IF(AND(K3018=1,OR(B3018="ED",B3018="NED")),1,0)</x:f>
        <x:v>0</x:v>
      </x:c>
      <x:c r="N3018" s="11" t="n">
        <x:f>IF(K3018=1,1,0)</x:f>
        <x:v>0</x:v>
      </x:c>
      <x:c r="O3018" s="12" t="str">
        <x:v>Exclude UniProt Membrane keyword</x:v>
      </x:c>
      <x:c r="P3018" s="11" t="n">
        <x:v>0</x:v>
      </x:c>
      <x:c r="Q3018" s="12" t="str">
        <x:v>AF-Q9ET30-F1-model_v6</x:v>
      </x:c>
      <x:c r="R3018" s="12" t="str">
        <x:v>ok</x:v>
      </x:c>
      <x:c r="S3018" s="11" t="n">
        <x:v>2484</x:v>
      </x:c>
      <x:c r="T3018" s="11" t="n">
        <x:v>587</x:v>
      </x:c>
    </x:row>
    <x:row r="3019" ht="23" customHeight="1">
      <x:c r="A3019" s="2" t="str">
        <x:v>Q9ET54-3</x:v>
      </x:c>
      <x:c r="B3019" s="2" t="str">
        <x:v>UN</x:v>
      </x:c>
      <x:c r="C3019" s="2"/>
      <x:c r="D3019" s="2"/>
      <x:c r="E3019" s="10"/>
      <x:c r="F3019" s="11"/>
      <x:c r="G3019" s="11" t="n">
        <x:v>0</x:v>
      </x:c>
      <x:c r="H3019" s="11" t="n">
        <x:v>0</x:v>
      </x:c>
      <x:c r="I3019" s="11"/>
      <x:c r="J3019" s="11"/>
      <x:c r="K3019" s="11" t="n">
        <x:v>0</x:v>
      </x:c>
      <x:c r="L3019" s="11" t="n">
        <x:f>IF(B3019="NED",1,IF(OR(B3019="ED",B3019="UN"),0,""))</x:f>
        <x:v>0</x:v>
      </x:c>
      <x:c r="M3019" s="11" t="n">
        <x:f>IF(AND(K3019=1,OR(B3019="ED",B3019="NED")),1,0)</x:f>
        <x:v>0</x:v>
      </x:c>
      <x:c r="N3019" s="11" t="n">
        <x:f>IF(K3019=1,1,0)</x:f>
        <x:v>0</x:v>
      </x:c>
      <x:c r="O3019" s="12" t="str">
        <x:v>Require exact native accession match</x:v>
      </x:c>
      <x:c r="P3019" s="11" t="n">
        <x:v>0</x:v>
      </x:c>
      <x:c r="Q3019" s="12"/>
      <x:c r="R3019" s="12"/>
      <x:c r="S3019" s="11" t="n">
        <x:v>2485</x:v>
      </x:c>
      <x:c r="T3019" s="11"/>
    </x:row>
    <x:row r="3020" ht="23" customHeight="1">
      <x:c r="A3020" s="2" t="str">
        <x:v>Q9JHJ0</x:v>
      </x:c>
      <x:c r="B3020" s="2" t="str">
        <x:v>ED</x:v>
      </x:c>
      <x:c r="C3020" s="2" t="n">
        <x:v>0</x:v>
      </x:c>
      <x:c r="D3020" s="2" t="n">
        <x:v>0</x:v>
      </x:c>
      <x:c r="E3020" s="10" t="n">
        <x:v>83.13076704545455</x:v>
      </x:c>
      <x:c r="F3020" s="11" t="n">
        <x:v>352</x:v>
      </x:c>
      <x:c r="G3020" s="11" t="n">
        <x:v>0</x:v>
      </x:c>
      <x:c r="H3020" s="11" t="n">
        <x:v>0</x:v>
      </x:c>
      <x:c r="I3020" s="11" t="n">
        <x:v>0</x:v>
      </x:c>
      <x:c r="J3020" s="11" t="n">
        <x:v>0</x:v>
      </x:c>
      <x:c r="K3020" s="11" t="n">
        <x:v>1</x:v>
      </x:c>
      <x:c r="L3020" s="11" t="n">
        <x:f>IF(B3020="NED",1,IF(OR(B3020="ED",B3020="UN"),0,""))</x:f>
        <x:v>0</x:v>
      </x:c>
      <x:c r="M3020" s="11" t="n">
        <x:f>IF(AND(K3020=1,OR(B3020="ED",B3020="NED")),1,0)</x:f>
        <x:v>1</x:v>
      </x:c>
      <x:c r="N3020" s="11" t="n">
        <x:f>IF(K3020=1,1,0)</x:f>
        <x:v>1</x:v>
      </x:c>
      <x:c r="O3020" s="12"/>
      <x:c r="P3020" s="11" t="n">
        <x:v>0</x:v>
      </x:c>
      <x:c r="Q3020" s="12" t="str">
        <x:v>AF-Q9JHJ0-F1-model_v6</x:v>
      </x:c>
      <x:c r="R3020" s="12" t="str">
        <x:v>ok</x:v>
      </x:c>
      <x:c r="S3020" s="11" t="n">
        <x:v>2486</x:v>
      </x:c>
      <x:c r="T3020" s="11" t="n">
        <x:v>352</x:v>
      </x:c>
    </x:row>
    <x:row r="3021" ht="23" customHeight="1">
      <x:c r="A3021" s="2" t="str">
        <x:v>Q9JHJ3</x:v>
      </x:c>
      <x:c r="B3021" s="2" t="str">
        <x:v>UN</x:v>
      </x:c>
      <x:c r="C3021" s="2" t="n">
        <x:v>1</x:v>
      </x:c>
      <x:c r="D3021" s="2" t="n">
        <x:v>1</x:v>
      </x:c>
      <x:c r="E3021" s="10"/>
      <x:c r="F3021" s="11" t="n">
        <x:v>404</x:v>
      </x:c>
      <x:c r="G3021" s="11" t="n">
        <x:v>0</x:v>
      </x:c>
      <x:c r="H3021" s="11" t="n">
        <x:v>0</x:v>
      </x:c>
      <x:c r="I3021" s="11" t="n">
        <x:v>1</x:v>
      </x:c>
      <x:c r="J3021" s="11" t="n">
        <x:v>0</x:v>
      </x:c>
      <x:c r="K3021" s="11" t="n">
        <x:v>0</x:v>
      </x:c>
      <x:c r="L3021" s="11" t="n">
        <x:f>IF(B3021="NED",1,IF(OR(B3021="ED",B3021="UN"),0,""))</x:f>
        <x:v>0</x:v>
      </x:c>
      <x:c r="M3021" s="11" t="n">
        <x:f>IF(AND(K3021=1,OR(B3021="ED",B3021="NED")),1,0)</x:f>
        <x:v>0</x:v>
      </x:c>
      <x:c r="N3021" s="11" t="n">
        <x:f>IF(K3021=1,1,0)</x:f>
        <x:v>0</x:v>
      </x:c>
      <x:c r="O3021" s="12" t="str">
        <x:v>Exclude UniProt Membrane keyword</x:v>
      </x:c>
      <x:c r="P3021" s="11" t="n">
        <x:v>0</x:v>
      </x:c>
      <x:c r="Q3021" s="12" t="str">
        <x:v>AF-Q9JHJ3-F1-model_v6</x:v>
      </x:c>
      <x:c r="R3021" s="12" t="str">
        <x:v>ok</x:v>
      </x:c>
      <x:c r="S3021" s="11" t="n">
        <x:v>2487</x:v>
      </x:c>
      <x:c r="T3021" s="11" t="n">
        <x:v>404</x:v>
      </x:c>
    </x:row>
    <x:row r="3022" ht="23" customHeight="1">
      <x:c r="A3022" s="2" t="str">
        <x:v>Q9JHU4</x:v>
      </x:c>
      <x:c r="B3022" s="2" t="str">
        <x:v>NED</x:v>
      </x:c>
      <x:c r="C3022" s="2"/>
      <x:c r="D3022" s="2"/>
      <x:c r="E3022" s="10"/>
      <x:c r="F3022" s="11"/>
      <x:c r="G3022" s="11" t="n">
        <x:v>0</x:v>
      </x:c>
      <x:c r="H3022" s="11" t="n">
        <x:v>0</x:v>
      </x:c>
      <x:c r="I3022" s="11" t="n">
        <x:v>0</x:v>
      </x:c>
      <x:c r="J3022" s="11" t="n">
        <x:v>0</x:v>
      </x:c>
      <x:c r="K3022" s="11" t="n">
        <x:v>0</x:v>
      </x:c>
      <x:c r="L3022" s="11" t="n">
        <x:f>IF(B3022="NED",1,IF(OR(B3022="ED",B3022="UN"),0,""))</x:f>
        <x:v>1</x:v>
      </x:c>
      <x:c r="M3022" s="11" t="n">
        <x:f>IF(AND(K3022=1,OR(B3022="ED",B3022="NED")),1,0)</x:f>
        <x:v>0</x:v>
      </x:c>
      <x:c r="N3022" s="11" t="n">
        <x:f>IF(K3022=1,1,0)</x:f>
        <x:v>0</x:v>
      </x:c>
      <x:c r="O3022" s="12" t="str">
        <x:v>Require exact native accession match</x:v>
      </x:c>
      <x:c r="P3022" s="11" t="n">
        <x:v>0</x:v>
      </x:c>
      <x:c r="Q3022" s="12"/>
      <x:c r="R3022" s="12"/>
      <x:c r="S3022" s="11" t="n">
        <x:v>2488</x:v>
      </x:c>
      <x:c r="T3022" s="11" t="n">
        <x:v>4644</x:v>
      </x:c>
    </x:row>
    <x:row r="3023" ht="23" customHeight="1">
      <x:c r="A3023" s="2" t="str">
        <x:v>Q9JHU9</x:v>
      </x:c>
      <x:c r="B3023" s="2" t="str">
        <x:v>ED</x:v>
      </x:c>
      <x:c r="C3023" s="2" t="n">
        <x:v>1</x:v>
      </x:c>
      <x:c r="D3023" s="2" t="n">
        <x:v>1</x:v>
      </x:c>
      <x:c r="E3023" s="10" t="n">
        <x:v>91.98759425493716</x:v>
      </x:c>
      <x:c r="F3023" s="11" t="n">
        <x:v>557</x:v>
      </x:c>
      <x:c r="G3023" s="11" t="n">
        <x:v>0</x:v>
      </x:c>
      <x:c r="H3023" s="11" t="n">
        <x:v>0</x:v>
      </x:c>
      <x:c r="I3023" s="11" t="n">
        <x:v>0</x:v>
      </x:c>
      <x:c r="J3023" s="11" t="n">
        <x:v>0</x:v>
      </x:c>
      <x:c r="K3023" s="11" t="n">
        <x:v>1</x:v>
      </x:c>
      <x:c r="L3023" s="11" t="n">
        <x:f>IF(B3023="NED",1,IF(OR(B3023="ED",B3023="UN"),0,""))</x:f>
        <x:v>0</x:v>
      </x:c>
      <x:c r="M3023" s="11" t="n">
        <x:f>IF(AND(K3023=1,OR(B3023="ED",B3023="NED")),1,0)</x:f>
        <x:v>1</x:v>
      </x:c>
      <x:c r="N3023" s="11" t="n">
        <x:f>IF(K3023=1,1,0)</x:f>
        <x:v>1</x:v>
      </x:c>
      <x:c r="O3023" s="12"/>
      <x:c r="P3023" s="11" t="n">
        <x:v>0</x:v>
      </x:c>
      <x:c r="Q3023" s="12" t="str">
        <x:v>AF-Q9JHU9-F1-model_v6</x:v>
      </x:c>
      <x:c r="R3023" s="12" t="str">
        <x:v>ok</x:v>
      </x:c>
      <x:c r="S3023" s="11" t="n">
        <x:v>2489</x:v>
      </x:c>
      <x:c r="T3023" s="11" t="n">
        <x:v>557</x:v>
      </x:c>
    </x:row>
    <x:row r="3024" ht="23" customHeight="1">
      <x:c r="A3024" s="2" t="str">
        <x:v>Q9JHW2</x:v>
      </x:c>
      <x:c r="B3024" s="2" t="str">
        <x:v>ED</x:v>
      </x:c>
      <x:c r="C3024" s="2" t="n">
        <x:v>1</x:v>
      </x:c>
      <x:c r="D3024" s="2" t="n">
        <x:v>1</x:v>
      </x:c>
      <x:c r="E3024" s="10" t="n">
        <x:v>97.2015579710145</x:v>
      </x:c>
      <x:c r="F3024" s="11" t="n">
        <x:v>276</x:v>
      </x:c>
      <x:c r="G3024" s="11" t="n">
        <x:v>0</x:v>
      </x:c>
      <x:c r="H3024" s="11" t="n">
        <x:v>0</x:v>
      </x:c>
      <x:c r="I3024" s="11" t="n">
        <x:v>0</x:v>
      </x:c>
      <x:c r="J3024" s="11" t="n">
        <x:v>0</x:v>
      </x:c>
      <x:c r="K3024" s="11" t="n">
        <x:v>1</x:v>
      </x:c>
      <x:c r="L3024" s="11" t="n">
        <x:f>IF(B3024="NED",1,IF(OR(B3024="ED",B3024="UN"),0,""))</x:f>
        <x:v>0</x:v>
      </x:c>
      <x:c r="M3024" s="11" t="n">
        <x:f>IF(AND(K3024=1,OR(B3024="ED",B3024="NED")),1,0)</x:f>
        <x:v>1</x:v>
      </x:c>
      <x:c r="N3024" s="11" t="n">
        <x:f>IF(K3024=1,1,0)</x:f>
        <x:v>1</x:v>
      </x:c>
      <x:c r="O3024" s="12"/>
      <x:c r="P3024" s="11" t="n">
        <x:v>0</x:v>
      </x:c>
      <x:c r="Q3024" s="12" t="str">
        <x:v>AF-Q9JHW2-F1-model_v6</x:v>
      </x:c>
      <x:c r="R3024" s="12" t="str">
        <x:v>ok</x:v>
      </x:c>
      <x:c r="S3024" s="11" t="n">
        <x:v>2490</x:v>
      </x:c>
      <x:c r="T3024" s="11" t="n">
        <x:v>276</x:v>
      </x:c>
    </x:row>
    <x:row r="3025" ht="23" customHeight="1">
      <x:c r="A3025" s="2" t="str">
        <x:v>Q9JHW4</x:v>
      </x:c>
      <x:c r="B3025" s="2" t="str">
        <x:v>ED</x:v>
      </x:c>
      <x:c r="C3025" s="2" t="n">
        <x:v>1</x:v>
      </x:c>
      <x:c r="D3025" s="2" t="n">
        <x:v>1</x:v>
      </x:c>
      <x:c r="E3025" s="10" t="n">
        <x:v>80.35845626072042</x:v>
      </x:c>
      <x:c r="F3025" s="11" t="n">
        <x:v>583</x:v>
      </x:c>
      <x:c r="G3025" s="11" t="n">
        <x:v>0</x:v>
      </x:c>
      <x:c r="H3025" s="11" t="n">
        <x:v>0</x:v>
      </x:c>
      <x:c r="I3025" s="11" t="n">
        <x:v>0</x:v>
      </x:c>
      <x:c r="J3025" s="11" t="n">
        <x:v>0</x:v>
      </x:c>
      <x:c r="K3025" s="11" t="n">
        <x:v>1</x:v>
      </x:c>
      <x:c r="L3025" s="11" t="n">
        <x:f>IF(B3025="NED",1,IF(OR(B3025="ED",B3025="UN"),0,""))</x:f>
        <x:v>0</x:v>
      </x:c>
      <x:c r="M3025" s="11" t="n">
        <x:f>IF(AND(K3025=1,OR(B3025="ED",B3025="NED")),1,0)</x:f>
        <x:v>1</x:v>
      </x:c>
      <x:c r="N3025" s="11" t="n">
        <x:f>IF(K3025=1,1,0)</x:f>
        <x:v>1</x:v>
      </x:c>
      <x:c r="O3025" s="12"/>
      <x:c r="P3025" s="11" t="n">
        <x:v>0</x:v>
      </x:c>
      <x:c r="Q3025" s="12" t="str">
        <x:v>AF-Q9JHW4-F1-model_v6</x:v>
      </x:c>
      <x:c r="R3025" s="12" t="str">
        <x:v>ok</x:v>
      </x:c>
      <x:c r="S3025" s="11" t="n">
        <x:v>2491</x:v>
      </x:c>
      <x:c r="T3025" s="11" t="n">
        <x:v>583</x:v>
      </x:c>
    </x:row>
    <x:row r="3026" ht="23" customHeight="1">
      <x:c r="A3026" s="2" t="str">
        <x:v>Q9JI10</x:v>
      </x:c>
      <x:c r="B3026" s="2" t="str">
        <x:v>UN</x:v>
      </x:c>
      <x:c r="C3026" s="2" t="n">
        <x:v>1</x:v>
      </x:c>
      <x:c r="D3026" s="2" t="n">
        <x:v>1</x:v>
      </x:c>
      <x:c r="E3026" s="10" t="n">
        <x:v>75.64724346076459</x:v>
      </x:c>
      <x:c r="F3026" s="11" t="n">
        <x:v>497</x:v>
      </x:c>
      <x:c r="G3026" s="11" t="n">
        <x:v>0</x:v>
      </x:c>
      <x:c r="H3026" s="11" t="n">
        <x:v>0</x:v>
      </x:c>
      <x:c r="I3026" s="11" t="n">
        <x:v>0</x:v>
      </x:c>
      <x:c r="J3026" s="11" t="n">
        <x:v>0</x:v>
      </x:c>
      <x:c r="K3026" s="11" t="n">
        <x:v>1</x:v>
      </x:c>
      <x:c r="L3026" s="11" t="n">
        <x:f>IF(B3026="NED",1,IF(OR(B3026="ED",B3026="UN"),0,""))</x:f>
        <x:v>0</x:v>
      </x:c>
      <x:c r="M3026" s="11" t="n">
        <x:f>IF(AND(K3026=1,OR(B3026="ED",B3026="NED")),1,0)</x:f>
        <x:v>0</x:v>
      </x:c>
      <x:c r="N3026" s="11" t="n">
        <x:f>IF(K3026=1,1,0)</x:f>
        <x:v>1</x:v>
      </x:c>
      <x:c r="O3026" s="12"/>
      <x:c r="P3026" s="11" t="n">
        <x:v>0</x:v>
      </x:c>
      <x:c r="Q3026" s="12" t="str">
        <x:v>AF-Q9JI10-F1-model_v6</x:v>
      </x:c>
      <x:c r="R3026" s="12" t="str">
        <x:v>ok</x:v>
      </x:c>
      <x:c r="S3026" s="11" t="n">
        <x:v>2492</x:v>
      </x:c>
      <x:c r="T3026" s="11" t="n">
        <x:v>497</x:v>
      </x:c>
    </x:row>
    <x:row r="3027" ht="23" customHeight="1">
      <x:c r="A3027" s="2" t="str">
        <x:v>Q9JI44</x:v>
      </x:c>
      <x:c r="B3027" s="2" t="str">
        <x:v>UN</x:v>
      </x:c>
      <x:c r="C3027" s="2" t="n">
        <x:v>0</x:v>
      </x:c>
      <x:c r="D3027" s="2" t="n">
        <x:v>0</x:v>
      </x:c>
      <x:c r="E3027" s="10" t="n">
        <x:v>72.50805555555554</x:v>
      </x:c>
      <x:c r="F3027" s="11" t="n">
        <x:v>468</x:v>
      </x:c>
      <x:c r="G3027" s="11" t="n">
        <x:v>0</x:v>
      </x:c>
      <x:c r="H3027" s="11" t="n">
        <x:v>0</x:v>
      </x:c>
      <x:c r="I3027" s="11" t="n">
        <x:v>0</x:v>
      </x:c>
      <x:c r="J3027" s="11" t="n">
        <x:v>0</x:v>
      </x:c>
      <x:c r="K3027" s="11" t="n">
        <x:v>1</x:v>
      </x:c>
      <x:c r="L3027" s="11" t="n">
        <x:f>IF(B3027="NED",1,IF(OR(B3027="ED",B3027="UN"),0,""))</x:f>
        <x:v>0</x:v>
      </x:c>
      <x:c r="M3027" s="11" t="n">
        <x:f>IF(AND(K3027=1,OR(B3027="ED",B3027="NED")),1,0)</x:f>
        <x:v>0</x:v>
      </x:c>
      <x:c r="N3027" s="11" t="n">
        <x:f>IF(K3027=1,1,0)</x:f>
        <x:v>1</x:v>
      </x:c>
      <x:c r="O3027" s="12"/>
      <x:c r="P3027" s="11" t="n">
        <x:v>0</x:v>
      </x:c>
      <x:c r="Q3027" s="12" t="str">
        <x:v>AF-Q9JI44-F1-model_v6</x:v>
      </x:c>
      <x:c r="R3027" s="12" t="str">
        <x:v>ok</x:v>
      </x:c>
      <x:c r="S3027" s="11" t="n">
        <x:v>2493</x:v>
      </x:c>
      <x:c r="T3027" s="11" t="n">
        <x:v>468</x:v>
      </x:c>
    </x:row>
    <x:row r="3028" ht="23" customHeight="1">
      <x:c r="A3028" s="2" t="str">
        <x:v>Q9JI48</x:v>
      </x:c>
      <x:c r="B3028" s="2" t="str">
        <x:v>NED</x:v>
      </x:c>
      <x:c r="C3028" s="2" t="n">
        <x:v>1</x:v>
      </x:c>
      <x:c r="D3028" s="2" t="n">
        <x:v>1</x:v>
      </x:c>
      <x:c r="E3028" s="10" t="n">
        <x:v>88.43124999999999</x:v>
      </x:c>
      <x:c r="F3028" s="11" t="n">
        <x:v>112</x:v>
      </x:c>
      <x:c r="G3028" s="11" t="n">
        <x:v>0</x:v>
      </x:c>
      <x:c r="H3028" s="11" t="n">
        <x:v>0</x:v>
      </x:c>
      <x:c r="I3028" s="11" t="n">
        <x:v>0</x:v>
      </x:c>
      <x:c r="J3028" s="11" t="n">
        <x:v>0</x:v>
      </x:c>
      <x:c r="K3028" s="11" t="n">
        <x:v>1</x:v>
      </x:c>
      <x:c r="L3028" s="11" t="n">
        <x:f>IF(B3028="NED",1,IF(OR(B3028="ED",B3028="UN"),0,""))</x:f>
        <x:v>1</x:v>
      </x:c>
      <x:c r="M3028" s="11" t="n">
        <x:f>IF(AND(K3028=1,OR(B3028="ED",B3028="NED")),1,0)</x:f>
        <x:v>1</x:v>
      </x:c>
      <x:c r="N3028" s="11" t="n">
        <x:f>IF(K3028=1,1,0)</x:f>
        <x:v>1</x:v>
      </x:c>
      <x:c r="O3028" s="12"/>
      <x:c r="P3028" s="11" t="n">
        <x:v>0</x:v>
      </x:c>
      <x:c r="Q3028" s="12" t="str">
        <x:v>AF-Q9JI48-F1-model_v6</x:v>
      </x:c>
      <x:c r="R3028" s="12" t="str">
        <x:v>ok</x:v>
      </x:c>
      <x:c r="S3028" s="11" t="n">
        <x:v>2494</x:v>
      </x:c>
      <x:c r="T3028" s="11" t="n">
        <x:v>112</x:v>
      </x:c>
    </x:row>
    <x:row r="3029" ht="23" customHeight="1">
      <x:c r="A3029" s="2" t="str">
        <x:v>Q9JIB0</x:v>
      </x:c>
      <x:c r="B3029" s="2" t="str">
        <x:v>UN</x:v>
      </x:c>
      <x:c r="C3029" s="2" t="n">
        <x:v>0</x:v>
      </x:c>
      <x:c r="D3029" s="2" t="n">
        <x:v>0</x:v>
      </x:c>
      <x:c r="E3029" s="10"/>
      <x:c r="F3029" s="11" t="n">
        <x:v>185</x:v>
      </x:c>
      <x:c r="G3029" s="11" t="n">
        <x:v>0</x:v>
      </x:c>
      <x:c r="H3029" s="11" t="n">
        <x:v>0</x:v>
      </x:c>
      <x:c r="I3029" s="11" t="n">
        <x:v>1</x:v>
      </x:c>
      <x:c r="J3029" s="11" t="n">
        <x:v>0</x:v>
      </x:c>
      <x:c r="K3029" s="11" t="n">
        <x:v>0</x:v>
      </x:c>
      <x:c r="L3029" s="11" t="n">
        <x:f>IF(B3029="NED",1,IF(OR(B3029="ED",B3029="UN"),0,""))</x:f>
        <x:v>0</x:v>
      </x:c>
      <x:c r="M3029" s="11" t="n">
        <x:f>IF(AND(K3029=1,OR(B3029="ED",B3029="NED")),1,0)</x:f>
        <x:v>0</x:v>
      </x:c>
      <x:c r="N3029" s="11" t="n">
        <x:f>IF(K3029=1,1,0)</x:f>
        <x:v>0</x:v>
      </x:c>
      <x:c r="O3029" s="12" t="str">
        <x:v>Exclude UniProt Membrane keyword</x:v>
      </x:c>
      <x:c r="P3029" s="11" t="n">
        <x:v>0</x:v>
      </x:c>
      <x:c r="Q3029" s="12" t="str">
        <x:v>AF-Q9JIB0-F1-model_v6</x:v>
      </x:c>
      <x:c r="R3029" s="12" t="str">
        <x:v>ok</x:v>
      </x:c>
      <x:c r="S3029" s="11" t="n">
        <x:v>2495</x:v>
      </x:c>
      <x:c r="T3029" s="11" t="n">
        <x:v>185</x:v>
      </x:c>
    </x:row>
    <x:row r="3030" ht="23" customHeight="1">
      <x:c r="A3030" s="2" t="str">
        <x:v>Q9JIF0-2</x:v>
      </x:c>
      <x:c r="B3030" s="2" t="str">
        <x:v>ED</x:v>
      </x:c>
      <x:c r="C3030" s="2"/>
      <x:c r="D3030" s="2"/>
      <x:c r="E3030" s="10"/>
      <x:c r="F3030" s="11"/>
      <x:c r="G3030" s="11" t="n">
        <x:v>0</x:v>
      </x:c>
      <x:c r="H3030" s="11" t="n">
        <x:v>0</x:v>
      </x:c>
      <x:c r="I3030" s="11"/>
      <x:c r="J3030" s="11"/>
      <x:c r="K3030" s="11" t="n">
        <x:v>0</x:v>
      </x:c>
      <x:c r="L3030" s="11" t="n">
        <x:f>IF(B3030="NED",1,IF(OR(B3030="ED",B3030="UN"),0,""))</x:f>
        <x:v>0</x:v>
      </x:c>
      <x:c r="M3030" s="11" t="n">
        <x:f>IF(AND(K3030=1,OR(B3030="ED",B3030="NED")),1,0)</x:f>
        <x:v>0</x:v>
      </x:c>
      <x:c r="N3030" s="11" t="n">
        <x:f>IF(K3030=1,1,0)</x:f>
        <x:v>0</x:v>
      </x:c>
      <x:c r="O3030" s="12" t="str">
        <x:v>Require exact native accession match</x:v>
      </x:c>
      <x:c r="P3030" s="11" t="n">
        <x:v>0</x:v>
      </x:c>
      <x:c r="Q3030" s="12"/>
      <x:c r="R3030" s="12"/>
      <x:c r="S3030" s="11" t="n">
        <x:v>2496</x:v>
      </x:c>
      <x:c r="T3030" s="11"/>
    </x:row>
    <x:row r="3031" ht="23" customHeight="1">
      <x:c r="A3031" s="2" t="str">
        <x:v>Q9JIF7</x:v>
      </x:c>
      <x:c r="B3031" s="2" t="str">
        <x:v>NED</x:v>
      </x:c>
      <x:c r="C3031" s="2" t="n">
        <x:v>1</x:v>
      </x:c>
      <x:c r="D3031" s="2" t="n">
        <x:v>1</x:v>
      </x:c>
      <x:c r="E3031" s="10"/>
      <x:c r="F3031" s="11" t="n">
        <x:v>953</x:v>
      </x:c>
      <x:c r="G3031" s="11" t="n">
        <x:v>0</x:v>
      </x:c>
      <x:c r="H3031" s="11" t="n">
        <x:v>0</x:v>
      </x:c>
      <x:c r="I3031" s="11" t="n">
        <x:v>1</x:v>
      </x:c>
      <x:c r="J3031" s="11" t="n">
        <x:v>0</x:v>
      </x:c>
      <x:c r="K3031" s="11" t="n">
        <x:v>0</x:v>
      </x:c>
      <x:c r="L3031" s="11" t="n">
        <x:f>IF(B3031="NED",1,IF(OR(B3031="ED",B3031="UN"),0,""))</x:f>
        <x:v>1</x:v>
      </x:c>
      <x:c r="M3031" s="11" t="n">
        <x:f>IF(AND(K3031=1,OR(B3031="ED",B3031="NED")),1,0)</x:f>
        <x:v>0</x:v>
      </x:c>
      <x:c r="N3031" s="11" t="n">
        <x:f>IF(K3031=1,1,0)</x:f>
        <x:v>0</x:v>
      </x:c>
      <x:c r="O3031" s="12" t="str">
        <x:v>Exclude UniProt Membrane keyword</x:v>
      </x:c>
      <x:c r="P3031" s="11" t="n">
        <x:v>0</x:v>
      </x:c>
      <x:c r="Q3031" s="12" t="str">
        <x:v>AF-Q9JIF7-F1-model_v6</x:v>
      </x:c>
      <x:c r="R3031" s="12" t="str">
        <x:v>ok</x:v>
      </x:c>
      <x:c r="S3031" s="11" t="n">
        <x:v>2497</x:v>
      </x:c>
      <x:c r="T3031" s="11" t="n">
        <x:v>953</x:v>
      </x:c>
    </x:row>
    <x:row r="3032" ht="23" customHeight="1">
      <x:c r="A3032" s="2" t="str">
        <x:v>Q9JIH2</x:v>
      </x:c>
      <x:c r="B3032" s="2" t="str">
        <x:v>ED</x:v>
      </x:c>
      <x:c r="C3032" s="2" t="n">
        <x:v>0</x:v>
      </x:c>
      <x:c r="D3032" s="2" t="n">
        <x:v>0</x:v>
      </x:c>
      <x:c r="E3032" s="10"/>
      <x:c r="F3032" s="11" t="n">
        <x:v>466</x:v>
      </x:c>
      <x:c r="G3032" s="11" t="n">
        <x:v>0</x:v>
      </x:c>
      <x:c r="H3032" s="11" t="n">
        <x:v>0</x:v>
      </x:c>
      <x:c r="I3032" s="11" t="n">
        <x:v>1</x:v>
      </x:c>
      <x:c r="J3032" s="11" t="n">
        <x:v>0</x:v>
      </x:c>
      <x:c r="K3032" s="11" t="n">
        <x:v>0</x:v>
      </x:c>
      <x:c r="L3032" s="11" t="n">
        <x:f>IF(B3032="NED",1,IF(OR(B3032="ED",B3032="UN"),0,""))</x:f>
        <x:v>0</x:v>
      </x:c>
      <x:c r="M3032" s="11" t="n">
        <x:f>IF(AND(K3032=1,OR(B3032="ED",B3032="NED")),1,0)</x:f>
        <x:v>0</x:v>
      </x:c>
      <x:c r="N3032" s="11" t="n">
        <x:f>IF(K3032=1,1,0)</x:f>
        <x:v>0</x:v>
      </x:c>
      <x:c r="O3032" s="12" t="str">
        <x:v>Exclude UniProt Membrane keyword</x:v>
      </x:c>
      <x:c r="P3032" s="11" t="n">
        <x:v>0</x:v>
      </x:c>
      <x:c r="Q3032" s="12" t="str">
        <x:v>AF-Q9JIH2-F1-model_v6</x:v>
      </x:c>
      <x:c r="R3032" s="12" t="str">
        <x:v>ok</x:v>
      </x:c>
      <x:c r="S3032" s="11" t="n">
        <x:v>2498</x:v>
      </x:c>
      <x:c r="T3032" s="11" t="n">
        <x:v>466</x:v>
      </x:c>
    </x:row>
    <x:row r="3033" ht="23" customHeight="1">
      <x:c r="A3033" s="2" t="str">
        <x:v>Q9JII5-2</x:v>
      </x:c>
      <x:c r="B3033" s="2" t="str">
        <x:v>UN</x:v>
      </x:c>
      <x:c r="C3033" s="2"/>
      <x:c r="D3033" s="2"/>
      <x:c r="E3033" s="10"/>
      <x:c r="F3033" s="11"/>
      <x:c r="G3033" s="11" t="n">
        <x:v>0</x:v>
      </x:c>
      <x:c r="H3033" s="11" t="n">
        <x:v>0</x:v>
      </x:c>
      <x:c r="I3033" s="11"/>
      <x:c r="J3033" s="11"/>
      <x:c r="K3033" s="11" t="n">
        <x:v>0</x:v>
      </x:c>
      <x:c r="L3033" s="11" t="n">
        <x:f>IF(B3033="NED",1,IF(OR(B3033="ED",B3033="UN"),0,""))</x:f>
        <x:v>0</x:v>
      </x:c>
      <x:c r="M3033" s="11" t="n">
        <x:f>IF(AND(K3033=1,OR(B3033="ED",B3033="NED")),1,0)</x:f>
        <x:v>0</x:v>
      </x:c>
      <x:c r="N3033" s="11" t="n">
        <x:f>IF(K3033=1,1,0)</x:f>
        <x:v>0</x:v>
      </x:c>
      <x:c r="O3033" s="12" t="str">
        <x:v>Require exact native accession match</x:v>
      </x:c>
      <x:c r="P3033" s="11" t="n">
        <x:v>0</x:v>
      </x:c>
      <x:c r="Q3033" s="12"/>
      <x:c r="R3033" s="12"/>
      <x:c r="S3033" s="11" t="n">
        <x:v>2499</x:v>
      </x:c>
      <x:c r="T3033" s="11"/>
    </x:row>
    <x:row r="3034" ht="23" customHeight="1">
      <x:c r="A3034" s="2" t="str">
        <x:v>Q9JII6</x:v>
      </x:c>
      <x:c r="B3034" s="2" t="str">
        <x:v>ED</x:v>
      </x:c>
      <x:c r="C3034" s="2" t="n">
        <x:v>1</x:v>
      </x:c>
      <x:c r="D3034" s="2" t="n">
        <x:v>1</x:v>
      </x:c>
      <x:c r="E3034" s="10"/>
      <x:c r="F3034" s="11" t="n">
        <x:v>325</x:v>
      </x:c>
      <x:c r="G3034" s="11" t="n">
        <x:v>0</x:v>
      </x:c>
      <x:c r="H3034" s="11" t="n">
        <x:v>0</x:v>
      </x:c>
      <x:c r="I3034" s="11" t="n">
        <x:v>1</x:v>
      </x:c>
      <x:c r="J3034" s="11" t="n">
        <x:v>0</x:v>
      </x:c>
      <x:c r="K3034" s="11" t="n">
        <x:v>0</x:v>
      </x:c>
      <x:c r="L3034" s="11" t="n">
        <x:f>IF(B3034="NED",1,IF(OR(B3034="ED",B3034="UN"),0,""))</x:f>
        <x:v>0</x:v>
      </x:c>
      <x:c r="M3034" s="11" t="n">
        <x:f>IF(AND(K3034=1,OR(B3034="ED",B3034="NED")),1,0)</x:f>
        <x:v>0</x:v>
      </x:c>
      <x:c r="N3034" s="11" t="n">
        <x:f>IF(K3034=1,1,0)</x:f>
        <x:v>0</x:v>
      </x:c>
      <x:c r="O3034" s="12" t="str">
        <x:v>Exclude UniProt Membrane keyword</x:v>
      </x:c>
      <x:c r="P3034" s="11" t="n">
        <x:v>0</x:v>
      </x:c>
      <x:c r="Q3034" s="12" t="str">
        <x:v>AF-Q9JII6-F1-model_v6</x:v>
      </x:c>
      <x:c r="R3034" s="12" t="str">
        <x:v>ok</x:v>
      </x:c>
      <x:c r="S3034" s="11" t="n">
        <x:v>2500</x:v>
      </x:c>
      <x:c r="T3034" s="11" t="n">
        <x:v>325</x:v>
      </x:c>
    </x:row>
    <x:row r="3035" ht="23" customHeight="1">
      <x:c r="A3035" s="2" t="str">
        <x:v>Q9JIK5</x:v>
      </x:c>
      <x:c r="B3035" s="2" t="str">
        <x:v>ED</x:v>
      </x:c>
      <x:c r="C3035" s="2" t="n">
        <x:v>1</x:v>
      </x:c>
      <x:c r="D3035" s="2" t="n">
        <x:v>1</x:v>
      </x:c>
      <x:c r="E3035" s="10" t="n">
        <x:v>68.3872972972973</x:v>
      </x:c>
      <x:c r="F3035" s="11" t="n">
        <x:v>851</x:v>
      </x:c>
      <x:c r="G3035" s="11" t="n">
        <x:v>0</x:v>
      </x:c>
      <x:c r="H3035" s="11" t="n">
        <x:v>0</x:v>
      </x:c>
      <x:c r="I3035" s="11" t="n">
        <x:v>0</x:v>
      </x:c>
      <x:c r="J3035" s="11" t="n">
        <x:v>0</x:v>
      </x:c>
      <x:c r="K3035" s="11" t="n">
        <x:v>0</x:v>
      </x:c>
      <x:c r="L3035" s="11" t="n">
        <x:f>IF(B3035="NED",1,IF(OR(B3035="ED",B3035="UN"),0,""))</x:f>
        <x:v>0</x:v>
      </x:c>
      <x:c r="M3035" s="11" t="n">
        <x:f>IF(AND(K3035=1,OR(B3035="ED",B3035="NED")),1,0)</x:f>
        <x:v>0</x:v>
      </x:c>
      <x:c r="N3035" s="11" t="n">
        <x:f>IF(K3035=1,1,0)</x:f>
        <x:v>0</x:v>
      </x:c>
      <x:c r="O3035" s="12" t="str">
        <x:v>Retain protein mean pLDDT &gt;=70</x:v>
      </x:c>
      <x:c r="P3035" s="11" t="n">
        <x:v>0</x:v>
      </x:c>
      <x:c r="Q3035" s="12" t="str">
        <x:v>AF-Q9JIK5-F1-model_v6</x:v>
      </x:c>
      <x:c r="R3035" s="12" t="str">
        <x:v>ok</x:v>
      </x:c>
      <x:c r="S3035" s="11" t="n">
        <x:v>2501</x:v>
      </x:c>
      <x:c r="T3035" s="11" t="n">
        <x:v>851</x:v>
      </x:c>
    </x:row>
    <x:row r="3036" ht="23" customHeight="1">
      <x:c r="A3036" s="2" t="str">
        <x:v>Q9JIW9</x:v>
      </x:c>
      <x:c r="B3036" s="2" t="str">
        <x:v>ED</x:v>
      </x:c>
      <x:c r="C3036" s="2" t="n">
        <x:v>1</x:v>
      </x:c>
      <x:c r="D3036" s="2" t="n">
        <x:v>1</x:v>
      </x:c>
      <x:c r="E3036" s="10"/>
      <x:c r="F3036" s="11" t="n">
        <x:v>206</x:v>
      </x:c>
      <x:c r="G3036" s="11" t="n">
        <x:v>0</x:v>
      </x:c>
      <x:c r="H3036" s="11" t="n">
        <x:v>0</x:v>
      </x:c>
      <x:c r="I3036" s="11" t="n">
        <x:v>1</x:v>
      </x:c>
      <x:c r="J3036" s="11" t="n">
        <x:v>0</x:v>
      </x:c>
      <x:c r="K3036" s="11" t="n">
        <x:v>0</x:v>
      </x:c>
      <x:c r="L3036" s="11" t="n">
        <x:f>IF(B3036="NED",1,IF(OR(B3036="ED",B3036="UN"),0,""))</x:f>
        <x:v>0</x:v>
      </x:c>
      <x:c r="M3036" s="11" t="n">
        <x:f>IF(AND(K3036=1,OR(B3036="ED",B3036="NED")),1,0)</x:f>
        <x:v>0</x:v>
      </x:c>
      <x:c r="N3036" s="11" t="n">
        <x:f>IF(K3036=1,1,0)</x:f>
        <x:v>0</x:v>
      </x:c>
      <x:c r="O3036" s="12" t="str">
        <x:v>Exclude UniProt Membrane keyword</x:v>
      </x:c>
      <x:c r="P3036" s="11" t="n">
        <x:v>0</x:v>
      </x:c>
      <x:c r="Q3036" s="12" t="str">
        <x:v>AF-Q9JIW9-F1-model_v6</x:v>
      </x:c>
      <x:c r="R3036" s="12" t="str">
        <x:v>ok</x:v>
      </x:c>
      <x:c r="S3036" s="11" t="n">
        <x:v>2502</x:v>
      </x:c>
      <x:c r="T3036" s="11" t="n">
        <x:v>206</x:v>
      </x:c>
    </x:row>
    <x:row r="3037" ht="23" customHeight="1">
      <x:c r="A3037" s="2" t="str">
        <x:v>Q9JIX0</x:v>
      </x:c>
      <x:c r="B3037" s="2" t="str">
        <x:v>UN</x:v>
      </x:c>
      <x:c r="C3037" s="2" t="n">
        <x:v>0</x:v>
      </x:c>
      <x:c r="D3037" s="2" t="n">
        <x:v>0</x:v>
      </x:c>
      <x:c r="E3037" s="10" t="n">
        <x:v>93.55762376237624</x:v>
      </x:c>
      <x:c r="F3037" s="11" t="n">
        <x:v>101</x:v>
      </x:c>
      <x:c r="G3037" s="11" t="n">
        <x:v>0</x:v>
      </x:c>
      <x:c r="H3037" s="11" t="n">
        <x:v>0</x:v>
      </x:c>
      <x:c r="I3037" s="11" t="n">
        <x:v>0</x:v>
      </x:c>
      <x:c r="J3037" s="11" t="n">
        <x:v>0</x:v>
      </x:c>
      <x:c r="K3037" s="11" t="n">
        <x:v>1</x:v>
      </x:c>
      <x:c r="L3037" s="11" t="n">
        <x:f>IF(B3037="NED",1,IF(OR(B3037="ED",B3037="UN"),0,""))</x:f>
        <x:v>0</x:v>
      </x:c>
      <x:c r="M3037" s="11" t="n">
        <x:f>IF(AND(K3037=1,OR(B3037="ED",B3037="NED")),1,0)</x:f>
        <x:v>0</x:v>
      </x:c>
      <x:c r="N3037" s="11" t="n">
        <x:f>IF(K3037=1,1,0)</x:f>
        <x:v>1</x:v>
      </x:c>
      <x:c r="O3037" s="12"/>
      <x:c r="P3037" s="11" t="n">
        <x:v>0</x:v>
      </x:c>
      <x:c r="Q3037" s="12" t="str">
        <x:v>AF-Q9JIX0-F1-model_v6</x:v>
      </x:c>
      <x:c r="R3037" s="12" t="str">
        <x:v>ok</x:v>
      </x:c>
      <x:c r="S3037" s="11" t="n">
        <x:v>2503</x:v>
      </x:c>
      <x:c r="T3037" s="11" t="n">
        <x:v>101</x:v>
      </x:c>
    </x:row>
    <x:row r="3038" ht="23" customHeight="1">
      <x:c r="A3038" s="2" t="str">
        <x:v>Q9JIY5</x:v>
      </x:c>
      <x:c r="B3038" s="2" t="str">
        <x:v>ED</x:v>
      </x:c>
      <x:c r="C3038" s="2" t="n">
        <x:v>1</x:v>
      </x:c>
      <x:c r="D3038" s="2" t="n">
        <x:v>1</x:v>
      </x:c>
      <x:c r="E3038" s="10"/>
      <x:c r="F3038" s="11" t="n">
        <x:v>458</x:v>
      </x:c>
      <x:c r="G3038" s="11" t="n">
        <x:v>0</x:v>
      </x:c>
      <x:c r="H3038" s="11" t="n">
        <x:v>0</x:v>
      </x:c>
      <x:c r="I3038" s="11" t="n">
        <x:v>1</x:v>
      </x:c>
      <x:c r="J3038" s="11" t="n">
        <x:v>0</x:v>
      </x:c>
      <x:c r="K3038" s="11" t="n">
        <x:v>0</x:v>
      </x:c>
      <x:c r="L3038" s="11" t="n">
        <x:f>IF(B3038="NED",1,IF(OR(B3038="ED",B3038="UN"),0,""))</x:f>
        <x:v>0</x:v>
      </x:c>
      <x:c r="M3038" s="11" t="n">
        <x:f>IF(AND(K3038=1,OR(B3038="ED",B3038="NED")),1,0)</x:f>
        <x:v>0</x:v>
      </x:c>
      <x:c r="N3038" s="11" t="n">
        <x:f>IF(K3038=1,1,0)</x:f>
        <x:v>0</x:v>
      </x:c>
      <x:c r="O3038" s="12" t="str">
        <x:v>Exclude UniProt Membrane keyword</x:v>
      </x:c>
      <x:c r="P3038" s="11" t="n">
        <x:v>0</x:v>
      </x:c>
      <x:c r="Q3038" s="12" t="str">
        <x:v>AF-Q9JIY5-F1-model_v6</x:v>
      </x:c>
      <x:c r="R3038" s="12" t="str">
        <x:v>ok</x:v>
      </x:c>
      <x:c r="S3038" s="11" t="n">
        <x:v>2504</x:v>
      </x:c>
      <x:c r="T3038" s="11" t="n">
        <x:v>458</x:v>
      </x:c>
    </x:row>
    <x:row r="3039" ht="23" customHeight="1">
      <x:c r="A3039" s="2" t="str">
        <x:v>Q9JJ28</x:v>
      </x:c>
      <x:c r="B3039" s="2" t="str">
        <x:v>UN</x:v>
      </x:c>
      <x:c r="C3039" s="2" t="n">
        <x:v>1</x:v>
      </x:c>
      <x:c r="D3039" s="2" t="n">
        <x:v>1</x:v>
      </x:c>
      <x:c r="E3039" s="10"/>
      <x:c r="F3039" s="11" t="n">
        <x:v>1271</x:v>
      </x:c>
      <x:c r="G3039" s="11" t="n">
        <x:v>1</x:v>
      </x:c>
      <x:c r="H3039" s="11" t="n">
        <x:v>0</x:v>
      </x:c>
      <x:c r="I3039" s="11" t="n">
        <x:v>0</x:v>
      </x:c>
      <x:c r="J3039" s="11" t="n">
        <x:v>0</x:v>
      </x:c>
      <x:c r="K3039" s="11" t="n">
        <x:v>0</x:v>
      </x:c>
      <x:c r="L3039" s="11" t="n">
        <x:f>IF(B3039="NED",1,IF(OR(B3039="ED",B3039="UN"),0,""))</x:f>
        <x:v>0</x:v>
      </x:c>
      <x:c r="M3039" s="11" t="n">
        <x:f>IF(AND(K3039=1,OR(B3039="ED",B3039="NED")),1,0)</x:f>
        <x:v>0</x:v>
      </x:c>
      <x:c r="N3039" s="11" t="n">
        <x:f>IF(K3039=1,1,0)</x:f>
        <x:v>0</x:v>
      </x:c>
      <x:c r="O3039" s="12" t="str">
        <x:v>Exclude supplied knotted proteins</x:v>
      </x:c>
      <x:c r="P3039" s="11" t="n">
        <x:v>0</x:v>
      </x:c>
      <x:c r="Q3039" s="12" t="str">
        <x:v>AF-Q9JJ28-F1-model_v6</x:v>
      </x:c>
      <x:c r="R3039" s="12" t="str">
        <x:v>ok</x:v>
      </x:c>
      <x:c r="S3039" s="11" t="n">
        <x:v>2505</x:v>
      </x:c>
      <x:c r="T3039" s="11" t="n">
        <x:v>1271</x:v>
      </x:c>
    </x:row>
    <x:row r="3040" ht="23" customHeight="1">
      <x:c r="A3040" s="2" t="str">
        <x:v>Q9JJ78</x:v>
      </x:c>
      <x:c r="B3040" s="2" t="str">
        <x:v>ED</x:v>
      </x:c>
      <x:c r="C3040" s="2" t="n">
        <x:v>1</x:v>
      </x:c>
      <x:c r="D3040" s="2" t="n">
        <x:v>1</x:v>
      </x:c>
      <x:c r="E3040" s="10" t="n">
        <x:v>83.78127272727272</x:v>
      </x:c>
      <x:c r="F3040" s="11" t="n">
        <x:v>330</x:v>
      </x:c>
      <x:c r="G3040" s="11" t="n">
        <x:v>0</x:v>
      </x:c>
      <x:c r="H3040" s="11" t="n">
        <x:v>0</x:v>
      </x:c>
      <x:c r="I3040" s="11" t="n">
        <x:v>0</x:v>
      </x:c>
      <x:c r="J3040" s="11" t="n">
        <x:v>0</x:v>
      </x:c>
      <x:c r="K3040" s="11" t="n">
        <x:v>1</x:v>
      </x:c>
      <x:c r="L3040" s="11" t="n">
        <x:f>IF(B3040="NED",1,IF(OR(B3040="ED",B3040="UN"),0,""))</x:f>
        <x:v>0</x:v>
      </x:c>
      <x:c r="M3040" s="11" t="n">
        <x:f>IF(AND(K3040=1,OR(B3040="ED",B3040="NED")),1,0)</x:f>
        <x:v>1</x:v>
      </x:c>
      <x:c r="N3040" s="11" t="n">
        <x:f>IF(K3040=1,1,0)</x:f>
        <x:v>1</x:v>
      </x:c>
      <x:c r="O3040" s="12"/>
      <x:c r="P3040" s="11" t="n">
        <x:v>0</x:v>
      </x:c>
      <x:c r="Q3040" s="12" t="str">
        <x:v>AF-Q9JJ78-F1-model_v6</x:v>
      </x:c>
      <x:c r="R3040" s="12" t="str">
        <x:v>ok</x:v>
      </x:c>
      <x:c r="S3040" s="11" t="n">
        <x:v>2506</x:v>
      </x:c>
      <x:c r="T3040" s="11" t="n">
        <x:v>330</x:v>
      </x:c>
    </x:row>
    <x:row r="3041" ht="23" customHeight="1">
      <x:c r="A3041" s="2" t="str">
        <x:v>Q9JJ89</x:v>
      </x:c>
      <x:c r="B3041" s="2" t="str">
        <x:v>UN</x:v>
      </x:c>
      <x:c r="C3041" s="2" t="n">
        <x:v>0</x:v>
      </x:c>
      <x:c r="D3041" s="2" t="n">
        <x:v>0</x:v>
      </x:c>
      <x:c r="E3041" s="10"/>
      <x:c r="F3041" s="11" t="n">
        <x:v>426</x:v>
      </x:c>
      <x:c r="G3041" s="11" t="n">
        <x:v>1</x:v>
      </x:c>
      <x:c r="H3041" s="11" t="n">
        <x:v>0</x:v>
      </x:c>
      <x:c r="I3041" s="11" t="n">
        <x:v>0</x:v>
      </x:c>
      <x:c r="J3041" s="11" t="n">
        <x:v>0</x:v>
      </x:c>
      <x:c r="K3041" s="11" t="n">
        <x:v>0</x:v>
      </x:c>
      <x:c r="L3041" s="11" t="n">
        <x:f>IF(B3041="NED",1,IF(OR(B3041="ED",B3041="UN"),0,""))</x:f>
        <x:v>0</x:v>
      </x:c>
      <x:c r="M3041" s="11" t="n">
        <x:f>IF(AND(K3041=1,OR(B3041="ED",B3041="NED")),1,0)</x:f>
        <x:v>0</x:v>
      </x:c>
      <x:c r="N3041" s="11" t="n">
        <x:f>IF(K3041=1,1,0)</x:f>
        <x:v>0</x:v>
      </x:c>
      <x:c r="O3041" s="12" t="str">
        <x:v>Exclude supplied knotted proteins</x:v>
      </x:c>
      <x:c r="P3041" s="11" t="n">
        <x:v>0</x:v>
      </x:c>
      <x:c r="Q3041" s="12" t="str">
        <x:v>AF-Q9JJ89-F1-model_v6</x:v>
      </x:c>
      <x:c r="R3041" s="12" t="str">
        <x:v>ok</x:v>
      </x:c>
      <x:c r="S3041" s="11" t="n">
        <x:v>2507</x:v>
      </x:c>
      <x:c r="T3041" s="11" t="n">
        <x:v>426</x:v>
      </x:c>
    </x:row>
    <x:row r="3042" ht="23" customHeight="1">
      <x:c r="A3042" s="2" t="str">
        <x:v>Q9JJ94</x:v>
      </x:c>
      <x:c r="B3042" s="2" t="str">
        <x:v>ED</x:v>
      </x:c>
      <x:c r="C3042" s="2" t="n">
        <x:v>0</x:v>
      </x:c>
      <x:c r="D3042" s="2" t="n">
        <x:v>0</x:v>
      </x:c>
      <x:c r="E3042" s="10" t="n">
        <x:v>93.7390756302521</x:v>
      </x:c>
      <x:c r="F3042" s="11" t="n">
        <x:v>119</x:v>
      </x:c>
      <x:c r="G3042" s="11" t="n">
        <x:v>0</x:v>
      </x:c>
      <x:c r="H3042" s="11" t="n">
        <x:v>0</x:v>
      </x:c>
      <x:c r="I3042" s="11" t="n">
        <x:v>0</x:v>
      </x:c>
      <x:c r="J3042" s="11" t="n">
        <x:v>0</x:v>
      </x:c>
      <x:c r="K3042" s="11" t="n">
        <x:v>1</x:v>
      </x:c>
      <x:c r="L3042" s="11" t="n">
        <x:f>IF(B3042="NED",1,IF(OR(B3042="ED",B3042="UN"),0,""))</x:f>
        <x:v>0</x:v>
      </x:c>
      <x:c r="M3042" s="11" t="n">
        <x:f>IF(AND(K3042=1,OR(B3042="ED",B3042="NED")),1,0)</x:f>
        <x:v>1</x:v>
      </x:c>
      <x:c r="N3042" s="11" t="n">
        <x:f>IF(K3042=1,1,0)</x:f>
        <x:v>1</x:v>
      </x:c>
      <x:c r="O3042" s="12"/>
      <x:c r="P3042" s="11" t="n">
        <x:v>0</x:v>
      </x:c>
      <x:c r="Q3042" s="12" t="str">
        <x:v>AF-Q9JJ94-F1-model_v6</x:v>
      </x:c>
      <x:c r="R3042" s="12" t="str">
        <x:v>ok</x:v>
      </x:c>
      <x:c r="S3042" s="11" t="n">
        <x:v>2508</x:v>
      </x:c>
      <x:c r="T3042" s="11" t="n">
        <x:v>119</x:v>
      </x:c>
    </x:row>
    <x:row r="3043" ht="23" customHeight="1">
      <x:c r="A3043" s="2" t="str">
        <x:v>Q9JJA4</x:v>
      </x:c>
      <x:c r="B3043" s="2" t="str">
        <x:v>ED</x:v>
      </x:c>
      <x:c r="C3043" s="2" t="n">
        <x:v>1</x:v>
      </x:c>
      <x:c r="D3043" s="2" t="n">
        <x:v>1</x:v>
      </x:c>
      <x:c r="E3043" s="10" t="n">
        <x:v>88.35394799054374</x:v>
      </x:c>
      <x:c r="F3043" s="11" t="n">
        <x:v>423</x:v>
      </x:c>
      <x:c r="G3043" s="11" t="n">
        <x:v>0</x:v>
      </x:c>
      <x:c r="H3043" s="11" t="n">
        <x:v>0</x:v>
      </x:c>
      <x:c r="I3043" s="11" t="n">
        <x:v>0</x:v>
      </x:c>
      <x:c r="J3043" s="11" t="n">
        <x:v>0</x:v>
      </x:c>
      <x:c r="K3043" s="11" t="n">
        <x:v>1</x:v>
      </x:c>
      <x:c r="L3043" s="11" t="n">
        <x:f>IF(B3043="NED",1,IF(OR(B3043="ED",B3043="UN"),0,""))</x:f>
        <x:v>0</x:v>
      </x:c>
      <x:c r="M3043" s="11" t="n">
        <x:f>IF(AND(K3043=1,OR(B3043="ED",B3043="NED")),1,0)</x:f>
        <x:v>1</x:v>
      </x:c>
      <x:c r="N3043" s="11" t="n">
        <x:f>IF(K3043=1,1,0)</x:f>
        <x:v>1</x:v>
      </x:c>
      <x:c r="O3043" s="12"/>
      <x:c r="P3043" s="11" t="n">
        <x:v>0</x:v>
      </x:c>
      <x:c r="Q3043" s="12" t="str">
        <x:v>AF-Q9JJA4-F1-model_v6</x:v>
      </x:c>
      <x:c r="R3043" s="12" t="str">
        <x:v>ok</x:v>
      </x:c>
      <x:c r="S3043" s="11" t="n">
        <x:v>2509</x:v>
      </x:c>
      <x:c r="T3043" s="11" t="n">
        <x:v>423</x:v>
      </x:c>
    </x:row>
    <x:row r="3044" ht="23" customHeight="1">
      <x:c r="A3044" s="2" t="str">
        <x:v>Q9JJG0-3</x:v>
      </x:c>
      <x:c r="B3044" s="2" t="str">
        <x:v>ED</x:v>
      </x:c>
      <x:c r="C3044" s="2"/>
      <x:c r="D3044" s="2"/>
      <x:c r="E3044" s="10"/>
      <x:c r="F3044" s="11"/>
      <x:c r="G3044" s="11" t="n">
        <x:v>0</x:v>
      </x:c>
      <x:c r="H3044" s="11" t="n">
        <x:v>0</x:v>
      </x:c>
      <x:c r="I3044" s="11"/>
      <x:c r="J3044" s="11"/>
      <x:c r="K3044" s="11" t="n">
        <x:v>0</x:v>
      </x:c>
      <x:c r="L3044" s="11" t="n">
        <x:f>IF(B3044="NED",1,IF(OR(B3044="ED",B3044="UN"),0,""))</x:f>
        <x:v>0</x:v>
      </x:c>
      <x:c r="M3044" s="11" t="n">
        <x:f>IF(AND(K3044=1,OR(B3044="ED",B3044="NED")),1,0)</x:f>
        <x:v>0</x:v>
      </x:c>
      <x:c r="N3044" s="11" t="n">
        <x:f>IF(K3044=1,1,0)</x:f>
        <x:v>0</x:v>
      </x:c>
      <x:c r="O3044" s="12" t="str">
        <x:v>Require exact native accession match</x:v>
      </x:c>
      <x:c r="P3044" s="11" t="n">
        <x:v>0</x:v>
      </x:c>
      <x:c r="Q3044" s="12"/>
      <x:c r="R3044" s="12"/>
      <x:c r="S3044" s="11" t="n">
        <x:v>2510</x:v>
      </x:c>
      <x:c r="T3044" s="11"/>
    </x:row>
    <x:row r="3045" ht="23" customHeight="1">
      <x:c r="A3045" s="2" t="str">
        <x:v>Q9JJT0</x:v>
      </x:c>
      <x:c r="B3045" s="2" t="str">
        <x:v>UN</x:v>
      </x:c>
      <x:c r="C3045" s="2" t="n">
        <x:v>1</x:v>
      </x:c>
      <x:c r="D3045" s="2" t="n">
        <x:v>1</x:v>
      </x:c>
      <x:c r="E3045" s="10" t="n">
        <x:v>92.54670241286864</x:v>
      </x:c>
      <x:c r="F3045" s="11" t="n">
        <x:v>373</x:v>
      </x:c>
      <x:c r="G3045" s="11" t="n">
        <x:v>0</x:v>
      </x:c>
      <x:c r="H3045" s="11" t="n">
        <x:v>0</x:v>
      </x:c>
      <x:c r="I3045" s="11" t="n">
        <x:v>0</x:v>
      </x:c>
      <x:c r="J3045" s="11" t="n">
        <x:v>0</x:v>
      </x:c>
      <x:c r="K3045" s="11" t="n">
        <x:v>1</x:v>
      </x:c>
      <x:c r="L3045" s="11" t="n">
        <x:f>IF(B3045="NED",1,IF(OR(B3045="ED",B3045="UN"),0,""))</x:f>
        <x:v>0</x:v>
      </x:c>
      <x:c r="M3045" s="11" t="n">
        <x:f>IF(AND(K3045=1,OR(B3045="ED",B3045="NED")),1,0)</x:f>
        <x:v>0</x:v>
      </x:c>
      <x:c r="N3045" s="11" t="n">
        <x:f>IF(K3045=1,1,0)</x:f>
        <x:v>1</x:v>
      </x:c>
      <x:c r="O3045" s="12"/>
      <x:c r="P3045" s="11" t="n">
        <x:v>0</x:v>
      </x:c>
      <x:c r="Q3045" s="12" t="str">
        <x:v>AF-Q9JJT0-F1-model_v6</x:v>
      </x:c>
      <x:c r="R3045" s="12" t="str">
        <x:v>ok</x:v>
      </x:c>
      <x:c r="S3045" s="11" t="n">
        <x:v>2511</x:v>
      </x:c>
      <x:c r="T3045" s="11" t="n">
        <x:v>373</x:v>
      </x:c>
    </x:row>
    <x:row r="3046" ht="23" customHeight="1">
      <x:c r="A3046" s="2" t="str">
        <x:v>Q9JJU8</x:v>
      </x:c>
      <x:c r="B3046" s="2" t="str">
        <x:v>UN</x:v>
      </x:c>
      <x:c r="C3046" s="2" t="n">
        <x:v>0</x:v>
      </x:c>
      <x:c r="D3046" s="2" t="n">
        <x:v>0</x:v>
      </x:c>
      <x:c r="E3046" s="10"/>
      <x:c r="F3046" s="11" t="n">
        <x:v>114</x:v>
      </x:c>
      <x:c r="G3046" s="11" t="n">
        <x:v>0</x:v>
      </x:c>
      <x:c r="H3046" s="11" t="n">
        <x:v>0</x:v>
      </x:c>
      <x:c r="I3046" s="11" t="n">
        <x:v>1</x:v>
      </x:c>
      <x:c r="J3046" s="11" t="n">
        <x:v>0</x:v>
      </x:c>
      <x:c r="K3046" s="11" t="n">
        <x:v>0</x:v>
      </x:c>
      <x:c r="L3046" s="11" t="n">
        <x:f>IF(B3046="NED",1,IF(OR(B3046="ED",B3046="UN"),0,""))</x:f>
        <x:v>0</x:v>
      </x:c>
      <x:c r="M3046" s="11" t="n">
        <x:f>IF(AND(K3046=1,OR(B3046="ED",B3046="NED")),1,0)</x:f>
        <x:v>0</x:v>
      </x:c>
      <x:c r="N3046" s="11" t="n">
        <x:f>IF(K3046=1,1,0)</x:f>
        <x:v>0</x:v>
      </x:c>
      <x:c r="O3046" s="12" t="str">
        <x:v>Exclude UniProt Membrane keyword</x:v>
      </x:c>
      <x:c r="P3046" s="11" t="n">
        <x:v>0</x:v>
      </x:c>
      <x:c r="Q3046" s="12" t="str">
        <x:v>AF-Q9JJU8-F1-model_v6</x:v>
      </x:c>
      <x:c r="R3046" s="12" t="str">
        <x:v>ok</x:v>
      </x:c>
      <x:c r="S3046" s="11" t="n">
        <x:v>2512</x:v>
      </x:c>
      <x:c r="T3046" s="11" t="n">
        <x:v>114</x:v>
      </x:c>
    </x:row>
    <x:row r="3047" ht="23" customHeight="1">
      <x:c r="A3047" s="2" t="str">
        <x:v>Q9JJY4</x:v>
      </x:c>
      <x:c r="B3047" s="2" t="str">
        <x:v>UN</x:v>
      </x:c>
      <x:c r="C3047" s="2" t="n">
        <x:v>1</x:v>
      </x:c>
      <x:c r="D3047" s="2" t="n">
        <x:v>1</x:v>
      </x:c>
      <x:c r="E3047" s="10" t="n">
        <x:v>60.71032727272727</x:v>
      </x:c>
      <x:c r="F3047" s="11" t="n">
        <x:v>825</x:v>
      </x:c>
      <x:c r="G3047" s="11" t="n">
        <x:v>0</x:v>
      </x:c>
      <x:c r="H3047" s="11" t="n">
        <x:v>0</x:v>
      </x:c>
      <x:c r="I3047" s="11" t="n">
        <x:v>0</x:v>
      </x:c>
      <x:c r="J3047" s="11" t="n">
        <x:v>0</x:v>
      </x:c>
      <x:c r="K3047" s="11" t="n">
        <x:v>0</x:v>
      </x:c>
      <x:c r="L3047" s="11" t="n">
        <x:f>IF(B3047="NED",1,IF(OR(B3047="ED",B3047="UN"),0,""))</x:f>
        <x:v>0</x:v>
      </x:c>
      <x:c r="M3047" s="11" t="n">
        <x:f>IF(AND(K3047=1,OR(B3047="ED",B3047="NED")),1,0)</x:f>
        <x:v>0</x:v>
      </x:c>
      <x:c r="N3047" s="11" t="n">
        <x:f>IF(K3047=1,1,0)</x:f>
        <x:v>0</x:v>
      </x:c>
      <x:c r="O3047" s="12" t="str">
        <x:v>Retain protein mean pLDDT &gt;=70</x:v>
      </x:c>
      <x:c r="P3047" s="11" t="n">
        <x:v>0</x:v>
      </x:c>
      <x:c r="Q3047" s="12" t="str">
        <x:v>AF-Q9JJY4-F1-model_v6</x:v>
      </x:c>
      <x:c r="R3047" s="12" t="str">
        <x:v>ok</x:v>
      </x:c>
      <x:c r="S3047" s="11" t="n">
        <x:v>2513</x:v>
      </x:c>
      <x:c r="T3047" s="11" t="n">
        <x:v>825</x:v>
      </x:c>
    </x:row>
    <x:row r="3048" ht="23" customHeight="1">
      <x:c r="A3048" s="2" t="str">
        <x:v>Q9JK23</x:v>
      </x:c>
      <x:c r="B3048" s="2" t="str">
        <x:v>ED</x:v>
      </x:c>
      <x:c r="C3048" s="2" t="n">
        <x:v>1</x:v>
      </x:c>
      <x:c r="D3048" s="2" t="n">
        <x:v>1</x:v>
      </x:c>
      <x:c r="E3048" s="10" t="n">
        <x:v>80.4574740484429</x:v>
      </x:c>
      <x:c r="F3048" s="11" t="n">
        <x:v>289</x:v>
      </x:c>
      <x:c r="G3048" s="11" t="n">
        <x:v>0</x:v>
      </x:c>
      <x:c r="H3048" s="11" t="n">
        <x:v>0</x:v>
      </x:c>
      <x:c r="I3048" s="11" t="n">
        <x:v>0</x:v>
      </x:c>
      <x:c r="J3048" s="11" t="n">
        <x:v>0</x:v>
      </x:c>
      <x:c r="K3048" s="11" t="n">
        <x:v>1</x:v>
      </x:c>
      <x:c r="L3048" s="11" t="n">
        <x:f>IF(B3048="NED",1,IF(OR(B3048="ED",B3048="UN"),0,""))</x:f>
        <x:v>0</x:v>
      </x:c>
      <x:c r="M3048" s="11" t="n">
        <x:f>IF(AND(K3048=1,OR(B3048="ED",B3048="NED")),1,0)</x:f>
        <x:v>1</x:v>
      </x:c>
      <x:c r="N3048" s="11" t="n">
        <x:f>IF(K3048=1,1,0)</x:f>
        <x:v>1</x:v>
      </x:c>
      <x:c r="O3048" s="12"/>
      <x:c r="P3048" s="11" t="n">
        <x:v>0</x:v>
      </x:c>
      <x:c r="Q3048" s="12" t="str">
        <x:v>AF-Q9JK23-F1-model_v6</x:v>
      </x:c>
      <x:c r="R3048" s="12" t="str">
        <x:v>ok</x:v>
      </x:c>
      <x:c r="S3048" s="11" t="n">
        <x:v>2514</x:v>
      </x:c>
      <x:c r="T3048" s="11" t="n">
        <x:v>289</x:v>
      </x:c>
    </x:row>
    <x:row r="3049" ht="23" customHeight="1">
      <x:c r="A3049" s="2" t="str">
        <x:v>Q9JK30-2</x:v>
      </x:c>
      <x:c r="B3049" s="2" t="str">
        <x:v>UN</x:v>
      </x:c>
      <x:c r="C3049" s="2"/>
      <x:c r="D3049" s="2"/>
      <x:c r="E3049" s="10"/>
      <x:c r="F3049" s="11"/>
      <x:c r="G3049" s="11" t="n">
        <x:v>0</x:v>
      </x:c>
      <x:c r="H3049" s="11" t="n">
        <x:v>0</x:v>
      </x:c>
      <x:c r="I3049" s="11"/>
      <x:c r="J3049" s="11"/>
      <x:c r="K3049" s="11" t="n">
        <x:v>0</x:v>
      </x:c>
      <x:c r="L3049" s="11" t="n">
        <x:f>IF(B3049="NED",1,IF(OR(B3049="ED",B3049="UN"),0,""))</x:f>
        <x:v>0</x:v>
      </x:c>
      <x:c r="M3049" s="11" t="n">
        <x:f>IF(AND(K3049=1,OR(B3049="ED",B3049="NED")),1,0)</x:f>
        <x:v>0</x:v>
      </x:c>
      <x:c r="N3049" s="11" t="n">
        <x:f>IF(K3049=1,1,0)</x:f>
        <x:v>0</x:v>
      </x:c>
      <x:c r="O3049" s="12" t="str">
        <x:v>Require exact native accession match</x:v>
      </x:c>
      <x:c r="P3049" s="11" t="n">
        <x:v>0</x:v>
      </x:c>
      <x:c r="Q3049" s="12"/>
      <x:c r="R3049" s="12"/>
      <x:c r="S3049" s="11" t="n">
        <x:v>2515</x:v>
      </x:c>
      <x:c r="T3049" s="11"/>
    </x:row>
    <x:row r="3050" ht="23" customHeight="1">
      <x:c r="A3050" s="2" t="str">
        <x:v>Q9JK38</x:v>
      </x:c>
      <x:c r="B3050" s="2" t="str">
        <x:v>ED</x:v>
      </x:c>
      <x:c r="C3050" s="2" t="n">
        <x:v>0</x:v>
      </x:c>
      <x:c r="D3050" s="2" t="n">
        <x:v>0</x:v>
      </x:c>
      <x:c r="E3050" s="10"/>
      <x:c r="F3050" s="11" t="n">
        <x:v>184</x:v>
      </x:c>
      <x:c r="G3050" s="11" t="n">
        <x:v>0</x:v>
      </x:c>
      <x:c r="H3050" s="11" t="n">
        <x:v>0</x:v>
      </x:c>
      <x:c r="I3050" s="11" t="n">
        <x:v>1</x:v>
      </x:c>
      <x:c r="J3050" s="11" t="n">
        <x:v>0</x:v>
      </x:c>
      <x:c r="K3050" s="11" t="n">
        <x:v>0</x:v>
      </x:c>
      <x:c r="L3050" s="11" t="n">
        <x:f>IF(B3050="NED",1,IF(OR(B3050="ED",B3050="UN"),0,""))</x:f>
        <x:v>0</x:v>
      </x:c>
      <x:c r="M3050" s="11" t="n">
        <x:f>IF(AND(K3050=1,OR(B3050="ED",B3050="NED")),1,0)</x:f>
        <x:v>0</x:v>
      </x:c>
      <x:c r="N3050" s="11" t="n">
        <x:f>IF(K3050=1,1,0)</x:f>
        <x:v>0</x:v>
      </x:c>
      <x:c r="O3050" s="12" t="str">
        <x:v>Exclude UniProt Membrane keyword</x:v>
      </x:c>
      <x:c r="P3050" s="11" t="n">
        <x:v>0</x:v>
      </x:c>
      <x:c r="Q3050" s="12" t="str">
        <x:v>AF-Q9JK38-F1-model_v6</x:v>
      </x:c>
      <x:c r="R3050" s="12" t="str">
        <x:v>ok</x:v>
      </x:c>
      <x:c r="S3050" s="11" t="n">
        <x:v>2516</x:v>
      </x:c>
      <x:c r="T3050" s="11" t="n">
        <x:v>184</x:v>
      </x:c>
    </x:row>
    <x:row r="3051" ht="23" customHeight="1">
      <x:c r="A3051" s="2" t="str">
        <x:v>Q9JK48</x:v>
      </x:c>
      <x:c r="B3051" s="2" t="str">
        <x:v>NED</x:v>
      </x:c>
      <x:c r="C3051" s="2" t="n">
        <x:v>1</x:v>
      </x:c>
      <x:c r="D3051" s="2" t="n">
        <x:v>1</x:v>
      </x:c>
      <x:c r="E3051" s="10"/>
      <x:c r="F3051" s="11" t="n">
        <x:v>365</x:v>
      </x:c>
      <x:c r="G3051" s="11" t="n">
        <x:v>0</x:v>
      </x:c>
      <x:c r="H3051" s="11" t="n">
        <x:v>0</x:v>
      </x:c>
      <x:c r="I3051" s="11" t="n">
        <x:v>1</x:v>
      </x:c>
      <x:c r="J3051" s="11" t="n">
        <x:v>0</x:v>
      </x:c>
      <x:c r="K3051" s="11" t="n">
        <x:v>0</x:v>
      </x:c>
      <x:c r="L3051" s="11" t="n">
        <x:f>IF(B3051="NED",1,IF(OR(B3051="ED",B3051="UN"),0,""))</x:f>
        <x:v>1</x:v>
      </x:c>
      <x:c r="M3051" s="11" t="n">
        <x:f>IF(AND(K3051=1,OR(B3051="ED",B3051="NED")),1,0)</x:f>
        <x:v>0</x:v>
      </x:c>
      <x:c r="N3051" s="11" t="n">
        <x:f>IF(K3051=1,1,0)</x:f>
        <x:v>0</x:v>
      </x:c>
      <x:c r="O3051" s="12" t="str">
        <x:v>Exclude UniProt Membrane keyword</x:v>
      </x:c>
      <x:c r="P3051" s="11" t="n">
        <x:v>0</x:v>
      </x:c>
      <x:c r="Q3051" s="12" t="str">
        <x:v>AF-Q9JK48-F1-model_v6</x:v>
      </x:c>
      <x:c r="R3051" s="12" t="str">
        <x:v>ok</x:v>
      </x:c>
      <x:c r="S3051" s="11" t="n">
        <x:v>2517</x:v>
      </x:c>
      <x:c r="T3051" s="11" t="n">
        <x:v>365</x:v>
      </x:c>
    </x:row>
    <x:row r="3052" ht="23" customHeight="1">
      <x:c r="A3052" s="2" t="str">
        <x:v>Q9JK81</x:v>
      </x:c>
      <x:c r="B3052" s="2" t="str">
        <x:v>UN</x:v>
      </x:c>
      <x:c r="C3052" s="2" t="n">
        <x:v>1</x:v>
      </x:c>
      <x:c r="D3052" s="2" t="n">
        <x:v>1</x:v>
      </x:c>
      <x:c r="E3052" s="10" t="n">
        <x:v>89.14494736842106</x:v>
      </x:c>
      <x:c r="F3052" s="11" t="n">
        <x:v>380</x:v>
      </x:c>
      <x:c r="G3052" s="11" t="n">
        <x:v>0</x:v>
      </x:c>
      <x:c r="H3052" s="11" t="n">
        <x:v>0</x:v>
      </x:c>
      <x:c r="I3052" s="11" t="n">
        <x:v>0</x:v>
      </x:c>
      <x:c r="J3052" s="11" t="n">
        <x:v>0</x:v>
      </x:c>
      <x:c r="K3052" s="11" t="n">
        <x:v>1</x:v>
      </x:c>
      <x:c r="L3052" s="11" t="n">
        <x:f>IF(B3052="NED",1,IF(OR(B3052="ED",B3052="UN"),0,""))</x:f>
        <x:v>0</x:v>
      </x:c>
      <x:c r="M3052" s="11" t="n">
        <x:f>IF(AND(K3052=1,OR(B3052="ED",B3052="NED")),1,0)</x:f>
        <x:v>0</x:v>
      </x:c>
      <x:c r="N3052" s="11" t="n">
        <x:f>IF(K3052=1,1,0)</x:f>
        <x:v>1</x:v>
      </x:c>
      <x:c r="O3052" s="12"/>
      <x:c r="P3052" s="11" t="n">
        <x:v>0</x:v>
      </x:c>
      <x:c r="Q3052" s="12" t="str">
        <x:v>AF-Q9JK81-F1-model_v6</x:v>
      </x:c>
      <x:c r="R3052" s="12" t="str">
        <x:v>ok</x:v>
      </x:c>
      <x:c r="S3052" s="11" t="n">
        <x:v>2518</x:v>
      </x:c>
      <x:c r="T3052" s="11" t="n">
        <x:v>380</x:v>
      </x:c>
    </x:row>
    <x:row r="3053" ht="23" customHeight="1">
      <x:c r="A3053" s="2" t="str">
        <x:v>Q9JK92</x:v>
      </x:c>
      <x:c r="B3053" s="2" t="str">
        <x:v>ED</x:v>
      </x:c>
      <x:c r="C3053" s="2" t="n">
        <x:v>0</x:v>
      </x:c>
      <x:c r="D3053" s="2" t="n">
        <x:v>0</x:v>
      </x:c>
      <x:c r="E3053" s="10" t="n">
        <x:v>68.36841836734693</x:v>
      </x:c>
      <x:c r="F3053" s="11" t="n">
        <x:v>196</x:v>
      </x:c>
      <x:c r="G3053" s="11" t="n">
        <x:v>0</x:v>
      </x:c>
      <x:c r="H3053" s="11" t="n">
        <x:v>0</x:v>
      </x:c>
      <x:c r="I3053" s="11" t="n">
        <x:v>0</x:v>
      </x:c>
      <x:c r="J3053" s="11" t="n">
        <x:v>0</x:v>
      </x:c>
      <x:c r="K3053" s="11" t="n">
        <x:v>0</x:v>
      </x:c>
      <x:c r="L3053" s="11" t="n">
        <x:f>IF(B3053="NED",1,IF(OR(B3053="ED",B3053="UN"),0,""))</x:f>
        <x:v>0</x:v>
      </x:c>
      <x:c r="M3053" s="11" t="n">
        <x:f>IF(AND(K3053=1,OR(B3053="ED",B3053="NED")),1,0)</x:f>
        <x:v>0</x:v>
      </x:c>
      <x:c r="N3053" s="11" t="n">
        <x:f>IF(K3053=1,1,0)</x:f>
        <x:v>0</x:v>
      </x:c>
      <x:c r="O3053" s="12" t="str">
        <x:v>Retain protein mean pLDDT &gt;=70</x:v>
      </x:c>
      <x:c r="P3053" s="11" t="n">
        <x:v>0</x:v>
      </x:c>
      <x:c r="Q3053" s="12" t="str">
        <x:v>AF-Q9JK92-F1-model_v6</x:v>
      </x:c>
      <x:c r="R3053" s="12" t="str">
        <x:v>ok</x:v>
      </x:c>
      <x:c r="S3053" s="11" t="n">
        <x:v>2519</x:v>
      </x:c>
      <x:c r="T3053" s="11" t="n">
        <x:v>196</x:v>
      </x:c>
    </x:row>
    <x:row r="3054" ht="23" customHeight="1">
      <x:c r="A3054" s="2" t="str">
        <x:v>Q9JKB1</x:v>
      </x:c>
      <x:c r="B3054" s="2" t="str">
        <x:v>ED</x:v>
      </x:c>
      <x:c r="C3054" s="2" t="n">
        <x:v>1</x:v>
      </x:c>
      <x:c r="D3054" s="2" t="n">
        <x:v>1</x:v>
      </x:c>
      <x:c r="E3054" s="10"/>
      <x:c r="F3054" s="11" t="n">
        <x:v>230</x:v>
      </x:c>
      <x:c r="G3054" s="11" t="n">
        <x:v>1</x:v>
      </x:c>
      <x:c r="H3054" s="11" t="n">
        <x:v>0</x:v>
      </x:c>
      <x:c r="I3054" s="11" t="n">
        <x:v>0</x:v>
      </x:c>
      <x:c r="J3054" s="11" t="n">
        <x:v>0</x:v>
      </x:c>
      <x:c r="K3054" s="11" t="n">
        <x:v>0</x:v>
      </x:c>
      <x:c r="L3054" s="11" t="n">
        <x:f>IF(B3054="NED",1,IF(OR(B3054="ED",B3054="UN"),0,""))</x:f>
        <x:v>0</x:v>
      </x:c>
      <x:c r="M3054" s="11" t="n">
        <x:f>IF(AND(K3054=1,OR(B3054="ED",B3054="NED")),1,0)</x:f>
        <x:v>0</x:v>
      </x:c>
      <x:c r="N3054" s="11" t="n">
        <x:f>IF(K3054=1,1,0)</x:f>
        <x:v>0</x:v>
      </x:c>
      <x:c r="O3054" s="12" t="str">
        <x:v>Exclude supplied knotted proteins</x:v>
      </x:c>
      <x:c r="P3054" s="11" t="n">
        <x:v>0</x:v>
      </x:c>
      <x:c r="Q3054" s="12" t="str">
        <x:v>AF-Q9JKB1-F1-model_v6</x:v>
      </x:c>
      <x:c r="R3054" s="12" t="str">
        <x:v>ok</x:v>
      </x:c>
      <x:c r="S3054" s="11" t="n">
        <x:v>2520</x:v>
      </x:c>
      <x:c r="T3054" s="11" t="n">
        <x:v>230</x:v>
      </x:c>
    </x:row>
    <x:row r="3055" ht="23" customHeight="1">
      <x:c r="A3055" s="2" t="str">
        <x:v>Q9JKF1</x:v>
      </x:c>
      <x:c r="B3055" s="2" t="str">
        <x:v>UN</x:v>
      </x:c>
      <x:c r="C3055" s="2" t="n">
        <x:v>1</x:v>
      </x:c>
      <x:c r="D3055" s="2" t="n">
        <x:v>1</x:v>
      </x:c>
      <x:c r="E3055" s="10"/>
      <x:c r="F3055" s="11" t="n">
        <x:v>1657</x:v>
      </x:c>
      <x:c r="G3055" s="11" t="n">
        <x:v>0</x:v>
      </x:c>
      <x:c r="H3055" s="11" t="n">
        <x:v>0</x:v>
      </x:c>
      <x:c r="I3055" s="11" t="n">
        <x:v>1</x:v>
      </x:c>
      <x:c r="J3055" s="11" t="n">
        <x:v>0</x:v>
      </x:c>
      <x:c r="K3055" s="11" t="n">
        <x:v>0</x:v>
      </x:c>
      <x:c r="L3055" s="11" t="n">
        <x:f>IF(B3055="NED",1,IF(OR(B3055="ED",B3055="UN"),0,""))</x:f>
        <x:v>0</x:v>
      </x:c>
      <x:c r="M3055" s="11" t="n">
        <x:f>IF(AND(K3055=1,OR(B3055="ED",B3055="NED")),1,0)</x:f>
        <x:v>0</x:v>
      </x:c>
      <x:c r="N3055" s="11" t="n">
        <x:f>IF(K3055=1,1,0)</x:f>
        <x:v>0</x:v>
      </x:c>
      <x:c r="O3055" s="12" t="str">
        <x:v>Exclude UniProt Membrane keyword</x:v>
      </x:c>
      <x:c r="P3055" s="11" t="n">
        <x:v>0</x:v>
      </x:c>
      <x:c r="Q3055" s="12" t="str">
        <x:v>AF-Q9JKF1-F1-model_v6</x:v>
      </x:c>
      <x:c r="R3055" s="12" t="str">
        <x:v>ok</x:v>
      </x:c>
      <x:c r="S3055" s="11" t="n">
        <x:v>2521</x:v>
      </x:c>
      <x:c r="T3055" s="11" t="n">
        <x:v>1657</x:v>
      </x:c>
    </x:row>
    <x:row r="3056" ht="23" customHeight="1">
      <x:c r="A3056" s="2" t="str">
        <x:v>Q9JKF7</x:v>
      </x:c>
      <x:c r="B3056" s="2" t="str">
        <x:v>NED</x:v>
      </x:c>
      <x:c r="C3056" s="2" t="n">
        <x:v>1</x:v>
      </x:c>
      <x:c r="D3056" s="2" t="n">
        <x:v>1</x:v>
      </x:c>
      <x:c r="E3056" s="10" t="n">
        <x:v>85.1888988095238</x:v>
      </x:c>
      <x:c r="F3056" s="11" t="n">
        <x:v>336</x:v>
      </x:c>
      <x:c r="G3056" s="11" t="n">
        <x:v>0</x:v>
      </x:c>
      <x:c r="H3056" s="11" t="n">
        <x:v>0</x:v>
      </x:c>
      <x:c r="I3056" s="11" t="n">
        <x:v>0</x:v>
      </x:c>
      <x:c r="J3056" s="11" t="n">
        <x:v>0</x:v>
      </x:c>
      <x:c r="K3056" s="11" t="n">
        <x:v>1</x:v>
      </x:c>
      <x:c r="L3056" s="11" t="n">
        <x:f>IF(B3056="NED",1,IF(OR(B3056="ED",B3056="UN"),0,""))</x:f>
        <x:v>1</x:v>
      </x:c>
      <x:c r="M3056" s="11" t="n">
        <x:f>IF(AND(K3056=1,OR(B3056="ED",B3056="NED")),1,0)</x:f>
        <x:v>1</x:v>
      </x:c>
      <x:c r="N3056" s="11" t="n">
        <x:f>IF(K3056=1,1,0)</x:f>
        <x:v>1</x:v>
      </x:c>
      <x:c r="O3056" s="12"/>
      <x:c r="P3056" s="11" t="n">
        <x:v>0</x:v>
      </x:c>
      <x:c r="Q3056" s="12" t="str">
        <x:v>AF-Q9JKF7-F1-model_v6</x:v>
      </x:c>
      <x:c r="R3056" s="12" t="str">
        <x:v>ok</x:v>
      </x:c>
      <x:c r="S3056" s="11" t="n">
        <x:v>2522</x:v>
      </x:c>
      <x:c r="T3056" s="11" t="n">
        <x:v>336</x:v>
      </x:c>
    </x:row>
    <x:row r="3057" ht="23" customHeight="1">
      <x:c r="A3057" s="2" t="str">
        <x:v>Q9JKP5</x:v>
      </x:c>
      <x:c r="B3057" s="2" t="str">
        <x:v>ED</x:v>
      </x:c>
      <x:c r="C3057" s="2" t="n">
        <x:v>0</x:v>
      </x:c>
      <x:c r="D3057" s="2" t="n">
        <x:v>0</x:v>
      </x:c>
      <x:c r="E3057" s="10" t="n">
        <x:v>68.5240762463343</x:v>
      </x:c>
      <x:c r="F3057" s="11" t="n">
        <x:v>341</x:v>
      </x:c>
      <x:c r="G3057" s="11" t="n">
        <x:v>0</x:v>
      </x:c>
      <x:c r="H3057" s="11" t="n">
        <x:v>0</x:v>
      </x:c>
      <x:c r="I3057" s="11" t="n">
        <x:v>0</x:v>
      </x:c>
      <x:c r="J3057" s="11" t="n">
        <x:v>0</x:v>
      </x:c>
      <x:c r="K3057" s="11" t="n">
        <x:v>0</x:v>
      </x:c>
      <x:c r="L3057" s="11" t="n">
        <x:f>IF(B3057="NED",1,IF(OR(B3057="ED",B3057="UN"),0,""))</x:f>
        <x:v>0</x:v>
      </x:c>
      <x:c r="M3057" s="11" t="n">
        <x:f>IF(AND(K3057=1,OR(B3057="ED",B3057="NED")),1,0)</x:f>
        <x:v>0</x:v>
      </x:c>
      <x:c r="N3057" s="11" t="n">
        <x:f>IF(K3057=1,1,0)</x:f>
        <x:v>0</x:v>
      </x:c>
      <x:c r="O3057" s="12" t="str">
        <x:v>Retain protein mean pLDDT &gt;=70</x:v>
      </x:c>
      <x:c r="P3057" s="11" t="n">
        <x:v>0</x:v>
      </x:c>
      <x:c r="Q3057" s="12" t="str">
        <x:v>AF-Q9JKP5-F1-model_v6</x:v>
      </x:c>
      <x:c r="R3057" s="12" t="str">
        <x:v>ok</x:v>
      </x:c>
      <x:c r="S3057" s="11" t="n">
        <x:v>2523</x:v>
      </x:c>
      <x:c r="T3057" s="11" t="n">
        <x:v>341</x:v>
      </x:c>
    </x:row>
    <x:row r="3058" ht="23" customHeight="1">
      <x:c r="A3058" s="2" t="str">
        <x:v>Q9JKR6</x:v>
      </x:c>
      <x:c r="B3058" s="2" t="str">
        <x:v>ED</x:v>
      </x:c>
      <x:c r="C3058" s="2" t="n">
        <x:v>1</x:v>
      </x:c>
      <x:c r="D3058" s="2" t="n">
        <x:v>1</x:v>
      </x:c>
      <x:c r="E3058" s="10" t="n">
        <x:v>81.34644644644645</x:v>
      </x:c>
      <x:c r="F3058" s="11" t="n">
        <x:v>999</x:v>
      </x:c>
      <x:c r="G3058" s="11" t="n">
        <x:v>0</x:v>
      </x:c>
      <x:c r="H3058" s="11" t="n">
        <x:v>0</x:v>
      </x:c>
      <x:c r="I3058" s="11" t="n">
        <x:v>0</x:v>
      </x:c>
      <x:c r="J3058" s="11" t="n">
        <x:v>0</x:v>
      </x:c>
      <x:c r="K3058" s="11" t="n">
        <x:v>1</x:v>
      </x:c>
      <x:c r="L3058" s="11" t="n">
        <x:f>IF(B3058="NED",1,IF(OR(B3058="ED",B3058="UN"),0,""))</x:f>
        <x:v>0</x:v>
      </x:c>
      <x:c r="M3058" s="11" t="n">
        <x:f>IF(AND(K3058=1,OR(B3058="ED",B3058="NED")),1,0)</x:f>
        <x:v>1</x:v>
      </x:c>
      <x:c r="N3058" s="11" t="n">
        <x:f>IF(K3058=1,1,0)</x:f>
        <x:v>1</x:v>
      </x:c>
      <x:c r="O3058" s="12"/>
      <x:c r="P3058" s="11" t="n">
        <x:v>0</x:v>
      </x:c>
      <x:c r="Q3058" s="12" t="str">
        <x:v>AF-Q9JKR6-F1-model_v6</x:v>
      </x:c>
      <x:c r="R3058" s="12" t="str">
        <x:v>ok</x:v>
      </x:c>
      <x:c r="S3058" s="11" t="n">
        <x:v>2524</x:v>
      </x:c>
      <x:c r="T3058" s="11" t="n">
        <x:v>999</x:v>
      </x:c>
    </x:row>
    <x:row r="3059" ht="23" customHeight="1">
      <x:c r="A3059" s="2" t="str">
        <x:v>Q9JKV1</x:v>
      </x:c>
      <x:c r="B3059" s="2" t="str">
        <x:v>ED</x:v>
      </x:c>
      <x:c r="C3059" s="2" t="n">
        <x:v>1</x:v>
      </x:c>
      <x:c r="D3059" s="2" t="n">
        <x:v>1</x:v>
      </x:c>
      <x:c r="E3059" s="10" t="n">
        <x:v>68.23572481572481</x:v>
      </x:c>
      <x:c r="F3059" s="11" t="n">
        <x:v>407</x:v>
      </x:c>
      <x:c r="G3059" s="11" t="n">
        <x:v>0</x:v>
      </x:c>
      <x:c r="H3059" s="11" t="n">
        <x:v>0</x:v>
      </x:c>
      <x:c r="I3059" s="11" t="n">
        <x:v>0</x:v>
      </x:c>
      <x:c r="J3059" s="11" t="n">
        <x:v>0</x:v>
      </x:c>
      <x:c r="K3059" s="11" t="n">
        <x:v>0</x:v>
      </x:c>
      <x:c r="L3059" s="11" t="n">
        <x:f>IF(B3059="NED",1,IF(OR(B3059="ED",B3059="UN"),0,""))</x:f>
        <x:v>0</x:v>
      </x:c>
      <x:c r="M3059" s="11" t="n">
        <x:f>IF(AND(K3059=1,OR(B3059="ED",B3059="NED")),1,0)</x:f>
        <x:v>0</x:v>
      </x:c>
      <x:c r="N3059" s="11" t="n">
        <x:f>IF(K3059=1,1,0)</x:f>
        <x:v>0</x:v>
      </x:c>
      <x:c r="O3059" s="12" t="str">
        <x:v>Retain protein mean pLDDT &gt;=70</x:v>
      </x:c>
      <x:c r="P3059" s="11" t="n">
        <x:v>0</x:v>
      </x:c>
      <x:c r="Q3059" s="12" t="str">
        <x:v>AF-Q9JKV1-F1-model_v6</x:v>
      </x:c>
      <x:c r="R3059" s="12" t="str">
        <x:v>ok</x:v>
      </x:c>
      <x:c r="S3059" s="11" t="n">
        <x:v>2525</x:v>
      </x:c>
      <x:c r="T3059" s="11" t="n">
        <x:v>407</x:v>
      </x:c>
    </x:row>
    <x:row r="3060" ht="23" customHeight="1">
      <x:c r="A3060" s="2" t="str">
        <x:v>Q9JKX4</x:v>
      </x:c>
      <x:c r="B3060" s="2" t="str">
        <x:v>UN</x:v>
      </x:c>
      <x:c r="C3060" s="2" t="n">
        <x:v>1</x:v>
      </x:c>
      <x:c r="D3060" s="2" t="n">
        <x:v>1</x:v>
      </x:c>
      <x:c r="E3060" s="10" t="n">
        <x:v>67.36425855513308</x:v>
      </x:c>
      <x:c r="F3060" s="11" t="n">
        <x:v>526</x:v>
      </x:c>
      <x:c r="G3060" s="11" t="n">
        <x:v>0</x:v>
      </x:c>
      <x:c r="H3060" s="11" t="n">
        <x:v>0</x:v>
      </x:c>
      <x:c r="I3060" s="11" t="n">
        <x:v>0</x:v>
      </x:c>
      <x:c r="J3060" s="11" t="n">
        <x:v>0</x:v>
      </x:c>
      <x:c r="K3060" s="11" t="n">
        <x:v>0</x:v>
      </x:c>
      <x:c r="L3060" s="11" t="n">
        <x:f>IF(B3060="NED",1,IF(OR(B3060="ED",B3060="UN"),0,""))</x:f>
        <x:v>0</x:v>
      </x:c>
      <x:c r="M3060" s="11" t="n">
        <x:f>IF(AND(K3060=1,OR(B3060="ED",B3060="NED")),1,0)</x:f>
        <x:v>0</x:v>
      </x:c>
      <x:c r="N3060" s="11" t="n">
        <x:f>IF(K3060=1,1,0)</x:f>
        <x:v>0</x:v>
      </x:c>
      <x:c r="O3060" s="12" t="str">
        <x:v>Retain protein mean pLDDT &gt;=70</x:v>
      </x:c>
      <x:c r="P3060" s="11" t="n">
        <x:v>0</x:v>
      </x:c>
      <x:c r="Q3060" s="12" t="str">
        <x:v>AF-Q9JKX4-F1-model_v6</x:v>
      </x:c>
      <x:c r="R3060" s="12" t="str">
        <x:v>ok</x:v>
      </x:c>
      <x:c r="S3060" s="11" t="n">
        <x:v>2526</x:v>
      </x:c>
      <x:c r="T3060" s="11" t="n">
        <x:v>526</x:v>
      </x:c>
    </x:row>
    <x:row r="3061" ht="23" customHeight="1">
      <x:c r="A3061" s="2" t="str">
        <x:v>Q9JKX6</x:v>
      </x:c>
      <x:c r="B3061" s="2" t="str">
        <x:v>UN</x:v>
      </x:c>
      <x:c r="C3061" s="2" t="n">
        <x:v>1</x:v>
      </x:c>
      <x:c r="D3061" s="2" t="n">
        <x:v>1</x:v>
      </x:c>
      <x:c r="E3061" s="10" t="n">
        <x:v>91.37963302752291</x:v>
      </x:c>
      <x:c r="F3061" s="11" t="n">
        <x:v>218</x:v>
      </x:c>
      <x:c r="G3061" s="11" t="n">
        <x:v>0</x:v>
      </x:c>
      <x:c r="H3061" s="11" t="n">
        <x:v>0</x:v>
      </x:c>
      <x:c r="I3061" s="11" t="n">
        <x:v>0</x:v>
      </x:c>
      <x:c r="J3061" s="11" t="n">
        <x:v>0</x:v>
      </x:c>
      <x:c r="K3061" s="11" t="n">
        <x:v>1</x:v>
      </x:c>
      <x:c r="L3061" s="11" t="n">
        <x:f>IF(B3061="NED",1,IF(OR(B3061="ED",B3061="UN"),0,""))</x:f>
        <x:v>0</x:v>
      </x:c>
      <x:c r="M3061" s="11" t="n">
        <x:f>IF(AND(K3061=1,OR(B3061="ED",B3061="NED")),1,0)</x:f>
        <x:v>0</x:v>
      </x:c>
      <x:c r="N3061" s="11" t="n">
        <x:f>IF(K3061=1,1,0)</x:f>
        <x:v>1</x:v>
      </x:c>
      <x:c r="O3061" s="12"/>
      <x:c r="P3061" s="11" t="n">
        <x:v>0</x:v>
      </x:c>
      <x:c r="Q3061" s="12" t="str">
        <x:v>AF-Q9JKX6-F1-model_v6</x:v>
      </x:c>
      <x:c r="R3061" s="12" t="str">
        <x:v>ok</x:v>
      </x:c>
      <x:c r="S3061" s="11" t="n">
        <x:v>2527</x:v>
      </x:c>
      <x:c r="T3061" s="11" t="n">
        <x:v>218</x:v>
      </x:c>
    </x:row>
    <x:row r="3062" ht="23" customHeight="1">
      <x:c r="A3062" s="2" t="str">
        <x:v>Q9JKY0</x:v>
      </x:c>
      <x:c r="B3062" s="2" t="str">
        <x:v>NED</x:v>
      </x:c>
      <x:c r="C3062" s="2" t="n">
        <x:v>0</x:v>
      </x:c>
      <x:c r="D3062" s="2" t="n">
        <x:v>0</x:v>
      </x:c>
      <x:c r="E3062" s="10" t="n">
        <x:v>92.57020066889632</x:v>
      </x:c>
      <x:c r="F3062" s="11" t="n">
        <x:v>299</x:v>
      </x:c>
      <x:c r="G3062" s="11" t="n">
        <x:v>0</x:v>
      </x:c>
      <x:c r="H3062" s="11" t="n">
        <x:v>0</x:v>
      </x:c>
      <x:c r="I3062" s="11" t="n">
        <x:v>0</x:v>
      </x:c>
      <x:c r="J3062" s="11" t="n">
        <x:v>0</x:v>
      </x:c>
      <x:c r="K3062" s="11" t="n">
        <x:v>1</x:v>
      </x:c>
      <x:c r="L3062" s="11" t="n">
        <x:f>IF(B3062="NED",1,IF(OR(B3062="ED",B3062="UN"),0,""))</x:f>
        <x:v>1</x:v>
      </x:c>
      <x:c r="M3062" s="11" t="n">
        <x:f>IF(AND(K3062=1,OR(B3062="ED",B3062="NED")),1,0)</x:f>
        <x:v>1</x:v>
      </x:c>
      <x:c r="N3062" s="11" t="n">
        <x:f>IF(K3062=1,1,0)</x:f>
        <x:v>1</x:v>
      </x:c>
      <x:c r="O3062" s="12"/>
      <x:c r="P3062" s="11" t="n">
        <x:v>0</x:v>
      </x:c>
      <x:c r="Q3062" s="12" t="str">
        <x:v>AF-Q9JKY0-F1-model_v6</x:v>
      </x:c>
      <x:c r="R3062" s="12" t="str">
        <x:v>ok</x:v>
      </x:c>
      <x:c r="S3062" s="11" t="n">
        <x:v>2528</x:v>
      </x:c>
      <x:c r="T3062" s="11" t="n">
        <x:v>299</x:v>
      </x:c>
    </x:row>
    <x:row r="3063" ht="23" customHeight="1">
      <x:c r="A3063" s="2" t="str">
        <x:v>Q9JKY5</x:v>
      </x:c>
      <x:c r="B3063" s="2" t="str">
        <x:v>UN</x:v>
      </x:c>
      <x:c r="C3063" s="2" t="n">
        <x:v>1</x:v>
      </x:c>
      <x:c r="D3063" s="2" t="n">
        <x:v>1</x:v>
      </x:c>
      <x:c r="E3063" s="10"/>
      <x:c r="F3063" s="11" t="n">
        <x:v>1068</x:v>
      </x:c>
      <x:c r="G3063" s="11" t="n">
        <x:v>0</x:v>
      </x:c>
      <x:c r="H3063" s="11" t="n">
        <x:v>0</x:v>
      </x:c>
      <x:c r="I3063" s="11" t="n">
        <x:v>1</x:v>
      </x:c>
      <x:c r="J3063" s="11" t="n">
        <x:v>0</x:v>
      </x:c>
      <x:c r="K3063" s="11" t="n">
        <x:v>0</x:v>
      </x:c>
      <x:c r="L3063" s="11" t="n">
        <x:f>IF(B3063="NED",1,IF(OR(B3063="ED",B3063="UN"),0,""))</x:f>
        <x:v>0</x:v>
      </x:c>
      <x:c r="M3063" s="11" t="n">
        <x:f>IF(AND(K3063=1,OR(B3063="ED",B3063="NED")),1,0)</x:f>
        <x:v>0</x:v>
      </x:c>
      <x:c r="N3063" s="11" t="n">
        <x:f>IF(K3063=1,1,0)</x:f>
        <x:v>0</x:v>
      </x:c>
      <x:c r="O3063" s="12" t="str">
        <x:v>Exclude UniProt Membrane keyword</x:v>
      </x:c>
      <x:c r="P3063" s="11" t="n">
        <x:v>0</x:v>
      </x:c>
      <x:c r="Q3063" s="12" t="str">
        <x:v>AF-Q9JKY5-F1-model_v6</x:v>
      </x:c>
      <x:c r="R3063" s="12" t="str">
        <x:v>ok</x:v>
      </x:c>
      <x:c r="S3063" s="11" t="n">
        <x:v>2529</x:v>
      </x:c>
      <x:c r="T3063" s="11" t="n">
        <x:v>1068</x:v>
      </x:c>
    </x:row>
    <x:row r="3064" ht="23" customHeight="1">
      <x:c r="A3064" s="2" t="str">
        <x:v>Q9JL15</x:v>
      </x:c>
      <x:c r="B3064" s="2" t="str">
        <x:v>ED</x:v>
      </x:c>
      <x:c r="C3064" s="2" t="n">
        <x:v>1</x:v>
      </x:c>
      <x:c r="D3064" s="2" t="n">
        <x:v>1</x:v>
      </x:c>
      <x:c r="E3064" s="10" t="n">
        <x:v>90.43041139240506</x:v>
      </x:c>
      <x:c r="F3064" s="11" t="n">
        <x:v>316</x:v>
      </x:c>
      <x:c r="G3064" s="11" t="n">
        <x:v>0</x:v>
      </x:c>
      <x:c r="H3064" s="11" t="n">
        <x:v>0</x:v>
      </x:c>
      <x:c r="I3064" s="11" t="n">
        <x:v>0</x:v>
      </x:c>
      <x:c r="J3064" s="11" t="n">
        <x:v>0</x:v>
      </x:c>
      <x:c r="K3064" s="11" t="n">
        <x:v>1</x:v>
      </x:c>
      <x:c r="L3064" s="11" t="n">
        <x:f>IF(B3064="NED",1,IF(OR(B3064="ED",B3064="UN"),0,""))</x:f>
        <x:v>0</x:v>
      </x:c>
      <x:c r="M3064" s="11" t="n">
        <x:f>IF(AND(K3064=1,OR(B3064="ED",B3064="NED")),1,0)</x:f>
        <x:v>1</x:v>
      </x:c>
      <x:c r="N3064" s="11" t="n">
        <x:f>IF(K3064=1,1,0)</x:f>
        <x:v>1</x:v>
      </x:c>
      <x:c r="O3064" s="12"/>
      <x:c r="P3064" s="11" t="n">
        <x:v>0</x:v>
      </x:c>
      <x:c r="Q3064" s="12" t="str">
        <x:v>AF-Q9JL15-F1-model_v6</x:v>
      </x:c>
      <x:c r="R3064" s="12" t="str">
        <x:v>ok</x:v>
      </x:c>
      <x:c r="S3064" s="11" t="n">
        <x:v>2530</x:v>
      </x:c>
      <x:c r="T3064" s="11" t="n">
        <x:v>316</x:v>
      </x:c>
    </x:row>
    <x:row r="3065" ht="23" customHeight="1">
      <x:c r="A3065" s="2" t="str">
        <x:v>Q9JL16-2</x:v>
      </x:c>
      <x:c r="B3065" s="2" t="str">
        <x:v>ED</x:v>
      </x:c>
      <x:c r="C3065" s="2"/>
      <x:c r="D3065" s="2"/>
      <x:c r="E3065" s="10"/>
      <x:c r="F3065" s="11"/>
      <x:c r="G3065" s="11" t="n">
        <x:v>0</x:v>
      </x:c>
      <x:c r="H3065" s="11" t="n">
        <x:v>0</x:v>
      </x:c>
      <x:c r="I3065" s="11"/>
      <x:c r="J3065" s="11"/>
      <x:c r="K3065" s="11" t="n">
        <x:v>0</x:v>
      </x:c>
      <x:c r="L3065" s="11" t="n">
        <x:f>IF(B3065="NED",1,IF(OR(B3065="ED",B3065="UN"),0,""))</x:f>
        <x:v>0</x:v>
      </x:c>
      <x:c r="M3065" s="11" t="n">
        <x:f>IF(AND(K3065=1,OR(B3065="ED",B3065="NED")),1,0)</x:f>
        <x:v>0</x:v>
      </x:c>
      <x:c r="N3065" s="11" t="n">
        <x:f>IF(K3065=1,1,0)</x:f>
        <x:v>0</x:v>
      </x:c>
      <x:c r="O3065" s="12" t="str">
        <x:v>Require exact native accession match</x:v>
      </x:c>
      <x:c r="P3065" s="11" t="n">
        <x:v>0</x:v>
      </x:c>
      <x:c r="Q3065" s="12"/>
      <x:c r="R3065" s="12"/>
      <x:c r="S3065" s="11" t="n">
        <x:v>2531</x:v>
      </x:c>
      <x:c r="T3065" s="11"/>
    </x:row>
    <x:row r="3066" ht="23" customHeight="1">
      <x:c r="A3066" s="2" t="str">
        <x:v>Q9JLB0-2</x:v>
      </x:c>
      <x:c r="B3066" s="2" t="str">
        <x:v>UN</x:v>
      </x:c>
      <x:c r="C3066" s="2"/>
      <x:c r="D3066" s="2"/>
      <x:c r="E3066" s="10"/>
      <x:c r="F3066" s="11"/>
      <x:c r="G3066" s="11" t="n">
        <x:v>0</x:v>
      </x:c>
      <x:c r="H3066" s="11" t="n">
        <x:v>0</x:v>
      </x:c>
      <x:c r="I3066" s="11"/>
      <x:c r="J3066" s="11"/>
      <x:c r="K3066" s="11" t="n">
        <x:v>0</x:v>
      </x:c>
      <x:c r="L3066" s="11" t="n">
        <x:f>IF(B3066="NED",1,IF(OR(B3066="ED",B3066="UN"),0,""))</x:f>
        <x:v>0</x:v>
      </x:c>
      <x:c r="M3066" s="11" t="n">
        <x:f>IF(AND(K3066=1,OR(B3066="ED",B3066="NED")),1,0)</x:f>
        <x:v>0</x:v>
      </x:c>
      <x:c r="N3066" s="11" t="n">
        <x:f>IF(K3066=1,1,0)</x:f>
        <x:v>0</x:v>
      </x:c>
      <x:c r="O3066" s="12" t="str">
        <x:v>Require exact native accession match</x:v>
      </x:c>
      <x:c r="P3066" s="11" t="n">
        <x:v>0</x:v>
      </x:c>
      <x:c r="Q3066" s="12"/>
      <x:c r="R3066" s="12"/>
      <x:c r="S3066" s="11" t="n">
        <x:v>2532</x:v>
      </x:c>
      <x:c r="T3066" s="11"/>
    </x:row>
    <x:row r="3067" ht="23" customHeight="1">
      <x:c r="A3067" s="2" t="str">
        <x:v>Q9JLB2</x:v>
      </x:c>
      <x:c r="B3067" s="2" t="str">
        <x:v>ED</x:v>
      </x:c>
      <x:c r="C3067" s="2" t="n">
        <x:v>1</x:v>
      </x:c>
      <x:c r="D3067" s="2" t="n">
        <x:v>1</x:v>
      </x:c>
      <x:c r="E3067" s="10"/>
      <x:c r="F3067" s="11" t="n">
        <x:v>675</x:v>
      </x:c>
      <x:c r="G3067" s="11" t="n">
        <x:v>0</x:v>
      </x:c>
      <x:c r="H3067" s="11" t="n">
        <x:v>0</x:v>
      </x:c>
      <x:c r="I3067" s="11" t="n">
        <x:v>1</x:v>
      </x:c>
      <x:c r="J3067" s="11" t="n">
        <x:v>0</x:v>
      </x:c>
      <x:c r="K3067" s="11" t="n">
        <x:v>0</x:v>
      </x:c>
      <x:c r="L3067" s="11" t="n">
        <x:f>IF(B3067="NED",1,IF(OR(B3067="ED",B3067="UN"),0,""))</x:f>
        <x:v>0</x:v>
      </x:c>
      <x:c r="M3067" s="11" t="n">
        <x:f>IF(AND(K3067=1,OR(B3067="ED",B3067="NED")),1,0)</x:f>
        <x:v>0</x:v>
      </x:c>
      <x:c r="N3067" s="11" t="n">
        <x:f>IF(K3067=1,1,0)</x:f>
        <x:v>0</x:v>
      </x:c>
      <x:c r="O3067" s="12" t="str">
        <x:v>Exclude UniProt Membrane keyword</x:v>
      </x:c>
      <x:c r="P3067" s="11" t="n">
        <x:v>0</x:v>
      </x:c>
      <x:c r="Q3067" s="12" t="str">
        <x:v>AF-Q9JLB2-F1-model_v6</x:v>
      </x:c>
      <x:c r="R3067" s="12" t="str">
        <x:v>ok</x:v>
      </x:c>
      <x:c r="S3067" s="11" t="n">
        <x:v>2533</x:v>
      </x:c>
      <x:c r="T3067" s="11" t="n">
        <x:v>675</x:v>
      </x:c>
    </x:row>
    <x:row r="3068" ht="23" customHeight="1">
      <x:c r="A3068" s="2" t="str">
        <x:v>Q9JLC8-3</x:v>
      </x:c>
      <x:c r="B3068" s="2" t="str">
        <x:v>UN</x:v>
      </x:c>
      <x:c r="C3068" s="2"/>
      <x:c r="D3068" s="2"/>
      <x:c r="E3068" s="10"/>
      <x:c r="F3068" s="11"/>
      <x:c r="G3068" s="11" t="n">
        <x:v>0</x:v>
      </x:c>
      <x:c r="H3068" s="11" t="n">
        <x:v>0</x:v>
      </x:c>
      <x:c r="I3068" s="11"/>
      <x:c r="J3068" s="11"/>
      <x:c r="K3068" s="11" t="n">
        <x:v>0</x:v>
      </x:c>
      <x:c r="L3068" s="11" t="n">
        <x:f>IF(B3068="NED",1,IF(OR(B3068="ED",B3068="UN"),0,""))</x:f>
        <x:v>0</x:v>
      </x:c>
      <x:c r="M3068" s="11" t="n">
        <x:f>IF(AND(K3068=1,OR(B3068="ED",B3068="NED")),1,0)</x:f>
        <x:v>0</x:v>
      </x:c>
      <x:c r="N3068" s="11" t="n">
        <x:f>IF(K3068=1,1,0)</x:f>
        <x:v>0</x:v>
      </x:c>
      <x:c r="O3068" s="12" t="str">
        <x:v>Require exact native accession match</x:v>
      </x:c>
      <x:c r="P3068" s="11" t="n">
        <x:v>0</x:v>
      </x:c>
      <x:c r="Q3068" s="12"/>
      <x:c r="R3068" s="12"/>
      <x:c r="S3068" s="11" t="n">
        <x:v>2534</x:v>
      </x:c>
      <x:c r="T3068" s="11"/>
    </x:row>
    <x:row r="3069" ht="23" customHeight="1">
      <x:c r="A3069" s="2" t="str">
        <x:v>Q9JLI8</x:v>
      </x:c>
      <x:c r="B3069" s="2" t="str">
        <x:v>UN</x:v>
      </x:c>
      <x:c r="C3069" s="2" t="n">
        <x:v>1</x:v>
      </x:c>
      <x:c r="D3069" s="2" t="n">
        <x:v>1</x:v>
      </x:c>
      <x:c r="E3069" s="10" t="n">
        <x:v>78.26619542619542</x:v>
      </x:c>
      <x:c r="F3069" s="11" t="n">
        <x:v>962</x:v>
      </x:c>
      <x:c r="G3069" s="11" t="n">
        <x:v>0</x:v>
      </x:c>
      <x:c r="H3069" s="11" t="n">
        <x:v>0</x:v>
      </x:c>
      <x:c r="I3069" s="11" t="n">
        <x:v>0</x:v>
      </x:c>
      <x:c r="J3069" s="11" t="n">
        <x:v>0</x:v>
      </x:c>
      <x:c r="K3069" s="11" t="n">
        <x:v>1</x:v>
      </x:c>
      <x:c r="L3069" s="11" t="n">
        <x:f>IF(B3069="NED",1,IF(OR(B3069="ED",B3069="UN"),0,""))</x:f>
        <x:v>0</x:v>
      </x:c>
      <x:c r="M3069" s="11" t="n">
        <x:f>IF(AND(K3069=1,OR(B3069="ED",B3069="NED")),1,0)</x:f>
        <x:v>0</x:v>
      </x:c>
      <x:c r="N3069" s="11" t="n">
        <x:f>IF(K3069=1,1,0)</x:f>
        <x:v>1</x:v>
      </x:c>
      <x:c r="O3069" s="12"/>
      <x:c r="P3069" s="11" t="n">
        <x:v>0</x:v>
      </x:c>
      <x:c r="Q3069" s="12" t="str">
        <x:v>AF-Q9JLI8-F1-model_v6</x:v>
      </x:c>
      <x:c r="R3069" s="12" t="str">
        <x:v>ok</x:v>
      </x:c>
      <x:c r="S3069" s="11" t="n">
        <x:v>2535</x:v>
      </x:c>
      <x:c r="T3069" s="11" t="n">
        <x:v>962</x:v>
      </x:c>
    </x:row>
    <x:row r="3070" ht="23" customHeight="1">
      <x:c r="A3070" s="2" t="str">
        <x:v>Q9JLJ2</x:v>
      </x:c>
      <x:c r="B3070" s="2" t="str">
        <x:v>UN</x:v>
      </x:c>
      <x:c r="C3070" s="2" t="n">
        <x:v>1</x:v>
      </x:c>
      <x:c r="D3070" s="2" t="n">
        <x:v>1</x:v>
      </x:c>
      <x:c r="E3070" s="10" t="n">
        <x:v>98.31113360323886</x:v>
      </x:c>
      <x:c r="F3070" s="11" t="n">
        <x:v>494</x:v>
      </x:c>
      <x:c r="G3070" s="11" t="n">
        <x:v>0</x:v>
      </x:c>
      <x:c r="H3070" s="11" t="n">
        <x:v>0</x:v>
      </x:c>
      <x:c r="I3070" s="11" t="n">
        <x:v>0</x:v>
      </x:c>
      <x:c r="J3070" s="11" t="n">
        <x:v>0</x:v>
      </x:c>
      <x:c r="K3070" s="11" t="n">
        <x:v>1</x:v>
      </x:c>
      <x:c r="L3070" s="11" t="n">
        <x:f>IF(B3070="NED",1,IF(OR(B3070="ED",B3070="UN"),0,""))</x:f>
        <x:v>0</x:v>
      </x:c>
      <x:c r="M3070" s="11" t="n">
        <x:f>IF(AND(K3070=1,OR(B3070="ED",B3070="NED")),1,0)</x:f>
        <x:v>0</x:v>
      </x:c>
      <x:c r="N3070" s="11" t="n">
        <x:f>IF(K3070=1,1,0)</x:f>
        <x:v>1</x:v>
      </x:c>
      <x:c r="O3070" s="12"/>
      <x:c r="P3070" s="11" t="n">
        <x:v>0</x:v>
      </x:c>
      <x:c r="Q3070" s="12" t="str">
        <x:v>AF-Q9JLJ2-F1-model_v6</x:v>
      </x:c>
      <x:c r="R3070" s="12" t="str">
        <x:v>ok</x:v>
      </x:c>
      <x:c r="S3070" s="11" t="n">
        <x:v>2536</x:v>
      </x:c>
      <x:c r="T3070" s="11" t="n">
        <x:v>494</x:v>
      </x:c>
    </x:row>
    <x:row r="3071" ht="23" customHeight="1">
      <x:c r="A3071" s="2" t="str">
        <x:v>Q9JLM8</x:v>
      </x:c>
      <x:c r="B3071" s="2" t="str">
        <x:v>UN</x:v>
      </x:c>
      <x:c r="C3071" s="2" t="n">
        <x:v>1</x:v>
      </x:c>
      <x:c r="D3071" s="2" t="n">
        <x:v>1</x:v>
      </x:c>
      <x:c r="E3071" s="10" t="n">
        <x:v>70.41105820105821</x:v>
      </x:c>
      <x:c r="F3071" s="11" t="n">
        <x:v>756</x:v>
      </x:c>
      <x:c r="G3071" s="11" t="n">
        <x:v>0</x:v>
      </x:c>
      <x:c r="H3071" s="11" t="n">
        <x:v>0</x:v>
      </x:c>
      <x:c r="I3071" s="11" t="n">
        <x:v>0</x:v>
      </x:c>
      <x:c r="J3071" s="11" t="n">
        <x:v>0</x:v>
      </x:c>
      <x:c r="K3071" s="11" t="n">
        <x:v>1</x:v>
      </x:c>
      <x:c r="L3071" s="11" t="n">
        <x:f>IF(B3071="NED",1,IF(OR(B3071="ED",B3071="UN"),0,""))</x:f>
        <x:v>0</x:v>
      </x:c>
      <x:c r="M3071" s="11" t="n">
        <x:f>IF(AND(K3071=1,OR(B3071="ED",B3071="NED")),1,0)</x:f>
        <x:v>0</x:v>
      </x:c>
      <x:c r="N3071" s="11" t="n">
        <x:f>IF(K3071=1,1,0)</x:f>
        <x:v>1</x:v>
      </x:c>
      <x:c r="O3071" s="12"/>
      <x:c r="P3071" s="11" t="n">
        <x:v>0</x:v>
      </x:c>
      <x:c r="Q3071" s="12" t="str">
        <x:v>AF-Q9JLM8-F1-model_v6</x:v>
      </x:c>
      <x:c r="R3071" s="12" t="str">
        <x:v>ok</x:v>
      </x:c>
      <x:c r="S3071" s="11" t="n">
        <x:v>2537</x:v>
      </x:c>
      <x:c r="T3071" s="11" t="n">
        <x:v>756</x:v>
      </x:c>
    </x:row>
    <x:row r="3072" ht="23" customHeight="1">
      <x:c r="A3072" s="2" t="str">
        <x:v>Q9JLN9</x:v>
      </x:c>
      <x:c r="B3072" s="2" t="str">
        <x:v>UN</x:v>
      </x:c>
      <x:c r="C3072" s="2" t="n">
        <x:v>1</x:v>
      </x:c>
      <x:c r="D3072" s="2" t="n">
        <x:v>1</x:v>
      </x:c>
      <x:c r="E3072" s="10"/>
      <x:c r="F3072" s="11" t="n">
        <x:v>2549</x:v>
      </x:c>
      <x:c r="G3072" s="11" t="n">
        <x:v>0</x:v>
      </x:c>
      <x:c r="H3072" s="11" t="n">
        <x:v>0</x:v>
      </x:c>
      <x:c r="I3072" s="11" t="n">
        <x:v>1</x:v>
      </x:c>
      <x:c r="J3072" s="11" t="n">
        <x:v>0</x:v>
      </x:c>
      <x:c r="K3072" s="11" t="n">
        <x:v>0</x:v>
      </x:c>
      <x:c r="L3072" s="11" t="n">
        <x:f>IF(B3072="NED",1,IF(OR(B3072="ED",B3072="UN"),0,""))</x:f>
        <x:v>0</x:v>
      </x:c>
      <x:c r="M3072" s="11" t="n">
        <x:f>IF(AND(K3072=1,OR(B3072="ED",B3072="NED")),1,0)</x:f>
        <x:v>0</x:v>
      </x:c>
      <x:c r="N3072" s="11" t="n">
        <x:f>IF(K3072=1,1,0)</x:f>
        <x:v>0</x:v>
      </x:c>
      <x:c r="O3072" s="12" t="str">
        <x:v>Exclude UniProt Membrane keyword</x:v>
      </x:c>
      <x:c r="P3072" s="11" t="n">
        <x:v>0</x:v>
      </x:c>
      <x:c r="Q3072" s="12" t="str">
        <x:v>AF-Q9JLN9-F1-model_v6</x:v>
      </x:c>
      <x:c r="R3072" s="12" t="str">
        <x:v>ok</x:v>
      </x:c>
      <x:c r="S3072" s="11" t="n">
        <x:v>2538</x:v>
      </x:c>
      <x:c r="T3072" s="11" t="n">
        <x:v>2549</x:v>
      </x:c>
    </x:row>
    <x:row r="3073" ht="23" customHeight="1">
      <x:c r="A3073" s="2" t="str">
        <x:v>Q9JLQ0</x:v>
      </x:c>
      <x:c r="B3073" s="2" t="str">
        <x:v>ED</x:v>
      </x:c>
      <x:c r="C3073" s="2" t="n">
        <x:v>1</x:v>
      </x:c>
      <x:c r="D3073" s="2" t="n">
        <x:v>1</x:v>
      </x:c>
      <x:c r="E3073" s="10" t="n">
        <x:v>62.28835164835165</x:v>
      </x:c>
      <x:c r="F3073" s="11" t="n">
        <x:v>637</x:v>
      </x:c>
      <x:c r="G3073" s="11" t="n">
        <x:v>0</x:v>
      </x:c>
      <x:c r="H3073" s="11" t="n">
        <x:v>0</x:v>
      </x:c>
      <x:c r="I3073" s="11" t="n">
        <x:v>0</x:v>
      </x:c>
      <x:c r="J3073" s="11" t="n">
        <x:v>0</x:v>
      </x:c>
      <x:c r="K3073" s="11" t="n">
        <x:v>0</x:v>
      </x:c>
      <x:c r="L3073" s="11" t="n">
        <x:f>IF(B3073="NED",1,IF(OR(B3073="ED",B3073="UN"),0,""))</x:f>
        <x:v>0</x:v>
      </x:c>
      <x:c r="M3073" s="11" t="n">
        <x:f>IF(AND(K3073=1,OR(B3073="ED",B3073="NED")),1,0)</x:f>
        <x:v>0</x:v>
      </x:c>
      <x:c r="N3073" s="11" t="n">
        <x:f>IF(K3073=1,1,0)</x:f>
        <x:v>0</x:v>
      </x:c>
      <x:c r="O3073" s="12" t="str">
        <x:v>Retain protein mean pLDDT &gt;=70</x:v>
      </x:c>
      <x:c r="P3073" s="11" t="n">
        <x:v>0</x:v>
      </x:c>
      <x:c r="Q3073" s="12" t="str">
        <x:v>AF-Q9JLQ0-F1-model_v6</x:v>
      </x:c>
      <x:c r="R3073" s="12" t="str">
        <x:v>ok</x:v>
      </x:c>
      <x:c r="S3073" s="11" t="n">
        <x:v>2539</x:v>
      </x:c>
      <x:c r="T3073" s="11" t="n">
        <x:v>637</x:v>
      </x:c>
    </x:row>
    <x:row r="3074" ht="23" customHeight="1">
      <x:c r="A3074" s="2" t="str">
        <x:v>Q9JLQ2</x:v>
      </x:c>
      <x:c r="B3074" s="2" t="str">
        <x:v>ED</x:v>
      </x:c>
      <x:c r="C3074" s="2" t="n">
        <x:v>1</x:v>
      </x:c>
      <x:c r="D3074" s="2" t="n">
        <x:v>1</x:v>
      </x:c>
      <x:c r="E3074" s="10" t="n">
        <x:v>74.73257062146894</x:v>
      </x:c>
      <x:c r="F3074" s="11" t="n">
        <x:v>708</x:v>
      </x:c>
      <x:c r="G3074" s="11" t="n">
        <x:v>0</x:v>
      </x:c>
      <x:c r="H3074" s="11" t="n">
        <x:v>0</x:v>
      </x:c>
      <x:c r="I3074" s="11" t="n">
        <x:v>0</x:v>
      </x:c>
      <x:c r="J3074" s="11" t="n">
        <x:v>0</x:v>
      </x:c>
      <x:c r="K3074" s="11" t="n">
        <x:v>1</x:v>
      </x:c>
      <x:c r="L3074" s="11" t="n">
        <x:f>IF(B3074="NED",1,IF(OR(B3074="ED",B3074="UN"),0,""))</x:f>
        <x:v>0</x:v>
      </x:c>
      <x:c r="M3074" s="11" t="n">
        <x:f>IF(AND(K3074=1,OR(B3074="ED",B3074="NED")),1,0)</x:f>
        <x:v>1</x:v>
      </x:c>
      <x:c r="N3074" s="11" t="n">
        <x:f>IF(K3074=1,1,0)</x:f>
        <x:v>1</x:v>
      </x:c>
      <x:c r="O3074" s="12"/>
      <x:c r="P3074" s="11" t="n">
        <x:v>0</x:v>
      </x:c>
      <x:c r="Q3074" s="12" t="str">
        <x:v>AF-Q9JLQ2-F1-model_v6</x:v>
      </x:c>
      <x:c r="R3074" s="12" t="str">
        <x:v>ok</x:v>
      </x:c>
      <x:c r="S3074" s="11" t="n">
        <x:v>2540</x:v>
      </x:c>
      <x:c r="T3074" s="11" t="n">
        <x:v>708</x:v>
      </x:c>
    </x:row>
    <x:row r="3075" ht="23" customHeight="1">
      <x:c r="A3075" s="2" t="str">
        <x:v>Q9JLV1</x:v>
      </x:c>
      <x:c r="B3075" s="2" t="str">
        <x:v>ED</x:v>
      </x:c>
      <x:c r="C3075" s="2" t="n">
        <x:v>0</x:v>
      </x:c>
      <x:c r="D3075" s="2" t="n">
        <x:v>0</x:v>
      </x:c>
      <x:c r="E3075" s="10" t="n">
        <x:v>57.05601386481803</x:v>
      </x:c>
      <x:c r="F3075" s="11" t="n">
        <x:v>577</x:v>
      </x:c>
      <x:c r="G3075" s="11" t="n">
        <x:v>0</x:v>
      </x:c>
      <x:c r="H3075" s="11" t="n">
        <x:v>0</x:v>
      </x:c>
      <x:c r="I3075" s="11" t="n">
        <x:v>0</x:v>
      </x:c>
      <x:c r="J3075" s="11" t="n">
        <x:v>0</x:v>
      </x:c>
      <x:c r="K3075" s="11" t="n">
        <x:v>0</x:v>
      </x:c>
      <x:c r="L3075" s="11" t="n">
        <x:f>IF(B3075="NED",1,IF(OR(B3075="ED",B3075="UN"),0,""))</x:f>
        <x:v>0</x:v>
      </x:c>
      <x:c r="M3075" s="11" t="n">
        <x:f>IF(AND(K3075=1,OR(B3075="ED",B3075="NED")),1,0)</x:f>
        <x:v>0</x:v>
      </x:c>
      <x:c r="N3075" s="11" t="n">
        <x:f>IF(K3075=1,1,0)</x:f>
        <x:v>0</x:v>
      </x:c>
      <x:c r="O3075" s="12" t="str">
        <x:v>Retain protein mean pLDDT &gt;=70</x:v>
      </x:c>
      <x:c r="P3075" s="11" t="n">
        <x:v>0</x:v>
      </x:c>
      <x:c r="Q3075" s="12" t="str">
        <x:v>AF-Q9JLV1-F1-model_v6</x:v>
      </x:c>
      <x:c r="R3075" s="12" t="str">
        <x:v>ok</x:v>
      </x:c>
      <x:c r="S3075" s="11" t="n">
        <x:v>2541</x:v>
      </x:c>
      <x:c r="T3075" s="11" t="n">
        <x:v>577</x:v>
      </x:c>
    </x:row>
    <x:row r="3076" ht="23" customHeight="1">
      <x:c r="A3076" s="2" t="str">
        <x:v>Q9JLV5</x:v>
      </x:c>
      <x:c r="B3076" s="2" t="str">
        <x:v>ED</x:v>
      </x:c>
      <x:c r="C3076" s="2" t="n">
        <x:v>1</x:v>
      </x:c>
      <x:c r="D3076" s="2" t="n">
        <x:v>1</x:v>
      </x:c>
      <x:c r="E3076" s="10" t="n">
        <x:v>89.85891927083333</x:v>
      </x:c>
      <x:c r="F3076" s="11" t="n">
        <x:v>768</x:v>
      </x:c>
      <x:c r="G3076" s="11" t="n">
        <x:v>0</x:v>
      </x:c>
      <x:c r="H3076" s="11" t="n">
        <x:v>0</x:v>
      </x:c>
      <x:c r="I3076" s="11" t="n">
        <x:v>0</x:v>
      </x:c>
      <x:c r="J3076" s="11" t="n">
        <x:v>0</x:v>
      </x:c>
      <x:c r="K3076" s="11" t="n">
        <x:v>1</x:v>
      </x:c>
      <x:c r="L3076" s="11" t="n">
        <x:f>IF(B3076="NED",1,IF(OR(B3076="ED",B3076="UN"),0,""))</x:f>
        <x:v>0</x:v>
      </x:c>
      <x:c r="M3076" s="11" t="n">
        <x:f>IF(AND(K3076=1,OR(B3076="ED",B3076="NED")),1,0)</x:f>
        <x:v>1</x:v>
      </x:c>
      <x:c r="N3076" s="11" t="n">
        <x:f>IF(K3076=1,1,0)</x:f>
        <x:v>1</x:v>
      </x:c>
      <x:c r="O3076" s="12"/>
      <x:c r="P3076" s="11" t="n">
        <x:v>0</x:v>
      </x:c>
      <x:c r="Q3076" s="12" t="str">
        <x:v>AF-Q9JLV5-F1-model_v6</x:v>
      </x:c>
      <x:c r="R3076" s="12" t="str">
        <x:v>ok</x:v>
      </x:c>
      <x:c r="S3076" s="11" t="n">
        <x:v>2542</x:v>
      </x:c>
      <x:c r="T3076" s="11" t="n">
        <x:v>768</x:v>
      </x:c>
    </x:row>
    <x:row r="3077" ht="23" customHeight="1">
      <x:c r="A3077" s="2" t="str">
        <x:v>Q9JLV6</x:v>
      </x:c>
      <x:c r="B3077" s="2" t="str">
        <x:v>ED</x:v>
      </x:c>
      <x:c r="C3077" s="2" t="n">
        <x:v>1</x:v>
      </x:c>
      <x:c r="D3077" s="2" t="n">
        <x:v>1</x:v>
      </x:c>
      <x:c r="E3077" s="10" t="n">
        <x:v>91.7334674329502</x:v>
      </x:c>
      <x:c r="F3077" s="11" t="n">
        <x:v>522</x:v>
      </x:c>
      <x:c r="G3077" s="11" t="n">
        <x:v>0</x:v>
      </x:c>
      <x:c r="H3077" s="11" t="n">
        <x:v>0</x:v>
      </x:c>
      <x:c r="I3077" s="11" t="n">
        <x:v>0</x:v>
      </x:c>
      <x:c r="J3077" s="11" t="n">
        <x:v>0</x:v>
      </x:c>
      <x:c r="K3077" s="11" t="n">
        <x:v>1</x:v>
      </x:c>
      <x:c r="L3077" s="11" t="n">
        <x:f>IF(B3077="NED",1,IF(OR(B3077="ED",B3077="UN"),0,""))</x:f>
        <x:v>0</x:v>
      </x:c>
      <x:c r="M3077" s="11" t="n">
        <x:f>IF(AND(K3077=1,OR(B3077="ED",B3077="NED")),1,0)</x:f>
        <x:v>1</x:v>
      </x:c>
      <x:c r="N3077" s="11" t="n">
        <x:f>IF(K3077=1,1,0)</x:f>
        <x:v>1</x:v>
      </x:c>
      <x:c r="O3077" s="12"/>
      <x:c r="P3077" s="11" t="n">
        <x:v>0</x:v>
      </x:c>
      <x:c r="Q3077" s="12" t="str">
        <x:v>AF-Q9JLV6-F1-model_v6</x:v>
      </x:c>
      <x:c r="R3077" s="12" t="str">
        <x:v>ok</x:v>
      </x:c>
      <x:c r="S3077" s="11" t="n">
        <x:v>2543</x:v>
      </x:c>
      <x:c r="T3077" s="11" t="n">
        <x:v>522</x:v>
      </x:c>
    </x:row>
    <x:row r="3078" ht="23" customHeight="1">
      <x:c r="A3078" s="2" t="str">
        <x:v>Q9JM14</x:v>
      </x:c>
      <x:c r="B3078" s="2" t="str">
        <x:v>ED</x:v>
      </x:c>
      <x:c r="C3078" s="2" t="n">
        <x:v>1</x:v>
      </x:c>
      <x:c r="D3078" s="2" t="n">
        <x:v>1</x:v>
      </x:c>
      <x:c r="E3078" s="10" t="n">
        <x:v>97.15195</x:v>
      </x:c>
      <x:c r="F3078" s="11" t="n">
        <x:v>200</x:v>
      </x:c>
      <x:c r="G3078" s="11" t="n">
        <x:v>0</x:v>
      </x:c>
      <x:c r="H3078" s="11" t="n">
        <x:v>0</x:v>
      </x:c>
      <x:c r="I3078" s="11" t="n">
        <x:v>0</x:v>
      </x:c>
      <x:c r="J3078" s="11" t="n">
        <x:v>0</x:v>
      </x:c>
      <x:c r="K3078" s="11" t="n">
        <x:v>1</x:v>
      </x:c>
      <x:c r="L3078" s="11" t="n">
        <x:f>IF(B3078="NED",1,IF(OR(B3078="ED",B3078="UN"),0,""))</x:f>
        <x:v>0</x:v>
      </x:c>
      <x:c r="M3078" s="11" t="n">
        <x:f>IF(AND(K3078=1,OR(B3078="ED",B3078="NED")),1,0)</x:f>
        <x:v>1</x:v>
      </x:c>
      <x:c r="N3078" s="11" t="n">
        <x:f>IF(K3078=1,1,0)</x:f>
        <x:v>1</x:v>
      </x:c>
      <x:c r="O3078" s="12"/>
      <x:c r="P3078" s="11" t="n">
        <x:v>0</x:v>
      </x:c>
      <x:c r="Q3078" s="12" t="str">
        <x:v>AF-Q9JM14-F1-model_v6</x:v>
      </x:c>
      <x:c r="R3078" s="12" t="str">
        <x:v>ok</x:v>
      </x:c>
      <x:c r="S3078" s="11" t="n">
        <x:v>2544</x:v>
      </x:c>
      <x:c r="T3078" s="11" t="n">
        <x:v>200</x:v>
      </x:c>
    </x:row>
    <x:row r="3079" ht="23" customHeight="1">
      <x:c r="A3079" s="2" t="str">
        <x:v>Q9JM76</x:v>
      </x:c>
      <x:c r="B3079" s="2" t="str">
        <x:v>UN</x:v>
      </x:c>
      <x:c r="C3079" s="2" t="n">
        <x:v>1</x:v>
      </x:c>
      <x:c r="D3079" s="2" t="n">
        <x:v>1</x:v>
      </x:c>
      <x:c r="E3079" s="10" t="n">
        <x:v>95.92601123595506</x:v>
      </x:c>
      <x:c r="F3079" s="11" t="n">
        <x:v>178</x:v>
      </x:c>
      <x:c r="G3079" s="11" t="n">
        <x:v>0</x:v>
      </x:c>
      <x:c r="H3079" s="11" t="n">
        <x:v>0</x:v>
      </x:c>
      <x:c r="I3079" s="11" t="n">
        <x:v>0</x:v>
      </x:c>
      <x:c r="J3079" s="11" t="n">
        <x:v>0</x:v>
      </x:c>
      <x:c r="K3079" s="11" t="n">
        <x:v>1</x:v>
      </x:c>
      <x:c r="L3079" s="11" t="n">
        <x:f>IF(B3079="NED",1,IF(OR(B3079="ED",B3079="UN"),0,""))</x:f>
        <x:v>0</x:v>
      </x:c>
      <x:c r="M3079" s="11" t="n">
        <x:f>IF(AND(K3079=1,OR(B3079="ED",B3079="NED")),1,0)</x:f>
        <x:v>0</x:v>
      </x:c>
      <x:c r="N3079" s="11" t="n">
        <x:f>IF(K3079=1,1,0)</x:f>
        <x:v>1</x:v>
      </x:c>
      <x:c r="O3079" s="12"/>
      <x:c r="P3079" s="11" t="n">
        <x:v>0</x:v>
      </x:c>
      <x:c r="Q3079" s="12" t="str">
        <x:v>AF-Q9JM76-F1-model_v6</x:v>
      </x:c>
      <x:c r="R3079" s="12" t="str">
        <x:v>ok</x:v>
      </x:c>
      <x:c r="S3079" s="11" t="n">
        <x:v>2545</x:v>
      </x:c>
      <x:c r="T3079" s="11" t="n">
        <x:v>178</x:v>
      </x:c>
    </x:row>
    <x:row r="3080" ht="23" customHeight="1">
      <x:c r="A3080" s="2" t="str">
        <x:v>Q9JMB0</x:v>
      </x:c>
      <x:c r="B3080" s="2" t="str">
        <x:v>ED</x:v>
      </x:c>
      <x:c r="C3080" s="2" t="n">
        <x:v>0</x:v>
      </x:c>
      <x:c r="D3080" s="2" t="n">
        <x:v>0</x:v>
      </x:c>
      <x:c r="E3080" s="10" t="n">
        <x:v>71.1286612021858</x:v>
      </x:c>
      <x:c r="F3080" s="11" t="n">
        <x:v>366</x:v>
      </x:c>
      <x:c r="G3080" s="11" t="n">
        <x:v>0</x:v>
      </x:c>
      <x:c r="H3080" s="11" t="n">
        <x:v>0</x:v>
      </x:c>
      <x:c r="I3080" s="11" t="n">
        <x:v>0</x:v>
      </x:c>
      <x:c r="J3080" s="11" t="n">
        <x:v>0</x:v>
      </x:c>
      <x:c r="K3080" s="11" t="n">
        <x:v>1</x:v>
      </x:c>
      <x:c r="L3080" s="11" t="n">
        <x:f>IF(B3080="NED",1,IF(OR(B3080="ED",B3080="UN"),0,""))</x:f>
        <x:v>0</x:v>
      </x:c>
      <x:c r="M3080" s="11" t="n">
        <x:f>IF(AND(K3080=1,OR(B3080="ED",B3080="NED")),1,0)</x:f>
        <x:v>1</x:v>
      </x:c>
      <x:c r="N3080" s="11" t="n">
        <x:f>IF(K3080=1,1,0)</x:f>
        <x:v>1</x:v>
      </x:c>
      <x:c r="O3080" s="12"/>
      <x:c r="P3080" s="11" t="n">
        <x:v>0</x:v>
      </x:c>
      <x:c r="Q3080" s="12" t="str">
        <x:v>AF-Q9JMB0-F1-model_v6</x:v>
      </x:c>
      <x:c r="R3080" s="12" t="str">
        <x:v>ok</x:v>
      </x:c>
      <x:c r="S3080" s="11" t="n">
        <x:v>2546</x:v>
      </x:c>
      <x:c r="T3080" s="11" t="n">
        <x:v>366</x:v>
      </x:c>
    </x:row>
    <x:row r="3081" ht="23" customHeight="1">
      <x:c r="A3081" s="2" t="str">
        <x:v>Q9JMD0-2</x:v>
      </x:c>
      <x:c r="B3081" s="2" t="str">
        <x:v>ED</x:v>
      </x:c>
      <x:c r="C3081" s="2"/>
      <x:c r="D3081" s="2"/>
      <x:c r="E3081" s="10"/>
      <x:c r="F3081" s="11"/>
      <x:c r="G3081" s="11" t="n">
        <x:v>0</x:v>
      </x:c>
      <x:c r="H3081" s="11" t="n">
        <x:v>0</x:v>
      </x:c>
      <x:c r="I3081" s="11"/>
      <x:c r="J3081" s="11"/>
      <x:c r="K3081" s="11" t="n">
        <x:v>0</x:v>
      </x:c>
      <x:c r="L3081" s="11" t="n">
        <x:f>IF(B3081="NED",1,IF(OR(B3081="ED",B3081="UN"),0,""))</x:f>
        <x:v>0</x:v>
      </x:c>
      <x:c r="M3081" s="11" t="n">
        <x:f>IF(AND(K3081=1,OR(B3081="ED",B3081="NED")),1,0)</x:f>
        <x:v>0</x:v>
      </x:c>
      <x:c r="N3081" s="11" t="n">
        <x:f>IF(K3081=1,1,0)</x:f>
        <x:v>0</x:v>
      </x:c>
      <x:c r="O3081" s="12" t="str">
        <x:v>Require exact native accession match</x:v>
      </x:c>
      <x:c r="P3081" s="11" t="n">
        <x:v>0</x:v>
      </x:c>
      <x:c r="Q3081" s="12"/>
      <x:c r="R3081" s="12"/>
      <x:c r="S3081" s="11" t="n">
        <x:v>2547</x:v>
      </x:c>
      <x:c r="T3081" s="11"/>
    </x:row>
    <x:row r="3082" ht="23" customHeight="1">
      <x:c r="A3082" s="2" t="str">
        <x:v>Q9JMD0-4</x:v>
      </x:c>
      <x:c r="B3082" s="2" t="str">
        <x:v>UN</x:v>
      </x:c>
      <x:c r="C3082" s="2"/>
      <x:c r="D3082" s="2"/>
      <x:c r="E3082" s="10"/>
      <x:c r="F3082" s="11"/>
      <x:c r="G3082" s="11" t="n">
        <x:v>0</x:v>
      </x:c>
      <x:c r="H3082" s="11" t="n">
        <x:v>0</x:v>
      </x:c>
      <x:c r="I3082" s="11"/>
      <x:c r="J3082" s="11"/>
      <x:c r="K3082" s="11" t="n">
        <x:v>0</x:v>
      </x:c>
      <x:c r="L3082" s="11" t="n">
        <x:f>IF(B3082="NED",1,IF(OR(B3082="ED",B3082="UN"),0,""))</x:f>
        <x:v>0</x:v>
      </x:c>
      <x:c r="M3082" s="11" t="n">
        <x:f>IF(AND(K3082=1,OR(B3082="ED",B3082="NED")),1,0)</x:f>
        <x:v>0</x:v>
      </x:c>
      <x:c r="N3082" s="11" t="n">
        <x:f>IF(K3082=1,1,0)</x:f>
        <x:v>0</x:v>
      </x:c>
      <x:c r="O3082" s="12" t="str">
        <x:v>Require exact native accession match</x:v>
      </x:c>
      <x:c r="P3082" s="11" t="n">
        <x:v>0</x:v>
      </x:c>
      <x:c r="Q3082" s="12"/>
      <x:c r="R3082" s="12"/>
      <x:c r="S3082" s="11" t="n">
        <x:v>2548</x:v>
      </x:c>
      <x:c r="T3082" s="11"/>
    </x:row>
    <x:row r="3083" ht="23" customHeight="1">
      <x:c r="A3083" s="2" t="str">
        <x:v>Q9JMH6-2</x:v>
      </x:c>
      <x:c r="B3083" s="2" t="str">
        <x:v>ED</x:v>
      </x:c>
      <x:c r="C3083" s="2"/>
      <x:c r="D3083" s="2"/>
      <x:c r="E3083" s="10"/>
      <x:c r="F3083" s="11"/>
      <x:c r="G3083" s="11" t="n">
        <x:v>0</x:v>
      </x:c>
      <x:c r="H3083" s="11" t="n">
        <x:v>0</x:v>
      </x:c>
      <x:c r="I3083" s="11"/>
      <x:c r="J3083" s="11"/>
      <x:c r="K3083" s="11" t="n">
        <x:v>0</x:v>
      </x:c>
      <x:c r="L3083" s="11" t="n">
        <x:f>IF(B3083="NED",1,IF(OR(B3083="ED",B3083="UN"),0,""))</x:f>
        <x:v>0</x:v>
      </x:c>
      <x:c r="M3083" s="11" t="n">
        <x:f>IF(AND(K3083=1,OR(B3083="ED",B3083="NED")),1,0)</x:f>
        <x:v>0</x:v>
      </x:c>
      <x:c r="N3083" s="11" t="n">
        <x:f>IF(K3083=1,1,0)</x:f>
        <x:v>0</x:v>
      </x:c>
      <x:c r="O3083" s="12" t="str">
        <x:v>Require exact native accession match</x:v>
      </x:c>
      <x:c r="P3083" s="11" t="n">
        <x:v>0</x:v>
      </x:c>
      <x:c r="Q3083" s="12"/>
      <x:c r="R3083" s="12"/>
      <x:c r="S3083" s="11" t="n">
        <x:v>2549</x:v>
      </x:c>
      <x:c r="T3083" s="11"/>
    </x:row>
    <x:row r="3084" ht="23" customHeight="1">
      <x:c r="A3084" s="2" t="str">
        <x:v>Q9JMH9-4</x:v>
      </x:c>
      <x:c r="B3084" s="2" t="str">
        <x:v>ED</x:v>
      </x:c>
      <x:c r="C3084" s="2"/>
      <x:c r="D3084" s="2"/>
      <x:c r="E3084" s="10"/>
      <x:c r="F3084" s="11"/>
      <x:c r="G3084" s="11" t="n">
        <x:v>0</x:v>
      </x:c>
      <x:c r="H3084" s="11" t="n">
        <x:v>0</x:v>
      </x:c>
      <x:c r="I3084" s="11"/>
      <x:c r="J3084" s="11"/>
      <x:c r="K3084" s="11" t="n">
        <x:v>0</x:v>
      </x:c>
      <x:c r="L3084" s="11" t="n">
        <x:f>IF(B3084="NED",1,IF(OR(B3084="ED",B3084="UN"),0,""))</x:f>
        <x:v>0</x:v>
      </x:c>
      <x:c r="M3084" s="11" t="n">
        <x:f>IF(AND(K3084=1,OR(B3084="ED",B3084="NED")),1,0)</x:f>
        <x:v>0</x:v>
      </x:c>
      <x:c r="N3084" s="11" t="n">
        <x:f>IF(K3084=1,1,0)</x:f>
        <x:v>0</x:v>
      </x:c>
      <x:c r="O3084" s="12" t="str">
        <x:v>Require exact native accession match</x:v>
      </x:c>
      <x:c r="P3084" s="11" t="n">
        <x:v>0</x:v>
      </x:c>
      <x:c r="Q3084" s="12"/>
      <x:c r="R3084" s="12"/>
      <x:c r="S3084" s="11" t="n">
        <x:v>2550</x:v>
      </x:c>
      <x:c r="T3084" s="11"/>
    </x:row>
    <x:row r="3085" ht="23" customHeight="1">
      <x:c r="A3085" s="2" t="str">
        <x:v>Q9QUH0</x:v>
      </x:c>
      <x:c r="B3085" s="2" t="str">
        <x:v>ED</x:v>
      </x:c>
      <x:c r="C3085" s="2" t="n">
        <x:v>1</x:v>
      </x:c>
      <x:c r="D3085" s="2" t="n">
        <x:v>1</x:v>
      </x:c>
      <x:c r="E3085" s="10" t="n">
        <x:v>97.4792523364486</x:v>
      </x:c>
      <x:c r="F3085" s="11" t="n">
        <x:v>107</x:v>
      </x:c>
      <x:c r="G3085" s="11" t="n">
        <x:v>0</x:v>
      </x:c>
      <x:c r="H3085" s="11" t="n">
        <x:v>0</x:v>
      </x:c>
      <x:c r="I3085" s="11" t="n">
        <x:v>0</x:v>
      </x:c>
      <x:c r="J3085" s="11" t="n">
        <x:v>0</x:v>
      </x:c>
      <x:c r="K3085" s="11" t="n">
        <x:v>1</x:v>
      </x:c>
      <x:c r="L3085" s="11" t="n">
        <x:f>IF(B3085="NED",1,IF(OR(B3085="ED",B3085="UN"),0,""))</x:f>
        <x:v>0</x:v>
      </x:c>
      <x:c r="M3085" s="11" t="n">
        <x:f>IF(AND(K3085=1,OR(B3085="ED",B3085="NED")),1,0)</x:f>
        <x:v>1</x:v>
      </x:c>
      <x:c r="N3085" s="11" t="n">
        <x:f>IF(K3085=1,1,0)</x:f>
        <x:v>1</x:v>
      </x:c>
      <x:c r="O3085" s="12"/>
      <x:c r="P3085" s="11" t="n">
        <x:v>0</x:v>
      </x:c>
      <x:c r="Q3085" s="12" t="str">
        <x:v>AF-Q9QUH0-F1-model_v6</x:v>
      </x:c>
      <x:c r="R3085" s="12" t="str">
        <x:v>ok</x:v>
      </x:c>
      <x:c r="S3085" s="11" t="n">
        <x:v>2551</x:v>
      </x:c>
      <x:c r="T3085" s="11" t="n">
        <x:v>107</x:v>
      </x:c>
    </x:row>
    <x:row r="3086" ht="23" customHeight="1">
      <x:c r="A3086" s="2" t="str">
        <x:v>Q9QUI0</x:v>
      </x:c>
      <x:c r="B3086" s="2" t="str">
        <x:v>ED</x:v>
      </x:c>
      <x:c r="C3086" s="2" t="n">
        <x:v>1</x:v>
      </x:c>
      <x:c r="D3086" s="2" t="n">
        <x:v>1</x:v>
      </x:c>
      <x:c r="E3086" s="10"/>
      <x:c r="F3086" s="11" t="n">
        <x:v>193</x:v>
      </x:c>
      <x:c r="G3086" s="11" t="n">
        <x:v>0</x:v>
      </x:c>
      <x:c r="H3086" s="11" t="n">
        <x:v>0</x:v>
      </x:c>
      <x:c r="I3086" s="11" t="n">
        <x:v>1</x:v>
      </x:c>
      <x:c r="J3086" s="11" t="n">
        <x:v>0</x:v>
      </x:c>
      <x:c r="K3086" s="11" t="n">
        <x:v>0</x:v>
      </x:c>
      <x:c r="L3086" s="11" t="n">
        <x:f>IF(B3086="NED",1,IF(OR(B3086="ED",B3086="UN"),0,""))</x:f>
        <x:v>0</x:v>
      </x:c>
      <x:c r="M3086" s="11" t="n">
        <x:f>IF(AND(K3086=1,OR(B3086="ED",B3086="NED")),1,0)</x:f>
        <x:v>0</x:v>
      </x:c>
      <x:c r="N3086" s="11" t="n">
        <x:f>IF(K3086=1,1,0)</x:f>
        <x:v>0</x:v>
      </x:c>
      <x:c r="O3086" s="12" t="str">
        <x:v>Exclude UniProt Membrane keyword</x:v>
      </x:c>
      <x:c r="P3086" s="11" t="n">
        <x:v>0</x:v>
      </x:c>
      <x:c r="Q3086" s="12" t="str">
        <x:v>AF-Q9QUI0-F1-model_v6</x:v>
      </x:c>
      <x:c r="R3086" s="12" t="str">
        <x:v>ok</x:v>
      </x:c>
      <x:c r="S3086" s="11" t="n">
        <x:v>2552</x:v>
      </x:c>
      <x:c r="T3086" s="11" t="n">
        <x:v>193</x:v>
      </x:c>
    </x:row>
    <x:row r="3087" ht="23" customHeight="1">
      <x:c r="A3087" s="2" t="str">
        <x:v>Q9QUJ7-2</x:v>
      </x:c>
      <x:c r="B3087" s="2" t="str">
        <x:v>UN</x:v>
      </x:c>
      <x:c r="C3087" s="2"/>
      <x:c r="D3087" s="2"/>
      <x:c r="E3087" s="10"/>
      <x:c r="F3087" s="11"/>
      <x:c r="G3087" s="11" t="n">
        <x:v>0</x:v>
      </x:c>
      <x:c r="H3087" s="11" t="n">
        <x:v>0</x:v>
      </x:c>
      <x:c r="I3087" s="11"/>
      <x:c r="J3087" s="11"/>
      <x:c r="K3087" s="11" t="n">
        <x:v>0</x:v>
      </x:c>
      <x:c r="L3087" s="11" t="n">
        <x:f>IF(B3087="NED",1,IF(OR(B3087="ED",B3087="UN"),0,""))</x:f>
        <x:v>0</x:v>
      </x:c>
      <x:c r="M3087" s="11" t="n">
        <x:f>IF(AND(K3087=1,OR(B3087="ED",B3087="NED")),1,0)</x:f>
        <x:v>0</x:v>
      </x:c>
      <x:c r="N3087" s="11" t="n">
        <x:f>IF(K3087=1,1,0)</x:f>
        <x:v>0</x:v>
      </x:c>
      <x:c r="O3087" s="12" t="str">
        <x:v>Require exact native accession match</x:v>
      </x:c>
      <x:c r="P3087" s="11" t="n">
        <x:v>0</x:v>
      </x:c>
      <x:c r="Q3087" s="12"/>
      <x:c r="R3087" s="12"/>
      <x:c r="S3087" s="11" t="n">
        <x:v>2553</x:v>
      </x:c>
      <x:c r="T3087" s="11"/>
    </x:row>
    <x:row r="3088" ht="23" customHeight="1">
      <x:c r="A3088" s="2" t="str">
        <x:v>Q9QUM9</x:v>
      </x:c>
      <x:c r="B3088" s="2" t="str">
        <x:v>NED</x:v>
      </x:c>
      <x:c r="C3088" s="2" t="n">
        <x:v>1</x:v>
      </x:c>
      <x:c r="D3088" s="2" t="n">
        <x:v>1</x:v>
      </x:c>
      <x:c r="E3088" s="10" t="n">
        <x:v>96.22552845528456</x:v>
      </x:c>
      <x:c r="F3088" s="11" t="n">
        <x:v>246</x:v>
      </x:c>
      <x:c r="G3088" s="11" t="n">
        <x:v>0</x:v>
      </x:c>
      <x:c r="H3088" s="11" t="n">
        <x:v>0</x:v>
      </x:c>
      <x:c r="I3088" s="11" t="n">
        <x:v>0</x:v>
      </x:c>
      <x:c r="J3088" s="11" t="n">
        <x:v>0</x:v>
      </x:c>
      <x:c r="K3088" s="11" t="n">
        <x:v>1</x:v>
      </x:c>
      <x:c r="L3088" s="11" t="n">
        <x:f>IF(B3088="NED",1,IF(OR(B3088="ED",B3088="UN"),0,""))</x:f>
        <x:v>1</x:v>
      </x:c>
      <x:c r="M3088" s="11" t="n">
        <x:f>IF(AND(K3088=1,OR(B3088="ED",B3088="NED")),1,0)</x:f>
        <x:v>1</x:v>
      </x:c>
      <x:c r="N3088" s="11" t="n">
        <x:f>IF(K3088=1,1,0)</x:f>
        <x:v>1</x:v>
      </x:c>
      <x:c r="O3088" s="12"/>
      <x:c r="P3088" s="11" t="n">
        <x:v>0</x:v>
      </x:c>
      <x:c r="Q3088" s="12" t="str">
        <x:v>AF-Q9QUM9-F1-model_v6</x:v>
      </x:c>
      <x:c r="R3088" s="12" t="str">
        <x:v>ok</x:v>
      </x:c>
      <x:c r="S3088" s="11" t="n">
        <x:v>2554</x:v>
      </x:c>
      <x:c r="T3088" s="11" t="n">
        <x:v>246</x:v>
      </x:c>
    </x:row>
    <x:row r="3089" ht="23" customHeight="1">
      <x:c r="A3089" s="2" t="str">
        <x:v>Q9QUR6</x:v>
      </x:c>
      <x:c r="B3089" s="2" t="str">
        <x:v>UN</x:v>
      </x:c>
      <x:c r="C3089" s="2" t="n">
        <x:v>1</x:v>
      </x:c>
      <x:c r="D3089" s="2" t="n">
        <x:v>1</x:v>
      </x:c>
      <x:c r="E3089" s="10" t="n">
        <x:v>98.05750704225352</x:v>
      </x:c>
      <x:c r="F3089" s="11" t="n">
        <x:v>710</x:v>
      </x:c>
      <x:c r="G3089" s="11" t="n">
        <x:v>0</x:v>
      </x:c>
      <x:c r="H3089" s="11" t="n">
        <x:v>0</x:v>
      </x:c>
      <x:c r="I3089" s="11" t="n">
        <x:v>0</x:v>
      </x:c>
      <x:c r="J3089" s="11" t="n">
        <x:v>0</x:v>
      </x:c>
      <x:c r="K3089" s="11" t="n">
        <x:v>1</x:v>
      </x:c>
      <x:c r="L3089" s="11" t="n">
        <x:f>IF(B3089="NED",1,IF(OR(B3089="ED",B3089="UN"),0,""))</x:f>
        <x:v>0</x:v>
      </x:c>
      <x:c r="M3089" s="11" t="n">
        <x:f>IF(AND(K3089=1,OR(B3089="ED",B3089="NED")),1,0)</x:f>
        <x:v>0</x:v>
      </x:c>
      <x:c r="N3089" s="11" t="n">
        <x:f>IF(K3089=1,1,0)</x:f>
        <x:v>1</x:v>
      </x:c>
      <x:c r="O3089" s="12"/>
      <x:c r="P3089" s="11" t="n">
        <x:v>0</x:v>
      </x:c>
      <x:c r="Q3089" s="12" t="str">
        <x:v>AF-Q9QUR6-F1-model_v6</x:v>
      </x:c>
      <x:c r="R3089" s="12" t="str">
        <x:v>ok</x:v>
      </x:c>
      <x:c r="S3089" s="11" t="n">
        <x:v>2555</x:v>
      </x:c>
      <x:c r="T3089" s="11" t="n">
        <x:v>710</x:v>
      </x:c>
    </x:row>
    <x:row r="3090" ht="23" customHeight="1">
      <x:c r="A3090" s="2" t="str">
        <x:v>Q9QUR7</x:v>
      </x:c>
      <x:c r="B3090" s="2" t="str">
        <x:v>ED</x:v>
      </x:c>
      <x:c r="C3090" s="2" t="n">
        <x:v>1</x:v>
      </x:c>
      <x:c r="D3090" s="2" t="n">
        <x:v>1</x:v>
      </x:c>
      <x:c r="E3090" s="10" t="n">
        <x:v>90.83060606060606</x:v>
      </x:c>
      <x:c r="F3090" s="11" t="n">
        <x:v>165</x:v>
      </x:c>
      <x:c r="G3090" s="11" t="n">
        <x:v>0</x:v>
      </x:c>
      <x:c r="H3090" s="11" t="n">
        <x:v>0</x:v>
      </x:c>
      <x:c r="I3090" s="11" t="n">
        <x:v>0</x:v>
      </x:c>
      <x:c r="J3090" s="11" t="n">
        <x:v>0</x:v>
      </x:c>
      <x:c r="K3090" s="11" t="n">
        <x:v>1</x:v>
      </x:c>
      <x:c r="L3090" s="11" t="n">
        <x:f>IF(B3090="NED",1,IF(OR(B3090="ED",B3090="UN"),0,""))</x:f>
        <x:v>0</x:v>
      </x:c>
      <x:c r="M3090" s="11" t="n">
        <x:f>IF(AND(K3090=1,OR(B3090="ED",B3090="NED")),1,0)</x:f>
        <x:v>1</x:v>
      </x:c>
      <x:c r="N3090" s="11" t="n">
        <x:f>IF(K3090=1,1,0)</x:f>
        <x:v>1</x:v>
      </x:c>
      <x:c r="O3090" s="12"/>
      <x:c r="P3090" s="11" t="n">
        <x:v>0</x:v>
      </x:c>
      <x:c r="Q3090" s="12" t="str">
        <x:v>AF-Q9QUR7-F1-model_v6</x:v>
      </x:c>
      <x:c r="R3090" s="12" t="str">
        <x:v>ok</x:v>
      </x:c>
      <x:c r="S3090" s="11" t="n">
        <x:v>2556</x:v>
      </x:c>
      <x:c r="T3090" s="11" t="n">
        <x:v>165</x:v>
      </x:c>
    </x:row>
    <x:row r="3091" ht="23" customHeight="1">
      <x:c r="A3091" s="2" t="str">
        <x:v>Q9QWF0</x:v>
      </x:c>
      <x:c r="B3091" s="2" t="str">
        <x:v>ED</x:v>
      </x:c>
      <x:c r="C3091" s="2" t="n">
        <x:v>1</x:v>
      </x:c>
      <x:c r="D3091" s="2" t="n">
        <x:v>1</x:v>
      </x:c>
      <x:c r="E3091" s="10"/>
      <x:c r="F3091" s="11" t="n">
        <x:v>911</x:v>
      </x:c>
      <x:c r="G3091" s="11" t="n">
        <x:v>1</x:v>
      </x:c>
      <x:c r="H3091" s="11" t="n">
        <x:v>0</x:v>
      </x:c>
      <x:c r="I3091" s="11" t="n">
        <x:v>0</x:v>
      </x:c>
      <x:c r="J3091" s="11" t="n">
        <x:v>0</x:v>
      </x:c>
      <x:c r="K3091" s="11" t="n">
        <x:v>0</x:v>
      </x:c>
      <x:c r="L3091" s="11" t="n">
        <x:f>IF(B3091="NED",1,IF(OR(B3091="ED",B3091="UN"),0,""))</x:f>
        <x:v>0</x:v>
      </x:c>
      <x:c r="M3091" s="11" t="n">
        <x:f>IF(AND(K3091=1,OR(B3091="ED",B3091="NED")),1,0)</x:f>
        <x:v>0</x:v>
      </x:c>
      <x:c r="N3091" s="11" t="n">
        <x:f>IF(K3091=1,1,0)</x:f>
        <x:v>0</x:v>
      </x:c>
      <x:c r="O3091" s="12" t="str">
        <x:v>Exclude supplied knotted proteins</x:v>
      </x:c>
      <x:c r="P3091" s="11" t="n">
        <x:v>0</x:v>
      </x:c>
      <x:c r="Q3091" s="12" t="str">
        <x:v>AF-Q9QWF0-F1-model_v6</x:v>
      </x:c>
      <x:c r="R3091" s="12" t="str">
        <x:v>ok</x:v>
      </x:c>
      <x:c r="S3091" s="11" t="n">
        <x:v>2557</x:v>
      </x:c>
      <x:c r="T3091" s="11" t="n">
        <x:v>911</x:v>
      </x:c>
    </x:row>
    <x:row r="3092" ht="23" customHeight="1">
      <x:c r="A3092" s="2" t="str">
        <x:v>Q9QWH1-2</x:v>
      </x:c>
      <x:c r="B3092" s="2" t="str">
        <x:v>UN</x:v>
      </x:c>
      <x:c r="C3092" s="2"/>
      <x:c r="D3092" s="2"/>
      <x:c r="E3092" s="10"/>
      <x:c r="F3092" s="11"/>
      <x:c r="G3092" s="11" t="n">
        <x:v>0</x:v>
      </x:c>
      <x:c r="H3092" s="11" t="n">
        <x:v>0</x:v>
      </x:c>
      <x:c r="I3092" s="11"/>
      <x:c r="J3092" s="11"/>
      <x:c r="K3092" s="11" t="n">
        <x:v>0</x:v>
      </x:c>
      <x:c r="L3092" s="11" t="n">
        <x:f>IF(B3092="NED",1,IF(OR(B3092="ED",B3092="UN"),0,""))</x:f>
        <x:v>0</x:v>
      </x:c>
      <x:c r="M3092" s="11" t="n">
        <x:f>IF(AND(K3092=1,OR(B3092="ED",B3092="NED")),1,0)</x:f>
        <x:v>0</x:v>
      </x:c>
      <x:c r="N3092" s="11" t="n">
        <x:f>IF(K3092=1,1,0)</x:f>
        <x:v>0</x:v>
      </x:c>
      <x:c r="O3092" s="12" t="str">
        <x:v>Require exact native accession match</x:v>
      </x:c>
      <x:c r="P3092" s="11" t="n">
        <x:v>0</x:v>
      </x:c>
      <x:c r="Q3092" s="12"/>
      <x:c r="R3092" s="12"/>
      <x:c r="S3092" s="11" t="n">
        <x:v>2558</x:v>
      </x:c>
      <x:c r="T3092" s="11"/>
    </x:row>
    <x:row r="3093" ht="23" customHeight="1">
      <x:c r="A3093" s="2" t="str">
        <x:v>Q9QWT9-2</x:v>
      </x:c>
      <x:c r="B3093" s="2" t="str">
        <x:v>ED</x:v>
      </x:c>
      <x:c r="C3093" s="2"/>
      <x:c r="D3093" s="2"/>
      <x:c r="E3093" s="10"/>
      <x:c r="F3093" s="11"/>
      <x:c r="G3093" s="11" t="n">
        <x:v>0</x:v>
      </x:c>
      <x:c r="H3093" s="11" t="n">
        <x:v>0</x:v>
      </x:c>
      <x:c r="I3093" s="11"/>
      <x:c r="J3093" s="11"/>
      <x:c r="K3093" s="11" t="n">
        <x:v>0</x:v>
      </x:c>
      <x:c r="L3093" s="11" t="n">
        <x:f>IF(B3093="NED",1,IF(OR(B3093="ED",B3093="UN"),0,""))</x:f>
        <x:v>0</x:v>
      </x:c>
      <x:c r="M3093" s="11" t="n">
        <x:f>IF(AND(K3093=1,OR(B3093="ED",B3093="NED")),1,0)</x:f>
        <x:v>0</x:v>
      </x:c>
      <x:c r="N3093" s="11" t="n">
        <x:f>IF(K3093=1,1,0)</x:f>
        <x:v>0</x:v>
      </x:c>
      <x:c r="O3093" s="12" t="str">
        <x:v>Require exact native accession match</x:v>
      </x:c>
      <x:c r="P3093" s="11" t="n">
        <x:v>0</x:v>
      </x:c>
      <x:c r="Q3093" s="12"/>
      <x:c r="R3093" s="12"/>
      <x:c r="S3093" s="11" t="n">
        <x:v>2559</x:v>
      </x:c>
      <x:c r="T3093" s="11"/>
    </x:row>
    <x:row r="3094" ht="23" customHeight="1">
      <x:c r="A3094" s="2" t="str">
        <x:v>Q9QWV9</x:v>
      </x:c>
      <x:c r="B3094" s="2" t="str">
        <x:v>UN</x:v>
      </x:c>
      <x:c r="C3094" s="2" t="n">
        <x:v>0</x:v>
      </x:c>
      <x:c r="D3094" s="2" t="n">
        <x:v>0</x:v>
      </x:c>
      <x:c r="E3094" s="10" t="n">
        <x:v>60.29820441988951</x:v>
      </x:c>
      <x:c r="F3094" s="11" t="n">
        <x:v>724</x:v>
      </x:c>
      <x:c r="G3094" s="11" t="n">
        <x:v>0</x:v>
      </x:c>
      <x:c r="H3094" s="11" t="n">
        <x:v>0</x:v>
      </x:c>
      <x:c r="I3094" s="11" t="n">
        <x:v>0</x:v>
      </x:c>
      <x:c r="J3094" s="11" t="n">
        <x:v>0</x:v>
      </x:c>
      <x:c r="K3094" s="11" t="n">
        <x:v>0</x:v>
      </x:c>
      <x:c r="L3094" s="11" t="n">
        <x:f>IF(B3094="NED",1,IF(OR(B3094="ED",B3094="UN"),0,""))</x:f>
        <x:v>0</x:v>
      </x:c>
      <x:c r="M3094" s="11" t="n">
        <x:f>IF(AND(K3094=1,OR(B3094="ED",B3094="NED")),1,0)</x:f>
        <x:v>0</x:v>
      </x:c>
      <x:c r="N3094" s="11" t="n">
        <x:f>IF(K3094=1,1,0)</x:f>
        <x:v>0</x:v>
      </x:c>
      <x:c r="O3094" s="12" t="str">
        <x:v>Retain protein mean pLDDT &gt;=70</x:v>
      </x:c>
      <x:c r="P3094" s="11" t="n">
        <x:v>0</x:v>
      </x:c>
      <x:c r="Q3094" s="12" t="str">
        <x:v>AF-Q9QWV9-F1-model_v6</x:v>
      </x:c>
      <x:c r="R3094" s="12" t="str">
        <x:v>ok</x:v>
      </x:c>
      <x:c r="S3094" s="11" t="n">
        <x:v>2560</x:v>
      </x:c>
      <x:c r="T3094" s="11" t="n">
        <x:v>724</x:v>
      </x:c>
    </x:row>
    <x:row r="3095" ht="23" customHeight="1">
      <x:c r="A3095" s="2" t="str">
        <x:v>Q9QXB9</x:v>
      </x:c>
      <x:c r="B3095" s="2" t="str">
        <x:v>UN</x:v>
      </x:c>
      <x:c r="C3095" s="2" t="n">
        <x:v>1</x:v>
      </x:c>
      <x:c r="D3095" s="2" t="n">
        <x:v>1</x:v>
      </x:c>
      <x:c r="E3095" s="10" t="n">
        <x:v>84.59791208791209</x:v>
      </x:c>
      <x:c r="F3095" s="11" t="n">
        <x:v>364</x:v>
      </x:c>
      <x:c r="G3095" s="11" t="n">
        <x:v>0</x:v>
      </x:c>
      <x:c r="H3095" s="11" t="n">
        <x:v>0</x:v>
      </x:c>
      <x:c r="I3095" s="11" t="n">
        <x:v>0</x:v>
      </x:c>
      <x:c r="J3095" s="11" t="n">
        <x:v>0</x:v>
      </x:c>
      <x:c r="K3095" s="11" t="n">
        <x:v>1</x:v>
      </x:c>
      <x:c r="L3095" s="11" t="n">
        <x:f>IF(B3095="NED",1,IF(OR(B3095="ED",B3095="UN"),0,""))</x:f>
        <x:v>0</x:v>
      </x:c>
      <x:c r="M3095" s="11" t="n">
        <x:f>IF(AND(K3095=1,OR(B3095="ED",B3095="NED")),1,0)</x:f>
        <x:v>0</x:v>
      </x:c>
      <x:c r="N3095" s="11" t="n">
        <x:f>IF(K3095=1,1,0)</x:f>
        <x:v>1</x:v>
      </x:c>
      <x:c r="O3095" s="12"/>
      <x:c r="P3095" s="11" t="n">
        <x:v>0</x:v>
      </x:c>
      <x:c r="Q3095" s="12" t="str">
        <x:v>AF-Q9QXB9-F1-model_v6</x:v>
      </x:c>
      <x:c r="R3095" s="12" t="str">
        <x:v>ok</x:v>
      </x:c>
      <x:c r="S3095" s="11" t="n">
        <x:v>2561</x:v>
      </x:c>
      <x:c r="T3095" s="11" t="n">
        <x:v>364</x:v>
      </x:c>
    </x:row>
    <x:row r="3096" ht="23" customHeight="1">
      <x:c r="A3096" s="2" t="str">
        <x:v>Q9QXD8</x:v>
      </x:c>
      <x:c r="B3096" s="2" t="str">
        <x:v>ED</x:v>
      </x:c>
      <x:c r="C3096" s="2" t="n">
        <x:v>1</x:v>
      </x:c>
      <x:c r="D3096" s="2"/>
      <x:c r="E3096" s="10" t="n">
        <x:v>55.44359281437126</x:v>
      </x:c>
      <x:c r="F3096" s="11" t="n">
        <x:v>668</x:v>
      </x:c>
      <x:c r="G3096" s="11" t="n">
        <x:v>0</x:v>
      </x:c>
      <x:c r="H3096" s="11" t="n">
        <x:v>0</x:v>
      </x:c>
      <x:c r="I3096" s="11" t="n">
        <x:v>0</x:v>
      </x:c>
      <x:c r="J3096" s="11" t="n">
        <x:v>0</x:v>
      </x:c>
      <x:c r="K3096" s="11" t="n">
        <x:v>0</x:v>
      </x:c>
      <x:c r="L3096" s="11" t="n">
        <x:f>IF(B3096="NED",1,IF(OR(B3096="ED",B3096="UN"),0,""))</x:f>
        <x:v>0</x:v>
      </x:c>
      <x:c r="M3096" s="11" t="n">
        <x:f>IF(AND(K3096=1,OR(B3096="ED",B3096="NED")),1,0)</x:f>
        <x:v>0</x:v>
      </x:c>
      <x:c r="N3096" s="11" t="n">
        <x:f>IF(K3096=1,1,0)</x:f>
        <x:v>0</x:v>
      </x:c>
      <x:c r="O3096" s="12" t="str">
        <x:v>Retain protein mean pLDDT &gt;=70</x:v>
      </x:c>
      <x:c r="P3096" s="11" t="n">
        <x:v>0</x:v>
      </x:c>
      <x:c r="Q3096" s="12" t="str">
        <x:v>AF-Q9QXD8-F1-model_v6</x:v>
      </x:c>
      <x:c r="R3096" s="12" t="str">
        <x:v>ok</x:v>
      </x:c>
      <x:c r="S3096" s="11" t="n">
        <x:v>2562</x:v>
      </x:c>
      <x:c r="T3096" s="11" t="n">
        <x:v>668</x:v>
      </x:c>
    </x:row>
    <x:row r="3097" ht="23" customHeight="1">
      <x:c r="A3097" s="2" t="str">
        <x:v>Q9QXE7</x:v>
      </x:c>
      <x:c r="B3097" s="2" t="str">
        <x:v>ED</x:v>
      </x:c>
      <x:c r="C3097" s="2" t="n">
        <x:v>1</x:v>
      </x:c>
      <x:c r="D3097" s="2" t="n">
        <x:v>1</x:v>
      </x:c>
      <x:c r="E3097" s="10" t="n">
        <x:v>87.65153700189754</x:v>
      </x:c>
      <x:c r="F3097" s="11" t="n">
        <x:v>527</x:v>
      </x:c>
      <x:c r="G3097" s="11" t="n">
        <x:v>0</x:v>
      </x:c>
      <x:c r="H3097" s="11" t="n">
        <x:v>0</x:v>
      </x:c>
      <x:c r="I3097" s="11" t="n">
        <x:v>0</x:v>
      </x:c>
      <x:c r="J3097" s="11" t="n">
        <x:v>0</x:v>
      </x:c>
      <x:c r="K3097" s="11" t="n">
        <x:v>1</x:v>
      </x:c>
      <x:c r="L3097" s="11" t="n">
        <x:f>IF(B3097="NED",1,IF(OR(B3097="ED",B3097="UN"),0,""))</x:f>
        <x:v>0</x:v>
      </x:c>
      <x:c r="M3097" s="11" t="n">
        <x:f>IF(AND(K3097=1,OR(B3097="ED",B3097="NED")),1,0)</x:f>
        <x:v>1</x:v>
      </x:c>
      <x:c r="N3097" s="11" t="n">
        <x:f>IF(K3097=1,1,0)</x:f>
        <x:v>1</x:v>
      </x:c>
      <x:c r="O3097" s="12"/>
      <x:c r="P3097" s="11" t="n">
        <x:v>0</x:v>
      </x:c>
      <x:c r="Q3097" s="12" t="str">
        <x:v>AF-Q9QXE7-F1-model_v6</x:v>
      </x:c>
      <x:c r="R3097" s="12" t="str">
        <x:v>ok</x:v>
      </x:c>
      <x:c r="S3097" s="11" t="n">
        <x:v>2563</x:v>
      </x:c>
      <x:c r="T3097" s="11" t="n">
        <x:v>527</x:v>
      </x:c>
    </x:row>
    <x:row r="3098" ht="23" customHeight="1">
      <x:c r="A3098" s="2" t="str">
        <x:v>Q9QXK2</x:v>
      </x:c>
      <x:c r="B3098" s="2" t="str">
        <x:v>ED</x:v>
      </x:c>
      <x:c r="C3098" s="2" t="n">
        <x:v>1</x:v>
      </x:c>
      <x:c r="D3098" s="2" t="n">
        <x:v>1</x:v>
      </x:c>
      <x:c r="E3098" s="10" t="n">
        <x:v>65.68035363457761</x:v>
      </x:c>
      <x:c r="F3098" s="11" t="n">
        <x:v>509</x:v>
      </x:c>
      <x:c r="G3098" s="11" t="n">
        <x:v>0</x:v>
      </x:c>
      <x:c r="H3098" s="11" t="n">
        <x:v>0</x:v>
      </x:c>
      <x:c r="I3098" s="11" t="n">
        <x:v>0</x:v>
      </x:c>
      <x:c r="J3098" s="11" t="n">
        <x:v>0</x:v>
      </x:c>
      <x:c r="K3098" s="11" t="n">
        <x:v>0</x:v>
      </x:c>
      <x:c r="L3098" s="11" t="n">
        <x:f>IF(B3098="NED",1,IF(OR(B3098="ED",B3098="UN"),0,""))</x:f>
        <x:v>0</x:v>
      </x:c>
      <x:c r="M3098" s="11" t="n">
        <x:f>IF(AND(K3098=1,OR(B3098="ED",B3098="NED")),1,0)</x:f>
        <x:v>0</x:v>
      </x:c>
      <x:c r="N3098" s="11" t="n">
        <x:f>IF(K3098=1,1,0)</x:f>
        <x:v>0</x:v>
      </x:c>
      <x:c r="O3098" s="12" t="str">
        <x:v>Retain protein mean pLDDT &gt;=70</x:v>
      </x:c>
      <x:c r="P3098" s="11" t="n">
        <x:v>0</x:v>
      </x:c>
      <x:c r="Q3098" s="12" t="str">
        <x:v>AF-Q9QXK2-F1-model_v6</x:v>
      </x:c>
      <x:c r="R3098" s="12" t="str">
        <x:v>ok</x:v>
      </x:c>
      <x:c r="S3098" s="11" t="n">
        <x:v>2564</x:v>
      </x:c>
      <x:c r="T3098" s="11" t="n">
        <x:v>509</x:v>
      </x:c>
    </x:row>
    <x:row r="3099" ht="23" customHeight="1">
      <x:c r="A3099" s="2" t="str">
        <x:v>Q9QXK3-4</x:v>
      </x:c>
      <x:c r="B3099" s="2" t="str">
        <x:v>UN</x:v>
      </x:c>
      <x:c r="C3099" s="2"/>
      <x:c r="D3099" s="2"/>
      <x:c r="E3099" s="10"/>
      <x:c r="F3099" s="11"/>
      <x:c r="G3099" s="11" t="n">
        <x:v>0</x:v>
      </x:c>
      <x:c r="H3099" s="11" t="n">
        <x:v>0</x:v>
      </x:c>
      <x:c r="I3099" s="11"/>
      <x:c r="J3099" s="11"/>
      <x:c r="K3099" s="11" t="n">
        <x:v>0</x:v>
      </x:c>
      <x:c r="L3099" s="11" t="n">
        <x:f>IF(B3099="NED",1,IF(OR(B3099="ED",B3099="UN"),0,""))</x:f>
        <x:v>0</x:v>
      </x:c>
      <x:c r="M3099" s="11" t="n">
        <x:f>IF(AND(K3099=1,OR(B3099="ED",B3099="NED")),1,0)</x:f>
        <x:v>0</x:v>
      </x:c>
      <x:c r="N3099" s="11" t="n">
        <x:f>IF(K3099=1,1,0)</x:f>
        <x:v>0</x:v>
      </x:c>
      <x:c r="O3099" s="12" t="str">
        <x:v>Require exact native accession match</x:v>
      </x:c>
      <x:c r="P3099" s="11" t="n">
        <x:v>0</x:v>
      </x:c>
      <x:c r="Q3099" s="12"/>
      <x:c r="R3099" s="12"/>
      <x:c r="S3099" s="11" t="n">
        <x:v>2565</x:v>
      </x:c>
      <x:c r="T3099" s="11"/>
    </x:row>
    <x:row r="3100" ht="23" customHeight="1">
      <x:c r="A3100" s="2" t="str">
        <x:v>Q9QXK7</x:v>
      </x:c>
      <x:c r="B3100" s="2" t="str">
        <x:v>UN</x:v>
      </x:c>
      <x:c r="C3100" s="2" t="n">
        <x:v>1</x:v>
      </x:c>
      <x:c r="D3100" s="2" t="n">
        <x:v>1</x:v>
      </x:c>
      <x:c r="E3100" s="10" t="n">
        <x:v>90.13355263157897</x:v>
      </x:c>
      <x:c r="F3100" s="11" t="n">
        <x:v>684</x:v>
      </x:c>
      <x:c r="G3100" s="11" t="n">
        <x:v>0</x:v>
      </x:c>
      <x:c r="H3100" s="11" t="n">
        <x:v>0</x:v>
      </x:c>
      <x:c r="I3100" s="11" t="n">
        <x:v>0</x:v>
      </x:c>
      <x:c r="J3100" s="11" t="n">
        <x:v>0</x:v>
      </x:c>
      <x:c r="K3100" s="11" t="n">
        <x:v>1</x:v>
      </x:c>
      <x:c r="L3100" s="11" t="n">
        <x:f>IF(B3100="NED",1,IF(OR(B3100="ED",B3100="UN"),0,""))</x:f>
        <x:v>0</x:v>
      </x:c>
      <x:c r="M3100" s="11" t="n">
        <x:f>IF(AND(K3100=1,OR(B3100="ED",B3100="NED")),1,0)</x:f>
        <x:v>0</x:v>
      </x:c>
      <x:c r="N3100" s="11" t="n">
        <x:f>IF(K3100=1,1,0)</x:f>
        <x:v>1</x:v>
      </x:c>
      <x:c r="O3100" s="12"/>
      <x:c r="P3100" s="11" t="n">
        <x:v>0</x:v>
      </x:c>
      <x:c r="Q3100" s="12" t="str">
        <x:v>AF-Q9QXK7-F1-model_v6</x:v>
      </x:c>
      <x:c r="R3100" s="12" t="str">
        <x:v>ok</x:v>
      </x:c>
      <x:c r="S3100" s="11" t="n">
        <x:v>2566</x:v>
      </x:c>
      <x:c r="T3100" s="11" t="n">
        <x:v>684</x:v>
      </x:c>
    </x:row>
    <x:row r="3101" ht="23" customHeight="1">
      <x:c r="A3101" s="2" t="str">
        <x:v>Q9QXL2-3</x:v>
      </x:c>
      <x:c r="B3101" s="2" t="str">
        <x:v>UN</x:v>
      </x:c>
      <x:c r="C3101" s="2"/>
      <x:c r="D3101" s="2"/>
      <x:c r="E3101" s="10"/>
      <x:c r="F3101" s="11"/>
      <x:c r="G3101" s="11" t="n">
        <x:v>0</x:v>
      </x:c>
      <x:c r="H3101" s="11" t="n">
        <x:v>0</x:v>
      </x:c>
      <x:c r="I3101" s="11"/>
      <x:c r="J3101" s="11"/>
      <x:c r="K3101" s="11" t="n">
        <x:v>0</x:v>
      </x:c>
      <x:c r="L3101" s="11" t="n">
        <x:f>IF(B3101="NED",1,IF(OR(B3101="ED",B3101="UN"),0,""))</x:f>
        <x:v>0</x:v>
      </x:c>
      <x:c r="M3101" s="11" t="n">
        <x:f>IF(AND(K3101=1,OR(B3101="ED",B3101="NED")),1,0)</x:f>
        <x:v>0</x:v>
      </x:c>
      <x:c r="N3101" s="11" t="n">
        <x:f>IF(K3101=1,1,0)</x:f>
        <x:v>0</x:v>
      </x:c>
      <x:c r="O3101" s="12" t="str">
        <x:v>Require exact native accession match</x:v>
      </x:c>
      <x:c r="P3101" s="11" t="n">
        <x:v>0</x:v>
      </x:c>
      <x:c r="Q3101" s="12"/>
      <x:c r="R3101" s="12"/>
      <x:c r="S3101" s="11" t="n">
        <x:v>2567</x:v>
      </x:c>
      <x:c r="T3101" s="11"/>
    </x:row>
    <x:row r="3102" ht="23" customHeight="1">
      <x:c r="A3102" s="2" t="str">
        <x:v>Q9QXS1-2</x:v>
      </x:c>
      <x:c r="B3102" s="2" t="str">
        <x:v>UN</x:v>
      </x:c>
      <x:c r="C3102" s="2"/>
      <x:c r="D3102" s="2"/>
      <x:c r="E3102" s="10"/>
      <x:c r="F3102" s="11"/>
      <x:c r="G3102" s="11" t="n">
        <x:v>0</x:v>
      </x:c>
      <x:c r="H3102" s="11" t="n">
        <x:v>0</x:v>
      </x:c>
      <x:c r="I3102" s="11"/>
      <x:c r="J3102" s="11"/>
      <x:c r="K3102" s="11" t="n">
        <x:v>0</x:v>
      </x:c>
      <x:c r="L3102" s="11" t="n">
        <x:f>IF(B3102="NED",1,IF(OR(B3102="ED",B3102="UN"),0,""))</x:f>
        <x:v>0</x:v>
      </x:c>
      <x:c r="M3102" s="11" t="n">
        <x:f>IF(AND(K3102=1,OR(B3102="ED",B3102="NED")),1,0)</x:f>
        <x:v>0</x:v>
      </x:c>
      <x:c r="N3102" s="11" t="n">
        <x:f>IF(K3102=1,1,0)</x:f>
        <x:v>0</x:v>
      </x:c>
      <x:c r="O3102" s="12" t="str">
        <x:v>Require exact native accession match</x:v>
      </x:c>
      <x:c r="P3102" s="11" t="n">
        <x:v>0</x:v>
      </x:c>
      <x:c r="Q3102" s="12"/>
      <x:c r="R3102" s="12"/>
      <x:c r="S3102" s="11" t="n">
        <x:v>2568</x:v>
      </x:c>
      <x:c r="T3102" s="11"/>
    </x:row>
    <x:row r="3103" ht="23" customHeight="1">
      <x:c r="A3103" s="2" t="str">
        <x:v>Q9QXT0</x:v>
      </x:c>
      <x:c r="B3103" s="2" t="str">
        <x:v>ED</x:v>
      </x:c>
      <x:c r="C3103" s="2" t="n">
        <x:v>1</x:v>
      </x:c>
      <x:c r="D3103" s="2" t="n">
        <x:v>1</x:v>
      </x:c>
      <x:c r="E3103" s="10" t="n">
        <x:v>84.94681318681319</x:v>
      </x:c>
      <x:c r="F3103" s="11" t="n">
        <x:v>182</x:v>
      </x:c>
      <x:c r="G3103" s="11" t="n">
        <x:v>0</x:v>
      </x:c>
      <x:c r="H3103" s="11" t="n">
        <x:v>0</x:v>
      </x:c>
      <x:c r="I3103" s="11" t="n">
        <x:v>0</x:v>
      </x:c>
      <x:c r="J3103" s="11" t="n">
        <x:v>0</x:v>
      </x:c>
      <x:c r="K3103" s="11" t="n">
        <x:v>1</x:v>
      </x:c>
      <x:c r="L3103" s="11" t="n">
        <x:f>IF(B3103="NED",1,IF(OR(B3103="ED",B3103="UN"),0,""))</x:f>
        <x:v>0</x:v>
      </x:c>
      <x:c r="M3103" s="11" t="n">
        <x:f>IF(AND(K3103=1,OR(B3103="ED",B3103="NED")),1,0)</x:f>
        <x:v>1</x:v>
      </x:c>
      <x:c r="N3103" s="11" t="n">
        <x:f>IF(K3103=1,1,0)</x:f>
        <x:v>1</x:v>
      </x:c>
      <x:c r="O3103" s="12"/>
      <x:c r="P3103" s="11" t="n">
        <x:v>0</x:v>
      </x:c>
      <x:c r="Q3103" s="12" t="str">
        <x:v>AF-Q9QXT0-F1-model_v6</x:v>
      </x:c>
      <x:c r="R3103" s="12" t="str">
        <x:v>ok</x:v>
      </x:c>
      <x:c r="S3103" s="11" t="n">
        <x:v>2569</x:v>
      </x:c>
      <x:c r="T3103" s="11" t="n">
        <x:v>182</x:v>
      </x:c>
    </x:row>
    <x:row r="3104" ht="23" customHeight="1">
      <x:c r="A3104" s="2" t="str">
        <x:v>Q9QXX4</x:v>
      </x:c>
      <x:c r="B3104" s="2" t="str">
        <x:v>ED</x:v>
      </x:c>
      <x:c r="C3104" s="2" t="n">
        <x:v>1</x:v>
      </x:c>
      <x:c r="D3104" s="2" t="n">
        <x:v>1</x:v>
      </x:c>
      <x:c r="E3104" s="10"/>
      <x:c r="F3104" s="11" t="n">
        <x:v>676</x:v>
      </x:c>
      <x:c r="G3104" s="11" t="n">
        <x:v>0</x:v>
      </x:c>
      <x:c r="H3104" s="11" t="n">
        <x:v>0</x:v>
      </x:c>
      <x:c r="I3104" s="11" t="n">
        <x:v>1</x:v>
      </x:c>
      <x:c r="J3104" s="11" t="n">
        <x:v>0</x:v>
      </x:c>
      <x:c r="K3104" s="11" t="n">
        <x:v>0</x:v>
      </x:c>
      <x:c r="L3104" s="11" t="n">
        <x:f>IF(B3104="NED",1,IF(OR(B3104="ED",B3104="UN"),0,""))</x:f>
        <x:v>0</x:v>
      </x:c>
      <x:c r="M3104" s="11" t="n">
        <x:f>IF(AND(K3104=1,OR(B3104="ED",B3104="NED")),1,0)</x:f>
        <x:v>0</x:v>
      </x:c>
      <x:c r="N3104" s="11" t="n">
        <x:f>IF(K3104=1,1,0)</x:f>
        <x:v>0</x:v>
      </x:c>
      <x:c r="O3104" s="12" t="str">
        <x:v>Exclude UniProt Membrane keyword</x:v>
      </x:c>
      <x:c r="P3104" s="11" t="n">
        <x:v>0</x:v>
      </x:c>
      <x:c r="Q3104" s="12" t="str">
        <x:v>AF-Q9QXX4-F1-model_v6</x:v>
      </x:c>
      <x:c r="R3104" s="12" t="str">
        <x:v>ok</x:v>
      </x:c>
      <x:c r="S3104" s="11" t="n">
        <x:v>2570</x:v>
      </x:c>
      <x:c r="T3104" s="11" t="n">
        <x:v>676</x:v>
      </x:c>
    </x:row>
    <x:row r="3105" ht="23" customHeight="1">
      <x:c r="A3105" s="2" t="str">
        <x:v>Q9QY06-3</x:v>
      </x:c>
      <x:c r="B3105" s="2" t="str">
        <x:v>ED</x:v>
      </x:c>
      <x:c r="C3105" s="2"/>
      <x:c r="D3105" s="2"/>
      <x:c r="E3105" s="10"/>
      <x:c r="F3105" s="11"/>
      <x:c r="G3105" s="11" t="n">
        <x:v>0</x:v>
      </x:c>
      <x:c r="H3105" s="11" t="n">
        <x:v>0</x:v>
      </x:c>
      <x:c r="I3105" s="11"/>
      <x:c r="J3105" s="11"/>
      <x:c r="K3105" s="11" t="n">
        <x:v>0</x:v>
      </x:c>
      <x:c r="L3105" s="11" t="n">
        <x:f>IF(B3105="NED",1,IF(OR(B3105="ED",B3105="UN"),0,""))</x:f>
        <x:v>0</x:v>
      </x:c>
      <x:c r="M3105" s="11" t="n">
        <x:f>IF(AND(K3105=1,OR(B3105="ED",B3105="NED")),1,0)</x:f>
        <x:v>0</x:v>
      </x:c>
      <x:c r="N3105" s="11" t="n">
        <x:f>IF(K3105=1,1,0)</x:f>
        <x:v>0</x:v>
      </x:c>
      <x:c r="O3105" s="12" t="str">
        <x:v>Require exact native accession match</x:v>
      </x:c>
      <x:c r="P3105" s="11" t="n">
        <x:v>0</x:v>
      </x:c>
      <x:c r="Q3105" s="12"/>
      <x:c r="R3105" s="12"/>
      <x:c r="S3105" s="11" t="n">
        <x:v>2571</x:v>
      </x:c>
      <x:c r="T3105" s="11"/>
    </x:row>
    <x:row r="3106" ht="23" customHeight="1">
      <x:c r="A3106" s="2" t="str">
        <x:v>Q9QY76</x:v>
      </x:c>
      <x:c r="B3106" s="2" t="str">
        <x:v>UN</x:v>
      </x:c>
      <x:c r="C3106" s="2" t="n">
        <x:v>1</x:v>
      </x:c>
      <x:c r="D3106" s="2" t="n">
        <x:v>1</x:v>
      </x:c>
      <x:c r="E3106" s="10"/>
      <x:c r="F3106" s="11" t="n">
        <x:v>243</x:v>
      </x:c>
      <x:c r="G3106" s="11" t="n">
        <x:v>0</x:v>
      </x:c>
      <x:c r="H3106" s="11" t="n">
        <x:v>0</x:v>
      </x:c>
      <x:c r="I3106" s="11" t="n">
        <x:v>1</x:v>
      </x:c>
      <x:c r="J3106" s="11" t="n">
        <x:v>0</x:v>
      </x:c>
      <x:c r="K3106" s="11" t="n">
        <x:v>0</x:v>
      </x:c>
      <x:c r="L3106" s="11" t="n">
        <x:f>IF(B3106="NED",1,IF(OR(B3106="ED",B3106="UN"),0,""))</x:f>
        <x:v>0</x:v>
      </x:c>
      <x:c r="M3106" s="11" t="n">
        <x:f>IF(AND(K3106=1,OR(B3106="ED",B3106="NED")),1,0)</x:f>
        <x:v>0</x:v>
      </x:c>
      <x:c r="N3106" s="11" t="n">
        <x:f>IF(K3106=1,1,0)</x:f>
        <x:v>0</x:v>
      </x:c>
      <x:c r="O3106" s="12" t="str">
        <x:v>Exclude UniProt Membrane keyword</x:v>
      </x:c>
      <x:c r="P3106" s="11" t="n">
        <x:v>0</x:v>
      </x:c>
      <x:c r="Q3106" s="12" t="str">
        <x:v>AF-Q9QY76-F1-model_v6</x:v>
      </x:c>
      <x:c r="R3106" s="12" t="str">
        <x:v>ok</x:v>
      </x:c>
      <x:c r="S3106" s="11" t="n">
        <x:v>2572</x:v>
      </x:c>
      <x:c r="T3106" s="11" t="n">
        <x:v>243</x:v>
      </x:c>
    </x:row>
    <x:row r="3107" ht="23" customHeight="1">
      <x:c r="A3107" s="2" t="str">
        <x:v>Q9QYB1</x:v>
      </x:c>
      <x:c r="B3107" s="2" t="str">
        <x:v>ED</x:v>
      </x:c>
      <x:c r="C3107" s="2" t="n">
        <x:v>1</x:v>
      </x:c>
      <x:c r="D3107" s="2" t="n">
        <x:v>1</x:v>
      </x:c>
      <x:c r="E3107" s="10"/>
      <x:c r="F3107" s="11" t="n">
        <x:v>253</x:v>
      </x:c>
      <x:c r="G3107" s="11" t="n">
        <x:v>0</x:v>
      </x:c>
      <x:c r="H3107" s="11" t="n">
        <x:v>0</x:v>
      </x:c>
      <x:c r="I3107" s="11" t="n">
        <x:v>1</x:v>
      </x:c>
      <x:c r="J3107" s="11" t="n">
        <x:v>0</x:v>
      </x:c>
      <x:c r="K3107" s="11" t="n">
        <x:v>0</x:v>
      </x:c>
      <x:c r="L3107" s="11" t="n">
        <x:f>IF(B3107="NED",1,IF(OR(B3107="ED",B3107="UN"),0,""))</x:f>
        <x:v>0</x:v>
      </x:c>
      <x:c r="M3107" s="11" t="n">
        <x:f>IF(AND(K3107=1,OR(B3107="ED",B3107="NED")),1,0)</x:f>
        <x:v>0</x:v>
      </x:c>
      <x:c r="N3107" s="11" t="n">
        <x:f>IF(K3107=1,1,0)</x:f>
        <x:v>0</x:v>
      </x:c>
      <x:c r="O3107" s="12" t="str">
        <x:v>Exclude UniProt Membrane keyword</x:v>
      </x:c>
      <x:c r="P3107" s="11" t="n">
        <x:v>0</x:v>
      </x:c>
      <x:c r="Q3107" s="12" t="str">
        <x:v>AF-Q9QYB1-F1-model_v6</x:v>
      </x:c>
      <x:c r="R3107" s="12" t="str">
        <x:v>ok</x:v>
      </x:c>
      <x:c r="S3107" s="11" t="n">
        <x:v>2573</x:v>
      </x:c>
      <x:c r="T3107" s="11" t="n">
        <x:v>253</x:v>
      </x:c>
    </x:row>
    <x:row r="3108" ht="23" customHeight="1">
      <x:c r="A3108" s="2" t="str">
        <x:v>Q9QYF9</x:v>
      </x:c>
      <x:c r="B3108" s="2" t="str">
        <x:v>UN</x:v>
      </x:c>
      <x:c r="C3108" s="2" t="n">
        <x:v>1</x:v>
      </x:c>
      <x:c r="D3108" s="2" t="n">
        <x:v>1</x:v>
      </x:c>
      <x:c r="E3108" s="10" t="n">
        <x:v>80.82733333333333</x:v>
      </x:c>
      <x:c r="F3108" s="11" t="n">
        <x:v>375</x:v>
      </x:c>
      <x:c r="G3108" s="11" t="n">
        <x:v>0</x:v>
      </x:c>
      <x:c r="H3108" s="11" t="n">
        <x:v>0</x:v>
      </x:c>
      <x:c r="I3108" s="11" t="n">
        <x:v>0</x:v>
      </x:c>
      <x:c r="J3108" s="11" t="n">
        <x:v>0</x:v>
      </x:c>
      <x:c r="K3108" s="11" t="n">
        <x:v>1</x:v>
      </x:c>
      <x:c r="L3108" s="11" t="n">
        <x:f>IF(B3108="NED",1,IF(OR(B3108="ED",B3108="UN"),0,""))</x:f>
        <x:v>0</x:v>
      </x:c>
      <x:c r="M3108" s="11" t="n">
        <x:f>IF(AND(K3108=1,OR(B3108="ED",B3108="NED")),1,0)</x:f>
        <x:v>0</x:v>
      </x:c>
      <x:c r="N3108" s="11" t="n">
        <x:f>IF(K3108=1,1,0)</x:f>
        <x:v>1</x:v>
      </x:c>
      <x:c r="O3108" s="12"/>
      <x:c r="P3108" s="11" t="n">
        <x:v>0</x:v>
      </x:c>
      <x:c r="Q3108" s="12" t="str">
        <x:v>AF-Q9QYF9-F1-model_v6</x:v>
      </x:c>
      <x:c r="R3108" s="12" t="str">
        <x:v>ok</x:v>
      </x:c>
      <x:c r="S3108" s="11" t="n">
        <x:v>2574</x:v>
      </x:c>
      <x:c r="T3108" s="11" t="n">
        <x:v>375</x:v>
      </x:c>
    </x:row>
    <x:row r="3109" ht="23" customHeight="1">
      <x:c r="A3109" s="2" t="str">
        <x:v>Q9QYI3</x:v>
      </x:c>
      <x:c r="B3109" s="2" t="str">
        <x:v>UN</x:v>
      </x:c>
      <x:c r="C3109" s="2" t="n">
        <x:v>0</x:v>
      </x:c>
      <x:c r="D3109" s="2" t="n">
        <x:v>0</x:v>
      </x:c>
      <x:c r="E3109" s="10" t="n">
        <x:v>89.80074898785425</x:v>
      </x:c>
      <x:c r="F3109" s="11" t="n">
        <x:v>494</x:v>
      </x:c>
      <x:c r="G3109" s="11" t="n">
        <x:v>0</x:v>
      </x:c>
      <x:c r="H3109" s="11" t="n">
        <x:v>0</x:v>
      </x:c>
      <x:c r="I3109" s="11" t="n">
        <x:v>0</x:v>
      </x:c>
      <x:c r="J3109" s="11" t="n">
        <x:v>0</x:v>
      </x:c>
      <x:c r="K3109" s="11" t="n">
        <x:v>1</x:v>
      </x:c>
      <x:c r="L3109" s="11" t="n">
        <x:f>IF(B3109="NED",1,IF(OR(B3109="ED",B3109="UN"),0,""))</x:f>
        <x:v>0</x:v>
      </x:c>
      <x:c r="M3109" s="11" t="n">
        <x:f>IF(AND(K3109=1,OR(B3109="ED",B3109="NED")),1,0)</x:f>
        <x:v>0</x:v>
      </x:c>
      <x:c r="N3109" s="11" t="n">
        <x:f>IF(K3109=1,1,0)</x:f>
        <x:v>1</x:v>
      </x:c>
      <x:c r="O3109" s="12"/>
      <x:c r="P3109" s="11" t="n">
        <x:v>0</x:v>
      </x:c>
      <x:c r="Q3109" s="12" t="str">
        <x:v>AF-Q9QYI3-F1-model_v6</x:v>
      </x:c>
      <x:c r="R3109" s="12" t="str">
        <x:v>ok</x:v>
      </x:c>
      <x:c r="S3109" s="11" t="n">
        <x:v>2575</x:v>
      </x:c>
      <x:c r="T3109" s="11" t="n">
        <x:v>494</x:v>
      </x:c>
    </x:row>
    <x:row r="3110" ht="23" customHeight="1">
      <x:c r="A3110" s="2" t="str">
        <x:v>Q9QYJ0</x:v>
      </x:c>
      <x:c r="B3110" s="2" t="str">
        <x:v>ED</x:v>
      </x:c>
      <x:c r="C3110" s="2" t="n">
        <x:v>1</x:v>
      </x:c>
      <x:c r="D3110" s="2" t="n">
        <x:v>1</x:v>
      </x:c>
      <x:c r="E3110" s="10"/>
      <x:c r="F3110" s="11" t="n">
        <x:v>412</x:v>
      </x:c>
      <x:c r="G3110" s="11" t="n">
        <x:v>0</x:v>
      </x:c>
      <x:c r="H3110" s="11" t="n">
        <x:v>0</x:v>
      </x:c>
      <x:c r="I3110" s="11" t="n">
        <x:v>1</x:v>
      </x:c>
      <x:c r="J3110" s="11" t="n">
        <x:v>0</x:v>
      </x:c>
      <x:c r="K3110" s="11" t="n">
        <x:v>0</x:v>
      </x:c>
      <x:c r="L3110" s="11" t="n">
        <x:f>IF(B3110="NED",1,IF(OR(B3110="ED",B3110="UN"),0,""))</x:f>
        <x:v>0</x:v>
      </x:c>
      <x:c r="M3110" s="11" t="n">
        <x:f>IF(AND(K3110=1,OR(B3110="ED",B3110="NED")),1,0)</x:f>
        <x:v>0</x:v>
      </x:c>
      <x:c r="N3110" s="11" t="n">
        <x:f>IF(K3110=1,1,0)</x:f>
        <x:v>0</x:v>
      </x:c>
      <x:c r="O3110" s="12" t="str">
        <x:v>Exclude UniProt Membrane keyword</x:v>
      </x:c>
      <x:c r="P3110" s="11" t="n">
        <x:v>0</x:v>
      </x:c>
      <x:c r="Q3110" s="12" t="str">
        <x:v>AF-Q9QYJ0-F1-model_v6</x:v>
      </x:c>
      <x:c r="R3110" s="12" t="str">
        <x:v>ok</x:v>
      </x:c>
      <x:c r="S3110" s="11" t="n">
        <x:v>2576</x:v>
      </x:c>
      <x:c r="T3110" s="11" t="n">
        <x:v>412</x:v>
      </x:c>
    </x:row>
    <x:row r="3111" ht="23" customHeight="1">
      <x:c r="A3111" s="2" t="str">
        <x:v>Q9QYJ3</x:v>
      </x:c>
      <x:c r="B3111" s="2" t="str">
        <x:v>ED</x:v>
      </x:c>
      <x:c r="C3111" s="2" t="n">
        <x:v>1</x:v>
      </x:c>
      <x:c r="D3111" s="2" t="n">
        <x:v>1</x:v>
      </x:c>
      <x:c r="E3111" s="10" t="n">
        <x:v>82.49855882352941</x:v>
      </x:c>
      <x:c r="F3111" s="11" t="n">
        <x:v>340</x:v>
      </x:c>
      <x:c r="G3111" s="11" t="n">
        <x:v>0</x:v>
      </x:c>
      <x:c r="H3111" s="11" t="n">
        <x:v>0</x:v>
      </x:c>
      <x:c r="I3111" s="11" t="n">
        <x:v>0</x:v>
      </x:c>
      <x:c r="J3111" s="11" t="n">
        <x:v>0</x:v>
      </x:c>
      <x:c r="K3111" s="11" t="n">
        <x:v>1</x:v>
      </x:c>
      <x:c r="L3111" s="11" t="n">
        <x:f>IF(B3111="NED",1,IF(OR(B3111="ED",B3111="UN"),0,""))</x:f>
        <x:v>0</x:v>
      </x:c>
      <x:c r="M3111" s="11" t="n">
        <x:f>IF(AND(K3111=1,OR(B3111="ED",B3111="NED")),1,0)</x:f>
        <x:v>1</x:v>
      </x:c>
      <x:c r="N3111" s="11" t="n">
        <x:f>IF(K3111=1,1,0)</x:f>
        <x:v>1</x:v>
      </x:c>
      <x:c r="O3111" s="12"/>
      <x:c r="P3111" s="11" t="n">
        <x:v>0</x:v>
      </x:c>
      <x:c r="Q3111" s="12" t="str">
        <x:v>AF-Q9QYJ3-F1-model_v6</x:v>
      </x:c>
      <x:c r="R3111" s="12" t="str">
        <x:v>ok</x:v>
      </x:c>
      <x:c r="S3111" s="11" t="n">
        <x:v>2577</x:v>
      </x:c>
      <x:c r="T3111" s="11" t="n">
        <x:v>340</x:v>
      </x:c>
    </x:row>
    <x:row r="3112" ht="23" customHeight="1">
      <x:c r="A3112" s="2" t="str">
        <x:v>Q9QYL7</x:v>
      </x:c>
      <x:c r="B3112" s="2" t="str">
        <x:v>UN</x:v>
      </x:c>
      <x:c r="C3112" s="2" t="n">
        <x:v>1</x:v>
      </x:c>
      <x:c r="D3112" s="2" t="n">
        <x:v>1</x:v>
      </x:c>
      <x:c r="E3112" s="10" t="n">
        <x:v>77.71434944237919</x:v>
      </x:c>
      <x:c r="F3112" s="11" t="n">
        <x:v>269</x:v>
      </x:c>
      <x:c r="G3112" s="11" t="n">
        <x:v>0</x:v>
      </x:c>
      <x:c r="H3112" s="11" t="n">
        <x:v>0</x:v>
      </x:c>
      <x:c r="I3112" s="11" t="n">
        <x:v>0</x:v>
      </x:c>
      <x:c r="J3112" s="11" t="n">
        <x:v>0</x:v>
      </x:c>
      <x:c r="K3112" s="11" t="n">
        <x:v>1</x:v>
      </x:c>
      <x:c r="L3112" s="11" t="n">
        <x:f>IF(B3112="NED",1,IF(OR(B3112="ED",B3112="UN"),0,""))</x:f>
        <x:v>0</x:v>
      </x:c>
      <x:c r="M3112" s="11" t="n">
        <x:f>IF(AND(K3112=1,OR(B3112="ED",B3112="NED")),1,0)</x:f>
        <x:v>0</x:v>
      </x:c>
      <x:c r="N3112" s="11" t="n">
        <x:f>IF(K3112=1,1,0)</x:f>
        <x:v>1</x:v>
      </x:c>
      <x:c r="O3112" s="12"/>
      <x:c r="P3112" s="11" t="n">
        <x:v>0</x:v>
      </x:c>
      <x:c r="Q3112" s="12" t="str">
        <x:v>AF-Q9QYL7-F1-model_v6</x:v>
      </x:c>
      <x:c r="R3112" s="12" t="str">
        <x:v>ok</x:v>
      </x:c>
      <x:c r="S3112" s="11" t="n">
        <x:v>2578</x:v>
      </x:c>
      <x:c r="T3112" s="11" t="n">
        <x:v>269</x:v>
      </x:c>
    </x:row>
    <x:row r="3113" ht="23" customHeight="1">
      <x:c r="A3113" s="2" t="str">
        <x:v>Q9QYM8</x:v>
      </x:c>
      <x:c r="B3113" s="2" t="str">
        <x:v>ED</x:v>
      </x:c>
      <x:c r="C3113" s="2" t="n">
        <x:v>0</x:v>
      </x:c>
      <x:c r="D3113" s="2" t="n">
        <x:v>0</x:v>
      </x:c>
      <x:c r="E3113" s="10" t="n">
        <x:v>84.23941908713694</x:v>
      </x:c>
      <x:c r="F3113" s="11" t="n">
        <x:v>241</x:v>
      </x:c>
      <x:c r="G3113" s="11" t="n">
        <x:v>0</x:v>
      </x:c>
      <x:c r="H3113" s="11" t="n">
        <x:v>0</x:v>
      </x:c>
      <x:c r="I3113" s="11" t="n">
        <x:v>0</x:v>
      </x:c>
      <x:c r="J3113" s="11" t="n">
        <x:v>0</x:v>
      </x:c>
      <x:c r="K3113" s="11" t="n">
        <x:v>1</x:v>
      </x:c>
      <x:c r="L3113" s="11" t="n">
        <x:f>IF(B3113="NED",1,IF(OR(B3113="ED",B3113="UN"),0,""))</x:f>
        <x:v>0</x:v>
      </x:c>
      <x:c r="M3113" s="11" t="n">
        <x:f>IF(AND(K3113=1,OR(B3113="ED",B3113="NED")),1,0)</x:f>
        <x:v>1</x:v>
      </x:c>
      <x:c r="N3113" s="11" t="n">
        <x:f>IF(K3113=1,1,0)</x:f>
        <x:v>1</x:v>
      </x:c>
      <x:c r="O3113" s="12"/>
      <x:c r="P3113" s="11" t="n">
        <x:v>0</x:v>
      </x:c>
      <x:c r="Q3113" s="12" t="str">
        <x:v>AF-Q9QYM8-F1-model_v6</x:v>
      </x:c>
      <x:c r="R3113" s="12" t="str">
        <x:v>ok</x:v>
      </x:c>
      <x:c r="S3113" s="11" t="n">
        <x:v>2579</x:v>
      </x:c>
      <x:c r="T3113" s="11" t="n">
        <x:v>241</x:v>
      </x:c>
    </x:row>
    <x:row r="3114" ht="23" customHeight="1">
      <x:c r="A3114" s="2" t="str">
        <x:v>Q9QYR6</x:v>
      </x:c>
      <x:c r="B3114" s="2" t="str">
        <x:v>UN</x:v>
      </x:c>
      <x:c r="C3114" s="2"/>
      <x:c r="D3114" s="2"/>
      <x:c r="E3114" s="10"/>
      <x:c r="F3114" s="11"/>
      <x:c r="G3114" s="11" t="n">
        <x:v>0</x:v>
      </x:c>
      <x:c r="H3114" s="11" t="n">
        <x:v>0</x:v>
      </x:c>
      <x:c r="I3114" s="11" t="n">
        <x:v>0</x:v>
      </x:c>
      <x:c r="J3114" s="11" t="n">
        <x:v>0</x:v>
      </x:c>
      <x:c r="K3114" s="11" t="n">
        <x:v>0</x:v>
      </x:c>
      <x:c r="L3114" s="11" t="n">
        <x:f>IF(B3114="NED",1,IF(OR(B3114="ED",B3114="UN"),0,""))</x:f>
        <x:v>0</x:v>
      </x:c>
      <x:c r="M3114" s="11" t="n">
        <x:f>IF(AND(K3114=1,OR(B3114="ED",B3114="NED")),1,0)</x:f>
        <x:v>0</x:v>
      </x:c>
      <x:c r="N3114" s="11" t="n">
        <x:f>IF(K3114=1,1,0)</x:f>
        <x:v>0</x:v>
      </x:c>
      <x:c r="O3114" s="12" t="str">
        <x:v>Require exact native accession match</x:v>
      </x:c>
      <x:c r="P3114" s="11" t="n">
        <x:v>0</x:v>
      </x:c>
      <x:c r="Q3114" s="12"/>
      <x:c r="R3114" s="12"/>
      <x:c r="S3114" s="11" t="n">
        <x:v>2580</x:v>
      </x:c>
      <x:c r="T3114" s="11" t="n">
        <x:v>2776</x:v>
      </x:c>
    </x:row>
    <x:row r="3115" ht="23" customHeight="1">
      <x:c r="A3115" s="2" t="str">
        <x:v>Q9QYR9</x:v>
      </x:c>
      <x:c r="B3115" s="2" t="str">
        <x:v>UN</x:v>
      </x:c>
      <x:c r="C3115" s="2" t="n">
        <x:v>1</x:v>
      </x:c>
      <x:c r="D3115" s="2" t="n">
        <x:v>1</x:v>
      </x:c>
      <x:c r="E3115" s="10" t="n">
        <x:v>91.07388520971304</x:v>
      </x:c>
      <x:c r="F3115" s="11" t="n">
        <x:v>453</x:v>
      </x:c>
      <x:c r="G3115" s="11" t="n">
        <x:v>0</x:v>
      </x:c>
      <x:c r="H3115" s="11" t="n">
        <x:v>0</x:v>
      </x:c>
      <x:c r="I3115" s="11" t="n">
        <x:v>0</x:v>
      </x:c>
      <x:c r="J3115" s="11" t="n">
        <x:v>0</x:v>
      </x:c>
      <x:c r="K3115" s="11" t="n">
        <x:v>1</x:v>
      </x:c>
      <x:c r="L3115" s="11" t="n">
        <x:f>IF(B3115="NED",1,IF(OR(B3115="ED",B3115="UN"),0,""))</x:f>
        <x:v>0</x:v>
      </x:c>
      <x:c r="M3115" s="11" t="n">
        <x:f>IF(AND(K3115=1,OR(B3115="ED",B3115="NED")),1,0)</x:f>
        <x:v>0</x:v>
      </x:c>
      <x:c r="N3115" s="11" t="n">
        <x:f>IF(K3115=1,1,0)</x:f>
        <x:v>1</x:v>
      </x:c>
      <x:c r="O3115" s="12"/>
      <x:c r="P3115" s="11" t="n">
        <x:v>0</x:v>
      </x:c>
      <x:c r="Q3115" s="12" t="str">
        <x:v>AF-Q9QYR9-F1-model_v6</x:v>
      </x:c>
      <x:c r="R3115" s="12" t="str">
        <x:v>ok</x:v>
      </x:c>
      <x:c r="S3115" s="11" t="n">
        <x:v>2581</x:v>
      </x:c>
      <x:c r="T3115" s="11" t="n">
        <x:v>453</x:v>
      </x:c>
    </x:row>
    <x:row r="3116" ht="23" customHeight="1">
      <x:c r="A3116" s="2" t="str">
        <x:v>Q9QYS9-8</x:v>
      </x:c>
      <x:c r="B3116" s="2" t="str">
        <x:v>ED</x:v>
      </x:c>
      <x:c r="C3116" s="2"/>
      <x:c r="D3116" s="2"/>
      <x:c r="E3116" s="10"/>
      <x:c r="F3116" s="11"/>
      <x:c r="G3116" s="11" t="n">
        <x:v>0</x:v>
      </x:c>
      <x:c r="H3116" s="11" t="n">
        <x:v>0</x:v>
      </x:c>
      <x:c r="I3116" s="11"/>
      <x:c r="J3116" s="11"/>
      <x:c r="K3116" s="11" t="n">
        <x:v>0</x:v>
      </x:c>
      <x:c r="L3116" s="11" t="n">
        <x:f>IF(B3116="NED",1,IF(OR(B3116="ED",B3116="UN"),0,""))</x:f>
        <x:v>0</x:v>
      </x:c>
      <x:c r="M3116" s="11" t="n">
        <x:f>IF(AND(K3116=1,OR(B3116="ED",B3116="NED")),1,0)</x:f>
        <x:v>0</x:v>
      </x:c>
      <x:c r="N3116" s="11" t="n">
        <x:f>IF(K3116=1,1,0)</x:f>
        <x:v>0</x:v>
      </x:c>
      <x:c r="O3116" s="12" t="str">
        <x:v>Require exact native accession match</x:v>
      </x:c>
      <x:c r="P3116" s="11" t="n">
        <x:v>0</x:v>
      </x:c>
      <x:c r="Q3116" s="12"/>
      <x:c r="R3116" s="12"/>
      <x:c r="S3116" s="11" t="n">
        <x:v>2582</x:v>
      </x:c>
      <x:c r="T3116" s="11"/>
    </x:row>
    <x:row r="3117" ht="23" customHeight="1">
      <x:c r="A3117" s="2" t="str">
        <x:v>Q9QZ06</x:v>
      </x:c>
      <x:c r="B3117" s="2" t="str">
        <x:v>ED</x:v>
      </x:c>
      <x:c r="C3117" s="2" t="n">
        <x:v>1</x:v>
      </x:c>
      <x:c r="D3117" s="2" t="n">
        <x:v>1</x:v>
      </x:c>
      <x:c r="E3117" s="10" t="n">
        <x:v>79.92171532846714</x:v>
      </x:c>
      <x:c r="F3117" s="11" t="n">
        <x:v>274</x:v>
      </x:c>
      <x:c r="G3117" s="11" t="n">
        <x:v>0</x:v>
      </x:c>
      <x:c r="H3117" s="11" t="n">
        <x:v>0</x:v>
      </x:c>
      <x:c r="I3117" s="11" t="n">
        <x:v>0</x:v>
      </x:c>
      <x:c r="J3117" s="11" t="n">
        <x:v>0</x:v>
      </x:c>
      <x:c r="K3117" s="11" t="n">
        <x:v>1</x:v>
      </x:c>
      <x:c r="L3117" s="11" t="n">
        <x:f>IF(B3117="NED",1,IF(OR(B3117="ED",B3117="UN"),0,""))</x:f>
        <x:v>0</x:v>
      </x:c>
      <x:c r="M3117" s="11" t="n">
        <x:f>IF(AND(K3117=1,OR(B3117="ED",B3117="NED")),1,0)</x:f>
        <x:v>1</x:v>
      </x:c>
      <x:c r="N3117" s="11" t="n">
        <x:f>IF(K3117=1,1,0)</x:f>
        <x:v>1</x:v>
      </x:c>
      <x:c r="O3117" s="12"/>
      <x:c r="P3117" s="11" t="n">
        <x:v>0</x:v>
      </x:c>
      <x:c r="Q3117" s="12" t="str">
        <x:v>AF-Q9QZ06-F1-model_v6</x:v>
      </x:c>
      <x:c r="R3117" s="12" t="str">
        <x:v>ok</x:v>
      </x:c>
      <x:c r="S3117" s="11" t="n">
        <x:v>2583</x:v>
      </x:c>
      <x:c r="T3117" s="11" t="n">
        <x:v>274</x:v>
      </x:c>
    </x:row>
    <x:row r="3118" ht="23" customHeight="1">
      <x:c r="A3118" s="2" t="str">
        <x:v>Q9QZ23</x:v>
      </x:c>
      <x:c r="B3118" s="2" t="str">
        <x:v>ED</x:v>
      </x:c>
      <x:c r="C3118" s="2" t="n">
        <x:v>1</x:v>
      </x:c>
      <x:c r="D3118" s="2" t="n">
        <x:v>1</x:v>
      </x:c>
      <x:c r="E3118" s="10" t="n">
        <x:v>79.18866666666666</x:v>
      </x:c>
      <x:c r="F3118" s="11" t="n">
        <x:v>255</x:v>
      </x:c>
      <x:c r="G3118" s="11" t="n">
        <x:v>0</x:v>
      </x:c>
      <x:c r="H3118" s="11" t="n">
        <x:v>0</x:v>
      </x:c>
      <x:c r="I3118" s="11" t="n">
        <x:v>0</x:v>
      </x:c>
      <x:c r="J3118" s="11" t="n">
        <x:v>0</x:v>
      </x:c>
      <x:c r="K3118" s="11" t="n">
        <x:v>1</x:v>
      </x:c>
      <x:c r="L3118" s="11" t="n">
        <x:f>IF(B3118="NED",1,IF(OR(B3118="ED",B3118="UN"),0,""))</x:f>
        <x:v>0</x:v>
      </x:c>
      <x:c r="M3118" s="11" t="n">
        <x:f>IF(AND(K3118=1,OR(B3118="ED",B3118="NED")),1,0)</x:f>
        <x:v>1</x:v>
      </x:c>
      <x:c r="N3118" s="11" t="n">
        <x:f>IF(K3118=1,1,0)</x:f>
        <x:v>1</x:v>
      </x:c>
      <x:c r="O3118" s="12"/>
      <x:c r="P3118" s="11" t="n">
        <x:v>0</x:v>
      </x:c>
      <x:c r="Q3118" s="12" t="str">
        <x:v>AF-Q9QZ23-F1-model_v6</x:v>
      </x:c>
      <x:c r="R3118" s="12" t="str">
        <x:v>ok</x:v>
      </x:c>
      <x:c r="S3118" s="11" t="n">
        <x:v>2584</x:v>
      </x:c>
      <x:c r="T3118" s="11" t="n">
        <x:v>255</x:v>
      </x:c>
    </x:row>
    <x:row r="3119" ht="23" customHeight="1">
      <x:c r="A3119" s="2" t="str">
        <x:v>Q9QZB7</x:v>
      </x:c>
      <x:c r="B3119" s="2" t="str">
        <x:v>UN</x:v>
      </x:c>
      <x:c r="C3119" s="2" t="n">
        <x:v>1</x:v>
      </x:c>
      <x:c r="D3119" s="2" t="n">
        <x:v>1</x:v>
      </x:c>
      <x:c r="E3119" s="10" t="n">
        <x:v>83.24220623501199</x:v>
      </x:c>
      <x:c r="F3119" s="11" t="n">
        <x:v>417</x:v>
      </x:c>
      <x:c r="G3119" s="11" t="n">
        <x:v>0</x:v>
      </x:c>
      <x:c r="H3119" s="11" t="n">
        <x:v>0</x:v>
      </x:c>
      <x:c r="I3119" s="11" t="n">
        <x:v>0</x:v>
      </x:c>
      <x:c r="J3119" s="11" t="n">
        <x:v>0</x:v>
      </x:c>
      <x:c r="K3119" s="11" t="n">
        <x:v>1</x:v>
      </x:c>
      <x:c r="L3119" s="11" t="n">
        <x:f>IF(B3119="NED",1,IF(OR(B3119="ED",B3119="UN"),0,""))</x:f>
        <x:v>0</x:v>
      </x:c>
      <x:c r="M3119" s="11" t="n">
        <x:f>IF(AND(K3119=1,OR(B3119="ED",B3119="NED")),1,0)</x:f>
        <x:v>0</x:v>
      </x:c>
      <x:c r="N3119" s="11" t="n">
        <x:f>IF(K3119=1,1,0)</x:f>
        <x:v>1</x:v>
      </x:c>
      <x:c r="O3119" s="12"/>
      <x:c r="P3119" s="11" t="n">
        <x:v>0</x:v>
      </x:c>
      <x:c r="Q3119" s="12" t="str">
        <x:v>AF-Q9QZB7-F1-model_v6</x:v>
      </x:c>
      <x:c r="R3119" s="12" t="str">
        <x:v>ok</x:v>
      </x:c>
      <x:c r="S3119" s="11" t="n">
        <x:v>2585</x:v>
      </x:c>
      <x:c r="T3119" s="11" t="n">
        <x:v>417</x:v>
      </x:c>
    </x:row>
    <x:row r="3120" ht="23" customHeight="1">
      <x:c r="A3120" s="2" t="str">
        <x:v>Q9QZD8</x:v>
      </x:c>
      <x:c r="B3120" s="2" t="str">
        <x:v>UN</x:v>
      </x:c>
      <x:c r="C3120" s="2" t="n">
        <x:v>0</x:v>
      </x:c>
      <x:c r="D3120" s="2" t="n">
        <x:v>0</x:v>
      </x:c>
      <x:c r="E3120" s="10"/>
      <x:c r="F3120" s="11" t="n">
        <x:v>287</x:v>
      </x:c>
      <x:c r="G3120" s="11" t="n">
        <x:v>0</x:v>
      </x:c>
      <x:c r="H3120" s="11" t="n">
        <x:v>0</x:v>
      </x:c>
      <x:c r="I3120" s="11" t="n">
        <x:v>1</x:v>
      </x:c>
      <x:c r="J3120" s="11" t="n">
        <x:v>0</x:v>
      </x:c>
      <x:c r="K3120" s="11" t="n">
        <x:v>0</x:v>
      </x:c>
      <x:c r="L3120" s="11" t="n">
        <x:f>IF(B3120="NED",1,IF(OR(B3120="ED",B3120="UN"),0,""))</x:f>
        <x:v>0</x:v>
      </x:c>
      <x:c r="M3120" s="11" t="n">
        <x:f>IF(AND(K3120=1,OR(B3120="ED",B3120="NED")),1,0)</x:f>
        <x:v>0</x:v>
      </x:c>
      <x:c r="N3120" s="11" t="n">
        <x:f>IF(K3120=1,1,0)</x:f>
        <x:v>0</x:v>
      </x:c>
      <x:c r="O3120" s="12" t="str">
        <x:v>Exclude UniProt Membrane keyword</x:v>
      </x:c>
      <x:c r="P3120" s="11" t="n">
        <x:v>0</x:v>
      </x:c>
      <x:c r="Q3120" s="12" t="str">
        <x:v>AF-Q9QZD8-F1-model_v6</x:v>
      </x:c>
      <x:c r="R3120" s="12" t="str">
        <x:v>ok</x:v>
      </x:c>
      <x:c r="S3120" s="11" t="n">
        <x:v>2586</x:v>
      </x:c>
      <x:c r="T3120" s="11" t="n">
        <x:v>287</x:v>
      </x:c>
    </x:row>
    <x:row r="3121" ht="23" customHeight="1">
      <x:c r="A3121" s="2" t="str">
        <x:v>Q9QZD9</x:v>
      </x:c>
      <x:c r="B3121" s="2" t="str">
        <x:v>ED</x:v>
      </x:c>
      <x:c r="C3121" s="2" t="n">
        <x:v>1</x:v>
      </x:c>
      <x:c r="D3121" s="2" t="n">
        <x:v>1</x:v>
      </x:c>
      <x:c r="E3121" s="10" t="n">
        <x:v>91.74403076923078</x:v>
      </x:c>
      <x:c r="F3121" s="11" t="n">
        <x:v>325</x:v>
      </x:c>
      <x:c r="G3121" s="11" t="n">
        <x:v>0</x:v>
      </x:c>
      <x:c r="H3121" s="11" t="n">
        <x:v>0</x:v>
      </x:c>
      <x:c r="I3121" s="11" t="n">
        <x:v>0</x:v>
      </x:c>
      <x:c r="J3121" s="11" t="n">
        <x:v>0</x:v>
      </x:c>
      <x:c r="K3121" s="11" t="n">
        <x:v>1</x:v>
      </x:c>
      <x:c r="L3121" s="11" t="n">
        <x:f>IF(B3121="NED",1,IF(OR(B3121="ED",B3121="UN"),0,""))</x:f>
        <x:v>0</x:v>
      </x:c>
      <x:c r="M3121" s="11" t="n">
        <x:f>IF(AND(K3121=1,OR(B3121="ED",B3121="NED")),1,0)</x:f>
        <x:v>1</x:v>
      </x:c>
      <x:c r="N3121" s="11" t="n">
        <x:f>IF(K3121=1,1,0)</x:f>
        <x:v>1</x:v>
      </x:c>
      <x:c r="O3121" s="12"/>
      <x:c r="P3121" s="11" t="n">
        <x:v>0</x:v>
      </x:c>
      <x:c r="Q3121" s="12" t="str">
        <x:v>AF-Q9QZD9-F1-model_v6</x:v>
      </x:c>
      <x:c r="R3121" s="12" t="str">
        <x:v>ok</x:v>
      </x:c>
      <x:c r="S3121" s="11" t="n">
        <x:v>2587</x:v>
      </x:c>
      <x:c r="T3121" s="11" t="n">
        <x:v>325</x:v>
      </x:c>
    </x:row>
    <x:row r="3122" ht="23" customHeight="1">
      <x:c r="A3122" s="2" t="str">
        <x:v>Q9QZE5</x:v>
      </x:c>
      <x:c r="B3122" s="2" t="str">
        <x:v>NED</x:v>
      </x:c>
      <x:c r="C3122" s="2" t="n">
        <x:v>1</x:v>
      </x:c>
      <x:c r="D3122" s="2" t="n">
        <x:v>1</x:v>
      </x:c>
      <x:c r="E3122" s="10"/>
      <x:c r="F3122" s="11" t="n">
        <x:v>874</x:v>
      </x:c>
      <x:c r="G3122" s="11" t="n">
        <x:v>0</x:v>
      </x:c>
      <x:c r="H3122" s="11" t="n">
        <x:v>0</x:v>
      </x:c>
      <x:c r="I3122" s="11" t="n">
        <x:v>1</x:v>
      </x:c>
      <x:c r="J3122" s="11" t="n">
        <x:v>0</x:v>
      </x:c>
      <x:c r="K3122" s="11" t="n">
        <x:v>0</x:v>
      </x:c>
      <x:c r="L3122" s="11" t="n">
        <x:f>IF(B3122="NED",1,IF(OR(B3122="ED",B3122="UN"),0,""))</x:f>
        <x:v>1</x:v>
      </x:c>
      <x:c r="M3122" s="11" t="n">
        <x:f>IF(AND(K3122=1,OR(B3122="ED",B3122="NED")),1,0)</x:f>
        <x:v>0</x:v>
      </x:c>
      <x:c r="N3122" s="11" t="n">
        <x:f>IF(K3122=1,1,0)</x:f>
        <x:v>0</x:v>
      </x:c>
      <x:c r="O3122" s="12" t="str">
        <x:v>Exclude UniProt Membrane keyword</x:v>
      </x:c>
      <x:c r="P3122" s="11" t="n">
        <x:v>0</x:v>
      </x:c>
      <x:c r="Q3122" s="12" t="str">
        <x:v>AF-Q9QZE5-F1-model_v6</x:v>
      </x:c>
      <x:c r="R3122" s="12" t="str">
        <x:v>ok</x:v>
      </x:c>
      <x:c r="S3122" s="11" t="n">
        <x:v>2588</x:v>
      </x:c>
      <x:c r="T3122" s="11" t="n">
        <x:v>874</x:v>
      </x:c>
    </x:row>
    <x:row r="3123" ht="23" customHeight="1">
      <x:c r="A3123" s="2" t="str">
        <x:v>Q9QZF2</x:v>
      </x:c>
      <x:c r="B3123" s="2" t="str">
        <x:v>UN</x:v>
      </x:c>
      <x:c r="C3123" s="2" t="n">
        <x:v>1</x:v>
      </x:c>
      <x:c r="D3123" s="2" t="n">
        <x:v>1</x:v>
      </x:c>
      <x:c r="E3123" s="10"/>
      <x:c r="F3123" s="11" t="n">
        <x:v>557</x:v>
      </x:c>
      <x:c r="G3123" s="11" t="n">
        <x:v>0</x:v>
      </x:c>
      <x:c r="H3123" s="11" t="n">
        <x:v>0</x:v>
      </x:c>
      <x:c r="I3123" s="11" t="n">
        <x:v>1</x:v>
      </x:c>
      <x:c r="J3123" s="11" t="n">
        <x:v>1</x:v>
      </x:c>
      <x:c r="K3123" s="11" t="n">
        <x:v>0</x:v>
      </x:c>
      <x:c r="L3123" s="11" t="n">
        <x:f>IF(B3123="NED",1,IF(OR(B3123="ED",B3123="UN"),0,""))</x:f>
        <x:v>0</x:v>
      </x:c>
      <x:c r="M3123" s="11" t="n">
        <x:f>IF(AND(K3123=1,OR(B3123="ED",B3123="NED")),1,0)</x:f>
        <x:v>0</x:v>
      </x:c>
      <x:c r="N3123" s="11" t="n">
        <x:f>IF(K3123=1,1,0)</x:f>
        <x:v>0</x:v>
      </x:c>
      <x:c r="O3123" s="12" t="str">
        <x:v>Exclude UniProt Membrane keyword</x:v>
      </x:c>
      <x:c r="P3123" s="11" t="n">
        <x:v>0</x:v>
      </x:c>
      <x:c r="Q3123" s="12" t="str">
        <x:v>AF-Q9QZF2-F1-model_v6</x:v>
      </x:c>
      <x:c r="R3123" s="12" t="str">
        <x:v>ok</x:v>
      </x:c>
      <x:c r="S3123" s="11" t="n">
        <x:v>2589</x:v>
      </x:c>
      <x:c r="T3123" s="11" t="n">
        <x:v>557</x:v>
      </x:c>
    </x:row>
    <x:row r="3124" ht="23" customHeight="1">
      <x:c r="A3124" s="2" t="str">
        <x:v>Q9QZL0</x:v>
      </x:c>
      <x:c r="B3124" s="2" t="str">
        <x:v>ED</x:v>
      </x:c>
      <x:c r="C3124" s="2" t="n">
        <x:v>1</x:v>
      </x:c>
      <x:c r="D3124" s="2" t="n">
        <x:v>1</x:v>
      </x:c>
      <x:c r="E3124" s="10" t="n">
        <x:v>67.97559670781892</x:v>
      </x:c>
      <x:c r="F3124" s="11" t="n">
        <x:v>486</x:v>
      </x:c>
      <x:c r="G3124" s="11" t="n">
        <x:v>0</x:v>
      </x:c>
      <x:c r="H3124" s="11" t="n">
        <x:v>0</x:v>
      </x:c>
      <x:c r="I3124" s="11" t="n">
        <x:v>0</x:v>
      </x:c>
      <x:c r="J3124" s="11" t="n">
        <x:v>0</x:v>
      </x:c>
      <x:c r="K3124" s="11" t="n">
        <x:v>0</x:v>
      </x:c>
      <x:c r="L3124" s="11" t="n">
        <x:f>IF(B3124="NED",1,IF(OR(B3124="ED",B3124="UN"),0,""))</x:f>
        <x:v>0</x:v>
      </x:c>
      <x:c r="M3124" s="11" t="n">
        <x:f>IF(AND(K3124=1,OR(B3124="ED",B3124="NED")),1,0)</x:f>
        <x:v>0</x:v>
      </x:c>
      <x:c r="N3124" s="11" t="n">
        <x:f>IF(K3124=1,1,0)</x:f>
        <x:v>0</x:v>
      </x:c>
      <x:c r="O3124" s="12" t="str">
        <x:v>Retain protein mean pLDDT &gt;=70</x:v>
      </x:c>
      <x:c r="P3124" s="11" t="n">
        <x:v>0</x:v>
      </x:c>
      <x:c r="Q3124" s="12" t="str">
        <x:v>AF-Q9QZL0-F1-model_v6</x:v>
      </x:c>
      <x:c r="R3124" s="12" t="str">
        <x:v>ok</x:v>
      </x:c>
      <x:c r="S3124" s="11" t="n">
        <x:v>2590</x:v>
      </x:c>
      <x:c r="T3124" s="11" t="n">
        <x:v>486</x:v>
      </x:c>
    </x:row>
    <x:row r="3125" ht="23" customHeight="1">
      <x:c r="A3125" s="2" t="str">
        <x:v>Q9QZM0</x:v>
      </x:c>
      <x:c r="B3125" s="2" t="str">
        <x:v>ED</x:v>
      </x:c>
      <x:c r="C3125" s="2" t="n">
        <x:v>1</x:v>
      </x:c>
      <x:c r="D3125" s="2"/>
      <x:c r="E3125" s="10"/>
      <x:c r="F3125" s="11" t="n">
        <x:v>638</x:v>
      </x:c>
      <x:c r="G3125" s="11" t="n">
        <x:v>0</x:v>
      </x:c>
      <x:c r="H3125" s="11" t="n">
        <x:v>0</x:v>
      </x:c>
      <x:c r="I3125" s="11" t="n">
        <x:v>1</x:v>
      </x:c>
      <x:c r="J3125" s="11" t="n">
        <x:v>0</x:v>
      </x:c>
      <x:c r="K3125" s="11" t="n">
        <x:v>0</x:v>
      </x:c>
      <x:c r="L3125" s="11" t="n">
        <x:f>IF(B3125="NED",1,IF(OR(B3125="ED",B3125="UN"),0,""))</x:f>
        <x:v>0</x:v>
      </x:c>
      <x:c r="M3125" s="11" t="n">
        <x:f>IF(AND(K3125=1,OR(B3125="ED",B3125="NED")),1,0)</x:f>
        <x:v>0</x:v>
      </x:c>
      <x:c r="N3125" s="11" t="n">
        <x:f>IF(K3125=1,1,0)</x:f>
        <x:v>0</x:v>
      </x:c>
      <x:c r="O3125" s="12" t="str">
        <x:v>Exclude UniProt Membrane keyword</x:v>
      </x:c>
      <x:c r="P3125" s="11" t="n">
        <x:v>0</x:v>
      </x:c>
      <x:c r="Q3125" s="12" t="str">
        <x:v>AF-Q9QZM0-F1-model_v6</x:v>
      </x:c>
      <x:c r="R3125" s="12" t="str">
        <x:v>ok</x:v>
      </x:c>
      <x:c r="S3125" s="11" t="n">
        <x:v>2591</x:v>
      </x:c>
      <x:c r="T3125" s="11" t="n">
        <x:v>638</x:v>
      </x:c>
    </x:row>
    <x:row r="3126" ht="23" customHeight="1">
      <x:c r="A3126" s="2" t="str">
        <x:v>Q9QZQ1-2</x:v>
      </x:c>
      <x:c r="B3126" s="2" t="str">
        <x:v>ED</x:v>
      </x:c>
      <x:c r="C3126" s="2"/>
      <x:c r="D3126" s="2"/>
      <x:c r="E3126" s="10"/>
      <x:c r="F3126" s="11"/>
      <x:c r="G3126" s="11" t="n">
        <x:v>0</x:v>
      </x:c>
      <x:c r="H3126" s="11" t="n">
        <x:v>0</x:v>
      </x:c>
      <x:c r="I3126" s="11"/>
      <x:c r="J3126" s="11"/>
      <x:c r="K3126" s="11" t="n">
        <x:v>0</x:v>
      </x:c>
      <x:c r="L3126" s="11" t="n">
        <x:f>IF(B3126="NED",1,IF(OR(B3126="ED",B3126="UN"),0,""))</x:f>
        <x:v>0</x:v>
      </x:c>
      <x:c r="M3126" s="11" t="n">
        <x:f>IF(AND(K3126=1,OR(B3126="ED",B3126="NED")),1,0)</x:f>
        <x:v>0</x:v>
      </x:c>
      <x:c r="N3126" s="11" t="n">
        <x:f>IF(K3126=1,1,0)</x:f>
        <x:v>0</x:v>
      </x:c>
      <x:c r="O3126" s="12" t="str">
        <x:v>Require exact native accession match</x:v>
      </x:c>
      <x:c r="P3126" s="11" t="n">
        <x:v>0</x:v>
      </x:c>
      <x:c r="Q3126" s="12"/>
      <x:c r="R3126" s="12"/>
      <x:c r="S3126" s="11" t="n">
        <x:v>2592</x:v>
      </x:c>
      <x:c r="T3126" s="11"/>
    </x:row>
    <x:row r="3127" ht="23" customHeight="1">
      <x:c r="A3127" s="2" t="str">
        <x:v>Q9QZQ8</x:v>
      </x:c>
      <x:c r="B3127" s="2" t="str">
        <x:v>UN</x:v>
      </x:c>
      <x:c r="C3127" s="2" t="n">
        <x:v>1</x:v>
      </x:c>
      <x:c r="D3127" s="2" t="n">
        <x:v>1</x:v>
      </x:c>
      <x:c r="E3127" s="10" t="n">
        <x:v>83.46807588075882</x:v>
      </x:c>
      <x:c r="F3127" s="11" t="n">
        <x:v>369</x:v>
      </x:c>
      <x:c r="G3127" s="11" t="n">
        <x:v>0</x:v>
      </x:c>
      <x:c r="H3127" s="11" t="n">
        <x:v>0</x:v>
      </x:c>
      <x:c r="I3127" s="11" t="n">
        <x:v>0</x:v>
      </x:c>
      <x:c r="J3127" s="11" t="n">
        <x:v>0</x:v>
      </x:c>
      <x:c r="K3127" s="11" t="n">
        <x:v>1</x:v>
      </x:c>
      <x:c r="L3127" s="11" t="n">
        <x:f>IF(B3127="NED",1,IF(OR(B3127="ED",B3127="UN"),0,""))</x:f>
        <x:v>0</x:v>
      </x:c>
      <x:c r="M3127" s="11" t="n">
        <x:f>IF(AND(K3127=1,OR(B3127="ED",B3127="NED")),1,0)</x:f>
        <x:v>0</x:v>
      </x:c>
      <x:c r="N3127" s="11" t="n">
        <x:f>IF(K3127=1,1,0)</x:f>
        <x:v>1</x:v>
      </x:c>
      <x:c r="O3127" s="12"/>
      <x:c r="P3127" s="11" t="n">
        <x:v>0</x:v>
      </x:c>
      <x:c r="Q3127" s="12" t="str">
        <x:v>AF-Q9QZQ8-F1-model_v6</x:v>
      </x:c>
      <x:c r="R3127" s="12" t="str">
        <x:v>ok</x:v>
      </x:c>
      <x:c r="S3127" s="11" t="n">
        <x:v>2593</x:v>
      </x:c>
      <x:c r="T3127" s="11" t="n">
        <x:v>369</x:v>
      </x:c>
    </x:row>
    <x:row r="3128" ht="23" customHeight="1">
      <x:c r="A3128" s="2" t="str">
        <x:v>Q9QZS3-4</x:v>
      </x:c>
      <x:c r="B3128" s="2" t="str">
        <x:v>ED</x:v>
      </x:c>
      <x:c r="C3128" s="2"/>
      <x:c r="D3128" s="2"/>
      <x:c r="E3128" s="10"/>
      <x:c r="F3128" s="11"/>
      <x:c r="G3128" s="11" t="n">
        <x:v>0</x:v>
      </x:c>
      <x:c r="H3128" s="11" t="n">
        <x:v>0</x:v>
      </x:c>
      <x:c r="I3128" s="11"/>
      <x:c r="J3128" s="11"/>
      <x:c r="K3128" s="11" t="n">
        <x:v>0</x:v>
      </x:c>
      <x:c r="L3128" s="11" t="n">
        <x:f>IF(B3128="NED",1,IF(OR(B3128="ED",B3128="UN"),0,""))</x:f>
        <x:v>0</x:v>
      </x:c>
      <x:c r="M3128" s="11" t="n">
        <x:f>IF(AND(K3128=1,OR(B3128="ED",B3128="NED")),1,0)</x:f>
        <x:v>0</x:v>
      </x:c>
      <x:c r="N3128" s="11" t="n">
        <x:f>IF(K3128=1,1,0)</x:f>
        <x:v>0</x:v>
      </x:c>
      <x:c r="O3128" s="12" t="str">
        <x:v>Require exact native accession match</x:v>
      </x:c>
      <x:c r="P3128" s="11" t="n">
        <x:v>0</x:v>
      </x:c>
      <x:c r="Q3128" s="12"/>
      <x:c r="R3128" s="12"/>
      <x:c r="S3128" s="11" t="n">
        <x:v>2594</x:v>
      </x:c>
      <x:c r="T3128" s="11"/>
    </x:row>
    <x:row r="3129" ht="23" customHeight="1">
      <x:c r="A3129" s="2" t="str">
        <x:v>Q9R049-2</x:v>
      </x:c>
      <x:c r="B3129" s="2" t="str">
        <x:v>ED</x:v>
      </x:c>
      <x:c r="C3129" s="2"/>
      <x:c r="D3129" s="2"/>
      <x:c r="E3129" s="10"/>
      <x:c r="F3129" s="11"/>
      <x:c r="G3129" s="11" t="n">
        <x:v>0</x:v>
      </x:c>
      <x:c r="H3129" s="11" t="n">
        <x:v>0</x:v>
      </x:c>
      <x:c r="I3129" s="11"/>
      <x:c r="J3129" s="11"/>
      <x:c r="K3129" s="11" t="n">
        <x:v>0</x:v>
      </x:c>
      <x:c r="L3129" s="11" t="n">
        <x:f>IF(B3129="NED",1,IF(OR(B3129="ED",B3129="UN"),0,""))</x:f>
        <x:v>0</x:v>
      </x:c>
      <x:c r="M3129" s="11" t="n">
        <x:f>IF(AND(K3129=1,OR(B3129="ED",B3129="NED")),1,0)</x:f>
        <x:v>0</x:v>
      </x:c>
      <x:c r="N3129" s="11" t="n">
        <x:f>IF(K3129=1,1,0)</x:f>
        <x:v>0</x:v>
      </x:c>
      <x:c r="O3129" s="12" t="str">
        <x:v>Require exact native accession match</x:v>
      </x:c>
      <x:c r="P3129" s="11" t="n">
        <x:v>0</x:v>
      </x:c>
      <x:c r="Q3129" s="12"/>
      <x:c r="R3129" s="12"/>
      <x:c r="S3129" s="11" t="n">
        <x:v>2595</x:v>
      </x:c>
      <x:c r="T3129" s="11"/>
    </x:row>
    <x:row r="3130" ht="23" customHeight="1">
      <x:c r="A3130" s="2" t="str">
        <x:v>Q9R060</x:v>
      </x:c>
      <x:c r="B3130" s="2" t="str">
        <x:v>ED</x:v>
      </x:c>
      <x:c r="C3130" s="2" t="n">
        <x:v>1</x:v>
      </x:c>
      <x:c r="D3130" s="2" t="n">
        <x:v>1</x:v>
      </x:c>
      <x:c r="E3130" s="10" t="n">
        <x:v>89.92303125</x:v>
      </x:c>
      <x:c r="F3130" s="11" t="n">
        <x:v>320</x:v>
      </x:c>
      <x:c r="G3130" s="11" t="n">
        <x:v>0</x:v>
      </x:c>
      <x:c r="H3130" s="11" t="n">
        <x:v>0</x:v>
      </x:c>
      <x:c r="I3130" s="11" t="n">
        <x:v>0</x:v>
      </x:c>
      <x:c r="J3130" s="11" t="n">
        <x:v>0</x:v>
      </x:c>
      <x:c r="K3130" s="11" t="n">
        <x:v>1</x:v>
      </x:c>
      <x:c r="L3130" s="11" t="n">
        <x:f>IF(B3130="NED",1,IF(OR(B3130="ED",B3130="UN"),0,""))</x:f>
        <x:v>0</x:v>
      </x:c>
      <x:c r="M3130" s="11" t="n">
        <x:f>IF(AND(K3130=1,OR(B3130="ED",B3130="NED")),1,0)</x:f>
        <x:v>1</x:v>
      </x:c>
      <x:c r="N3130" s="11" t="n">
        <x:f>IF(K3130=1,1,0)</x:f>
        <x:v>1</x:v>
      </x:c>
      <x:c r="O3130" s="12"/>
      <x:c r="P3130" s="11" t="n">
        <x:v>0</x:v>
      </x:c>
      <x:c r="Q3130" s="12" t="str">
        <x:v>AF-Q9R060-F1-model_v6</x:v>
      </x:c>
      <x:c r="R3130" s="12" t="str">
        <x:v>ok</x:v>
      </x:c>
      <x:c r="S3130" s="11" t="n">
        <x:v>2596</x:v>
      </x:c>
      <x:c r="T3130" s="11" t="n">
        <x:v>320</x:v>
      </x:c>
    </x:row>
    <x:row r="3131" ht="23" customHeight="1">
      <x:c r="A3131" s="2" t="str">
        <x:v>Q9R061</x:v>
      </x:c>
      <x:c r="B3131" s="2" t="str">
        <x:v>UN</x:v>
      </x:c>
      <x:c r="C3131" s="2" t="n">
        <x:v>1</x:v>
      </x:c>
      <x:c r="D3131" s="2" t="n">
        <x:v>1</x:v>
      </x:c>
      <x:c r="E3131" s="10" t="n">
        <x:v>89.7886909090909</x:v>
      </x:c>
      <x:c r="F3131" s="11" t="n">
        <x:v>275</x:v>
      </x:c>
      <x:c r="G3131" s="11" t="n">
        <x:v>0</x:v>
      </x:c>
      <x:c r="H3131" s="11" t="n">
        <x:v>0</x:v>
      </x:c>
      <x:c r="I3131" s="11" t="n">
        <x:v>0</x:v>
      </x:c>
      <x:c r="J3131" s="11" t="n">
        <x:v>0</x:v>
      </x:c>
      <x:c r="K3131" s="11" t="n">
        <x:v>1</x:v>
      </x:c>
      <x:c r="L3131" s="11" t="n">
        <x:f>IF(B3131="NED",1,IF(OR(B3131="ED",B3131="UN"),0,""))</x:f>
        <x:v>0</x:v>
      </x:c>
      <x:c r="M3131" s="11" t="n">
        <x:f>IF(AND(K3131=1,OR(B3131="ED",B3131="NED")),1,0)</x:f>
        <x:v>0</x:v>
      </x:c>
      <x:c r="N3131" s="11" t="n">
        <x:f>IF(K3131=1,1,0)</x:f>
        <x:v>1</x:v>
      </x:c>
      <x:c r="O3131" s="12"/>
      <x:c r="P3131" s="11" t="n">
        <x:v>0</x:v>
      </x:c>
      <x:c r="Q3131" s="12" t="str">
        <x:v>AF-Q9R061-F1-model_v6</x:v>
      </x:c>
      <x:c r="R3131" s="12" t="str">
        <x:v>ok</x:v>
      </x:c>
      <x:c r="S3131" s="11" t="n">
        <x:v>2597</x:v>
      </x:c>
      <x:c r="T3131" s="11" t="n">
        <x:v>275</x:v>
      </x:c>
    </x:row>
    <x:row r="3132" ht="23" customHeight="1">
      <x:c r="A3132" s="2" t="str">
        <x:v>Q9R062</x:v>
      </x:c>
      <x:c r="B3132" s="2" t="str">
        <x:v>ED</x:v>
      </x:c>
      <x:c r="C3132" s="2" t="n">
        <x:v>1</x:v>
      </x:c>
      <x:c r="D3132" s="2" t="n">
        <x:v>1</x:v>
      </x:c>
      <x:c r="E3132" s="10" t="n">
        <x:v>86.00204204204205</x:v>
      </x:c>
      <x:c r="F3132" s="11" t="n">
        <x:v>333</x:v>
      </x:c>
      <x:c r="G3132" s="11" t="n">
        <x:v>0</x:v>
      </x:c>
      <x:c r="H3132" s="11" t="n">
        <x:v>0</x:v>
      </x:c>
      <x:c r="I3132" s="11" t="n">
        <x:v>0</x:v>
      </x:c>
      <x:c r="J3132" s="11" t="n">
        <x:v>0</x:v>
      </x:c>
      <x:c r="K3132" s="11" t="n">
        <x:v>1</x:v>
      </x:c>
      <x:c r="L3132" s="11" t="n">
        <x:f>IF(B3132="NED",1,IF(OR(B3132="ED",B3132="UN"),0,""))</x:f>
        <x:v>0</x:v>
      </x:c>
      <x:c r="M3132" s="11" t="n">
        <x:f>IF(AND(K3132=1,OR(B3132="ED",B3132="NED")),1,0)</x:f>
        <x:v>1</x:v>
      </x:c>
      <x:c r="N3132" s="11" t="n">
        <x:f>IF(K3132=1,1,0)</x:f>
        <x:v>1</x:v>
      </x:c>
      <x:c r="O3132" s="12"/>
      <x:c r="P3132" s="11" t="n">
        <x:v>0</x:v>
      </x:c>
      <x:c r="Q3132" s="12" t="str">
        <x:v>AF-Q9R062-F1-model_v6</x:v>
      </x:c>
      <x:c r="R3132" s="12" t="str">
        <x:v>ok</x:v>
      </x:c>
      <x:c r="S3132" s="11" t="n">
        <x:v>2598</x:v>
      </x:c>
      <x:c r="T3132" s="11" t="n">
        <x:v>333</x:v>
      </x:c>
    </x:row>
    <x:row r="3133" ht="23" customHeight="1">
      <x:c r="A3133" s="2" t="str">
        <x:v>Q9R078</x:v>
      </x:c>
      <x:c r="B3133" s="2" t="str">
        <x:v>ED</x:v>
      </x:c>
      <x:c r="C3133" s="2" t="n">
        <x:v>1</x:v>
      </x:c>
      <x:c r="D3133" s="2" t="n">
        <x:v>1</x:v>
      </x:c>
      <x:c r="E3133" s="10" t="n">
        <x:v>78.2851111111111</x:v>
      </x:c>
      <x:c r="F3133" s="11" t="n">
        <x:v>270</x:v>
      </x:c>
      <x:c r="G3133" s="11" t="n">
        <x:v>0</x:v>
      </x:c>
      <x:c r="H3133" s="11" t="n">
        <x:v>0</x:v>
      </x:c>
      <x:c r="I3133" s="11" t="n">
        <x:v>0</x:v>
      </x:c>
      <x:c r="J3133" s="11" t="n">
        <x:v>0</x:v>
      </x:c>
      <x:c r="K3133" s="11" t="n">
        <x:v>1</x:v>
      </x:c>
      <x:c r="L3133" s="11" t="n">
        <x:f>IF(B3133="NED",1,IF(OR(B3133="ED",B3133="UN"),0,""))</x:f>
        <x:v>0</x:v>
      </x:c>
      <x:c r="M3133" s="11" t="n">
        <x:f>IF(AND(K3133=1,OR(B3133="ED",B3133="NED")),1,0)</x:f>
        <x:v>1</x:v>
      </x:c>
      <x:c r="N3133" s="11" t="n">
        <x:f>IF(K3133=1,1,0)</x:f>
        <x:v>1</x:v>
      </x:c>
      <x:c r="O3133" s="12"/>
      <x:c r="P3133" s="11" t="n">
        <x:v>0</x:v>
      </x:c>
      <x:c r="Q3133" s="12" t="str">
        <x:v>AF-Q9R078-F1-model_v6</x:v>
      </x:c>
      <x:c r="R3133" s="12" t="str">
        <x:v>ok</x:v>
      </x:c>
      <x:c r="S3133" s="11" t="n">
        <x:v>2599</x:v>
      </x:c>
      <x:c r="T3133" s="11" t="n">
        <x:v>270</x:v>
      </x:c>
    </x:row>
    <x:row r="3134" ht="23" customHeight="1">
      <x:c r="A3134" s="2" t="str">
        <x:v>Q9R099</x:v>
      </x:c>
      <x:c r="B3134" s="2" t="str">
        <x:v>UN</x:v>
      </x:c>
      <x:c r="C3134" s="2" t="n">
        <x:v>1</x:v>
      </x:c>
      <x:c r="D3134" s="2" t="n">
        <x:v>1</x:v>
      </x:c>
      <x:c r="E3134" s="10" t="n">
        <x:v>87.06357466063348</x:v>
      </x:c>
      <x:c r="F3134" s="11" t="n">
        <x:v>442</x:v>
      </x:c>
      <x:c r="G3134" s="11" t="n">
        <x:v>0</x:v>
      </x:c>
      <x:c r="H3134" s="11" t="n">
        <x:v>0</x:v>
      </x:c>
      <x:c r="I3134" s="11" t="n">
        <x:v>0</x:v>
      </x:c>
      <x:c r="J3134" s="11" t="n">
        <x:v>0</x:v>
      </x:c>
      <x:c r="K3134" s="11" t="n">
        <x:v>1</x:v>
      </x:c>
      <x:c r="L3134" s="11" t="n">
        <x:f>IF(B3134="NED",1,IF(OR(B3134="ED",B3134="UN"),0,""))</x:f>
        <x:v>0</x:v>
      </x:c>
      <x:c r="M3134" s="11" t="n">
        <x:f>IF(AND(K3134=1,OR(B3134="ED",B3134="NED")),1,0)</x:f>
        <x:v>0</x:v>
      </x:c>
      <x:c r="N3134" s="11" t="n">
        <x:f>IF(K3134=1,1,0)</x:f>
        <x:v>1</x:v>
      </x:c>
      <x:c r="O3134" s="12"/>
      <x:c r="P3134" s="11" t="n">
        <x:v>0</x:v>
      </x:c>
      <x:c r="Q3134" s="12" t="str">
        <x:v>AF-Q9R099-F1-model_v6</x:v>
      </x:c>
      <x:c r="R3134" s="12" t="str">
        <x:v>ok</x:v>
      </x:c>
      <x:c r="S3134" s="11" t="n">
        <x:v>2600</x:v>
      </x:c>
      <x:c r="T3134" s="11" t="n">
        <x:v>442</x:v>
      </x:c>
    </x:row>
    <x:row r="3135" ht="23" customHeight="1">
      <x:c r="A3135" s="2" t="str">
        <x:v>Q9R0A0</x:v>
      </x:c>
      <x:c r="B3135" s="2" t="str">
        <x:v>ED</x:v>
      </x:c>
      <x:c r="C3135" s="2" t="n">
        <x:v>0</x:v>
      </x:c>
      <x:c r="D3135" s="2" t="n">
        <x:v>0</x:v>
      </x:c>
      <x:c r="E3135" s="10"/>
      <x:c r="F3135" s="11" t="n">
        <x:v>376</x:v>
      </x:c>
      <x:c r="G3135" s="11" t="n">
        <x:v>0</x:v>
      </x:c>
      <x:c r="H3135" s="11" t="n">
        <x:v>0</x:v>
      </x:c>
      <x:c r="I3135" s="11" t="n">
        <x:v>1</x:v>
      </x:c>
      <x:c r="J3135" s="11" t="n">
        <x:v>0</x:v>
      </x:c>
      <x:c r="K3135" s="11" t="n">
        <x:v>0</x:v>
      </x:c>
      <x:c r="L3135" s="11" t="n">
        <x:f>IF(B3135="NED",1,IF(OR(B3135="ED",B3135="UN"),0,""))</x:f>
        <x:v>0</x:v>
      </x:c>
      <x:c r="M3135" s="11" t="n">
        <x:f>IF(AND(K3135=1,OR(B3135="ED",B3135="NED")),1,0)</x:f>
        <x:v>0</x:v>
      </x:c>
      <x:c r="N3135" s="11" t="n">
        <x:f>IF(K3135=1,1,0)</x:f>
        <x:v>0</x:v>
      </x:c>
      <x:c r="O3135" s="12" t="str">
        <x:v>Exclude UniProt Membrane keyword</x:v>
      </x:c>
      <x:c r="P3135" s="11" t="n">
        <x:v>0</x:v>
      </x:c>
      <x:c r="Q3135" s="12" t="str">
        <x:v>AF-Q9R0A0-F1-model_v6</x:v>
      </x:c>
      <x:c r="R3135" s="12" t="str">
        <x:v>ok</x:v>
      </x:c>
      <x:c r="S3135" s="11" t="n">
        <x:v>2601</x:v>
      </x:c>
      <x:c r="T3135" s="11" t="n">
        <x:v>376</x:v>
      </x:c>
    </x:row>
    <x:row r="3136" ht="23" customHeight="1">
      <x:c r="A3136" s="2" t="str">
        <x:v>Q9R0D8</x:v>
      </x:c>
      <x:c r="B3136" s="2" t="str">
        <x:v>UN</x:v>
      </x:c>
      <x:c r="C3136" s="2" t="n">
        <x:v>1</x:v>
      </x:c>
      <x:c r="D3136" s="2" t="n">
        <x:v>1</x:v>
      </x:c>
      <x:c r="E3136" s="10"/>
      <x:c r="F3136" s="11" t="n">
        <x:v>334</x:v>
      </x:c>
      <x:c r="G3136" s="11" t="n">
        <x:v>0</x:v>
      </x:c>
      <x:c r="H3136" s="11" t="n">
        <x:v>0</x:v>
      </x:c>
      <x:c r="I3136" s="11" t="n">
        <x:v>1</x:v>
      </x:c>
      <x:c r="J3136" s="11" t="n">
        <x:v>0</x:v>
      </x:c>
      <x:c r="K3136" s="11" t="n">
        <x:v>0</x:v>
      </x:c>
      <x:c r="L3136" s="11" t="n">
        <x:f>IF(B3136="NED",1,IF(OR(B3136="ED",B3136="UN"),0,""))</x:f>
        <x:v>0</x:v>
      </x:c>
      <x:c r="M3136" s="11" t="n">
        <x:f>IF(AND(K3136=1,OR(B3136="ED",B3136="NED")),1,0)</x:f>
        <x:v>0</x:v>
      </x:c>
      <x:c r="N3136" s="11" t="n">
        <x:f>IF(K3136=1,1,0)</x:f>
        <x:v>0</x:v>
      </x:c>
      <x:c r="O3136" s="12" t="str">
        <x:v>Exclude UniProt Membrane keyword</x:v>
      </x:c>
      <x:c r="P3136" s="11" t="n">
        <x:v>0</x:v>
      </x:c>
      <x:c r="Q3136" s="12" t="str">
        <x:v>AF-Q9R0D8-F1-model_v6</x:v>
      </x:c>
      <x:c r="R3136" s="12" t="str">
        <x:v>ok</x:v>
      </x:c>
      <x:c r="S3136" s="11" t="n">
        <x:v>2602</x:v>
      </x:c>
      <x:c r="T3136" s="11" t="n">
        <x:v>334</x:v>
      </x:c>
    </x:row>
    <x:row r="3137" ht="23" customHeight="1">
      <x:c r="A3137" s="2" t="str">
        <x:v>Q9R0E1</x:v>
      </x:c>
      <x:c r="B3137" s="2" t="str">
        <x:v>UN</x:v>
      </x:c>
      <x:c r="C3137" s="2"/>
      <x:c r="D3137" s="2"/>
      <x:c r="E3137" s="10"/>
      <x:c r="F3137" s="11" t="n">
        <x:v>741</x:v>
      </x:c>
      <x:c r="G3137" s="11" t="n">
        <x:v>0</x:v>
      </x:c>
      <x:c r="H3137" s="11" t="n">
        <x:v>1</x:v>
      </x:c>
      <x:c r="I3137" s="11" t="n">
        <x:v>1</x:v>
      </x:c>
      <x:c r="J3137" s="11" t="n">
        <x:v>1</x:v>
      </x:c>
      <x:c r="K3137" s="11" t="n">
        <x:v>0</x:v>
      </x:c>
      <x:c r="L3137" s="11" t="n">
        <x:f>IF(B3137="NED",1,IF(OR(B3137="ED",B3137="UN"),0,""))</x:f>
        <x:v>0</x:v>
      </x:c>
      <x:c r="M3137" s="11" t="n">
        <x:f>IF(AND(K3137=1,OR(B3137="ED",B3137="NED")),1,0)</x:f>
        <x:v>0</x:v>
      </x:c>
      <x:c r="N3137" s="11" t="n">
        <x:f>IF(K3137=1,1,0)</x:f>
        <x:v>0</x:v>
      </x:c>
      <x:c r="O3137" s="12" t="str">
        <x:v>Require binary native NCLE status</x:v>
      </x:c>
      <x:c r="P3137" s="11" t="n">
        <x:v>0</x:v>
      </x:c>
      <x:c r="Q3137" s="12" t="str">
        <x:v>AF-Q9R0E1-F1-model_v6</x:v>
      </x:c>
      <x:c r="R3137" s="12" t="str">
        <x:v>ok</x:v>
      </x:c>
      <x:c r="S3137" s="11" t="n">
        <x:v>2603</x:v>
      </x:c>
      <x:c r="T3137" s="11" t="n">
        <x:v>741</x:v>
      </x:c>
    </x:row>
    <x:row r="3138" ht="23" customHeight="1">
      <x:c r="A3138" s="2" t="str">
        <x:v>Q9R0E2</x:v>
      </x:c>
      <x:c r="B3138" s="2" t="str">
        <x:v>UN</x:v>
      </x:c>
      <x:c r="C3138" s="2"/>
      <x:c r="D3138" s="2"/>
      <x:c r="E3138" s="10"/>
      <x:c r="F3138" s="11" t="n">
        <x:v>728</x:v>
      </x:c>
      <x:c r="G3138" s="11" t="n">
        <x:v>0</x:v>
      </x:c>
      <x:c r="H3138" s="11" t="n">
        <x:v>1</x:v>
      </x:c>
      <x:c r="I3138" s="11" t="n">
        <x:v>1</x:v>
      </x:c>
      <x:c r="J3138" s="11" t="n">
        <x:v>0</x:v>
      </x:c>
      <x:c r="K3138" s="11" t="n">
        <x:v>0</x:v>
      </x:c>
      <x:c r="L3138" s="11" t="n">
        <x:f>IF(B3138="NED",1,IF(OR(B3138="ED",B3138="UN"),0,""))</x:f>
        <x:v>0</x:v>
      </x:c>
      <x:c r="M3138" s="11" t="n">
        <x:f>IF(AND(K3138=1,OR(B3138="ED",B3138="NED")),1,0)</x:f>
        <x:v>0</x:v>
      </x:c>
      <x:c r="N3138" s="11" t="n">
        <x:f>IF(K3138=1,1,0)</x:f>
        <x:v>0</x:v>
      </x:c>
      <x:c r="O3138" s="12" t="str">
        <x:v>Require binary native NCLE status</x:v>
      </x:c>
      <x:c r="P3138" s="11" t="n">
        <x:v>0</x:v>
      </x:c>
      <x:c r="Q3138" s="12" t="str">
        <x:v>AF-Q9R0E2-F1-model_v6</x:v>
      </x:c>
      <x:c r="R3138" s="12" t="str">
        <x:v>ok</x:v>
      </x:c>
      <x:c r="S3138" s="11" t="n">
        <x:v>2604</x:v>
      </x:c>
      <x:c r="T3138" s="11" t="n">
        <x:v>728</x:v>
      </x:c>
    </x:row>
    <x:row r="3139" ht="23" customHeight="1">
      <x:c r="A3139" s="2" t="str">
        <x:v>Q9R0H0-2</x:v>
      </x:c>
      <x:c r="B3139" s="2" t="str">
        <x:v>UN</x:v>
      </x:c>
      <x:c r="C3139" s="2"/>
      <x:c r="D3139" s="2"/>
      <x:c r="E3139" s="10"/>
      <x:c r="F3139" s="11"/>
      <x:c r="G3139" s="11" t="n">
        <x:v>0</x:v>
      </x:c>
      <x:c r="H3139" s="11" t="n">
        <x:v>0</x:v>
      </x:c>
      <x:c r="I3139" s="11"/>
      <x:c r="J3139" s="11"/>
      <x:c r="K3139" s="11" t="n">
        <x:v>0</x:v>
      </x:c>
      <x:c r="L3139" s="11" t="n">
        <x:f>IF(B3139="NED",1,IF(OR(B3139="ED",B3139="UN"),0,""))</x:f>
        <x:v>0</x:v>
      </x:c>
      <x:c r="M3139" s="11" t="n">
        <x:f>IF(AND(K3139=1,OR(B3139="ED",B3139="NED")),1,0)</x:f>
        <x:v>0</x:v>
      </x:c>
      <x:c r="N3139" s="11" t="n">
        <x:f>IF(K3139=1,1,0)</x:f>
        <x:v>0</x:v>
      </x:c>
      <x:c r="O3139" s="12" t="str">
        <x:v>Require exact native accession match</x:v>
      </x:c>
      <x:c r="P3139" s="11" t="n">
        <x:v>0</x:v>
      </x:c>
      <x:c r="Q3139" s="12"/>
      <x:c r="R3139" s="12"/>
      <x:c r="S3139" s="11" t="n">
        <x:v>2605</x:v>
      </x:c>
      <x:c r="T3139" s="11"/>
    </x:row>
    <x:row r="3140" ht="23" customHeight="1">
      <x:c r="A3140" s="2" t="str">
        <x:v>Q9R0L6</x:v>
      </x:c>
      <x:c r="B3140" s="2" t="str">
        <x:v>ED</x:v>
      </x:c>
      <x:c r="C3140" s="2" t="n">
        <x:v>1</x:v>
      </x:c>
      <x:c r="D3140" s="2"/>
      <x:c r="E3140" s="10" t="n">
        <x:v>47.79638518518518</x:v>
      </x:c>
      <x:c r="F3140" s="11" t="n">
        <x:v>2025</x:v>
      </x:c>
      <x:c r="G3140" s="11" t="n">
        <x:v>0</x:v>
      </x:c>
      <x:c r="H3140" s="11" t="n">
        <x:v>0</x:v>
      </x:c>
      <x:c r="I3140" s="11" t="n">
        <x:v>0</x:v>
      </x:c>
      <x:c r="J3140" s="11" t="n">
        <x:v>0</x:v>
      </x:c>
      <x:c r="K3140" s="11" t="n">
        <x:v>0</x:v>
      </x:c>
      <x:c r="L3140" s="11" t="n">
        <x:f>IF(B3140="NED",1,IF(OR(B3140="ED",B3140="UN"),0,""))</x:f>
        <x:v>0</x:v>
      </x:c>
      <x:c r="M3140" s="11" t="n">
        <x:f>IF(AND(K3140=1,OR(B3140="ED",B3140="NED")),1,0)</x:f>
        <x:v>0</x:v>
      </x:c>
      <x:c r="N3140" s="11" t="n">
        <x:f>IF(K3140=1,1,0)</x:f>
        <x:v>0</x:v>
      </x:c>
      <x:c r="O3140" s="12" t="str">
        <x:v>Retain protein mean pLDDT &gt;=70</x:v>
      </x:c>
      <x:c r="P3140" s="11" t="n">
        <x:v>0</x:v>
      </x:c>
      <x:c r="Q3140" s="12" t="str">
        <x:v>AF-Q9R0L6-F1-model_v6</x:v>
      </x:c>
      <x:c r="R3140" s="12" t="str">
        <x:v>ok</x:v>
      </x:c>
      <x:c r="S3140" s="11" t="n">
        <x:v>2606</x:v>
      </x:c>
      <x:c r="T3140" s="11" t="n">
        <x:v>2025</x:v>
      </x:c>
    </x:row>
    <x:row r="3141" ht="23" customHeight="1">
      <x:c r="A3141" s="2" t="str">
        <x:v>Q9R0M6</x:v>
      </x:c>
      <x:c r="B3141" s="2" t="str">
        <x:v>ED</x:v>
      </x:c>
      <x:c r="C3141" s="2" t="n">
        <x:v>1</x:v>
      </x:c>
      <x:c r="D3141" s="2" t="n">
        <x:v>1</x:v>
      </x:c>
      <x:c r="E3141" s="10"/>
      <x:c r="F3141" s="11" t="n">
        <x:v>201</x:v>
      </x:c>
      <x:c r="G3141" s="11" t="n">
        <x:v>0</x:v>
      </x:c>
      <x:c r="H3141" s="11" t="n">
        <x:v>0</x:v>
      </x:c>
      <x:c r="I3141" s="11" t="n">
        <x:v>1</x:v>
      </x:c>
      <x:c r="J3141" s="11" t="n">
        <x:v>0</x:v>
      </x:c>
      <x:c r="K3141" s="11" t="n">
        <x:v>0</x:v>
      </x:c>
      <x:c r="L3141" s="11" t="n">
        <x:f>IF(B3141="NED",1,IF(OR(B3141="ED",B3141="UN"),0,""))</x:f>
        <x:v>0</x:v>
      </x:c>
      <x:c r="M3141" s="11" t="n">
        <x:f>IF(AND(K3141=1,OR(B3141="ED",B3141="NED")),1,0)</x:f>
        <x:v>0</x:v>
      </x:c>
      <x:c r="N3141" s="11" t="n">
        <x:f>IF(K3141=1,1,0)</x:f>
        <x:v>0</x:v>
      </x:c>
      <x:c r="O3141" s="12" t="str">
        <x:v>Exclude UniProt Membrane keyword</x:v>
      </x:c>
      <x:c r="P3141" s="11" t="n">
        <x:v>0</x:v>
      </x:c>
      <x:c r="Q3141" s="12" t="str">
        <x:v>AF-Q9R0M6-F1-model_v6</x:v>
      </x:c>
      <x:c r="R3141" s="12" t="str">
        <x:v>ok</x:v>
      </x:c>
      <x:c r="S3141" s="11" t="n">
        <x:v>2607</x:v>
      </x:c>
      <x:c r="T3141" s="11" t="n">
        <x:v>201</x:v>
      </x:c>
    </x:row>
    <x:row r="3142" ht="23" customHeight="1">
      <x:c r="A3142" s="2" t="str">
        <x:v>Q9R0P3</x:v>
      </x:c>
      <x:c r="B3142" s="2" t="str">
        <x:v>ED</x:v>
      </x:c>
      <x:c r="C3142" s="2" t="n">
        <x:v>1</x:v>
      </x:c>
      <x:c r="D3142" s="2" t="n">
        <x:v>1</x:v>
      </x:c>
      <x:c r="E3142" s="10" t="n">
        <x:v>97.92918439716313</x:v>
      </x:c>
      <x:c r="F3142" s="11" t="n">
        <x:v>282</x:v>
      </x:c>
      <x:c r="G3142" s="11" t="n">
        <x:v>0</x:v>
      </x:c>
      <x:c r="H3142" s="11" t="n">
        <x:v>0</x:v>
      </x:c>
      <x:c r="I3142" s="11" t="n">
        <x:v>0</x:v>
      </x:c>
      <x:c r="J3142" s="11" t="n">
        <x:v>0</x:v>
      </x:c>
      <x:c r="K3142" s="11" t="n">
        <x:v>1</x:v>
      </x:c>
      <x:c r="L3142" s="11" t="n">
        <x:f>IF(B3142="NED",1,IF(OR(B3142="ED",B3142="UN"),0,""))</x:f>
        <x:v>0</x:v>
      </x:c>
      <x:c r="M3142" s="11" t="n">
        <x:f>IF(AND(K3142=1,OR(B3142="ED",B3142="NED")),1,0)</x:f>
        <x:v>1</x:v>
      </x:c>
      <x:c r="N3142" s="11" t="n">
        <x:f>IF(K3142=1,1,0)</x:f>
        <x:v>1</x:v>
      </x:c>
      <x:c r="O3142" s="12"/>
      <x:c r="P3142" s="11" t="n">
        <x:v>0</x:v>
      </x:c>
      <x:c r="Q3142" s="12" t="str">
        <x:v>AF-Q9R0P3-F1-model_v6</x:v>
      </x:c>
      <x:c r="R3142" s="12" t="str">
        <x:v>ok</x:v>
      </x:c>
      <x:c r="S3142" s="11" t="n">
        <x:v>2608</x:v>
      </x:c>
      <x:c r="T3142" s="11" t="n">
        <x:v>282</x:v>
      </x:c>
    </x:row>
    <x:row r="3143" ht="23" customHeight="1">
      <x:c r="A3143" s="2" t="str">
        <x:v>Q9R0P5</x:v>
      </x:c>
      <x:c r="B3143" s="2" t="str">
        <x:v>ED</x:v>
      </x:c>
      <x:c r="C3143" s="2" t="n">
        <x:v>1</x:v>
      </x:c>
      <x:c r="D3143" s="2" t="n">
        <x:v>1</x:v>
      </x:c>
      <x:c r="E3143" s="10" t="n">
        <x:v>88.42872727272727</x:v>
      </x:c>
      <x:c r="F3143" s="11" t="n">
        <x:v>165</x:v>
      </x:c>
      <x:c r="G3143" s="11" t="n">
        <x:v>0</x:v>
      </x:c>
      <x:c r="H3143" s="11" t="n">
        <x:v>0</x:v>
      </x:c>
      <x:c r="I3143" s="11" t="n">
        <x:v>0</x:v>
      </x:c>
      <x:c r="J3143" s="11" t="n">
        <x:v>0</x:v>
      </x:c>
      <x:c r="K3143" s="11" t="n">
        <x:v>1</x:v>
      </x:c>
      <x:c r="L3143" s="11" t="n">
        <x:f>IF(B3143="NED",1,IF(OR(B3143="ED",B3143="UN"),0,""))</x:f>
        <x:v>0</x:v>
      </x:c>
      <x:c r="M3143" s="11" t="n">
        <x:f>IF(AND(K3143=1,OR(B3143="ED",B3143="NED")),1,0)</x:f>
        <x:v>1</x:v>
      </x:c>
      <x:c r="N3143" s="11" t="n">
        <x:f>IF(K3143=1,1,0)</x:f>
        <x:v>1</x:v>
      </x:c>
      <x:c r="O3143" s="12"/>
      <x:c r="P3143" s="11" t="n">
        <x:v>0</x:v>
      </x:c>
      <x:c r="Q3143" s="12" t="str">
        <x:v>AF-Q9R0P5-F1-model_v6</x:v>
      </x:c>
      <x:c r="R3143" s="12" t="str">
        <x:v>ok</x:v>
      </x:c>
      <x:c r="S3143" s="11" t="n">
        <x:v>2609</x:v>
      </x:c>
      <x:c r="T3143" s="11" t="n">
        <x:v>165</x:v>
      </x:c>
    </x:row>
    <x:row r="3144" ht="23" customHeight="1">
      <x:c r="A3144" s="2" t="str">
        <x:v>Q9R0Q4</x:v>
      </x:c>
      <x:c r="B3144" s="2" t="str">
        <x:v>NED</x:v>
      </x:c>
      <x:c r="C3144" s="2" t="n">
        <x:v>1</x:v>
      </x:c>
      <x:c r="D3144" s="2" t="n">
        <x:v>1</x:v>
      </x:c>
      <x:c r="E3144" s="10" t="n">
        <x:v>73.04427083333333</x:v>
      </x:c>
      <x:c r="F3144" s="11" t="n">
        <x:v>288</x:v>
      </x:c>
      <x:c r="G3144" s="11" t="n">
        <x:v>0</x:v>
      </x:c>
      <x:c r="H3144" s="11" t="n">
        <x:v>0</x:v>
      </x:c>
      <x:c r="I3144" s="11" t="n">
        <x:v>0</x:v>
      </x:c>
      <x:c r="J3144" s="11" t="n">
        <x:v>0</x:v>
      </x:c>
      <x:c r="K3144" s="11" t="n">
        <x:v>1</x:v>
      </x:c>
      <x:c r="L3144" s="11" t="n">
        <x:f>IF(B3144="NED",1,IF(OR(B3144="ED",B3144="UN"),0,""))</x:f>
        <x:v>1</x:v>
      </x:c>
      <x:c r="M3144" s="11" t="n">
        <x:f>IF(AND(K3144=1,OR(B3144="ED",B3144="NED")),1,0)</x:f>
        <x:v>1</x:v>
      </x:c>
      <x:c r="N3144" s="11" t="n">
        <x:f>IF(K3144=1,1,0)</x:f>
        <x:v>1</x:v>
      </x:c>
      <x:c r="O3144" s="12"/>
      <x:c r="P3144" s="11" t="n">
        <x:v>0</x:v>
      </x:c>
      <x:c r="Q3144" s="12" t="str">
        <x:v>AF-Q9R0Q4-F1-model_v6</x:v>
      </x:c>
      <x:c r="R3144" s="12" t="str">
        <x:v>ok</x:v>
      </x:c>
      <x:c r="S3144" s="11" t="n">
        <x:v>2610</x:v>
      </x:c>
      <x:c r="T3144" s="11" t="n">
        <x:v>288</x:v>
      </x:c>
    </x:row>
    <x:row r="3145" ht="23" customHeight="1">
      <x:c r="A3145" s="2" t="str">
        <x:v>Q9R0Q7</x:v>
      </x:c>
      <x:c r="B3145" s="2" t="str">
        <x:v>ED</x:v>
      </x:c>
      <x:c r="C3145" s="2" t="n">
        <x:v>1</x:v>
      </x:c>
      <x:c r="D3145" s="2" t="n">
        <x:v>1</x:v>
      </x:c>
      <x:c r="E3145" s="10" t="n">
        <x:v>85.786625</x:v>
      </x:c>
      <x:c r="F3145" s="11" t="n">
        <x:v>160</x:v>
      </x:c>
      <x:c r="G3145" s="11" t="n">
        <x:v>0</x:v>
      </x:c>
      <x:c r="H3145" s="11" t="n">
        <x:v>0</x:v>
      </x:c>
      <x:c r="I3145" s="11" t="n">
        <x:v>0</x:v>
      </x:c>
      <x:c r="J3145" s="11" t="n">
        <x:v>0</x:v>
      </x:c>
      <x:c r="K3145" s="11" t="n">
        <x:v>1</x:v>
      </x:c>
      <x:c r="L3145" s="11" t="n">
        <x:f>IF(B3145="NED",1,IF(OR(B3145="ED",B3145="UN"),0,""))</x:f>
        <x:v>0</x:v>
      </x:c>
      <x:c r="M3145" s="11" t="n">
        <x:f>IF(AND(K3145=1,OR(B3145="ED",B3145="NED")),1,0)</x:f>
        <x:v>1</x:v>
      </x:c>
      <x:c r="N3145" s="11" t="n">
        <x:f>IF(K3145=1,1,0)</x:f>
        <x:v>1</x:v>
      </x:c>
      <x:c r="O3145" s="12"/>
      <x:c r="P3145" s="11" t="n">
        <x:v>0</x:v>
      </x:c>
      <x:c r="Q3145" s="12" t="str">
        <x:v>AF-Q9R0Q7-F1-model_v6</x:v>
      </x:c>
      <x:c r="R3145" s="12" t="str">
        <x:v>ok</x:v>
      </x:c>
      <x:c r="S3145" s="11" t="n">
        <x:v>2611</x:v>
      </x:c>
      <x:c r="T3145" s="11" t="n">
        <x:v>160</x:v>
      </x:c>
    </x:row>
    <x:row r="3146" ht="23" customHeight="1">
      <x:c r="A3146" s="2" t="str">
        <x:v>Q9R0Q9</x:v>
      </x:c>
      <x:c r="B3146" s="2" t="str">
        <x:v>UN</x:v>
      </x:c>
      <x:c r="C3146" s="2" t="n">
        <x:v>1</x:v>
      </x:c>
      <x:c r="D3146" s="2" t="n">
        <x:v>1</x:v>
      </x:c>
      <x:c r="E3146" s="10"/>
      <x:c r="F3146" s="11" t="n">
        <x:v>247</x:v>
      </x:c>
      <x:c r="G3146" s="11" t="n">
        <x:v>0</x:v>
      </x:c>
      <x:c r="H3146" s="11" t="n">
        <x:v>0</x:v>
      </x:c>
      <x:c r="I3146" s="11" t="n">
        <x:v>1</x:v>
      </x:c>
      <x:c r="J3146" s="11" t="n">
        <x:v>0</x:v>
      </x:c>
      <x:c r="K3146" s="11" t="n">
        <x:v>0</x:v>
      </x:c>
      <x:c r="L3146" s="11" t="n">
        <x:f>IF(B3146="NED",1,IF(OR(B3146="ED",B3146="UN"),0,""))</x:f>
        <x:v>0</x:v>
      </x:c>
      <x:c r="M3146" s="11" t="n">
        <x:f>IF(AND(K3146=1,OR(B3146="ED",B3146="NED")),1,0)</x:f>
        <x:v>0</x:v>
      </x:c>
      <x:c r="N3146" s="11" t="n">
        <x:f>IF(K3146=1,1,0)</x:f>
        <x:v>0</x:v>
      </x:c>
      <x:c r="O3146" s="12" t="str">
        <x:v>Exclude UniProt Membrane keyword</x:v>
      </x:c>
      <x:c r="P3146" s="11" t="n">
        <x:v>0</x:v>
      </x:c>
      <x:c r="Q3146" s="12" t="str">
        <x:v>AF-Q9R0Q9-F1-model_v6</x:v>
      </x:c>
      <x:c r="R3146" s="12" t="str">
        <x:v>ok</x:v>
      </x:c>
      <x:c r="S3146" s="11" t="n">
        <x:v>2612</x:v>
      </x:c>
      <x:c r="T3146" s="11" t="n">
        <x:v>247</x:v>
      </x:c>
    </x:row>
    <x:row r="3147" ht="23" customHeight="1">
      <x:c r="A3147" s="2" t="str">
        <x:v>Q9R0X4</x:v>
      </x:c>
      <x:c r="B3147" s="2" t="str">
        <x:v>UN</x:v>
      </x:c>
      <x:c r="C3147" s="2" t="n">
        <x:v>1</x:v>
      </x:c>
      <x:c r="D3147" s="2" t="n">
        <x:v>1</x:v>
      </x:c>
      <x:c r="E3147" s="10"/>
      <x:c r="F3147" s="11" t="n">
        <x:v>439</x:v>
      </x:c>
      <x:c r="G3147" s="11" t="n">
        <x:v>0</x:v>
      </x:c>
      <x:c r="H3147" s="11" t="n">
        <x:v>0</x:v>
      </x:c>
      <x:c r="I3147" s="11" t="n">
        <x:v>1</x:v>
      </x:c>
      <x:c r="J3147" s="11" t="n">
        <x:v>0</x:v>
      </x:c>
      <x:c r="K3147" s="11" t="n">
        <x:v>0</x:v>
      </x:c>
      <x:c r="L3147" s="11" t="n">
        <x:f>IF(B3147="NED",1,IF(OR(B3147="ED",B3147="UN"),0,""))</x:f>
        <x:v>0</x:v>
      </x:c>
      <x:c r="M3147" s="11" t="n">
        <x:f>IF(AND(K3147=1,OR(B3147="ED",B3147="NED")),1,0)</x:f>
        <x:v>0</x:v>
      </x:c>
      <x:c r="N3147" s="11" t="n">
        <x:f>IF(K3147=1,1,0)</x:f>
        <x:v>0</x:v>
      </x:c>
      <x:c r="O3147" s="12" t="str">
        <x:v>Exclude UniProt Membrane keyword</x:v>
      </x:c>
      <x:c r="P3147" s="11" t="n">
        <x:v>0</x:v>
      </x:c>
      <x:c r="Q3147" s="12" t="str">
        <x:v>AF-Q9R0X4-F1-model_v6</x:v>
      </x:c>
      <x:c r="R3147" s="12" t="str">
        <x:v>ok</x:v>
      </x:c>
      <x:c r="S3147" s="11" t="n">
        <x:v>2613</x:v>
      </x:c>
      <x:c r="T3147" s="11" t="n">
        <x:v>439</x:v>
      </x:c>
    </x:row>
    <x:row r="3148" ht="23" customHeight="1">
      <x:c r="A3148" s="2" t="str">
        <x:v>Q9R0Y5</x:v>
      </x:c>
      <x:c r="B3148" s="2" t="str">
        <x:v>UN</x:v>
      </x:c>
      <x:c r="C3148" s="2" t="n">
        <x:v>1</x:v>
      </x:c>
      <x:c r="D3148" s="2" t="n">
        <x:v>1</x:v>
      </x:c>
      <x:c r="E3148" s="10" t="n">
        <x:v>96.14144329896908</x:v>
      </x:c>
      <x:c r="F3148" s="11" t="n">
        <x:v>194</x:v>
      </x:c>
      <x:c r="G3148" s="11" t="n">
        <x:v>0</x:v>
      </x:c>
      <x:c r="H3148" s="11" t="n">
        <x:v>0</x:v>
      </x:c>
      <x:c r="I3148" s="11" t="n">
        <x:v>0</x:v>
      </x:c>
      <x:c r="J3148" s="11" t="n">
        <x:v>0</x:v>
      </x:c>
      <x:c r="K3148" s="11" t="n">
        <x:v>1</x:v>
      </x:c>
      <x:c r="L3148" s="11" t="n">
        <x:f>IF(B3148="NED",1,IF(OR(B3148="ED",B3148="UN"),0,""))</x:f>
        <x:v>0</x:v>
      </x:c>
      <x:c r="M3148" s="11" t="n">
        <x:f>IF(AND(K3148=1,OR(B3148="ED",B3148="NED")),1,0)</x:f>
        <x:v>0</x:v>
      </x:c>
      <x:c r="N3148" s="11" t="n">
        <x:f>IF(K3148=1,1,0)</x:f>
        <x:v>1</x:v>
      </x:c>
      <x:c r="O3148" s="12"/>
      <x:c r="P3148" s="11" t="n">
        <x:v>0</x:v>
      </x:c>
      <x:c r="Q3148" s="12" t="str">
        <x:v>AF-Q9R0Y5-F1-model_v6</x:v>
      </x:c>
      <x:c r="R3148" s="12" t="str">
        <x:v>ok</x:v>
      </x:c>
      <x:c r="S3148" s="11" t="n">
        <x:v>2614</x:v>
      </x:c>
      <x:c r="T3148" s="11" t="n">
        <x:v>194</x:v>
      </x:c>
    </x:row>
    <x:row r="3149" ht="23" customHeight="1">
      <x:c r="A3149" s="2" t="str">
        <x:v>Q9R0Z9-2</x:v>
      </x:c>
      <x:c r="B3149" s="2" t="str">
        <x:v>UN</x:v>
      </x:c>
      <x:c r="C3149" s="2"/>
      <x:c r="D3149" s="2"/>
      <x:c r="E3149" s="10"/>
      <x:c r="F3149" s="11"/>
      <x:c r="G3149" s="11" t="n">
        <x:v>0</x:v>
      </x:c>
      <x:c r="H3149" s="11" t="n">
        <x:v>0</x:v>
      </x:c>
      <x:c r="I3149" s="11"/>
      <x:c r="J3149" s="11"/>
      <x:c r="K3149" s="11" t="n">
        <x:v>0</x:v>
      </x:c>
      <x:c r="L3149" s="11" t="n">
        <x:f>IF(B3149="NED",1,IF(OR(B3149="ED",B3149="UN"),0,""))</x:f>
        <x:v>0</x:v>
      </x:c>
      <x:c r="M3149" s="11" t="n">
        <x:f>IF(AND(K3149=1,OR(B3149="ED",B3149="NED")),1,0)</x:f>
        <x:v>0</x:v>
      </x:c>
      <x:c r="N3149" s="11" t="n">
        <x:f>IF(K3149=1,1,0)</x:f>
        <x:v>0</x:v>
      </x:c>
      <x:c r="O3149" s="12" t="str">
        <x:v>Require exact native accession match</x:v>
      </x:c>
      <x:c r="P3149" s="11" t="n">
        <x:v>0</x:v>
      </x:c>
      <x:c r="Q3149" s="12"/>
      <x:c r="R3149" s="12"/>
      <x:c r="S3149" s="11" t="n">
        <x:v>2615</x:v>
      </x:c>
      <x:c r="T3149" s="11"/>
    </x:row>
    <x:row r="3150" ht="23" customHeight="1">
      <x:c r="A3150" s="2" t="str">
        <x:v>Q9R190</x:v>
      </x:c>
      <x:c r="B3150" s="2" t="str">
        <x:v>UN</x:v>
      </x:c>
      <x:c r="C3150" s="2" t="n">
        <x:v>1</x:v>
      </x:c>
      <x:c r="D3150" s="2" t="n">
        <x:v>1</x:v>
      </x:c>
      <x:c r="E3150" s="10" t="n">
        <x:v>75.21160179640718</x:v>
      </x:c>
      <x:c r="F3150" s="11" t="n">
        <x:v>668</x:v>
      </x:c>
      <x:c r="G3150" s="11" t="n">
        <x:v>0</x:v>
      </x:c>
      <x:c r="H3150" s="11" t="n">
        <x:v>0</x:v>
      </x:c>
      <x:c r="I3150" s="11" t="n">
        <x:v>0</x:v>
      </x:c>
      <x:c r="J3150" s="11" t="n">
        <x:v>0</x:v>
      </x:c>
      <x:c r="K3150" s="11" t="n">
        <x:v>1</x:v>
      </x:c>
      <x:c r="L3150" s="11" t="n">
        <x:f>IF(B3150="NED",1,IF(OR(B3150="ED",B3150="UN"),0,""))</x:f>
        <x:v>0</x:v>
      </x:c>
      <x:c r="M3150" s="11" t="n">
        <x:f>IF(AND(K3150=1,OR(B3150="ED",B3150="NED")),1,0)</x:f>
        <x:v>0</x:v>
      </x:c>
      <x:c r="N3150" s="11" t="n">
        <x:f>IF(K3150=1,1,0)</x:f>
        <x:v>1</x:v>
      </x:c>
      <x:c r="O3150" s="12"/>
      <x:c r="P3150" s="11" t="n">
        <x:v>0</x:v>
      </x:c>
      <x:c r="Q3150" s="12" t="str">
        <x:v>AF-Q9R190-F1-model_v6</x:v>
      </x:c>
      <x:c r="R3150" s="12" t="str">
        <x:v>ok</x:v>
      </x:c>
      <x:c r="S3150" s="11" t="n">
        <x:v>2616</x:v>
      </x:c>
      <x:c r="T3150" s="11" t="n">
        <x:v>668</x:v>
      </x:c>
    </x:row>
    <x:row r="3151" ht="23" customHeight="1">
      <x:c r="A3151" s="2" t="str">
        <x:v>Q9R1C6</x:v>
      </x:c>
      <x:c r="B3151" s="2" t="str">
        <x:v>UN</x:v>
      </x:c>
      <x:c r="C3151" s="2" t="n">
        <x:v>1</x:v>
      </x:c>
      <x:c r="D3151" s="2" t="n">
        <x:v>1</x:v>
      </x:c>
      <x:c r="E3151" s="10"/>
      <x:c r="F3151" s="11" t="n">
        <x:v>564</x:v>
      </x:c>
      <x:c r="G3151" s="11" t="n">
        <x:v>0</x:v>
      </x:c>
      <x:c r="H3151" s="11" t="n">
        <x:v>0</x:v>
      </x:c>
      <x:c r="I3151" s="11" t="n">
        <x:v>1</x:v>
      </x:c>
      <x:c r="J3151" s="11" t="n">
        <x:v>0</x:v>
      </x:c>
      <x:c r="K3151" s="11" t="n">
        <x:v>0</x:v>
      </x:c>
      <x:c r="L3151" s="11" t="n">
        <x:f>IF(B3151="NED",1,IF(OR(B3151="ED",B3151="UN"),0,""))</x:f>
        <x:v>0</x:v>
      </x:c>
      <x:c r="M3151" s="11" t="n">
        <x:f>IF(AND(K3151=1,OR(B3151="ED",B3151="NED")),1,0)</x:f>
        <x:v>0</x:v>
      </x:c>
      <x:c r="N3151" s="11" t="n">
        <x:f>IF(K3151=1,1,0)</x:f>
        <x:v>0</x:v>
      </x:c>
      <x:c r="O3151" s="12" t="str">
        <x:v>Exclude UniProt Membrane keyword</x:v>
      </x:c>
      <x:c r="P3151" s="11" t="n">
        <x:v>0</x:v>
      </x:c>
      <x:c r="Q3151" s="12" t="str">
        <x:v>AF-Q9R1C6-F1-model_v6</x:v>
      </x:c>
      <x:c r="R3151" s="12" t="str">
        <x:v>ok</x:v>
      </x:c>
      <x:c r="S3151" s="11" t="n">
        <x:v>2617</x:v>
      </x:c>
      <x:c r="T3151" s="11" t="n">
        <x:v>564</x:v>
      </x:c>
    </x:row>
    <x:row r="3152" ht="23" customHeight="1">
      <x:c r="A3152" s="2" t="str">
        <x:v>Q9R1C7</x:v>
      </x:c>
      <x:c r="B3152" s="2" t="str">
        <x:v>UN</x:v>
      </x:c>
      <x:c r="C3152" s="2" t="n">
        <x:v>0</x:v>
      </x:c>
      <x:c r="D3152" s="2" t="n">
        <x:v>0</x:v>
      </x:c>
      <x:c r="E3152" s="10" t="n">
        <x:v>66.53523609653725</x:v>
      </x:c>
      <x:c r="F3152" s="11" t="n">
        <x:v>953</x:v>
      </x:c>
      <x:c r="G3152" s="11" t="n">
        <x:v>0</x:v>
      </x:c>
      <x:c r="H3152" s="11" t="n">
        <x:v>0</x:v>
      </x:c>
      <x:c r="I3152" s="11" t="n">
        <x:v>0</x:v>
      </x:c>
      <x:c r="J3152" s="11" t="n">
        <x:v>0</x:v>
      </x:c>
      <x:c r="K3152" s="11" t="n">
        <x:v>0</x:v>
      </x:c>
      <x:c r="L3152" s="11" t="n">
        <x:f>IF(B3152="NED",1,IF(OR(B3152="ED",B3152="UN"),0,""))</x:f>
        <x:v>0</x:v>
      </x:c>
      <x:c r="M3152" s="11" t="n">
        <x:f>IF(AND(K3152=1,OR(B3152="ED",B3152="NED")),1,0)</x:f>
        <x:v>0</x:v>
      </x:c>
      <x:c r="N3152" s="11" t="n">
        <x:f>IF(K3152=1,1,0)</x:f>
        <x:v>0</x:v>
      </x:c>
      <x:c r="O3152" s="12" t="str">
        <x:v>Retain protein mean pLDDT &gt;=70</x:v>
      </x:c>
      <x:c r="P3152" s="11" t="n">
        <x:v>0</x:v>
      </x:c>
      <x:c r="Q3152" s="12" t="str">
        <x:v>AF-Q9R1C7-F1-model_v6</x:v>
      </x:c>
      <x:c r="R3152" s="12" t="str">
        <x:v>ok</x:v>
      </x:c>
      <x:c r="S3152" s="11" t="n">
        <x:v>2618</x:v>
      </x:c>
      <x:c r="T3152" s="11" t="n">
        <x:v>953</x:v>
      </x:c>
    </x:row>
    <x:row r="3153" ht="23" customHeight="1">
      <x:c r="A3153" s="2" t="str">
        <x:v>Q9R1J0</x:v>
      </x:c>
      <x:c r="B3153" s="2" t="str">
        <x:v>UN</x:v>
      </x:c>
      <x:c r="C3153" s="2" t="n">
        <x:v>1</x:v>
      </x:c>
      <x:c r="D3153" s="2" t="n">
        <x:v>1</x:v>
      </x:c>
      <x:c r="E3153" s="10"/>
      <x:c r="F3153" s="11" t="n">
        <x:v>362</x:v>
      </x:c>
      <x:c r="G3153" s="11" t="n">
        <x:v>0</x:v>
      </x:c>
      <x:c r="H3153" s="11" t="n">
        <x:v>0</x:v>
      </x:c>
      <x:c r="I3153" s="11" t="n">
        <x:v>1</x:v>
      </x:c>
      <x:c r="J3153" s="11" t="n">
        <x:v>0</x:v>
      </x:c>
      <x:c r="K3153" s="11" t="n">
        <x:v>0</x:v>
      </x:c>
      <x:c r="L3153" s="11" t="n">
        <x:f>IF(B3153="NED",1,IF(OR(B3153="ED",B3153="UN"),0,""))</x:f>
        <x:v>0</x:v>
      </x:c>
      <x:c r="M3153" s="11" t="n">
        <x:f>IF(AND(K3153=1,OR(B3153="ED",B3153="NED")),1,0)</x:f>
        <x:v>0</x:v>
      </x:c>
      <x:c r="N3153" s="11" t="n">
        <x:f>IF(K3153=1,1,0)</x:f>
        <x:v>0</x:v>
      </x:c>
      <x:c r="O3153" s="12" t="str">
        <x:v>Exclude UniProt Membrane keyword</x:v>
      </x:c>
      <x:c r="P3153" s="11" t="n">
        <x:v>0</x:v>
      </x:c>
      <x:c r="Q3153" s="12" t="str">
        <x:v>AF-Q9R1J0-F1-model_v6</x:v>
      </x:c>
      <x:c r="R3153" s="12" t="str">
        <x:v>ok</x:v>
      </x:c>
      <x:c r="S3153" s="11" t="n">
        <x:v>2619</x:v>
      </x:c>
      <x:c r="T3153" s="11" t="n">
        <x:v>362</x:v>
      </x:c>
    </x:row>
    <x:row r="3154" ht="23" customHeight="1">
      <x:c r="A3154" s="2" t="str">
        <x:v>Q9R1K5</x:v>
      </x:c>
      <x:c r="B3154" s="2" t="str">
        <x:v>UN</x:v>
      </x:c>
      <x:c r="C3154" s="2" t="n">
        <x:v>1</x:v>
      </x:c>
      <x:c r="D3154" s="2" t="n">
        <x:v>1</x:v>
      </x:c>
      <x:c r="E3154" s="10" t="n">
        <x:v>82.83326572008114</x:v>
      </x:c>
      <x:c r="F3154" s="11" t="n">
        <x:v>493</x:v>
      </x:c>
      <x:c r="G3154" s="11" t="n">
        <x:v>0</x:v>
      </x:c>
      <x:c r="H3154" s="11" t="n">
        <x:v>0</x:v>
      </x:c>
      <x:c r="I3154" s="11" t="n">
        <x:v>0</x:v>
      </x:c>
      <x:c r="J3154" s="11" t="n">
        <x:v>0</x:v>
      </x:c>
      <x:c r="K3154" s="11" t="n">
        <x:v>1</x:v>
      </x:c>
      <x:c r="L3154" s="11" t="n">
        <x:f>IF(B3154="NED",1,IF(OR(B3154="ED",B3154="UN"),0,""))</x:f>
        <x:v>0</x:v>
      </x:c>
      <x:c r="M3154" s="11" t="n">
        <x:f>IF(AND(K3154=1,OR(B3154="ED",B3154="NED")),1,0)</x:f>
        <x:v>0</x:v>
      </x:c>
      <x:c r="N3154" s="11" t="n">
        <x:f>IF(K3154=1,1,0)</x:f>
        <x:v>1</x:v>
      </x:c>
      <x:c r="O3154" s="12"/>
      <x:c r="P3154" s="11" t="n">
        <x:v>0</x:v>
      </x:c>
      <x:c r="Q3154" s="12" t="str">
        <x:v>AF-Q9R1K5-F1-model_v6</x:v>
      </x:c>
      <x:c r="R3154" s="12" t="str">
        <x:v>ok</x:v>
      </x:c>
      <x:c r="S3154" s="11" t="n">
        <x:v>2620</x:v>
      </x:c>
      <x:c r="T3154" s="11" t="n">
        <x:v>493</x:v>
      </x:c>
    </x:row>
    <x:row r="3155" ht="23" customHeight="1">
      <x:c r="A3155" s="2" t="str">
        <x:v>Q9R1P0</x:v>
      </x:c>
      <x:c r="B3155" s="2" t="str">
        <x:v>NED</x:v>
      </x:c>
      <x:c r="C3155" s="2" t="n">
        <x:v>1</x:v>
      </x:c>
      <x:c r="D3155" s="2" t="n">
        <x:v>1</x:v>
      </x:c>
      <x:c r="E3155" s="10" t="n">
        <x:v>95.3548275862069</x:v>
      </x:c>
      <x:c r="F3155" s="11" t="n">
        <x:v>261</x:v>
      </x:c>
      <x:c r="G3155" s="11" t="n">
        <x:v>0</x:v>
      </x:c>
      <x:c r="H3155" s="11" t="n">
        <x:v>0</x:v>
      </x:c>
      <x:c r="I3155" s="11" t="n">
        <x:v>0</x:v>
      </x:c>
      <x:c r="J3155" s="11" t="n">
        <x:v>0</x:v>
      </x:c>
      <x:c r="K3155" s="11" t="n">
        <x:v>1</x:v>
      </x:c>
      <x:c r="L3155" s="11" t="n">
        <x:f>IF(B3155="NED",1,IF(OR(B3155="ED",B3155="UN"),0,""))</x:f>
        <x:v>1</x:v>
      </x:c>
      <x:c r="M3155" s="11" t="n">
        <x:f>IF(AND(K3155=1,OR(B3155="ED",B3155="NED")),1,0)</x:f>
        <x:v>1</x:v>
      </x:c>
      <x:c r="N3155" s="11" t="n">
        <x:f>IF(K3155=1,1,0)</x:f>
        <x:v>1</x:v>
      </x:c>
      <x:c r="O3155" s="12"/>
      <x:c r="P3155" s="11" t="n">
        <x:v>0</x:v>
      </x:c>
      <x:c r="Q3155" s="12" t="str">
        <x:v>AF-Q9R1P0-F1-model_v6</x:v>
      </x:c>
      <x:c r="R3155" s="12" t="str">
        <x:v>ok</x:v>
      </x:c>
      <x:c r="S3155" s="11" t="n">
        <x:v>2621</x:v>
      </x:c>
      <x:c r="T3155" s="11" t="n">
        <x:v>261</x:v>
      </x:c>
    </x:row>
    <x:row r="3156" ht="23" customHeight="1">
      <x:c r="A3156" s="2" t="str">
        <x:v>Q9R1P1</x:v>
      </x:c>
      <x:c r="B3156" s="2" t="str">
        <x:v>NED</x:v>
      </x:c>
      <x:c r="C3156" s="2" t="n">
        <x:v>1</x:v>
      </x:c>
      <x:c r="D3156" s="2" t="n">
        <x:v>1</x:v>
      </x:c>
      <x:c r="E3156" s="10" t="n">
        <x:v>97.97985365853658</x:v>
      </x:c>
      <x:c r="F3156" s="11" t="n">
        <x:v>205</x:v>
      </x:c>
      <x:c r="G3156" s="11" t="n">
        <x:v>0</x:v>
      </x:c>
      <x:c r="H3156" s="11" t="n">
        <x:v>0</x:v>
      </x:c>
      <x:c r="I3156" s="11" t="n">
        <x:v>0</x:v>
      </x:c>
      <x:c r="J3156" s="11" t="n">
        <x:v>0</x:v>
      </x:c>
      <x:c r="K3156" s="11" t="n">
        <x:v>1</x:v>
      </x:c>
      <x:c r="L3156" s="11" t="n">
        <x:f>IF(B3156="NED",1,IF(OR(B3156="ED",B3156="UN"),0,""))</x:f>
        <x:v>1</x:v>
      </x:c>
      <x:c r="M3156" s="11" t="n">
        <x:f>IF(AND(K3156=1,OR(B3156="ED",B3156="NED")),1,0)</x:f>
        <x:v>1</x:v>
      </x:c>
      <x:c r="N3156" s="11" t="n">
        <x:f>IF(K3156=1,1,0)</x:f>
        <x:v>1</x:v>
      </x:c>
      <x:c r="O3156" s="12"/>
      <x:c r="P3156" s="11" t="n">
        <x:v>0</x:v>
      </x:c>
      <x:c r="Q3156" s="12" t="str">
        <x:v>AF-Q9R1P1-F1-model_v6</x:v>
      </x:c>
      <x:c r="R3156" s="12" t="str">
        <x:v>ok</x:v>
      </x:c>
      <x:c r="S3156" s="11" t="n">
        <x:v>2622</x:v>
      </x:c>
      <x:c r="T3156" s="11" t="n">
        <x:v>205</x:v>
      </x:c>
    </x:row>
    <x:row r="3157" ht="23" customHeight="1">
      <x:c r="A3157" s="2" t="str">
        <x:v>Q9R1P3</x:v>
      </x:c>
      <x:c r="B3157" s="2" t="str">
        <x:v>UN</x:v>
      </x:c>
      <x:c r="C3157" s="2" t="n">
        <x:v>0</x:v>
      </x:c>
      <x:c r="D3157" s="2" t="n">
        <x:v>0</x:v>
      </x:c>
      <x:c r="E3157" s="10" t="n">
        <x:v>96.09542288557212</x:v>
      </x:c>
      <x:c r="F3157" s="11" t="n">
        <x:v>201</x:v>
      </x:c>
      <x:c r="G3157" s="11" t="n">
        <x:v>0</x:v>
      </x:c>
      <x:c r="H3157" s="11" t="n">
        <x:v>0</x:v>
      </x:c>
      <x:c r="I3157" s="11" t="n">
        <x:v>0</x:v>
      </x:c>
      <x:c r="J3157" s="11" t="n">
        <x:v>0</x:v>
      </x:c>
      <x:c r="K3157" s="11" t="n">
        <x:v>1</x:v>
      </x:c>
      <x:c r="L3157" s="11" t="n">
        <x:f>IF(B3157="NED",1,IF(OR(B3157="ED",B3157="UN"),0,""))</x:f>
        <x:v>0</x:v>
      </x:c>
      <x:c r="M3157" s="11" t="n">
        <x:f>IF(AND(K3157=1,OR(B3157="ED",B3157="NED")),1,0)</x:f>
        <x:v>0</x:v>
      </x:c>
      <x:c r="N3157" s="11" t="n">
        <x:f>IF(K3157=1,1,0)</x:f>
        <x:v>1</x:v>
      </x:c>
      <x:c r="O3157" s="12"/>
      <x:c r="P3157" s="11" t="n">
        <x:v>0</x:v>
      </x:c>
      <x:c r="Q3157" s="12" t="str">
        <x:v>AF-Q9R1P3-F1-model_v6</x:v>
      </x:c>
      <x:c r="R3157" s="12" t="str">
        <x:v>ok</x:v>
      </x:c>
      <x:c r="S3157" s="11" t="n">
        <x:v>2623</x:v>
      </x:c>
      <x:c r="T3157" s="11" t="n">
        <x:v>201</x:v>
      </x:c>
    </x:row>
    <x:row r="3158" ht="23" customHeight="1">
      <x:c r="A3158" s="2" t="str">
        <x:v>Q9R1P4</x:v>
      </x:c>
      <x:c r="B3158" s="2" t="str">
        <x:v>UN</x:v>
      </x:c>
      <x:c r="C3158" s="2" t="n">
        <x:v>1</x:v>
      </x:c>
      <x:c r="D3158" s="2" t="n">
        <x:v>1</x:v>
      </x:c>
      <x:c r="E3158" s="10" t="n">
        <x:v>91.9893536121673</x:v>
      </x:c>
      <x:c r="F3158" s="11" t="n">
        <x:v>263</x:v>
      </x:c>
      <x:c r="G3158" s="11" t="n">
        <x:v>0</x:v>
      </x:c>
      <x:c r="H3158" s="11" t="n">
        <x:v>0</x:v>
      </x:c>
      <x:c r="I3158" s="11" t="n">
        <x:v>0</x:v>
      </x:c>
      <x:c r="J3158" s="11" t="n">
        <x:v>0</x:v>
      </x:c>
      <x:c r="K3158" s="11" t="n">
        <x:v>1</x:v>
      </x:c>
      <x:c r="L3158" s="11" t="n">
        <x:f>IF(B3158="NED",1,IF(OR(B3158="ED",B3158="UN"),0,""))</x:f>
        <x:v>0</x:v>
      </x:c>
      <x:c r="M3158" s="11" t="n">
        <x:f>IF(AND(K3158=1,OR(B3158="ED",B3158="NED")),1,0)</x:f>
        <x:v>0</x:v>
      </x:c>
      <x:c r="N3158" s="11" t="n">
        <x:f>IF(K3158=1,1,0)</x:f>
        <x:v>1</x:v>
      </x:c>
      <x:c r="O3158" s="12"/>
      <x:c r="P3158" s="11" t="n">
        <x:v>0</x:v>
      </x:c>
      <x:c r="Q3158" s="12" t="str">
        <x:v>AF-Q9R1P4-F1-model_v6</x:v>
      </x:c>
      <x:c r="R3158" s="12" t="str">
        <x:v>ok</x:v>
      </x:c>
      <x:c r="S3158" s="11" t="n">
        <x:v>2624</x:v>
      </x:c>
      <x:c r="T3158" s="11" t="n">
        <x:v>263</x:v>
      </x:c>
    </x:row>
    <x:row r="3159" ht="23" customHeight="1">
      <x:c r="A3159" s="2" t="str">
        <x:v>Q9R1R8</x:v>
      </x:c>
      <x:c r="B3159" s="2" t="str">
        <x:v>NED</x:v>
      </x:c>
      <x:c r="C3159" s="2"/>
      <x:c r="D3159" s="2"/>
      <x:c r="E3159" s="10"/>
      <x:c r="F3159" s="11"/>
      <x:c r="G3159" s="11" t="n">
        <x:v>0</x:v>
      </x:c>
      <x:c r="H3159" s="11" t="n">
        <x:v>0</x:v>
      </x:c>
      <x:c r="I3159" s="11" t="n">
        <x:v>0</x:v>
      </x:c>
      <x:c r="J3159" s="11" t="n">
        <x:v>0</x:v>
      </x:c>
      <x:c r="K3159" s="11" t="n">
        <x:v>0</x:v>
      </x:c>
      <x:c r="L3159" s="11" t="n">
        <x:f>IF(B3159="NED",1,IF(OR(B3159="ED",B3159="UN"),0,""))</x:f>
        <x:v>1</x:v>
      </x:c>
      <x:c r="M3159" s="11" t="n">
        <x:f>IF(AND(K3159=1,OR(B3159="ED",B3159="NED")),1,0)</x:f>
        <x:v>0</x:v>
      </x:c>
      <x:c r="N3159" s="11" t="n">
        <x:f>IF(K3159=1,1,0)</x:f>
        <x:v>0</x:v>
      </x:c>
      <x:c r="O3159" s="12" t="str">
        <x:v>Require exact native accession match</x:v>
      </x:c>
      <x:c r="P3159" s="11" t="n">
        <x:v>0</x:v>
      </x:c>
      <x:c r="Q3159" s="12"/>
      <x:c r="R3159" s="12"/>
      <x:c r="S3159" s="11" t="n">
        <x:v>3277</x:v>
      </x:c>
      <x:c r="T3159" s="11" t="n">
        <x:v>300</x:v>
      </x:c>
    </x:row>
    <x:row r="3160" ht="23" customHeight="1">
      <x:c r="A3160" s="2" t="str">
        <x:v>Q9R1T2</x:v>
      </x:c>
      <x:c r="B3160" s="2" t="str">
        <x:v>ED</x:v>
      </x:c>
      <x:c r="C3160" s="2" t="n">
        <x:v>1</x:v>
      </x:c>
      <x:c r="D3160" s="2" t="n">
        <x:v>1</x:v>
      </x:c>
      <x:c r="E3160" s="10" t="n">
        <x:v>91.02548571428572</x:v>
      </x:c>
      <x:c r="F3160" s="11" t="n">
        <x:v>350</x:v>
      </x:c>
      <x:c r="G3160" s="11" t="n">
        <x:v>0</x:v>
      </x:c>
      <x:c r="H3160" s="11" t="n">
        <x:v>0</x:v>
      </x:c>
      <x:c r="I3160" s="11" t="n">
        <x:v>0</x:v>
      </x:c>
      <x:c r="J3160" s="11" t="n">
        <x:v>0</x:v>
      </x:c>
      <x:c r="K3160" s="11" t="n">
        <x:v>1</x:v>
      </x:c>
      <x:c r="L3160" s="11" t="n">
        <x:f>IF(B3160="NED",1,IF(OR(B3160="ED",B3160="UN"),0,""))</x:f>
        <x:v>0</x:v>
      </x:c>
      <x:c r="M3160" s="11" t="n">
        <x:f>IF(AND(K3160=1,OR(B3160="ED",B3160="NED")),1,0)</x:f>
        <x:v>1</x:v>
      </x:c>
      <x:c r="N3160" s="11" t="n">
        <x:f>IF(K3160=1,1,0)</x:f>
        <x:v>1</x:v>
      </x:c>
      <x:c r="O3160" s="12"/>
      <x:c r="P3160" s="11" t="n">
        <x:v>0</x:v>
      </x:c>
      <x:c r="Q3160" s="12" t="str">
        <x:v>AF-Q9R1T2-F1-model_v6</x:v>
      </x:c>
      <x:c r="R3160" s="12" t="str">
        <x:v>ok</x:v>
      </x:c>
      <x:c r="S3160" s="11" t="n">
        <x:v>2625</x:v>
      </x:c>
      <x:c r="T3160" s="11" t="n">
        <x:v>350</x:v>
      </x:c>
    </x:row>
    <x:row r="3161" ht="23" customHeight="1">
      <x:c r="A3161" s="2" t="str">
        <x:v>Q9R1T4-2</x:v>
      </x:c>
      <x:c r="B3161" s="2" t="str">
        <x:v>ED</x:v>
      </x:c>
      <x:c r="C3161" s="2"/>
      <x:c r="D3161" s="2"/>
      <x:c r="E3161" s="10"/>
      <x:c r="F3161" s="11"/>
      <x:c r="G3161" s="11" t="n">
        <x:v>0</x:v>
      </x:c>
      <x:c r="H3161" s="11" t="n">
        <x:v>0</x:v>
      </x:c>
      <x:c r="I3161" s="11"/>
      <x:c r="J3161" s="11"/>
      <x:c r="K3161" s="11" t="n">
        <x:v>0</x:v>
      </x:c>
      <x:c r="L3161" s="11" t="n">
        <x:f>IF(B3161="NED",1,IF(OR(B3161="ED",B3161="UN"),0,""))</x:f>
        <x:v>0</x:v>
      </x:c>
      <x:c r="M3161" s="11" t="n">
        <x:f>IF(AND(K3161=1,OR(B3161="ED",B3161="NED")),1,0)</x:f>
        <x:v>0</x:v>
      </x:c>
      <x:c r="N3161" s="11" t="n">
        <x:f>IF(K3161=1,1,0)</x:f>
        <x:v>0</x:v>
      </x:c>
      <x:c r="O3161" s="12" t="str">
        <x:v>Require exact native accession match</x:v>
      </x:c>
      <x:c r="P3161" s="11" t="n">
        <x:v>0</x:v>
      </x:c>
      <x:c r="Q3161" s="12"/>
      <x:c r="R3161" s="12"/>
      <x:c r="S3161" s="11" t="n">
        <x:v>2626</x:v>
      </x:c>
      <x:c r="T3161" s="11"/>
    </x:row>
    <x:row r="3162" ht="23" customHeight="1">
      <x:c r="A3162" s="2" t="str">
        <x:v>Q9R1X4-3</x:v>
      </x:c>
      <x:c r="B3162" s="2" t="str">
        <x:v>ED</x:v>
      </x:c>
      <x:c r="C3162" s="2"/>
      <x:c r="D3162" s="2"/>
      <x:c r="E3162" s="10"/>
      <x:c r="F3162" s="11"/>
      <x:c r="G3162" s="11" t="n">
        <x:v>0</x:v>
      </x:c>
      <x:c r="H3162" s="11" t="n">
        <x:v>0</x:v>
      </x:c>
      <x:c r="I3162" s="11"/>
      <x:c r="J3162" s="11"/>
      <x:c r="K3162" s="11" t="n">
        <x:v>0</x:v>
      </x:c>
      <x:c r="L3162" s="11" t="n">
        <x:f>IF(B3162="NED",1,IF(OR(B3162="ED",B3162="UN"),0,""))</x:f>
        <x:v>0</x:v>
      </x:c>
      <x:c r="M3162" s="11" t="n">
        <x:f>IF(AND(K3162=1,OR(B3162="ED",B3162="NED")),1,0)</x:f>
        <x:v>0</x:v>
      </x:c>
      <x:c r="N3162" s="11" t="n">
        <x:f>IF(K3162=1,1,0)</x:f>
        <x:v>0</x:v>
      </x:c>
      <x:c r="O3162" s="12" t="str">
        <x:v>Require exact native accession match</x:v>
      </x:c>
      <x:c r="P3162" s="11" t="n">
        <x:v>0</x:v>
      </x:c>
      <x:c r="Q3162" s="12"/>
      <x:c r="R3162" s="12"/>
      <x:c r="S3162" s="11" t="n">
        <x:v>2627</x:v>
      </x:c>
      <x:c r="T3162" s="11"/>
    </x:row>
    <x:row r="3163" ht="23" customHeight="1">
      <x:c r="A3163" s="2" t="str">
        <x:v>Q9R1Z8</x:v>
      </x:c>
      <x:c r="B3163" s="2" t="str">
        <x:v>ED</x:v>
      </x:c>
      <x:c r="C3163" s="2" t="n">
        <x:v>1</x:v>
      </x:c>
      <x:c r="D3163" s="2" t="n">
        <x:v>1</x:v>
      </x:c>
      <x:c r="E3163" s="10" t="n">
        <x:v>55.356084583901776</x:v>
      </x:c>
      <x:c r="F3163" s="11" t="n">
        <x:v>733</x:v>
      </x:c>
      <x:c r="G3163" s="11" t="n">
        <x:v>0</x:v>
      </x:c>
      <x:c r="H3163" s="11" t="n">
        <x:v>0</x:v>
      </x:c>
      <x:c r="I3163" s="11" t="n">
        <x:v>0</x:v>
      </x:c>
      <x:c r="J3163" s="11" t="n">
        <x:v>0</x:v>
      </x:c>
      <x:c r="K3163" s="11" t="n">
        <x:v>0</x:v>
      </x:c>
      <x:c r="L3163" s="11" t="n">
        <x:f>IF(B3163="NED",1,IF(OR(B3163="ED",B3163="UN"),0,""))</x:f>
        <x:v>0</x:v>
      </x:c>
      <x:c r="M3163" s="11" t="n">
        <x:f>IF(AND(K3163=1,OR(B3163="ED",B3163="NED")),1,0)</x:f>
        <x:v>0</x:v>
      </x:c>
      <x:c r="N3163" s="11" t="n">
        <x:f>IF(K3163=1,1,0)</x:f>
        <x:v>0</x:v>
      </x:c>
      <x:c r="O3163" s="12" t="str">
        <x:v>Retain protein mean pLDDT &gt;=70</x:v>
      </x:c>
      <x:c r="P3163" s="11" t="n">
        <x:v>0</x:v>
      </x:c>
      <x:c r="Q3163" s="12" t="str">
        <x:v>AF-Q9R1Z8-F1-model_v6</x:v>
      </x:c>
      <x:c r="R3163" s="12" t="str">
        <x:v>ok</x:v>
      </x:c>
      <x:c r="S3163" s="11" t="n">
        <x:v>2628</x:v>
      </x:c>
      <x:c r="T3163" s="11" t="n">
        <x:v>733</x:v>
      </x:c>
    </x:row>
    <x:row r="3164" ht="23" customHeight="1">
      <x:c r="A3164" s="2" t="str">
        <x:v>Q9R207</x:v>
      </x:c>
      <x:c r="B3164" s="2" t="str">
        <x:v>UN</x:v>
      </x:c>
      <x:c r="C3164" s="2" t="n">
        <x:v>1</x:v>
      </x:c>
      <x:c r="D3164" s="2" t="n">
        <x:v>1</x:v>
      </x:c>
      <x:c r="E3164" s="10" t="n">
        <x:v>63.45821571238349</x:v>
      </x:c>
      <x:c r="F3164" s="11" t="n">
        <x:v>751</x:v>
      </x:c>
      <x:c r="G3164" s="11" t="n">
        <x:v>0</x:v>
      </x:c>
      <x:c r="H3164" s="11" t="n">
        <x:v>0</x:v>
      </x:c>
      <x:c r="I3164" s="11" t="n">
        <x:v>0</x:v>
      </x:c>
      <x:c r="J3164" s="11" t="n">
        <x:v>0</x:v>
      </x:c>
      <x:c r="K3164" s="11" t="n">
        <x:v>0</x:v>
      </x:c>
      <x:c r="L3164" s="11" t="n">
        <x:f>IF(B3164="NED",1,IF(OR(B3164="ED",B3164="UN"),0,""))</x:f>
        <x:v>0</x:v>
      </x:c>
      <x:c r="M3164" s="11" t="n">
        <x:f>IF(AND(K3164=1,OR(B3164="ED",B3164="NED")),1,0)</x:f>
        <x:v>0</x:v>
      </x:c>
      <x:c r="N3164" s="11" t="n">
        <x:f>IF(K3164=1,1,0)</x:f>
        <x:v>0</x:v>
      </x:c>
      <x:c r="O3164" s="12" t="str">
        <x:v>Retain protein mean pLDDT &gt;=70</x:v>
      </x:c>
      <x:c r="P3164" s="11" t="n">
        <x:v>0</x:v>
      </x:c>
      <x:c r="Q3164" s="12" t="str">
        <x:v>AF-Q9R207-F1-model_v6</x:v>
      </x:c>
      <x:c r="R3164" s="12" t="str">
        <x:v>ok</x:v>
      </x:c>
      <x:c r="S3164" s="11" t="n">
        <x:v>2629</x:v>
      </x:c>
      <x:c r="T3164" s="11" t="n">
        <x:v>751</x:v>
      </x:c>
    </x:row>
    <x:row r="3165" ht="23" customHeight="1">
      <x:c r="A3165" s="2" t="str">
        <x:v>Q9WTI7-3</x:v>
      </x:c>
      <x:c r="B3165" s="2" t="str">
        <x:v>UN</x:v>
      </x:c>
      <x:c r="C3165" s="2"/>
      <x:c r="D3165" s="2"/>
      <x:c r="E3165" s="10"/>
      <x:c r="F3165" s="11"/>
      <x:c r="G3165" s="11" t="n">
        <x:v>0</x:v>
      </x:c>
      <x:c r="H3165" s="11" t="n">
        <x:v>0</x:v>
      </x:c>
      <x:c r="I3165" s="11"/>
      <x:c r="J3165" s="11"/>
      <x:c r="K3165" s="11" t="n">
        <x:v>0</x:v>
      </x:c>
      <x:c r="L3165" s="11" t="n">
        <x:f>IF(B3165="NED",1,IF(OR(B3165="ED",B3165="UN"),0,""))</x:f>
        <x:v>0</x:v>
      </x:c>
      <x:c r="M3165" s="11" t="n">
        <x:f>IF(AND(K3165=1,OR(B3165="ED",B3165="NED")),1,0)</x:f>
        <x:v>0</x:v>
      </x:c>
      <x:c r="N3165" s="11" t="n">
        <x:f>IF(K3165=1,1,0)</x:f>
        <x:v>0</x:v>
      </x:c>
      <x:c r="O3165" s="12" t="str">
        <x:v>Require exact native accession match</x:v>
      </x:c>
      <x:c r="P3165" s="11" t="n">
        <x:v>0</x:v>
      </x:c>
      <x:c r="Q3165" s="12"/>
      <x:c r="R3165" s="12"/>
      <x:c r="S3165" s="11" t="n">
        <x:v>2630</x:v>
      </x:c>
      <x:c r="T3165" s="11"/>
    </x:row>
    <x:row r="3166" ht="23" customHeight="1">
      <x:c r="A3166" s="2" t="str">
        <x:v>Q9WTK5</x:v>
      </x:c>
      <x:c r="B3166" s="2" t="str">
        <x:v>UN</x:v>
      </x:c>
      <x:c r="C3166" s="2" t="n">
        <x:v>1</x:v>
      </x:c>
      <x:c r="D3166" s="2" t="n">
        <x:v>1</x:v>
      </x:c>
      <x:c r="E3166" s="10" t="n">
        <x:v>74.59433815350388</x:v>
      </x:c>
      <x:c r="F3166" s="11" t="n">
        <x:v>899</x:v>
      </x:c>
      <x:c r="G3166" s="11" t="n">
        <x:v>0</x:v>
      </x:c>
      <x:c r="H3166" s="11" t="n">
        <x:v>0</x:v>
      </x:c>
      <x:c r="I3166" s="11" t="n">
        <x:v>0</x:v>
      </x:c>
      <x:c r="J3166" s="11" t="n">
        <x:v>0</x:v>
      </x:c>
      <x:c r="K3166" s="11" t="n">
        <x:v>1</x:v>
      </x:c>
      <x:c r="L3166" s="11" t="n">
        <x:f>IF(B3166="NED",1,IF(OR(B3166="ED",B3166="UN"),0,""))</x:f>
        <x:v>0</x:v>
      </x:c>
      <x:c r="M3166" s="11" t="n">
        <x:f>IF(AND(K3166=1,OR(B3166="ED",B3166="NED")),1,0)</x:f>
        <x:v>0</x:v>
      </x:c>
      <x:c r="N3166" s="11" t="n">
        <x:f>IF(K3166=1,1,0)</x:f>
        <x:v>1</x:v>
      </x:c>
      <x:c r="O3166" s="12"/>
      <x:c r="P3166" s="11" t="n">
        <x:v>0</x:v>
      </x:c>
      <x:c r="Q3166" s="12" t="str">
        <x:v>AF-Q9WTK5-F1-model_v6</x:v>
      </x:c>
      <x:c r="R3166" s="12" t="str">
        <x:v>ok</x:v>
      </x:c>
      <x:c r="S3166" s="11" t="n">
        <x:v>2631</x:v>
      </x:c>
      <x:c r="T3166" s="11" t="n">
        <x:v>899</x:v>
      </x:c>
    </x:row>
    <x:row r="3167" ht="23" customHeight="1">
      <x:c r="A3167" s="2" t="str">
        <x:v>Q9WTL8-3</x:v>
      </x:c>
      <x:c r="B3167" s="2" t="str">
        <x:v>UN</x:v>
      </x:c>
      <x:c r="C3167" s="2"/>
      <x:c r="D3167" s="2"/>
      <x:c r="E3167" s="10"/>
      <x:c r="F3167" s="11"/>
      <x:c r="G3167" s="11" t="n">
        <x:v>0</x:v>
      </x:c>
      <x:c r="H3167" s="11" t="n">
        <x:v>0</x:v>
      </x:c>
      <x:c r="I3167" s="11"/>
      <x:c r="J3167" s="11"/>
      <x:c r="K3167" s="11" t="n">
        <x:v>0</x:v>
      </x:c>
      <x:c r="L3167" s="11" t="n">
        <x:f>IF(B3167="NED",1,IF(OR(B3167="ED",B3167="UN"),0,""))</x:f>
        <x:v>0</x:v>
      </x:c>
      <x:c r="M3167" s="11" t="n">
        <x:f>IF(AND(K3167=1,OR(B3167="ED",B3167="NED")),1,0)</x:f>
        <x:v>0</x:v>
      </x:c>
      <x:c r="N3167" s="11" t="n">
        <x:f>IF(K3167=1,1,0)</x:f>
        <x:v>0</x:v>
      </x:c>
      <x:c r="O3167" s="12" t="str">
        <x:v>Require exact native accession match</x:v>
      </x:c>
      <x:c r="P3167" s="11" t="n">
        <x:v>0</x:v>
      </x:c>
      <x:c r="Q3167" s="12"/>
      <x:c r="R3167" s="12"/>
      <x:c r="S3167" s="11" t="n">
        <x:v>2632</x:v>
      </x:c>
      <x:c r="T3167" s="11"/>
    </x:row>
    <x:row r="3168" ht="23" customHeight="1">
      <x:c r="A3168" s="2" t="str">
        <x:v>Q9WTM5</x:v>
      </x:c>
      <x:c r="B3168" s="2" t="str">
        <x:v>ED</x:v>
      </x:c>
      <x:c r="C3168" s="2" t="n">
        <x:v>1</x:v>
      </x:c>
      <x:c r="D3168" s="2" t="n">
        <x:v>1</x:v>
      </x:c>
      <x:c r="E3168" s="10"/>
      <x:c r="F3168" s="11" t="n">
        <x:v>463</x:v>
      </x:c>
      <x:c r="G3168" s="11" t="n">
        <x:v>0</x:v>
      </x:c>
      <x:c r="H3168" s="11" t="n">
        <x:v>0</x:v>
      </x:c>
      <x:c r="I3168" s="11" t="n">
        <x:v>1</x:v>
      </x:c>
      <x:c r="J3168" s="11" t="n">
        <x:v>0</x:v>
      </x:c>
      <x:c r="K3168" s="11" t="n">
        <x:v>0</x:v>
      </x:c>
      <x:c r="L3168" s="11" t="n">
        <x:f>IF(B3168="NED",1,IF(OR(B3168="ED",B3168="UN"),0,""))</x:f>
        <x:v>0</x:v>
      </x:c>
      <x:c r="M3168" s="11" t="n">
        <x:f>IF(AND(K3168=1,OR(B3168="ED",B3168="NED")),1,0)</x:f>
        <x:v>0</x:v>
      </x:c>
      <x:c r="N3168" s="11" t="n">
        <x:f>IF(K3168=1,1,0)</x:f>
        <x:v>0</x:v>
      </x:c>
      <x:c r="O3168" s="12" t="str">
        <x:v>Exclude UniProt Membrane keyword</x:v>
      </x:c>
      <x:c r="P3168" s="11" t="n">
        <x:v>0</x:v>
      </x:c>
      <x:c r="Q3168" s="12" t="str">
        <x:v>AF-Q9WTM5-F1-model_v6</x:v>
      </x:c>
      <x:c r="R3168" s="12" t="str">
        <x:v>ok</x:v>
      </x:c>
      <x:c r="S3168" s="11" t="n">
        <x:v>2633</x:v>
      </x:c>
      <x:c r="T3168" s="11" t="n">
        <x:v>463</x:v>
      </x:c>
    </x:row>
    <x:row r="3169" ht="23" customHeight="1">
      <x:c r="A3169" s="2" t="str">
        <x:v>Q9WTP6-2</x:v>
      </x:c>
      <x:c r="B3169" s="2" t="str">
        <x:v>ED</x:v>
      </x:c>
      <x:c r="C3169" s="2"/>
      <x:c r="D3169" s="2"/>
      <x:c r="E3169" s="10"/>
      <x:c r="F3169" s="11"/>
      <x:c r="G3169" s="11" t="n">
        <x:v>0</x:v>
      </x:c>
      <x:c r="H3169" s="11" t="n">
        <x:v>0</x:v>
      </x:c>
      <x:c r="I3169" s="11"/>
      <x:c r="J3169" s="11"/>
      <x:c r="K3169" s="11" t="n">
        <x:v>0</x:v>
      </x:c>
      <x:c r="L3169" s="11" t="n">
        <x:f>IF(B3169="NED",1,IF(OR(B3169="ED",B3169="UN"),0,""))</x:f>
        <x:v>0</x:v>
      </x:c>
      <x:c r="M3169" s="11" t="n">
        <x:f>IF(AND(K3169=1,OR(B3169="ED",B3169="NED")),1,0)</x:f>
        <x:v>0</x:v>
      </x:c>
      <x:c r="N3169" s="11" t="n">
        <x:f>IF(K3169=1,1,0)</x:f>
        <x:v>0</x:v>
      </x:c>
      <x:c r="O3169" s="12" t="str">
        <x:v>Require exact native accession match</x:v>
      </x:c>
      <x:c r="P3169" s="11" t="n">
        <x:v>0</x:v>
      </x:c>
      <x:c r="Q3169" s="12"/>
      <x:c r="R3169" s="12"/>
      <x:c r="S3169" s="11" t="n">
        <x:v>2634</x:v>
      </x:c>
      <x:c r="T3169" s="11"/>
    </x:row>
    <x:row r="3170" ht="23" customHeight="1">
      <x:c r="A3170" s="2" t="str">
        <x:v>Q9WTU6-3</x:v>
      </x:c>
      <x:c r="B3170" s="2" t="str">
        <x:v>ED</x:v>
      </x:c>
      <x:c r="C3170" s="2"/>
      <x:c r="D3170" s="2"/>
      <x:c r="E3170" s="10"/>
      <x:c r="F3170" s="11"/>
      <x:c r="G3170" s="11" t="n">
        <x:v>0</x:v>
      </x:c>
      <x:c r="H3170" s="11" t="n">
        <x:v>0</x:v>
      </x:c>
      <x:c r="I3170" s="11"/>
      <x:c r="J3170" s="11"/>
      <x:c r="K3170" s="11" t="n">
        <x:v>0</x:v>
      </x:c>
      <x:c r="L3170" s="11" t="n">
        <x:f>IF(B3170="NED",1,IF(OR(B3170="ED",B3170="UN"),0,""))</x:f>
        <x:v>0</x:v>
      </x:c>
      <x:c r="M3170" s="11" t="n">
        <x:f>IF(AND(K3170=1,OR(B3170="ED",B3170="NED")),1,0)</x:f>
        <x:v>0</x:v>
      </x:c>
      <x:c r="N3170" s="11" t="n">
        <x:f>IF(K3170=1,1,0)</x:f>
        <x:v>0</x:v>
      </x:c>
      <x:c r="O3170" s="12" t="str">
        <x:v>Require exact native accession match</x:v>
      </x:c>
      <x:c r="P3170" s="11" t="n">
        <x:v>0</x:v>
      </x:c>
      <x:c r="Q3170" s="12"/>
      <x:c r="R3170" s="12"/>
      <x:c r="S3170" s="11" t="n">
        <x:v>2635</x:v>
      </x:c>
      <x:c r="T3170" s="11"/>
    </x:row>
    <x:row r="3171" ht="23" customHeight="1">
      <x:c r="A3171" s="2" t="str">
        <x:v>Q9WTX2</x:v>
      </x:c>
      <x:c r="B3171" s="2" t="str">
        <x:v>ED</x:v>
      </x:c>
      <x:c r="C3171" s="2" t="n">
        <x:v>0</x:v>
      </x:c>
      <x:c r="D3171" s="2" t="n">
        <x:v>0</x:v>
      </x:c>
      <x:c r="E3171" s="10" t="n">
        <x:v>75.65613418530351</x:v>
      </x:c>
      <x:c r="F3171" s="11" t="n">
        <x:v>313</x:v>
      </x:c>
      <x:c r="G3171" s="11" t="n">
        <x:v>0</x:v>
      </x:c>
      <x:c r="H3171" s="11" t="n">
        <x:v>0</x:v>
      </x:c>
      <x:c r="I3171" s="11" t="n">
        <x:v>0</x:v>
      </x:c>
      <x:c r="J3171" s="11" t="n">
        <x:v>0</x:v>
      </x:c>
      <x:c r="K3171" s="11" t="n">
        <x:v>1</x:v>
      </x:c>
      <x:c r="L3171" s="11" t="n">
        <x:f>IF(B3171="NED",1,IF(OR(B3171="ED",B3171="UN"),0,""))</x:f>
        <x:v>0</x:v>
      </x:c>
      <x:c r="M3171" s="11" t="n">
        <x:f>IF(AND(K3171=1,OR(B3171="ED",B3171="NED")),1,0)</x:f>
        <x:v>1</x:v>
      </x:c>
      <x:c r="N3171" s="11" t="n">
        <x:f>IF(K3171=1,1,0)</x:f>
        <x:v>1</x:v>
      </x:c>
      <x:c r="O3171" s="12"/>
      <x:c r="P3171" s="11" t="n">
        <x:v>0</x:v>
      </x:c>
      <x:c r="Q3171" s="12" t="str">
        <x:v>AF-Q9WTX2-F1-model_v6</x:v>
      </x:c>
      <x:c r="R3171" s="12" t="str">
        <x:v>ok</x:v>
      </x:c>
      <x:c r="S3171" s="11" t="n">
        <x:v>2636</x:v>
      </x:c>
      <x:c r="T3171" s="11" t="n">
        <x:v>313</x:v>
      </x:c>
    </x:row>
    <x:row r="3172" ht="23" customHeight="1">
      <x:c r="A3172" s="2" t="str">
        <x:v>Q9WTX5</x:v>
      </x:c>
      <x:c r="B3172" s="2" t="str">
        <x:v>UN</x:v>
      </x:c>
      <x:c r="C3172" s="2" t="n">
        <x:v>0</x:v>
      </x:c>
      <x:c r="D3172" s="2" t="n">
        <x:v>0</x:v>
      </x:c>
      <x:c r="E3172" s="10" t="n">
        <x:v>90.44858895705522</x:v>
      </x:c>
      <x:c r="F3172" s="11" t="n">
        <x:v>163</x:v>
      </x:c>
      <x:c r="G3172" s="11" t="n">
        <x:v>0</x:v>
      </x:c>
      <x:c r="H3172" s="11" t="n">
        <x:v>0</x:v>
      </x:c>
      <x:c r="I3172" s="11" t="n">
        <x:v>0</x:v>
      </x:c>
      <x:c r="J3172" s="11" t="n">
        <x:v>0</x:v>
      </x:c>
      <x:c r="K3172" s="11" t="n">
        <x:v>1</x:v>
      </x:c>
      <x:c r="L3172" s="11" t="n">
        <x:f>IF(B3172="NED",1,IF(OR(B3172="ED",B3172="UN"),0,""))</x:f>
        <x:v>0</x:v>
      </x:c>
      <x:c r="M3172" s="11" t="n">
        <x:f>IF(AND(K3172=1,OR(B3172="ED",B3172="NED")),1,0)</x:f>
        <x:v>0</x:v>
      </x:c>
      <x:c r="N3172" s="11" t="n">
        <x:f>IF(K3172=1,1,0)</x:f>
        <x:v>1</x:v>
      </x:c>
      <x:c r="O3172" s="12"/>
      <x:c r="P3172" s="11" t="n">
        <x:v>0</x:v>
      </x:c>
      <x:c r="Q3172" s="12" t="str">
        <x:v>AF-Q9WTX5-F1-model_v6</x:v>
      </x:c>
      <x:c r="R3172" s="12" t="str">
        <x:v>ok</x:v>
      </x:c>
      <x:c r="S3172" s="11" t="n">
        <x:v>2637</x:v>
      </x:c>
      <x:c r="T3172" s="11" t="n">
        <x:v>163</x:v>
      </x:c>
    </x:row>
    <x:row r="3173" ht="23" customHeight="1">
      <x:c r="A3173" s="2" t="str">
        <x:v>Q9WTX6</x:v>
      </x:c>
      <x:c r="B3173" s="2" t="str">
        <x:v>ED</x:v>
      </x:c>
      <x:c r="C3173" s="2" t="n">
        <x:v>1</x:v>
      </x:c>
      <x:c r="D3173" s="2" t="n">
        <x:v>1</x:v>
      </x:c>
      <x:c r="E3173" s="10" t="n">
        <x:v>88.17395618556702</x:v>
      </x:c>
      <x:c r="F3173" s="11" t="n">
        <x:v>776</x:v>
      </x:c>
      <x:c r="G3173" s="11" t="n">
        <x:v>0</x:v>
      </x:c>
      <x:c r="H3173" s="11" t="n">
        <x:v>0</x:v>
      </x:c>
      <x:c r="I3173" s="11" t="n">
        <x:v>0</x:v>
      </x:c>
      <x:c r="J3173" s="11" t="n">
        <x:v>0</x:v>
      </x:c>
      <x:c r="K3173" s="11" t="n">
        <x:v>1</x:v>
      </x:c>
      <x:c r="L3173" s="11" t="n">
        <x:f>IF(B3173="NED",1,IF(OR(B3173="ED",B3173="UN"),0,""))</x:f>
        <x:v>0</x:v>
      </x:c>
      <x:c r="M3173" s="11" t="n">
        <x:f>IF(AND(K3173=1,OR(B3173="ED",B3173="NED")),1,0)</x:f>
        <x:v>1</x:v>
      </x:c>
      <x:c r="N3173" s="11" t="n">
        <x:f>IF(K3173=1,1,0)</x:f>
        <x:v>1</x:v>
      </x:c>
      <x:c r="O3173" s="12"/>
      <x:c r="P3173" s="11" t="n">
        <x:v>0</x:v>
      </x:c>
      <x:c r="Q3173" s="12" t="str">
        <x:v>AF-Q9WTX6-F1-model_v6</x:v>
      </x:c>
      <x:c r="R3173" s="12" t="str">
        <x:v>ok</x:v>
      </x:c>
      <x:c r="S3173" s="11" t="n">
        <x:v>2638</x:v>
      </x:c>
      <x:c r="T3173" s="11" t="n">
        <x:v>776</x:v>
      </x:c>
    </x:row>
    <x:row r="3174" ht="23" customHeight="1">
      <x:c r="A3174" s="2" t="str">
        <x:v>Q9WTX8</x:v>
      </x:c>
      <x:c r="B3174" s="2" t="str">
        <x:v>UN</x:v>
      </x:c>
      <x:c r="C3174" s="2" t="n">
        <x:v>0</x:v>
      </x:c>
      <x:c r="D3174" s="2" t="n">
        <x:v>0</x:v>
      </x:c>
      <x:c r="E3174" s="10" t="n">
        <x:v>81.73514644351464</x:v>
      </x:c>
      <x:c r="F3174" s="11" t="n">
        <x:v>717</x:v>
      </x:c>
      <x:c r="G3174" s="11" t="n">
        <x:v>0</x:v>
      </x:c>
      <x:c r="H3174" s="11" t="n">
        <x:v>0</x:v>
      </x:c>
      <x:c r="I3174" s="11" t="n">
        <x:v>0</x:v>
      </x:c>
      <x:c r="J3174" s="11" t="n">
        <x:v>0</x:v>
      </x:c>
      <x:c r="K3174" s="11" t="n">
        <x:v>1</x:v>
      </x:c>
      <x:c r="L3174" s="11" t="n">
        <x:f>IF(B3174="NED",1,IF(OR(B3174="ED",B3174="UN"),0,""))</x:f>
        <x:v>0</x:v>
      </x:c>
      <x:c r="M3174" s="11" t="n">
        <x:f>IF(AND(K3174=1,OR(B3174="ED",B3174="NED")),1,0)</x:f>
        <x:v>0</x:v>
      </x:c>
      <x:c r="N3174" s="11" t="n">
        <x:f>IF(K3174=1,1,0)</x:f>
        <x:v>1</x:v>
      </x:c>
      <x:c r="O3174" s="12"/>
      <x:c r="P3174" s="11" t="n">
        <x:v>0</x:v>
      </x:c>
      <x:c r="Q3174" s="12" t="str">
        <x:v>AF-Q9WTX8-F1-model_v6</x:v>
      </x:c>
      <x:c r="R3174" s="12" t="str">
        <x:v>ok</x:v>
      </x:c>
      <x:c r="S3174" s="11" t="n">
        <x:v>2639</x:v>
      </x:c>
      <x:c r="T3174" s="11" t="n">
        <x:v>717</x:v>
      </x:c>
    </x:row>
    <x:row r="3175" ht="23" customHeight="1">
      <x:c r="A3175" s="2" t="str">
        <x:v>Q9WU28</x:v>
      </x:c>
      <x:c r="B3175" s="2" t="str">
        <x:v>NED</x:v>
      </x:c>
      <x:c r="C3175" s="2" t="n">
        <x:v>0</x:v>
      </x:c>
      <x:c r="D3175" s="2" t="n">
        <x:v>0</x:v>
      </x:c>
      <x:c r="E3175" s="10" t="n">
        <x:v>91.71214285714284</x:v>
      </x:c>
      <x:c r="F3175" s="11" t="n">
        <x:v>154</x:v>
      </x:c>
      <x:c r="G3175" s="11" t="n">
        <x:v>0</x:v>
      </x:c>
      <x:c r="H3175" s="11" t="n">
        <x:v>0</x:v>
      </x:c>
      <x:c r="I3175" s="11" t="n">
        <x:v>0</x:v>
      </x:c>
      <x:c r="J3175" s="11" t="n">
        <x:v>0</x:v>
      </x:c>
      <x:c r="K3175" s="11" t="n">
        <x:v>1</x:v>
      </x:c>
      <x:c r="L3175" s="11" t="n">
        <x:f>IF(B3175="NED",1,IF(OR(B3175="ED",B3175="UN"),0,""))</x:f>
        <x:v>1</x:v>
      </x:c>
      <x:c r="M3175" s="11" t="n">
        <x:f>IF(AND(K3175=1,OR(B3175="ED",B3175="NED")),1,0)</x:f>
        <x:v>1</x:v>
      </x:c>
      <x:c r="N3175" s="11" t="n">
        <x:f>IF(K3175=1,1,0)</x:f>
        <x:v>1</x:v>
      </x:c>
      <x:c r="O3175" s="12"/>
      <x:c r="P3175" s="11" t="n">
        <x:v>0</x:v>
      </x:c>
      <x:c r="Q3175" s="12" t="str">
        <x:v>AF-Q9WU28-F1-model_v6</x:v>
      </x:c>
      <x:c r="R3175" s="12" t="str">
        <x:v>ok</x:v>
      </x:c>
      <x:c r="S3175" s="11" t="n">
        <x:v>2640</x:v>
      </x:c>
      <x:c r="T3175" s="11" t="n">
        <x:v>154</x:v>
      </x:c>
    </x:row>
    <x:row r="3176" ht="23" customHeight="1">
      <x:c r="A3176" s="2" t="str">
        <x:v>Q9WU56-2</x:v>
      </x:c>
      <x:c r="B3176" s="2" t="str">
        <x:v>UN</x:v>
      </x:c>
      <x:c r="C3176" s="2"/>
      <x:c r="D3176" s="2"/>
      <x:c r="E3176" s="10"/>
      <x:c r="F3176" s="11"/>
      <x:c r="G3176" s="11" t="n">
        <x:v>0</x:v>
      </x:c>
      <x:c r="H3176" s="11" t="n">
        <x:v>0</x:v>
      </x:c>
      <x:c r="I3176" s="11"/>
      <x:c r="J3176" s="11"/>
      <x:c r="K3176" s="11" t="n">
        <x:v>0</x:v>
      </x:c>
      <x:c r="L3176" s="11" t="n">
        <x:f>IF(B3176="NED",1,IF(OR(B3176="ED",B3176="UN"),0,""))</x:f>
        <x:v>0</x:v>
      </x:c>
      <x:c r="M3176" s="11" t="n">
        <x:f>IF(AND(K3176=1,OR(B3176="ED",B3176="NED")),1,0)</x:f>
        <x:v>0</x:v>
      </x:c>
      <x:c r="N3176" s="11" t="n">
        <x:f>IF(K3176=1,1,0)</x:f>
        <x:v>0</x:v>
      </x:c>
      <x:c r="O3176" s="12" t="str">
        <x:v>Require exact native accession match</x:v>
      </x:c>
      <x:c r="P3176" s="11" t="n">
        <x:v>0</x:v>
      </x:c>
      <x:c r="Q3176" s="12"/>
      <x:c r="R3176" s="12"/>
      <x:c r="S3176" s="11" t="n">
        <x:v>2641</x:v>
      </x:c>
      <x:c r="T3176" s="11"/>
    </x:row>
    <x:row r="3177" ht="23" customHeight="1">
      <x:c r="A3177" s="2" t="str">
        <x:v>Q9WU62-2</x:v>
      </x:c>
      <x:c r="B3177" s="2" t="str">
        <x:v>UN</x:v>
      </x:c>
      <x:c r="C3177" s="2"/>
      <x:c r="D3177" s="2"/>
      <x:c r="E3177" s="10"/>
      <x:c r="F3177" s="11"/>
      <x:c r="G3177" s="11" t="n">
        <x:v>0</x:v>
      </x:c>
      <x:c r="H3177" s="11" t="n">
        <x:v>0</x:v>
      </x:c>
      <x:c r="I3177" s="11"/>
      <x:c r="J3177" s="11"/>
      <x:c r="K3177" s="11" t="n">
        <x:v>0</x:v>
      </x:c>
      <x:c r="L3177" s="11" t="n">
        <x:f>IF(B3177="NED",1,IF(OR(B3177="ED",B3177="UN"),0,""))</x:f>
        <x:v>0</x:v>
      </x:c>
      <x:c r="M3177" s="11" t="n">
        <x:f>IF(AND(K3177=1,OR(B3177="ED",B3177="NED")),1,0)</x:f>
        <x:v>0</x:v>
      </x:c>
      <x:c r="N3177" s="11" t="n">
        <x:f>IF(K3177=1,1,0)</x:f>
        <x:v>0</x:v>
      </x:c>
      <x:c r="O3177" s="12" t="str">
        <x:v>Require exact native accession match</x:v>
      </x:c>
      <x:c r="P3177" s="11" t="n">
        <x:v>0</x:v>
      </x:c>
      <x:c r="Q3177" s="12"/>
      <x:c r="R3177" s="12"/>
      <x:c r="S3177" s="11" t="n">
        <x:v>2642</x:v>
      </x:c>
      <x:c r="T3177" s="11"/>
    </x:row>
    <x:row r="3178" ht="23" customHeight="1">
      <x:c r="A3178" s="2" t="str">
        <x:v>Q9WU78</x:v>
      </x:c>
      <x:c r="B3178" s="2" t="str">
        <x:v>ED</x:v>
      </x:c>
      <x:c r="C3178" s="2" t="n">
        <x:v>0</x:v>
      </x:c>
      <x:c r="D3178" s="2" t="n">
        <x:v>0</x:v>
      </x:c>
      <x:c r="E3178" s="10"/>
      <x:c r="F3178" s="11" t="n">
        <x:v>869</x:v>
      </x:c>
      <x:c r="G3178" s="11" t="n">
        <x:v>0</x:v>
      </x:c>
      <x:c r="H3178" s="11" t="n">
        <x:v>0</x:v>
      </x:c>
      <x:c r="I3178" s="11" t="n">
        <x:v>0</x:v>
      </x:c>
      <x:c r="J3178" s="11" t="n">
        <x:v>1</x:v>
      </x:c>
      <x:c r="K3178" s="11" t="n">
        <x:v>0</x:v>
      </x:c>
      <x:c r="L3178" s="11" t="n">
        <x:f>IF(B3178="NED",1,IF(OR(B3178="ED",B3178="UN"),0,""))</x:f>
        <x:v>0</x:v>
      </x:c>
      <x:c r="M3178" s="11" t="n">
        <x:f>IF(AND(K3178=1,OR(B3178="ED",B3178="NED")),1,0)</x:f>
        <x:v>0</x:v>
      </x:c>
      <x:c r="N3178" s="11" t="n">
        <x:f>IF(K3178=1,1,0)</x:f>
        <x:v>0</x:v>
      </x:c>
      <x:c r="O3178" s="12" t="str">
        <x:v>Exclude UniProt Secreted keyword</x:v>
      </x:c>
      <x:c r="P3178" s="11" t="n">
        <x:v>0</x:v>
      </x:c>
      <x:c r="Q3178" s="12" t="str">
        <x:v>AF-Q9WU78-F1-model_v6</x:v>
      </x:c>
      <x:c r="R3178" s="12" t="str">
        <x:v>ok</x:v>
      </x:c>
      <x:c r="S3178" s="11" t="n">
        <x:v>2643</x:v>
      </x:c>
      <x:c r="T3178" s="11" t="n">
        <x:v>869</x:v>
      </x:c>
    </x:row>
    <x:row r="3179" ht="23" customHeight="1">
      <x:c r="A3179" s="2" t="str">
        <x:v>Q9WUA2</x:v>
      </x:c>
      <x:c r="B3179" s="2" t="str">
        <x:v>ED</x:v>
      </x:c>
      <x:c r="C3179" s="2" t="n">
        <x:v>1</x:v>
      </x:c>
      <x:c r="D3179" s="2" t="n">
        <x:v>1</x:v>
      </x:c>
      <x:c r="E3179" s="10" t="n">
        <x:v>95.01383701188456</x:v>
      </x:c>
      <x:c r="F3179" s="11" t="n">
        <x:v>589</x:v>
      </x:c>
      <x:c r="G3179" s="11" t="n">
        <x:v>0</x:v>
      </x:c>
      <x:c r="H3179" s="11" t="n">
        <x:v>0</x:v>
      </x:c>
      <x:c r="I3179" s="11" t="n">
        <x:v>0</x:v>
      </x:c>
      <x:c r="J3179" s="11" t="n">
        <x:v>0</x:v>
      </x:c>
      <x:c r="K3179" s="11" t="n">
        <x:v>1</x:v>
      </x:c>
      <x:c r="L3179" s="11" t="n">
        <x:f>IF(B3179="NED",1,IF(OR(B3179="ED",B3179="UN"),0,""))</x:f>
        <x:v>0</x:v>
      </x:c>
      <x:c r="M3179" s="11" t="n">
        <x:f>IF(AND(K3179=1,OR(B3179="ED",B3179="NED")),1,0)</x:f>
        <x:v>1</x:v>
      </x:c>
      <x:c r="N3179" s="11" t="n">
        <x:f>IF(K3179=1,1,0)</x:f>
        <x:v>1</x:v>
      </x:c>
      <x:c r="O3179" s="12"/>
      <x:c r="P3179" s="11" t="n">
        <x:v>0</x:v>
      </x:c>
      <x:c r="Q3179" s="12" t="str">
        <x:v>AF-Q9WUA2-F1-model_v6</x:v>
      </x:c>
      <x:c r="R3179" s="12" t="str">
        <x:v>ok</x:v>
      </x:c>
      <x:c r="S3179" s="11" t="n">
        <x:v>2644</x:v>
      </x:c>
      <x:c r="T3179" s="11" t="n">
        <x:v>589</x:v>
      </x:c>
    </x:row>
    <x:row r="3180" ht="23" customHeight="1">
      <x:c r="A3180" s="2" t="str">
        <x:v>Q9WUA3</x:v>
      </x:c>
      <x:c r="B3180" s="2" t="str">
        <x:v>UN</x:v>
      </x:c>
      <x:c r="C3180" s="2" t="n">
        <x:v>1</x:v>
      </x:c>
      <x:c r="D3180" s="2" t="n">
        <x:v>1</x:v>
      </x:c>
      <x:c r="E3180" s="10" t="n">
        <x:v>91.07815051020408</x:v>
      </x:c>
      <x:c r="F3180" s="11" t="n">
        <x:v>784</x:v>
      </x:c>
      <x:c r="G3180" s="11" t="n">
        <x:v>0</x:v>
      </x:c>
      <x:c r="H3180" s="11" t="n">
        <x:v>0</x:v>
      </x:c>
      <x:c r="I3180" s="11" t="n">
        <x:v>0</x:v>
      </x:c>
      <x:c r="J3180" s="11" t="n">
        <x:v>0</x:v>
      </x:c>
      <x:c r="K3180" s="11" t="n">
        <x:v>1</x:v>
      </x:c>
      <x:c r="L3180" s="11" t="n">
        <x:f>IF(B3180="NED",1,IF(OR(B3180="ED",B3180="UN"),0,""))</x:f>
        <x:v>0</x:v>
      </x:c>
      <x:c r="M3180" s="11" t="n">
        <x:f>IF(AND(K3180=1,OR(B3180="ED",B3180="NED")),1,0)</x:f>
        <x:v>0</x:v>
      </x:c>
      <x:c r="N3180" s="11" t="n">
        <x:f>IF(K3180=1,1,0)</x:f>
        <x:v>1</x:v>
      </x:c>
      <x:c r="O3180" s="12"/>
      <x:c r="P3180" s="11" t="n">
        <x:v>0</x:v>
      </x:c>
      <x:c r="Q3180" s="12" t="str">
        <x:v>AF-Q9WUA3-F1-model_v6</x:v>
      </x:c>
      <x:c r="R3180" s="12" t="str">
        <x:v>ok</x:v>
      </x:c>
      <x:c r="S3180" s="11" t="n">
        <x:v>2645</x:v>
      </x:c>
      <x:c r="T3180" s="11" t="n">
        <x:v>784</x:v>
      </x:c>
    </x:row>
    <x:row r="3181" ht="23" customHeight="1">
      <x:c r="A3181" s="2" t="str">
        <x:v>Q9WUA6-2</x:v>
      </x:c>
      <x:c r="B3181" s="2" t="str">
        <x:v>UN</x:v>
      </x:c>
      <x:c r="C3181" s="2"/>
      <x:c r="D3181" s="2"/>
      <x:c r="E3181" s="10"/>
      <x:c r="F3181" s="11"/>
      <x:c r="G3181" s="11" t="n">
        <x:v>0</x:v>
      </x:c>
      <x:c r="H3181" s="11" t="n">
        <x:v>0</x:v>
      </x:c>
      <x:c r="I3181" s="11"/>
      <x:c r="J3181" s="11"/>
      <x:c r="K3181" s="11" t="n">
        <x:v>0</x:v>
      </x:c>
      <x:c r="L3181" s="11" t="n">
        <x:f>IF(B3181="NED",1,IF(OR(B3181="ED",B3181="UN"),0,""))</x:f>
        <x:v>0</x:v>
      </x:c>
      <x:c r="M3181" s="11" t="n">
        <x:f>IF(AND(K3181=1,OR(B3181="ED",B3181="NED")),1,0)</x:f>
        <x:v>0</x:v>
      </x:c>
      <x:c r="N3181" s="11" t="n">
        <x:f>IF(K3181=1,1,0)</x:f>
        <x:v>0</x:v>
      </x:c>
      <x:c r="O3181" s="12" t="str">
        <x:v>Require exact native accession match</x:v>
      </x:c>
      <x:c r="P3181" s="11" t="n">
        <x:v>0</x:v>
      </x:c>
      <x:c r="Q3181" s="12"/>
      <x:c r="R3181" s="12"/>
      <x:c r="S3181" s="11" t="n">
        <x:v>2646</x:v>
      </x:c>
      <x:c r="T3181" s="11"/>
    </x:row>
    <x:row r="3182" ht="23" customHeight="1">
      <x:c r="A3182" s="2" t="str">
        <x:v>Q9WUD1</x:v>
      </x:c>
      <x:c r="B3182" s="2" t="str">
        <x:v>UN</x:v>
      </x:c>
      <x:c r="C3182" s="2" t="n">
        <x:v>0</x:v>
      </x:c>
      <x:c r="D3182" s="2" t="n">
        <x:v>0</x:v>
      </x:c>
      <x:c r="E3182" s="10" t="n">
        <x:v>89.00694078947369</x:v>
      </x:c>
      <x:c r="F3182" s="11" t="n">
        <x:v>304</x:v>
      </x:c>
      <x:c r="G3182" s="11" t="n">
        <x:v>0</x:v>
      </x:c>
      <x:c r="H3182" s="11" t="n">
        <x:v>0</x:v>
      </x:c>
      <x:c r="I3182" s="11" t="n">
        <x:v>0</x:v>
      </x:c>
      <x:c r="J3182" s="11" t="n">
        <x:v>0</x:v>
      </x:c>
      <x:c r="K3182" s="11" t="n">
        <x:v>1</x:v>
      </x:c>
      <x:c r="L3182" s="11" t="n">
        <x:f>IF(B3182="NED",1,IF(OR(B3182="ED",B3182="UN"),0,""))</x:f>
        <x:v>0</x:v>
      </x:c>
      <x:c r="M3182" s="11" t="n">
        <x:f>IF(AND(K3182=1,OR(B3182="ED",B3182="NED")),1,0)</x:f>
        <x:v>0</x:v>
      </x:c>
      <x:c r="N3182" s="11" t="n">
        <x:f>IF(K3182=1,1,0)</x:f>
        <x:v>1</x:v>
      </x:c>
      <x:c r="O3182" s="12"/>
      <x:c r="P3182" s="11" t="n">
        <x:v>0</x:v>
      </x:c>
      <x:c r="Q3182" s="12" t="str">
        <x:v>AF-Q9WUD1-F1-model_v6</x:v>
      </x:c>
      <x:c r="R3182" s="12" t="str">
        <x:v>ok</x:v>
      </x:c>
      <x:c r="S3182" s="11" t="n">
        <x:v>2647</x:v>
      </x:c>
      <x:c r="T3182" s="11" t="n">
        <x:v>304</x:v>
      </x:c>
    </x:row>
    <x:row r="3183" ht="23" customHeight="1">
      <x:c r="A3183" s="2" t="str">
        <x:v>Q9WUK2-2</x:v>
      </x:c>
      <x:c r="B3183" s="2" t="str">
        <x:v>ED</x:v>
      </x:c>
      <x:c r="C3183" s="2"/>
      <x:c r="D3183" s="2"/>
      <x:c r="E3183" s="10"/>
      <x:c r="F3183" s="11"/>
      <x:c r="G3183" s="11" t="n">
        <x:v>0</x:v>
      </x:c>
      <x:c r="H3183" s="11" t="n">
        <x:v>0</x:v>
      </x:c>
      <x:c r="I3183" s="11"/>
      <x:c r="J3183" s="11"/>
      <x:c r="K3183" s="11" t="n">
        <x:v>0</x:v>
      </x:c>
      <x:c r="L3183" s="11" t="n">
        <x:f>IF(B3183="NED",1,IF(OR(B3183="ED",B3183="UN"),0,""))</x:f>
        <x:v>0</x:v>
      </x:c>
      <x:c r="M3183" s="11" t="n">
        <x:f>IF(AND(K3183=1,OR(B3183="ED",B3183="NED")),1,0)</x:f>
        <x:v>0</x:v>
      </x:c>
      <x:c r="N3183" s="11" t="n">
        <x:f>IF(K3183=1,1,0)</x:f>
        <x:v>0</x:v>
      </x:c>
      <x:c r="O3183" s="12" t="str">
        <x:v>Require exact native accession match</x:v>
      </x:c>
      <x:c r="P3183" s="11" t="n">
        <x:v>0</x:v>
      </x:c>
      <x:c r="Q3183" s="12"/>
      <x:c r="R3183" s="12"/>
      <x:c r="S3183" s="11" t="n">
        <x:v>2648</x:v>
      </x:c>
      <x:c r="T3183" s="11"/>
    </x:row>
    <x:row r="3184" ht="23" customHeight="1">
      <x:c r="A3184" s="2" t="str">
        <x:v>Q9WUK4</x:v>
      </x:c>
      <x:c r="B3184" s="2" t="str">
        <x:v>UN</x:v>
      </x:c>
      <x:c r="C3184" s="2" t="n">
        <x:v>1</x:v>
      </x:c>
      <x:c r="D3184" s="2" t="n">
        <x:v>1</x:v>
      </x:c>
      <x:c r="E3184" s="10" t="n">
        <x:v>86.88977077363897</x:v>
      </x:c>
      <x:c r="F3184" s="11" t="n">
        <x:v>349</x:v>
      </x:c>
      <x:c r="G3184" s="11" t="n">
        <x:v>0</x:v>
      </x:c>
      <x:c r="H3184" s="11" t="n">
        <x:v>0</x:v>
      </x:c>
      <x:c r="I3184" s="11" t="n">
        <x:v>0</x:v>
      </x:c>
      <x:c r="J3184" s="11" t="n">
        <x:v>0</x:v>
      </x:c>
      <x:c r="K3184" s="11" t="n">
        <x:v>1</x:v>
      </x:c>
      <x:c r="L3184" s="11" t="n">
        <x:f>IF(B3184="NED",1,IF(OR(B3184="ED",B3184="UN"),0,""))</x:f>
        <x:v>0</x:v>
      </x:c>
      <x:c r="M3184" s="11" t="n">
        <x:f>IF(AND(K3184=1,OR(B3184="ED",B3184="NED")),1,0)</x:f>
        <x:v>0</x:v>
      </x:c>
      <x:c r="N3184" s="11" t="n">
        <x:f>IF(K3184=1,1,0)</x:f>
        <x:v>1</x:v>
      </x:c>
      <x:c r="O3184" s="12"/>
      <x:c r="P3184" s="11" t="n">
        <x:v>0</x:v>
      </x:c>
      <x:c r="Q3184" s="12" t="str">
        <x:v>AF-Q9WUK4-F1-model_v6</x:v>
      </x:c>
      <x:c r="R3184" s="12" t="str">
        <x:v>ok</x:v>
      </x:c>
      <x:c r="S3184" s="11" t="n">
        <x:v>2649</x:v>
      </x:c>
      <x:c r="T3184" s="11" t="n">
        <x:v>349</x:v>
      </x:c>
    </x:row>
    <x:row r="3185" ht="23" customHeight="1">
      <x:c r="A3185" s="2" t="str">
        <x:v>Q9WUL7</x:v>
      </x:c>
      <x:c r="B3185" s="2" t="str">
        <x:v>ED</x:v>
      </x:c>
      <x:c r="C3185" s="2" t="n">
        <x:v>1</x:v>
      </x:c>
      <x:c r="D3185" s="2" t="n">
        <x:v>1</x:v>
      </x:c>
      <x:c r="E3185" s="10"/>
      <x:c r="F3185" s="11" t="n">
        <x:v>182</x:v>
      </x:c>
      <x:c r="G3185" s="11" t="n">
        <x:v>0</x:v>
      </x:c>
      <x:c r="H3185" s="11" t="n">
        <x:v>0</x:v>
      </x:c>
      <x:c r="I3185" s="11" t="n">
        <x:v>1</x:v>
      </x:c>
      <x:c r="J3185" s="11" t="n">
        <x:v>0</x:v>
      </x:c>
      <x:c r="K3185" s="11" t="n">
        <x:v>0</x:v>
      </x:c>
      <x:c r="L3185" s="11" t="n">
        <x:f>IF(B3185="NED",1,IF(OR(B3185="ED",B3185="UN"),0,""))</x:f>
        <x:v>0</x:v>
      </x:c>
      <x:c r="M3185" s="11" t="n">
        <x:f>IF(AND(K3185=1,OR(B3185="ED",B3185="NED")),1,0)</x:f>
        <x:v>0</x:v>
      </x:c>
      <x:c r="N3185" s="11" t="n">
        <x:f>IF(K3185=1,1,0)</x:f>
        <x:v>0</x:v>
      </x:c>
      <x:c r="O3185" s="12" t="str">
        <x:v>Exclude UniProt Membrane keyword</x:v>
      </x:c>
      <x:c r="P3185" s="11" t="n">
        <x:v>0</x:v>
      </x:c>
      <x:c r="Q3185" s="12" t="str">
        <x:v>AF-Q9WUL7-F1-model_v6</x:v>
      </x:c>
      <x:c r="R3185" s="12" t="str">
        <x:v>ok</x:v>
      </x:c>
      <x:c r="S3185" s="11" t="n">
        <x:v>2650</x:v>
      </x:c>
      <x:c r="T3185" s="11" t="n">
        <x:v>182</x:v>
      </x:c>
    </x:row>
    <x:row r="3186" ht="23" customHeight="1">
      <x:c r="A3186" s="2" t="str">
        <x:v>Q9WUM3</x:v>
      </x:c>
      <x:c r="B3186" s="2" t="str">
        <x:v>ED</x:v>
      </x:c>
      <x:c r="C3186" s="2" t="n">
        <x:v>1</x:v>
      </x:c>
      <x:c r="D3186" s="2" t="n">
        <x:v>1</x:v>
      </x:c>
      <x:c r="E3186" s="10" t="n">
        <x:v>89.58640495867769</x:v>
      </x:c>
      <x:c r="F3186" s="11" t="n">
        <x:v>484</x:v>
      </x:c>
      <x:c r="G3186" s="11" t="n">
        <x:v>0</x:v>
      </x:c>
      <x:c r="H3186" s="11" t="n">
        <x:v>0</x:v>
      </x:c>
      <x:c r="I3186" s="11" t="n">
        <x:v>0</x:v>
      </x:c>
      <x:c r="J3186" s="11" t="n">
        <x:v>0</x:v>
      </x:c>
      <x:c r="K3186" s="11" t="n">
        <x:v>1</x:v>
      </x:c>
      <x:c r="L3186" s="11" t="n">
        <x:f>IF(B3186="NED",1,IF(OR(B3186="ED",B3186="UN"),0,""))</x:f>
        <x:v>0</x:v>
      </x:c>
      <x:c r="M3186" s="11" t="n">
        <x:f>IF(AND(K3186=1,OR(B3186="ED",B3186="NED")),1,0)</x:f>
        <x:v>1</x:v>
      </x:c>
      <x:c r="N3186" s="11" t="n">
        <x:f>IF(K3186=1,1,0)</x:f>
        <x:v>1</x:v>
      </x:c>
      <x:c r="O3186" s="12"/>
      <x:c r="P3186" s="11" t="n">
        <x:v>0</x:v>
      </x:c>
      <x:c r="Q3186" s="12" t="str">
        <x:v>AF-Q9WUM3-F1-model_v6</x:v>
      </x:c>
      <x:c r="R3186" s="12" t="str">
        <x:v>ok</x:v>
      </x:c>
      <x:c r="S3186" s="11" t="n">
        <x:v>2651</x:v>
      </x:c>
      <x:c r="T3186" s="11" t="n">
        <x:v>484</x:v>
      </x:c>
    </x:row>
    <x:row r="3187" ht="23" customHeight="1">
      <x:c r="A3187" s="2" t="str">
        <x:v>Q9WUM4</x:v>
      </x:c>
      <x:c r="B3187" s="2" t="str">
        <x:v>UN</x:v>
      </x:c>
      <x:c r="C3187" s="2" t="n">
        <x:v>1</x:v>
      </x:c>
      <x:c r="D3187" s="2" t="n">
        <x:v>1</x:v>
      </x:c>
      <x:c r="E3187" s="10"/>
      <x:c r="F3187" s="11" t="n">
        <x:v>474</x:v>
      </x:c>
      <x:c r="G3187" s="11" t="n">
        <x:v>0</x:v>
      </x:c>
      <x:c r="H3187" s="11" t="n">
        <x:v>0</x:v>
      </x:c>
      <x:c r="I3187" s="11" t="n">
        <x:v>1</x:v>
      </x:c>
      <x:c r="J3187" s="11" t="n">
        <x:v>0</x:v>
      </x:c>
      <x:c r="K3187" s="11" t="n">
        <x:v>0</x:v>
      </x:c>
      <x:c r="L3187" s="11" t="n">
        <x:f>IF(B3187="NED",1,IF(OR(B3187="ED",B3187="UN"),0,""))</x:f>
        <x:v>0</x:v>
      </x:c>
      <x:c r="M3187" s="11" t="n">
        <x:f>IF(AND(K3187=1,OR(B3187="ED",B3187="NED")),1,0)</x:f>
        <x:v>0</x:v>
      </x:c>
      <x:c r="N3187" s="11" t="n">
        <x:f>IF(K3187=1,1,0)</x:f>
        <x:v>0</x:v>
      </x:c>
      <x:c r="O3187" s="12" t="str">
        <x:v>Exclude UniProt Membrane keyword</x:v>
      </x:c>
      <x:c r="P3187" s="11" t="n">
        <x:v>0</x:v>
      </x:c>
      <x:c r="Q3187" s="12" t="str">
        <x:v>AF-Q9WUM4-F1-model_v6</x:v>
      </x:c>
      <x:c r="R3187" s="12" t="str">
        <x:v>ok</x:v>
      </x:c>
      <x:c r="S3187" s="11" t="n">
        <x:v>2652</x:v>
      </x:c>
      <x:c r="T3187" s="11" t="n">
        <x:v>474</x:v>
      </x:c>
    </x:row>
    <x:row r="3188" ht="23" customHeight="1">
      <x:c r="A3188" s="2" t="str">
        <x:v>Q9WUM5</x:v>
      </x:c>
      <x:c r="B3188" s="2" t="str">
        <x:v>NED</x:v>
      </x:c>
      <x:c r="C3188" s="2" t="n">
        <x:v>1</x:v>
      </x:c>
      <x:c r="D3188" s="2" t="n">
        <x:v>1</x:v>
      </x:c>
      <x:c r="E3188" s="10" t="n">
        <x:v>91.1178612716763</x:v>
      </x:c>
      <x:c r="F3188" s="11" t="n">
        <x:v>346</x:v>
      </x:c>
      <x:c r="G3188" s="11" t="n">
        <x:v>0</x:v>
      </x:c>
      <x:c r="H3188" s="11" t="n">
        <x:v>0</x:v>
      </x:c>
      <x:c r="I3188" s="11" t="n">
        <x:v>0</x:v>
      </x:c>
      <x:c r="J3188" s="11" t="n">
        <x:v>0</x:v>
      </x:c>
      <x:c r="K3188" s="11" t="n">
        <x:v>1</x:v>
      </x:c>
      <x:c r="L3188" s="11" t="n">
        <x:f>IF(B3188="NED",1,IF(OR(B3188="ED",B3188="UN"),0,""))</x:f>
        <x:v>1</x:v>
      </x:c>
      <x:c r="M3188" s="11" t="n">
        <x:f>IF(AND(K3188=1,OR(B3188="ED",B3188="NED")),1,0)</x:f>
        <x:v>1</x:v>
      </x:c>
      <x:c r="N3188" s="11" t="n">
        <x:f>IF(K3188=1,1,0)</x:f>
        <x:v>1</x:v>
      </x:c>
      <x:c r="O3188" s="12"/>
      <x:c r="P3188" s="11" t="n">
        <x:v>0</x:v>
      </x:c>
      <x:c r="Q3188" s="12" t="str">
        <x:v>AF-Q9WUM5-F1-model_v6</x:v>
      </x:c>
      <x:c r="R3188" s="12" t="str">
        <x:v>ok</x:v>
      </x:c>
      <x:c r="S3188" s="11" t="n">
        <x:v>2653</x:v>
      </x:c>
      <x:c r="T3188" s="11" t="n">
        <x:v>346</x:v>
      </x:c>
    </x:row>
    <x:row r="3189" ht="23" customHeight="1">
      <x:c r="A3189" s="2" t="str">
        <x:v>Q9WUN2</x:v>
      </x:c>
      <x:c r="B3189" s="2" t="str">
        <x:v>ED</x:v>
      </x:c>
      <x:c r="C3189" s="2" t="n">
        <x:v>1</x:v>
      </x:c>
      <x:c r="D3189" s="2" t="n">
        <x:v>1</x:v>
      </x:c>
      <x:c r="E3189" s="10" t="n">
        <x:v>89.39770919067216</x:v>
      </x:c>
      <x:c r="F3189" s="11" t="n">
        <x:v>729</x:v>
      </x:c>
      <x:c r="G3189" s="11" t="n">
        <x:v>0</x:v>
      </x:c>
      <x:c r="H3189" s="11" t="n">
        <x:v>0</x:v>
      </x:c>
      <x:c r="I3189" s="11" t="n">
        <x:v>0</x:v>
      </x:c>
      <x:c r="J3189" s="11" t="n">
        <x:v>0</x:v>
      </x:c>
      <x:c r="K3189" s="11" t="n">
        <x:v>1</x:v>
      </x:c>
      <x:c r="L3189" s="11" t="n">
        <x:f>IF(B3189="NED",1,IF(OR(B3189="ED",B3189="UN"),0,""))</x:f>
        <x:v>0</x:v>
      </x:c>
      <x:c r="M3189" s="11" t="n">
        <x:f>IF(AND(K3189=1,OR(B3189="ED",B3189="NED")),1,0)</x:f>
        <x:v>1</x:v>
      </x:c>
      <x:c r="N3189" s="11" t="n">
        <x:f>IF(K3189=1,1,0)</x:f>
        <x:v>1</x:v>
      </x:c>
      <x:c r="O3189" s="12"/>
      <x:c r="P3189" s="11" t="n">
        <x:v>0</x:v>
      </x:c>
      <x:c r="Q3189" s="12" t="str">
        <x:v>AF-Q9WUN2-F1-model_v6</x:v>
      </x:c>
      <x:c r="R3189" s="12" t="str">
        <x:v>ok</x:v>
      </x:c>
      <x:c r="S3189" s="11" t="n">
        <x:v>2654</x:v>
      </x:c>
      <x:c r="T3189" s="11" t="n">
        <x:v>729</x:v>
      </x:c>
    </x:row>
    <x:row r="3190" ht="23" customHeight="1">
      <x:c r="A3190" s="2" t="str">
        <x:v>Q9WUP7-2</x:v>
      </x:c>
      <x:c r="B3190" s="2" t="str">
        <x:v>ED</x:v>
      </x:c>
      <x:c r="C3190" s="2"/>
      <x:c r="D3190" s="2"/>
      <x:c r="E3190" s="10"/>
      <x:c r="F3190" s="11"/>
      <x:c r="G3190" s="11" t="n">
        <x:v>0</x:v>
      </x:c>
      <x:c r="H3190" s="11" t="n">
        <x:v>0</x:v>
      </x:c>
      <x:c r="I3190" s="11"/>
      <x:c r="J3190" s="11"/>
      <x:c r="K3190" s="11" t="n">
        <x:v>0</x:v>
      </x:c>
      <x:c r="L3190" s="11" t="n">
        <x:f>IF(B3190="NED",1,IF(OR(B3190="ED",B3190="UN"),0,""))</x:f>
        <x:v>0</x:v>
      </x:c>
      <x:c r="M3190" s="11" t="n">
        <x:f>IF(AND(K3190=1,OR(B3190="ED",B3190="NED")),1,0)</x:f>
        <x:v>0</x:v>
      </x:c>
      <x:c r="N3190" s="11" t="n">
        <x:f>IF(K3190=1,1,0)</x:f>
        <x:v>0</x:v>
      </x:c>
      <x:c r="O3190" s="12" t="str">
        <x:v>Require exact native accession match</x:v>
      </x:c>
      <x:c r="P3190" s="11" t="n">
        <x:v>0</x:v>
      </x:c>
      <x:c r="Q3190" s="12"/>
      <x:c r="R3190" s="12"/>
      <x:c r="S3190" s="11" t="n">
        <x:v>2655</x:v>
      </x:c>
      <x:c r="T3190" s="11"/>
    </x:row>
    <x:row r="3191" ht="23" customHeight="1">
      <x:c r="A3191" s="2" t="str">
        <x:v>Q9WUQ2</x:v>
      </x:c>
      <x:c r="B3191" s="2" t="str">
        <x:v>NED</x:v>
      </x:c>
      <x:c r="C3191" s="2" t="n">
        <x:v>1</x:v>
      </x:c>
      <x:c r="D3191" s="2" t="n">
        <x:v>1</x:v>
      </x:c>
      <x:c r="E3191" s="10"/>
      <x:c r="F3191" s="11" t="n">
        <x:v>417</x:v>
      </x:c>
      <x:c r="G3191" s="11" t="n">
        <x:v>0</x:v>
      </x:c>
      <x:c r="H3191" s="11" t="n">
        <x:v>0</x:v>
      </x:c>
      <x:c r="I3191" s="11" t="n">
        <x:v>1</x:v>
      </x:c>
      <x:c r="J3191" s="11" t="n">
        <x:v>0</x:v>
      </x:c>
      <x:c r="K3191" s="11" t="n">
        <x:v>0</x:v>
      </x:c>
      <x:c r="L3191" s="11" t="n">
        <x:f>IF(B3191="NED",1,IF(OR(B3191="ED",B3191="UN"),0,""))</x:f>
        <x:v>1</x:v>
      </x:c>
      <x:c r="M3191" s="11" t="n">
        <x:f>IF(AND(K3191=1,OR(B3191="ED",B3191="NED")),1,0)</x:f>
        <x:v>0</x:v>
      </x:c>
      <x:c r="N3191" s="11" t="n">
        <x:f>IF(K3191=1,1,0)</x:f>
        <x:v>0</x:v>
      </x:c>
      <x:c r="O3191" s="12" t="str">
        <x:v>Exclude UniProt Membrane keyword</x:v>
      </x:c>
      <x:c r="P3191" s="11" t="n">
        <x:v>0</x:v>
      </x:c>
      <x:c r="Q3191" s="12" t="str">
        <x:v>AF-Q9WUQ2-F1-model_v6</x:v>
      </x:c>
      <x:c r="R3191" s="12" t="str">
        <x:v>ok</x:v>
      </x:c>
      <x:c r="S3191" s="11" t="n">
        <x:v>2656</x:v>
      </x:c>
      <x:c r="T3191" s="11" t="n">
        <x:v>417</x:v>
      </x:c>
    </x:row>
    <x:row r="3192" ht="23" customHeight="1">
      <x:c r="A3192" s="2" t="str">
        <x:v>Q9WUR9</x:v>
      </x:c>
      <x:c r="B3192" s="2" t="str">
        <x:v>ED</x:v>
      </x:c>
      <x:c r="C3192" s="2" t="n">
        <x:v>1</x:v>
      </x:c>
      <x:c r="D3192" s="2" t="n">
        <x:v>1</x:v>
      </x:c>
      <x:c r="E3192" s="10" t="n">
        <x:v>91.312600896861</x:v>
      </x:c>
      <x:c r="F3192" s="11" t="n">
        <x:v>223</x:v>
      </x:c>
      <x:c r="G3192" s="11" t="n">
        <x:v>0</x:v>
      </x:c>
      <x:c r="H3192" s="11" t="n">
        <x:v>0</x:v>
      </x:c>
      <x:c r="I3192" s="11" t="n">
        <x:v>0</x:v>
      </x:c>
      <x:c r="J3192" s="11" t="n">
        <x:v>0</x:v>
      </x:c>
      <x:c r="K3192" s="11" t="n">
        <x:v>1</x:v>
      </x:c>
      <x:c r="L3192" s="11" t="n">
        <x:f>IF(B3192="NED",1,IF(OR(B3192="ED",B3192="UN"),0,""))</x:f>
        <x:v>0</x:v>
      </x:c>
      <x:c r="M3192" s="11" t="n">
        <x:f>IF(AND(K3192=1,OR(B3192="ED",B3192="NED")),1,0)</x:f>
        <x:v>1</x:v>
      </x:c>
      <x:c r="N3192" s="11" t="n">
        <x:f>IF(K3192=1,1,0)</x:f>
        <x:v>1</x:v>
      </x:c>
      <x:c r="O3192" s="12"/>
      <x:c r="P3192" s="11" t="n">
        <x:v>0</x:v>
      </x:c>
      <x:c r="Q3192" s="12" t="str">
        <x:v>AF-Q9WUR9-F1-model_v6</x:v>
      </x:c>
      <x:c r="R3192" s="12" t="str">
        <x:v>ok</x:v>
      </x:c>
      <x:c r="S3192" s="11" t="n">
        <x:v>2657</x:v>
      </x:c>
      <x:c r="T3192" s="11" t="n">
        <x:v>223</x:v>
      </x:c>
    </x:row>
    <x:row r="3193" ht="23" customHeight="1">
      <x:c r="A3193" s="2" t="str">
        <x:v>Q9WUU8-3</x:v>
      </x:c>
      <x:c r="B3193" s="2" t="str">
        <x:v>UN</x:v>
      </x:c>
      <x:c r="C3193" s="2"/>
      <x:c r="D3193" s="2"/>
      <x:c r="E3193" s="10"/>
      <x:c r="F3193" s="11"/>
      <x:c r="G3193" s="11" t="n">
        <x:v>0</x:v>
      </x:c>
      <x:c r="H3193" s="11" t="n">
        <x:v>0</x:v>
      </x:c>
      <x:c r="I3193" s="11"/>
      <x:c r="J3193" s="11"/>
      <x:c r="K3193" s="11" t="n">
        <x:v>0</x:v>
      </x:c>
      <x:c r="L3193" s="11" t="n">
        <x:f>IF(B3193="NED",1,IF(OR(B3193="ED",B3193="UN"),0,""))</x:f>
        <x:v>0</x:v>
      </x:c>
      <x:c r="M3193" s="11" t="n">
        <x:f>IF(AND(K3193=1,OR(B3193="ED",B3193="NED")),1,0)</x:f>
        <x:v>0</x:v>
      </x:c>
      <x:c r="N3193" s="11" t="n">
        <x:f>IF(K3193=1,1,0)</x:f>
        <x:v>0</x:v>
      </x:c>
      <x:c r="O3193" s="12" t="str">
        <x:v>Require exact native accession match</x:v>
      </x:c>
      <x:c r="P3193" s="11" t="n">
        <x:v>0</x:v>
      </x:c>
      <x:c r="Q3193" s="12"/>
      <x:c r="R3193" s="12"/>
      <x:c r="S3193" s="11" t="n">
        <x:v>2658</x:v>
      </x:c>
      <x:c r="T3193" s="11"/>
    </x:row>
    <x:row r="3194" ht="23" customHeight="1">
      <x:c r="A3194" s="2" t="str">
        <x:v>Q9WUU9</x:v>
      </x:c>
      <x:c r="B3194" s="2" t="str">
        <x:v>NED</x:v>
      </x:c>
      <x:c r="C3194" s="2" t="n">
        <x:v>1</x:v>
      </x:c>
      <x:c r="D3194" s="2" t="n">
        <x:v>1</x:v>
      </x:c>
      <x:c r="E3194" s="10" t="n">
        <x:v>63.79421613394216</x:v>
      </x:c>
      <x:c r="F3194" s="11" t="n">
        <x:v>1971</x:v>
      </x:c>
      <x:c r="G3194" s="11" t="n">
        <x:v>0</x:v>
      </x:c>
      <x:c r="H3194" s="11" t="n">
        <x:v>0</x:v>
      </x:c>
      <x:c r="I3194" s="11" t="n">
        <x:v>0</x:v>
      </x:c>
      <x:c r="J3194" s="11" t="n">
        <x:v>0</x:v>
      </x:c>
      <x:c r="K3194" s="11" t="n">
        <x:v>0</x:v>
      </x:c>
      <x:c r="L3194" s="11" t="n">
        <x:f>IF(B3194="NED",1,IF(OR(B3194="ED",B3194="UN"),0,""))</x:f>
        <x:v>1</x:v>
      </x:c>
      <x:c r="M3194" s="11" t="n">
        <x:f>IF(AND(K3194=1,OR(B3194="ED",B3194="NED")),1,0)</x:f>
        <x:v>0</x:v>
      </x:c>
      <x:c r="N3194" s="11" t="n">
        <x:f>IF(K3194=1,1,0)</x:f>
        <x:v>0</x:v>
      </x:c>
      <x:c r="O3194" s="12" t="str">
        <x:v>Retain protein mean pLDDT &gt;=70</x:v>
      </x:c>
      <x:c r="P3194" s="11" t="n">
        <x:v>0</x:v>
      </x:c>
      <x:c r="Q3194" s="12" t="str">
        <x:v>AF-Q9WUU9-F1-model_v6</x:v>
      </x:c>
      <x:c r="R3194" s="12" t="str">
        <x:v>ok</x:v>
      </x:c>
      <x:c r="S3194" s="11" t="n">
        <x:v>2659</x:v>
      </x:c>
      <x:c r="T3194" s="11" t="n">
        <x:v>1971</x:v>
      </x:c>
    </x:row>
    <x:row r="3195" ht="23" customHeight="1">
      <x:c r="A3195" s="2" t="str">
        <x:v>Q9WUV0</x:v>
      </x:c>
      <x:c r="B3195" s="2" t="str">
        <x:v>NED</x:v>
      </x:c>
      <x:c r="C3195" s="2" t="n">
        <x:v>1</x:v>
      </x:c>
      <x:c r="D3195" s="2" t="n">
        <x:v>1</x:v>
      </x:c>
      <x:c r="E3195" s="10" t="n">
        <x:v>86.06393103448275</x:v>
      </x:c>
      <x:c r="F3195" s="11" t="n">
        <x:v>435</x:v>
      </x:c>
      <x:c r="G3195" s="11" t="n">
        <x:v>0</x:v>
      </x:c>
      <x:c r="H3195" s="11" t="n">
        <x:v>0</x:v>
      </x:c>
      <x:c r="I3195" s="11" t="n">
        <x:v>0</x:v>
      </x:c>
      <x:c r="J3195" s="11" t="n">
        <x:v>0</x:v>
      </x:c>
      <x:c r="K3195" s="11" t="n">
        <x:v>1</x:v>
      </x:c>
      <x:c r="L3195" s="11" t="n">
        <x:f>IF(B3195="NED",1,IF(OR(B3195="ED",B3195="UN"),0,""))</x:f>
        <x:v>1</x:v>
      </x:c>
      <x:c r="M3195" s="11" t="n">
        <x:f>IF(AND(K3195=1,OR(B3195="ED",B3195="NED")),1,0)</x:f>
        <x:v>1</x:v>
      </x:c>
      <x:c r="N3195" s="11" t="n">
        <x:f>IF(K3195=1,1,0)</x:f>
        <x:v>1</x:v>
      </x:c>
      <x:c r="O3195" s="12"/>
      <x:c r="P3195" s="11" t="n">
        <x:v>0</x:v>
      </x:c>
      <x:c r="Q3195" s="12" t="str">
        <x:v>AF-Q9WUV0-F1-model_v6</x:v>
      </x:c>
      <x:c r="R3195" s="12" t="str">
        <x:v>ok</x:v>
      </x:c>
      <x:c r="S3195" s="11" t="n">
        <x:v>2660</x:v>
      </x:c>
      <x:c r="T3195" s="11" t="n">
        <x:v>435</x:v>
      </x:c>
    </x:row>
    <x:row r="3196" ht="23" customHeight="1">
      <x:c r="A3196" s="2" t="str">
        <x:v>Q9WV03</x:v>
      </x:c>
      <x:c r="B3196" s="2" t="str">
        <x:v>ED</x:v>
      </x:c>
      <x:c r="C3196" s="2" t="n">
        <x:v>1</x:v>
      </x:c>
      <x:c r="D3196" s="2" t="n">
        <x:v>1</x:v>
      </x:c>
      <x:c r="E3196" s="10" t="n">
        <x:v>76.25766961651917</x:v>
      </x:c>
      <x:c r="F3196" s="11" t="n">
        <x:v>339</x:v>
      </x:c>
      <x:c r="G3196" s="11" t="n">
        <x:v>0</x:v>
      </x:c>
      <x:c r="H3196" s="11" t="n">
        <x:v>0</x:v>
      </x:c>
      <x:c r="I3196" s="11" t="n">
        <x:v>0</x:v>
      </x:c>
      <x:c r="J3196" s="11" t="n">
        <x:v>0</x:v>
      </x:c>
      <x:c r="K3196" s="11" t="n">
        <x:v>1</x:v>
      </x:c>
      <x:c r="L3196" s="11" t="n">
        <x:f>IF(B3196="NED",1,IF(OR(B3196="ED",B3196="UN"),0,""))</x:f>
        <x:v>0</x:v>
      </x:c>
      <x:c r="M3196" s="11" t="n">
        <x:f>IF(AND(K3196=1,OR(B3196="ED",B3196="NED")),1,0)</x:f>
        <x:v>1</x:v>
      </x:c>
      <x:c r="N3196" s="11" t="n">
        <x:f>IF(K3196=1,1,0)</x:f>
        <x:v>1</x:v>
      </x:c>
      <x:c r="O3196" s="12"/>
      <x:c r="P3196" s="11" t="n">
        <x:v>0</x:v>
      </x:c>
      <x:c r="Q3196" s="12" t="str">
        <x:v>AF-Q9WV03-F1-model_v6</x:v>
      </x:c>
      <x:c r="R3196" s="12" t="str">
        <x:v>ok</x:v>
      </x:c>
      <x:c r="S3196" s="11" t="n">
        <x:v>2661</x:v>
      </x:c>
      <x:c r="T3196" s="11" t="n">
        <x:v>339</x:v>
      </x:c>
    </x:row>
    <x:row r="3197" ht="23" customHeight="1">
      <x:c r="A3197" s="2" t="str">
        <x:v>Q9WV32</x:v>
      </x:c>
      <x:c r="B3197" s="2" t="str">
        <x:v>NED</x:v>
      </x:c>
      <x:c r="C3197" s="2" t="n">
        <x:v>1</x:v>
      </x:c>
      <x:c r="D3197" s="2" t="n">
        <x:v>1</x:v>
      </x:c>
      <x:c r="E3197" s="10" t="n">
        <x:v>92.30228494623655</x:v>
      </x:c>
      <x:c r="F3197" s="11" t="n">
        <x:v>372</x:v>
      </x:c>
      <x:c r="G3197" s="11" t="n">
        <x:v>0</x:v>
      </x:c>
      <x:c r="H3197" s="11" t="n">
        <x:v>0</x:v>
      </x:c>
      <x:c r="I3197" s="11" t="n">
        <x:v>0</x:v>
      </x:c>
      <x:c r="J3197" s="11" t="n">
        <x:v>0</x:v>
      </x:c>
      <x:c r="K3197" s="11" t="n">
        <x:v>1</x:v>
      </x:c>
      <x:c r="L3197" s="11" t="n">
        <x:f>IF(B3197="NED",1,IF(OR(B3197="ED",B3197="UN"),0,""))</x:f>
        <x:v>1</x:v>
      </x:c>
      <x:c r="M3197" s="11" t="n">
        <x:f>IF(AND(K3197=1,OR(B3197="ED",B3197="NED")),1,0)</x:f>
        <x:v>1</x:v>
      </x:c>
      <x:c r="N3197" s="11" t="n">
        <x:f>IF(K3197=1,1,0)</x:f>
        <x:v>1</x:v>
      </x:c>
      <x:c r="O3197" s="12"/>
      <x:c r="P3197" s="11" t="n">
        <x:v>0</x:v>
      </x:c>
      <x:c r="Q3197" s="12" t="str">
        <x:v>AF-Q9WV32-F1-model_v6</x:v>
      </x:c>
      <x:c r="R3197" s="12" t="str">
        <x:v>ok</x:v>
      </x:c>
      <x:c r="S3197" s="11" t="n">
        <x:v>2662</x:v>
      </x:c>
      <x:c r="T3197" s="11" t="n">
        <x:v>372</x:v>
      </x:c>
    </x:row>
    <x:row r="3198" ht="23" customHeight="1">
      <x:c r="A3198" s="2" t="str">
        <x:v>Q9WV54</x:v>
      </x:c>
      <x:c r="B3198" s="2" t="str">
        <x:v>UN</x:v>
      </x:c>
      <x:c r="C3198" s="2"/>
      <x:c r="D3198" s="2"/>
      <x:c r="E3198" s="10"/>
      <x:c r="F3198" s="11" t="n">
        <x:v>394</x:v>
      </x:c>
      <x:c r="G3198" s="11" t="n">
        <x:v>0</x:v>
      </x:c>
      <x:c r="H3198" s="11" t="n">
        <x:v>1</x:v>
      </x:c>
      <x:c r="I3198" s="11" t="n">
        <x:v>0</x:v>
      </x:c>
      <x:c r="J3198" s="11" t="n">
        <x:v>1</x:v>
      </x:c>
      <x:c r="K3198" s="11" t="n">
        <x:v>0</x:v>
      </x:c>
      <x:c r="L3198" s="11" t="n">
        <x:f>IF(B3198="NED",1,IF(OR(B3198="ED",B3198="UN"),0,""))</x:f>
        <x:v>0</x:v>
      </x:c>
      <x:c r="M3198" s="11" t="n">
        <x:f>IF(AND(K3198=1,OR(B3198="ED",B3198="NED")),1,0)</x:f>
        <x:v>0</x:v>
      </x:c>
      <x:c r="N3198" s="11" t="n">
        <x:f>IF(K3198=1,1,0)</x:f>
        <x:v>0</x:v>
      </x:c>
      <x:c r="O3198" s="12" t="str">
        <x:v>Require binary native NCLE status</x:v>
      </x:c>
      <x:c r="P3198" s="11" t="n">
        <x:v>0</x:v>
      </x:c>
      <x:c r="Q3198" s="12" t="str">
        <x:v>AF-Q9WV54-F1-model_v6</x:v>
      </x:c>
      <x:c r="R3198" s="12" t="str">
        <x:v>ok</x:v>
      </x:c>
      <x:c r="S3198" s="11" t="n">
        <x:v>2663</x:v>
      </x:c>
      <x:c r="T3198" s="11" t="n">
        <x:v>394</x:v>
      </x:c>
    </x:row>
    <x:row r="3199" ht="23" customHeight="1">
      <x:c r="A3199" s="2" t="str">
        <x:v>Q9WV55</x:v>
      </x:c>
      <x:c r="B3199" s="2" t="str">
        <x:v>ED</x:v>
      </x:c>
      <x:c r="C3199" s="2" t="n">
        <x:v>1</x:v>
      </x:c>
      <x:c r="D3199" s="2" t="n">
        <x:v>1</x:v>
      </x:c>
      <x:c r="E3199" s="10"/>
      <x:c r="F3199" s="11" t="n">
        <x:v>249</x:v>
      </x:c>
      <x:c r="G3199" s="11" t="n">
        <x:v>0</x:v>
      </x:c>
      <x:c r="H3199" s="11" t="n">
        <x:v>0</x:v>
      </x:c>
      <x:c r="I3199" s="11" t="n">
        <x:v>1</x:v>
      </x:c>
      <x:c r="J3199" s="11" t="n">
        <x:v>0</x:v>
      </x:c>
      <x:c r="K3199" s="11" t="n">
        <x:v>0</x:v>
      </x:c>
      <x:c r="L3199" s="11" t="n">
        <x:f>IF(B3199="NED",1,IF(OR(B3199="ED",B3199="UN"),0,""))</x:f>
        <x:v>0</x:v>
      </x:c>
      <x:c r="M3199" s="11" t="n">
        <x:f>IF(AND(K3199=1,OR(B3199="ED",B3199="NED")),1,0)</x:f>
        <x:v>0</x:v>
      </x:c>
      <x:c r="N3199" s="11" t="n">
        <x:f>IF(K3199=1,1,0)</x:f>
        <x:v>0</x:v>
      </x:c>
      <x:c r="O3199" s="12" t="str">
        <x:v>Exclude UniProt Membrane keyword</x:v>
      </x:c>
      <x:c r="P3199" s="11" t="n">
        <x:v>0</x:v>
      </x:c>
      <x:c r="Q3199" s="12" t="str">
        <x:v>AF-Q9WV55-F1-model_v6</x:v>
      </x:c>
      <x:c r="R3199" s="12" t="str">
        <x:v>ok</x:v>
      </x:c>
      <x:c r="S3199" s="11" t="n">
        <x:v>2664</x:v>
      </x:c>
      <x:c r="T3199" s="11" t="n">
        <x:v>249</x:v>
      </x:c>
    </x:row>
    <x:row r="3200" ht="23" customHeight="1">
      <x:c r="A3200" s="2" t="str">
        <x:v>Q9WV60</x:v>
      </x:c>
      <x:c r="B3200" s="2" t="str">
        <x:v>ED</x:v>
      </x:c>
      <x:c r="C3200" s="2" t="n">
        <x:v>1</x:v>
      </x:c>
      <x:c r="D3200" s="2" t="n">
        <x:v>1</x:v>
      </x:c>
      <x:c r="E3200" s="10"/>
      <x:c r="F3200" s="11" t="n">
        <x:v>420</x:v>
      </x:c>
      <x:c r="G3200" s="11" t="n">
        <x:v>0</x:v>
      </x:c>
      <x:c r="H3200" s="11" t="n">
        <x:v>0</x:v>
      </x:c>
      <x:c r="I3200" s="11" t="n">
        <x:v>1</x:v>
      </x:c>
      <x:c r="J3200" s="11" t="n">
        <x:v>0</x:v>
      </x:c>
      <x:c r="K3200" s="11" t="n">
        <x:v>0</x:v>
      </x:c>
      <x:c r="L3200" s="11" t="n">
        <x:f>IF(B3200="NED",1,IF(OR(B3200="ED",B3200="UN"),0,""))</x:f>
        <x:v>0</x:v>
      </x:c>
      <x:c r="M3200" s="11" t="n">
        <x:f>IF(AND(K3200=1,OR(B3200="ED",B3200="NED")),1,0)</x:f>
        <x:v>0</x:v>
      </x:c>
      <x:c r="N3200" s="11" t="n">
        <x:f>IF(K3200=1,1,0)</x:f>
        <x:v>0</x:v>
      </x:c>
      <x:c r="O3200" s="12" t="str">
        <x:v>Exclude UniProt Membrane keyword</x:v>
      </x:c>
      <x:c r="P3200" s="11" t="n">
        <x:v>0</x:v>
      </x:c>
      <x:c r="Q3200" s="12" t="str">
        <x:v>AF-Q9WV60-F1-model_v6</x:v>
      </x:c>
      <x:c r="R3200" s="12" t="str">
        <x:v>ok</x:v>
      </x:c>
      <x:c r="S3200" s="11" t="n">
        <x:v>2665</x:v>
      </x:c>
      <x:c r="T3200" s="11" t="n">
        <x:v>420</x:v>
      </x:c>
    </x:row>
    <x:row r="3201" ht="23" customHeight="1">
      <x:c r="A3201" s="2" t="str">
        <x:v>Q9WV70</x:v>
      </x:c>
      <x:c r="B3201" s="2" t="str">
        <x:v>UN</x:v>
      </x:c>
      <x:c r="C3201" s="2" t="n">
        <x:v>1</x:v>
      </x:c>
      <x:c r="D3201" s="2" t="n">
        <x:v>1</x:v>
      </x:c>
      <x:c r="E3201" s="10" t="n">
        <x:v>70.02190093708167</x:v>
      </x:c>
      <x:c r="F3201" s="11" t="n">
        <x:v>747</x:v>
      </x:c>
      <x:c r="G3201" s="11" t="n">
        <x:v>0</x:v>
      </x:c>
      <x:c r="H3201" s="11" t="n">
        <x:v>0</x:v>
      </x:c>
      <x:c r="I3201" s="11" t="n">
        <x:v>0</x:v>
      </x:c>
      <x:c r="J3201" s="11" t="n">
        <x:v>0</x:v>
      </x:c>
      <x:c r="K3201" s="11" t="n">
        <x:v>1</x:v>
      </x:c>
      <x:c r="L3201" s="11" t="n">
        <x:f>IF(B3201="NED",1,IF(OR(B3201="ED",B3201="UN"),0,""))</x:f>
        <x:v>0</x:v>
      </x:c>
      <x:c r="M3201" s="11" t="n">
        <x:f>IF(AND(K3201=1,OR(B3201="ED",B3201="NED")),1,0)</x:f>
        <x:v>0</x:v>
      </x:c>
      <x:c r="N3201" s="11" t="n">
        <x:f>IF(K3201=1,1,0)</x:f>
        <x:v>1</x:v>
      </x:c>
      <x:c r="O3201" s="12"/>
      <x:c r="P3201" s="11" t="n">
        <x:v>0</x:v>
      </x:c>
      <x:c r="Q3201" s="12" t="str">
        <x:v>AF-Q9WV70-F1-model_v6</x:v>
      </x:c>
      <x:c r="R3201" s="12" t="str">
        <x:v>ok</x:v>
      </x:c>
      <x:c r="S3201" s="11" t="n">
        <x:v>2666</x:v>
      </x:c>
      <x:c r="T3201" s="11" t="n">
        <x:v>747</x:v>
      </x:c>
    </x:row>
    <x:row r="3202" ht="23" customHeight="1">
      <x:c r="A3202" s="2" t="str">
        <x:v>Q9WV86</x:v>
      </x:c>
      <x:c r="B3202" s="2" t="str">
        <x:v>ED</x:v>
      </x:c>
      <x:c r="C3202" s="2" t="n">
        <x:v>1</x:v>
      </x:c>
      <x:c r="D3202" s="2" t="n">
        <x:v>1</x:v>
      </x:c>
      <x:c r="E3202" s="10" t="n">
        <x:v>74.33264765784115</x:v>
      </x:c>
      <x:c r="F3202" s="11" t="n">
        <x:v>491</x:v>
      </x:c>
      <x:c r="G3202" s="11" t="n">
        <x:v>0</x:v>
      </x:c>
      <x:c r="H3202" s="11" t="n">
        <x:v>0</x:v>
      </x:c>
      <x:c r="I3202" s="11" t="n">
        <x:v>0</x:v>
      </x:c>
      <x:c r="J3202" s="11" t="n">
        <x:v>0</x:v>
      </x:c>
      <x:c r="K3202" s="11" t="n">
        <x:v>1</x:v>
      </x:c>
      <x:c r="L3202" s="11" t="n">
        <x:f>IF(B3202="NED",1,IF(OR(B3202="ED",B3202="UN"),0,""))</x:f>
        <x:v>0</x:v>
      </x:c>
      <x:c r="M3202" s="11" t="n">
        <x:f>IF(AND(K3202=1,OR(B3202="ED",B3202="NED")),1,0)</x:f>
        <x:v>1</x:v>
      </x:c>
      <x:c r="N3202" s="11" t="n">
        <x:f>IF(K3202=1,1,0)</x:f>
        <x:v>1</x:v>
      </x:c>
      <x:c r="O3202" s="12"/>
      <x:c r="P3202" s="11" t="n">
        <x:v>0</x:v>
      </x:c>
      <x:c r="Q3202" s="12" t="str">
        <x:v>AF-Q9WV86-F1-model_v6</x:v>
      </x:c>
      <x:c r="R3202" s="12" t="str">
        <x:v>ok</x:v>
      </x:c>
      <x:c r="S3202" s="11" t="n">
        <x:v>2667</x:v>
      </x:c>
      <x:c r="T3202" s="11" t="n">
        <x:v>491</x:v>
      </x:c>
    </x:row>
    <x:row r="3203" ht="23" customHeight="1">
      <x:c r="A3203" s="2" t="str">
        <x:v>Q9WV91</x:v>
      </x:c>
      <x:c r="B3203" s="2" t="str">
        <x:v>ED</x:v>
      </x:c>
      <x:c r="C3203" s="2" t="n">
        <x:v>1</x:v>
      </x:c>
      <x:c r="D3203" s="2" t="n">
        <x:v>1</x:v>
      </x:c>
      <x:c r="E3203" s="10"/>
      <x:c r="F3203" s="11" t="n">
        <x:v>879</x:v>
      </x:c>
      <x:c r="G3203" s="11" t="n">
        <x:v>0</x:v>
      </x:c>
      <x:c r="H3203" s="11" t="n">
        <x:v>0</x:v>
      </x:c>
      <x:c r="I3203" s="11" t="n">
        <x:v>1</x:v>
      </x:c>
      <x:c r="J3203" s="11" t="n">
        <x:v>0</x:v>
      </x:c>
      <x:c r="K3203" s="11" t="n">
        <x:v>0</x:v>
      </x:c>
      <x:c r="L3203" s="11" t="n">
        <x:f>IF(B3203="NED",1,IF(OR(B3203="ED",B3203="UN"),0,""))</x:f>
        <x:v>0</x:v>
      </x:c>
      <x:c r="M3203" s="11" t="n">
        <x:f>IF(AND(K3203=1,OR(B3203="ED",B3203="NED")),1,0)</x:f>
        <x:v>0</x:v>
      </x:c>
      <x:c r="N3203" s="11" t="n">
        <x:f>IF(K3203=1,1,0)</x:f>
        <x:v>0</x:v>
      </x:c>
      <x:c r="O3203" s="12" t="str">
        <x:v>Exclude UniProt Membrane keyword</x:v>
      </x:c>
      <x:c r="P3203" s="11" t="n">
        <x:v>0</x:v>
      </x:c>
      <x:c r="Q3203" s="12" t="str">
        <x:v>AF-Q9WV91-F1-model_v6</x:v>
      </x:c>
      <x:c r="R3203" s="12" t="str">
        <x:v>ok</x:v>
      </x:c>
      <x:c r="S3203" s="11" t="n">
        <x:v>2668</x:v>
      </x:c>
      <x:c r="T3203" s="11" t="n">
        <x:v>879</x:v>
      </x:c>
    </x:row>
    <x:row r="3204" ht="23" customHeight="1">
      <x:c r="A3204" s="2" t="str">
        <x:v>Q9WV92-3</x:v>
      </x:c>
      <x:c r="B3204" s="2" t="str">
        <x:v>ED</x:v>
      </x:c>
      <x:c r="C3204" s="2"/>
      <x:c r="D3204" s="2"/>
      <x:c r="E3204" s="10"/>
      <x:c r="F3204" s="11"/>
      <x:c r="G3204" s="11" t="n">
        <x:v>0</x:v>
      </x:c>
      <x:c r="H3204" s="11" t="n">
        <x:v>0</x:v>
      </x:c>
      <x:c r="I3204" s="11"/>
      <x:c r="J3204" s="11"/>
      <x:c r="K3204" s="11" t="n">
        <x:v>0</x:v>
      </x:c>
      <x:c r="L3204" s="11" t="n">
        <x:f>IF(B3204="NED",1,IF(OR(B3204="ED",B3204="UN"),0,""))</x:f>
        <x:v>0</x:v>
      </x:c>
      <x:c r="M3204" s="11" t="n">
        <x:f>IF(AND(K3204=1,OR(B3204="ED",B3204="NED")),1,0)</x:f>
        <x:v>0</x:v>
      </x:c>
      <x:c r="N3204" s="11" t="n">
        <x:f>IF(K3204=1,1,0)</x:f>
        <x:v>0</x:v>
      </x:c>
      <x:c r="O3204" s="12" t="str">
        <x:v>Require exact native accession match</x:v>
      </x:c>
      <x:c r="P3204" s="11" t="n">
        <x:v>0</x:v>
      </x:c>
      <x:c r="Q3204" s="12"/>
      <x:c r="R3204" s="12"/>
      <x:c r="S3204" s="11" t="n">
        <x:v>2669</x:v>
      </x:c>
      <x:c r="T3204" s="11"/>
    </x:row>
    <x:row r="3205" ht="23" customHeight="1">
      <x:c r="A3205" s="2" t="str">
        <x:v>Q9WV98</x:v>
      </x:c>
      <x:c r="B3205" s="2" t="str">
        <x:v>ED</x:v>
      </x:c>
      <x:c r="C3205" s="2" t="n">
        <x:v>0</x:v>
      </x:c>
      <x:c r="D3205" s="2" t="n">
        <x:v>0</x:v>
      </x:c>
      <x:c r="E3205" s="10"/>
      <x:c r="F3205" s="11" t="n">
        <x:v>89</x:v>
      </x:c>
      <x:c r="G3205" s="11" t="n">
        <x:v>0</x:v>
      </x:c>
      <x:c r="H3205" s="11" t="n">
        <x:v>0</x:v>
      </x:c>
      <x:c r="I3205" s="11" t="n">
        <x:v>1</x:v>
      </x:c>
      <x:c r="J3205" s="11" t="n">
        <x:v>0</x:v>
      </x:c>
      <x:c r="K3205" s="11" t="n">
        <x:v>0</x:v>
      </x:c>
      <x:c r="L3205" s="11" t="n">
        <x:f>IF(B3205="NED",1,IF(OR(B3205="ED",B3205="UN"),0,""))</x:f>
        <x:v>0</x:v>
      </x:c>
      <x:c r="M3205" s="11" t="n">
        <x:f>IF(AND(K3205=1,OR(B3205="ED",B3205="NED")),1,0)</x:f>
        <x:v>0</x:v>
      </x:c>
      <x:c r="N3205" s="11" t="n">
        <x:f>IF(K3205=1,1,0)</x:f>
        <x:v>0</x:v>
      </x:c>
      <x:c r="O3205" s="12" t="str">
        <x:v>Exclude UniProt Membrane keyword</x:v>
      </x:c>
      <x:c r="P3205" s="11" t="n">
        <x:v>0</x:v>
      </x:c>
      <x:c r="Q3205" s="12" t="str">
        <x:v>AF-Q9WV98-F1-model_v6</x:v>
      </x:c>
      <x:c r="R3205" s="12" t="str">
        <x:v>ok</x:v>
      </x:c>
      <x:c r="S3205" s="11" t="n">
        <x:v>2670</x:v>
      </x:c>
      <x:c r="T3205" s="11" t="n">
        <x:v>89</x:v>
      </x:c>
    </x:row>
    <x:row r="3206" ht="23" customHeight="1">
      <x:c r="A3206" s="2" t="str">
        <x:v>Q9WVA2</x:v>
      </x:c>
      <x:c r="B3206" s="2" t="str">
        <x:v>ED</x:v>
      </x:c>
      <x:c r="C3206" s="2" t="n">
        <x:v>0</x:v>
      </x:c>
      <x:c r="D3206" s="2" t="n">
        <x:v>0</x:v>
      </x:c>
      <x:c r="E3206" s="10"/>
      <x:c r="F3206" s="11" t="n">
        <x:v>97</x:v>
      </x:c>
      <x:c r="G3206" s="11" t="n">
        <x:v>0</x:v>
      </x:c>
      <x:c r="H3206" s="11" t="n">
        <x:v>0</x:v>
      </x:c>
      <x:c r="I3206" s="11" t="n">
        <x:v>1</x:v>
      </x:c>
      <x:c r="J3206" s="11" t="n">
        <x:v>0</x:v>
      </x:c>
      <x:c r="K3206" s="11" t="n">
        <x:v>0</x:v>
      </x:c>
      <x:c r="L3206" s="11" t="n">
        <x:f>IF(B3206="NED",1,IF(OR(B3206="ED",B3206="UN"),0,""))</x:f>
        <x:v>0</x:v>
      </x:c>
      <x:c r="M3206" s="11" t="n">
        <x:f>IF(AND(K3206=1,OR(B3206="ED",B3206="NED")),1,0)</x:f>
        <x:v>0</x:v>
      </x:c>
      <x:c r="N3206" s="11" t="n">
        <x:f>IF(K3206=1,1,0)</x:f>
        <x:v>0</x:v>
      </x:c>
      <x:c r="O3206" s="12" t="str">
        <x:v>Exclude UniProt Membrane keyword</x:v>
      </x:c>
      <x:c r="P3206" s="11" t="n">
        <x:v>0</x:v>
      </x:c>
      <x:c r="Q3206" s="12" t="str">
        <x:v>AF-Q9WVA2-F1-model_v6</x:v>
      </x:c>
      <x:c r="R3206" s="12" t="str">
        <x:v>ok</x:v>
      </x:c>
      <x:c r="S3206" s="11" t="n">
        <x:v>2671</x:v>
      </x:c>
      <x:c r="T3206" s="11" t="n">
        <x:v>97</x:v>
      </x:c>
    </x:row>
    <x:row r="3207" ht="23" customHeight="1">
      <x:c r="A3207" s="2" t="str">
        <x:v>Q9WVA4</x:v>
      </x:c>
      <x:c r="B3207" s="2" t="str">
        <x:v>ED</x:v>
      </x:c>
      <x:c r="C3207" s="2" t="n">
        <x:v>0</x:v>
      </x:c>
      <x:c r="D3207" s="2" t="n">
        <x:v>0</x:v>
      </x:c>
      <x:c r="E3207" s="10" t="n">
        <x:v>87.26964824120603</x:v>
      </x:c>
      <x:c r="F3207" s="11" t="n">
        <x:v>199</x:v>
      </x:c>
      <x:c r="G3207" s="11" t="n">
        <x:v>0</x:v>
      </x:c>
      <x:c r="H3207" s="11" t="n">
        <x:v>0</x:v>
      </x:c>
      <x:c r="I3207" s="11" t="n">
        <x:v>0</x:v>
      </x:c>
      <x:c r="J3207" s="11" t="n">
        <x:v>0</x:v>
      </x:c>
      <x:c r="K3207" s="11" t="n">
        <x:v>1</x:v>
      </x:c>
      <x:c r="L3207" s="11" t="n">
        <x:f>IF(B3207="NED",1,IF(OR(B3207="ED",B3207="UN"),0,""))</x:f>
        <x:v>0</x:v>
      </x:c>
      <x:c r="M3207" s="11" t="n">
        <x:f>IF(AND(K3207=1,OR(B3207="ED",B3207="NED")),1,0)</x:f>
        <x:v>1</x:v>
      </x:c>
      <x:c r="N3207" s="11" t="n">
        <x:f>IF(K3207=1,1,0)</x:f>
        <x:v>1</x:v>
      </x:c>
      <x:c r="O3207" s="12"/>
      <x:c r="P3207" s="11" t="n">
        <x:v>0</x:v>
      </x:c>
      <x:c r="Q3207" s="12" t="str">
        <x:v>AF-Q9WVA4-F1-model_v6</x:v>
      </x:c>
      <x:c r="R3207" s="12" t="str">
        <x:v>ok</x:v>
      </x:c>
      <x:c r="S3207" s="11" t="n">
        <x:v>2672</x:v>
      </x:c>
      <x:c r="T3207" s="11" t="n">
        <x:v>199</x:v>
      </x:c>
    </x:row>
    <x:row r="3208" ht="23" customHeight="1">
      <x:c r="A3208" s="2" t="str">
        <x:v>Q9WVE8</x:v>
      </x:c>
      <x:c r="B3208" s="2" t="str">
        <x:v>ED</x:v>
      </x:c>
      <x:c r="C3208" s="2" t="n">
        <x:v>1</x:v>
      </x:c>
      <x:c r="D3208" s="2" t="n">
        <x:v>1</x:v>
      </x:c>
      <x:c r="E3208" s="10"/>
      <x:c r="F3208" s="11" t="n">
        <x:v>486</x:v>
      </x:c>
      <x:c r="G3208" s="11" t="n">
        <x:v>0</x:v>
      </x:c>
      <x:c r="H3208" s="11" t="n">
        <x:v>0</x:v>
      </x:c>
      <x:c r="I3208" s="11" t="n">
        <x:v>1</x:v>
      </x:c>
      <x:c r="J3208" s="11" t="n">
        <x:v>0</x:v>
      </x:c>
      <x:c r="K3208" s="11" t="n">
        <x:v>0</x:v>
      </x:c>
      <x:c r="L3208" s="11" t="n">
        <x:f>IF(B3208="NED",1,IF(OR(B3208="ED",B3208="UN"),0,""))</x:f>
        <x:v>0</x:v>
      </x:c>
      <x:c r="M3208" s="11" t="n">
        <x:f>IF(AND(K3208=1,OR(B3208="ED",B3208="NED")),1,0)</x:f>
        <x:v>0</x:v>
      </x:c>
      <x:c r="N3208" s="11" t="n">
        <x:f>IF(K3208=1,1,0)</x:f>
        <x:v>0</x:v>
      </x:c>
      <x:c r="O3208" s="12" t="str">
        <x:v>Exclude UniProt Membrane keyword</x:v>
      </x:c>
      <x:c r="P3208" s="11" t="n">
        <x:v>0</x:v>
      </x:c>
      <x:c r="Q3208" s="12" t="str">
        <x:v>AF-Q9WVE8-F1-model_v6</x:v>
      </x:c>
      <x:c r="R3208" s="12" t="str">
        <x:v>ok</x:v>
      </x:c>
      <x:c r="S3208" s="11" t="n">
        <x:v>2673</x:v>
      </x:c>
      <x:c r="T3208" s="11" t="n">
        <x:v>486</x:v>
      </x:c>
    </x:row>
    <x:row r="3209" ht="23" customHeight="1">
      <x:c r="A3209" s="2" t="str">
        <x:v>Q9WVF7</x:v>
      </x:c>
      <x:c r="B3209" s="2" t="str">
        <x:v>UN</x:v>
      </x:c>
      <x:c r="C3209" s="2" t="n">
        <x:v>1</x:v>
      </x:c>
      <x:c r="D3209" s="2" t="n">
        <x:v>1</x:v>
      </x:c>
      <x:c r="E3209" s="10" t="n">
        <x:v>79.0005738063951</x:v>
      </x:c>
      <x:c r="F3209" s="11" t="n">
        <x:v>2283</x:v>
      </x:c>
      <x:c r="G3209" s="11" t="n">
        <x:v>0</x:v>
      </x:c>
      <x:c r="H3209" s="11" t="n">
        <x:v>0</x:v>
      </x:c>
      <x:c r="I3209" s="11" t="n">
        <x:v>0</x:v>
      </x:c>
      <x:c r="J3209" s="11" t="n">
        <x:v>0</x:v>
      </x:c>
      <x:c r="K3209" s="11" t="n">
        <x:v>1</x:v>
      </x:c>
      <x:c r="L3209" s="11" t="n">
        <x:f>IF(B3209="NED",1,IF(OR(B3209="ED",B3209="UN"),0,""))</x:f>
        <x:v>0</x:v>
      </x:c>
      <x:c r="M3209" s="11" t="n">
        <x:f>IF(AND(K3209=1,OR(B3209="ED",B3209="NED")),1,0)</x:f>
        <x:v>0</x:v>
      </x:c>
      <x:c r="N3209" s="11" t="n">
        <x:f>IF(K3209=1,1,0)</x:f>
        <x:v>1</x:v>
      </x:c>
      <x:c r="O3209" s="12"/>
      <x:c r="P3209" s="11" t="n">
        <x:v>0</x:v>
      </x:c>
      <x:c r="Q3209" s="12" t="str">
        <x:v>AF-Q9WVF7-F1-model_v6</x:v>
      </x:c>
      <x:c r="R3209" s="12" t="str">
        <x:v>ok</x:v>
      </x:c>
      <x:c r="S3209" s="11" t="n">
        <x:v>2674</x:v>
      </x:c>
      <x:c r="T3209" s="11" t="n">
        <x:v>2283</x:v>
      </x:c>
    </x:row>
    <x:row r="3210" ht="23" customHeight="1">
      <x:c r="A3210" s="2" t="str">
        <x:v>Q9WVG6-2</x:v>
      </x:c>
      <x:c r="B3210" s="2" t="str">
        <x:v>ED</x:v>
      </x:c>
      <x:c r="C3210" s="2"/>
      <x:c r="D3210" s="2"/>
      <x:c r="E3210" s="10"/>
      <x:c r="F3210" s="11"/>
      <x:c r="G3210" s="11" t="n">
        <x:v>0</x:v>
      </x:c>
      <x:c r="H3210" s="11" t="n">
        <x:v>0</x:v>
      </x:c>
      <x:c r="I3210" s="11"/>
      <x:c r="J3210" s="11"/>
      <x:c r="K3210" s="11" t="n">
        <x:v>0</x:v>
      </x:c>
      <x:c r="L3210" s="11" t="n">
        <x:f>IF(B3210="NED",1,IF(OR(B3210="ED",B3210="UN"),0,""))</x:f>
        <x:v>0</x:v>
      </x:c>
      <x:c r="M3210" s="11" t="n">
        <x:f>IF(AND(K3210=1,OR(B3210="ED",B3210="NED")),1,0)</x:f>
        <x:v>0</x:v>
      </x:c>
      <x:c r="N3210" s="11" t="n">
        <x:f>IF(K3210=1,1,0)</x:f>
        <x:v>0</x:v>
      </x:c>
      <x:c r="O3210" s="12" t="str">
        <x:v>Require exact native accession match</x:v>
      </x:c>
      <x:c r="P3210" s="11" t="n">
        <x:v>0</x:v>
      </x:c>
      <x:c r="Q3210" s="12"/>
      <x:c r="R3210" s="12"/>
      <x:c r="S3210" s="11" t="n">
        <x:v>2675</x:v>
      </x:c>
      <x:c r="T3210" s="11"/>
    </x:row>
    <x:row r="3211" ht="23" customHeight="1">
      <x:c r="A3211" s="2" t="str">
        <x:v>Q9WVJ2</x:v>
      </x:c>
      <x:c r="B3211" s="2" t="str">
        <x:v>ED</x:v>
      </x:c>
      <x:c r="C3211" s="2" t="n">
        <x:v>0</x:v>
      </x:c>
      <x:c r="D3211" s="2" t="n">
        <x:v>0</x:v>
      </x:c>
      <x:c r="E3211" s="10" t="n">
        <x:v>77.64571808510638</x:v>
      </x:c>
      <x:c r="F3211" s="11" t="n">
        <x:v>376</x:v>
      </x:c>
      <x:c r="G3211" s="11" t="n">
        <x:v>0</x:v>
      </x:c>
      <x:c r="H3211" s="11" t="n">
        <x:v>0</x:v>
      </x:c>
      <x:c r="I3211" s="11" t="n">
        <x:v>0</x:v>
      </x:c>
      <x:c r="J3211" s="11" t="n">
        <x:v>0</x:v>
      </x:c>
      <x:c r="K3211" s="11" t="n">
        <x:v>1</x:v>
      </x:c>
      <x:c r="L3211" s="11" t="n">
        <x:f>IF(B3211="NED",1,IF(OR(B3211="ED",B3211="UN"),0,""))</x:f>
        <x:v>0</x:v>
      </x:c>
      <x:c r="M3211" s="11" t="n">
        <x:f>IF(AND(K3211=1,OR(B3211="ED",B3211="NED")),1,0)</x:f>
        <x:v>1</x:v>
      </x:c>
      <x:c r="N3211" s="11" t="n">
        <x:f>IF(K3211=1,1,0)</x:f>
        <x:v>1</x:v>
      </x:c>
      <x:c r="O3211" s="12"/>
      <x:c r="P3211" s="11" t="n">
        <x:v>0</x:v>
      </x:c>
      <x:c r="Q3211" s="12" t="str">
        <x:v>AF-Q9WVJ2-F1-model_v6</x:v>
      </x:c>
      <x:c r="R3211" s="12" t="str">
        <x:v>ok</x:v>
      </x:c>
      <x:c r="S3211" s="11" t="n">
        <x:v>2676</x:v>
      </x:c>
      <x:c r="T3211" s="11" t="n">
        <x:v>376</x:v>
      </x:c>
    </x:row>
    <x:row r="3212" ht="23" customHeight="1">
      <x:c r="A3212" s="2" t="str">
        <x:v>Q9WVK4</x:v>
      </x:c>
      <x:c r="B3212" s="2" t="str">
        <x:v>UN</x:v>
      </x:c>
      <x:c r="C3212" s="2" t="n">
        <x:v>1</x:v>
      </x:c>
      <x:c r="D3212" s="2" t="n">
        <x:v>1</x:v>
      </x:c>
      <x:c r="E3212" s="10"/>
      <x:c r="F3212" s="11" t="n">
        <x:v>534</x:v>
      </x:c>
      <x:c r="G3212" s="11" t="n">
        <x:v>0</x:v>
      </x:c>
      <x:c r="H3212" s="11" t="n">
        <x:v>0</x:v>
      </x:c>
      <x:c r="I3212" s="11" t="n">
        <x:v>1</x:v>
      </x:c>
      <x:c r="J3212" s="11" t="n">
        <x:v>0</x:v>
      </x:c>
      <x:c r="K3212" s="11" t="n">
        <x:v>0</x:v>
      </x:c>
      <x:c r="L3212" s="11" t="n">
        <x:f>IF(B3212="NED",1,IF(OR(B3212="ED",B3212="UN"),0,""))</x:f>
        <x:v>0</x:v>
      </x:c>
      <x:c r="M3212" s="11" t="n">
        <x:f>IF(AND(K3212=1,OR(B3212="ED",B3212="NED")),1,0)</x:f>
        <x:v>0</x:v>
      </x:c>
      <x:c r="N3212" s="11" t="n">
        <x:f>IF(K3212=1,1,0)</x:f>
        <x:v>0</x:v>
      </x:c>
      <x:c r="O3212" s="12" t="str">
        <x:v>Exclude UniProt Membrane keyword</x:v>
      </x:c>
      <x:c r="P3212" s="11" t="n">
        <x:v>0</x:v>
      </x:c>
      <x:c r="Q3212" s="12" t="str">
        <x:v>AF-Q9WVK4-F1-model_v6</x:v>
      </x:c>
      <x:c r="R3212" s="12" t="str">
        <x:v>ok</x:v>
      </x:c>
      <x:c r="S3212" s="11" t="n">
        <x:v>2677</x:v>
      </x:c>
      <x:c r="T3212" s="11" t="n">
        <x:v>534</x:v>
      </x:c>
    </x:row>
    <x:row r="3213" ht="23" customHeight="1">
      <x:c r="A3213" s="2" t="str">
        <x:v>Q9WVL3</x:v>
      </x:c>
      <x:c r="B3213" s="2" t="str">
        <x:v>UN</x:v>
      </x:c>
      <x:c r="C3213" s="2" t="n">
        <x:v>1</x:v>
      </x:c>
      <x:c r="D3213" s="2" t="n">
        <x:v>1</x:v>
      </x:c>
      <x:c r="E3213" s="10"/>
      <x:c r="F3213" s="11" t="n">
        <x:v>1083</x:v>
      </x:c>
      <x:c r="G3213" s="11" t="n">
        <x:v>0</x:v>
      </x:c>
      <x:c r="H3213" s="11" t="n">
        <x:v>0</x:v>
      </x:c>
      <x:c r="I3213" s="11" t="n">
        <x:v>1</x:v>
      </x:c>
      <x:c r="J3213" s="11" t="n">
        <x:v>0</x:v>
      </x:c>
      <x:c r="K3213" s="11" t="n">
        <x:v>0</x:v>
      </x:c>
      <x:c r="L3213" s="11" t="n">
        <x:f>IF(B3213="NED",1,IF(OR(B3213="ED",B3213="UN"),0,""))</x:f>
        <x:v>0</x:v>
      </x:c>
      <x:c r="M3213" s="11" t="n">
        <x:f>IF(AND(K3213=1,OR(B3213="ED",B3213="NED")),1,0)</x:f>
        <x:v>0</x:v>
      </x:c>
      <x:c r="N3213" s="11" t="n">
        <x:f>IF(K3213=1,1,0)</x:f>
        <x:v>0</x:v>
      </x:c>
      <x:c r="O3213" s="12" t="str">
        <x:v>Exclude UniProt Membrane keyword</x:v>
      </x:c>
      <x:c r="P3213" s="11" t="n">
        <x:v>0</x:v>
      </x:c>
      <x:c r="Q3213" s="12" t="str">
        <x:v>AF-Q9WVL3-F1-model_v6</x:v>
      </x:c>
      <x:c r="R3213" s="12" t="str">
        <x:v>ok</x:v>
      </x:c>
      <x:c r="S3213" s="11" t="n">
        <x:v>2678</x:v>
      </x:c>
      <x:c r="T3213" s="11" t="n">
        <x:v>1083</x:v>
      </x:c>
    </x:row>
    <x:row r="3214" ht="23" customHeight="1">
      <x:c r="A3214" s="2" t="str">
        <x:v>Q9WVM1</x:v>
      </x:c>
      <x:c r="B3214" s="2" t="str">
        <x:v>ED</x:v>
      </x:c>
      <x:c r="C3214" s="2" t="n">
        <x:v>1</x:v>
      </x:c>
      <x:c r="D3214" s="2" t="n">
        <x:v>1</x:v>
      </x:c>
      <x:c r="E3214" s="10"/>
      <x:c r="F3214" s="11" t="n">
        <x:v>628</x:v>
      </x:c>
      <x:c r="G3214" s="11" t="n">
        <x:v>0</x:v>
      </x:c>
      <x:c r="H3214" s="11" t="n">
        <x:v>0</x:v>
      </x:c>
      <x:c r="I3214" s="11" t="n">
        <x:v>1</x:v>
      </x:c>
      <x:c r="J3214" s="11" t="n">
        <x:v>0</x:v>
      </x:c>
      <x:c r="K3214" s="11" t="n">
        <x:v>0</x:v>
      </x:c>
      <x:c r="L3214" s="11" t="n">
        <x:f>IF(B3214="NED",1,IF(OR(B3214="ED",B3214="UN"),0,""))</x:f>
        <x:v>0</x:v>
      </x:c>
      <x:c r="M3214" s="11" t="n">
        <x:f>IF(AND(K3214=1,OR(B3214="ED",B3214="NED")),1,0)</x:f>
        <x:v>0</x:v>
      </x:c>
      <x:c r="N3214" s="11" t="n">
        <x:f>IF(K3214=1,1,0)</x:f>
        <x:v>0</x:v>
      </x:c>
      <x:c r="O3214" s="12" t="str">
        <x:v>Exclude UniProt Membrane keyword</x:v>
      </x:c>
      <x:c r="P3214" s="11" t="n">
        <x:v>0</x:v>
      </x:c>
      <x:c r="Q3214" s="12" t="str">
        <x:v>AF-Q9WVM1-F1-model_v6</x:v>
      </x:c>
      <x:c r="R3214" s="12" t="str">
        <x:v>ok</x:v>
      </x:c>
      <x:c r="S3214" s="11" t="n">
        <x:v>2679</x:v>
      </x:c>
      <x:c r="T3214" s="11" t="n">
        <x:v>628</x:v>
      </x:c>
    </x:row>
    <x:row r="3215" ht="23" customHeight="1">
      <x:c r="A3215" s="2" t="str">
        <x:v>Q9Z0E0-2</x:v>
      </x:c>
      <x:c r="B3215" s="2" t="str">
        <x:v>UN</x:v>
      </x:c>
      <x:c r="C3215" s="2"/>
      <x:c r="D3215" s="2"/>
      <x:c r="E3215" s="10"/>
      <x:c r="F3215" s="11"/>
      <x:c r="G3215" s="11" t="n">
        <x:v>0</x:v>
      </x:c>
      <x:c r="H3215" s="11" t="n">
        <x:v>0</x:v>
      </x:c>
      <x:c r="I3215" s="11"/>
      <x:c r="J3215" s="11"/>
      <x:c r="K3215" s="11" t="n">
        <x:v>0</x:v>
      </x:c>
      <x:c r="L3215" s="11" t="n">
        <x:f>IF(B3215="NED",1,IF(OR(B3215="ED",B3215="UN"),0,""))</x:f>
        <x:v>0</x:v>
      </x:c>
      <x:c r="M3215" s="11" t="n">
        <x:f>IF(AND(K3215=1,OR(B3215="ED",B3215="NED")),1,0)</x:f>
        <x:v>0</x:v>
      </x:c>
      <x:c r="N3215" s="11" t="n">
        <x:f>IF(K3215=1,1,0)</x:f>
        <x:v>0</x:v>
      </x:c>
      <x:c r="O3215" s="12" t="str">
        <x:v>Require exact native accession match</x:v>
      </x:c>
      <x:c r="P3215" s="11" t="n">
        <x:v>0</x:v>
      </x:c>
      <x:c r="Q3215" s="12"/>
      <x:c r="R3215" s="12"/>
      <x:c r="S3215" s="11" t="n">
        <x:v>2680</x:v>
      </x:c>
      <x:c r="T3215" s="11"/>
    </x:row>
    <x:row r="3216" ht="23" customHeight="1">
      <x:c r="A3216" s="2" t="str">
        <x:v>Q9Z0H1</x:v>
      </x:c>
      <x:c r="B3216" s="2" t="str">
        <x:v>UN</x:v>
      </x:c>
      <x:c r="C3216" s="2" t="n">
        <x:v>1</x:v>
      </x:c>
      <x:c r="D3216" s="2" t="n">
        <x:v>1</x:v>
      </x:c>
      <x:c r="E3216" s="10" t="n">
        <x:v>80.70286173633441</x:v>
      </x:c>
      <x:c r="F3216" s="11" t="n">
        <x:v>622</x:v>
      </x:c>
      <x:c r="G3216" s="11" t="n">
        <x:v>0</x:v>
      </x:c>
      <x:c r="H3216" s="11" t="n">
        <x:v>0</x:v>
      </x:c>
      <x:c r="I3216" s="11" t="n">
        <x:v>0</x:v>
      </x:c>
      <x:c r="J3216" s="11" t="n">
        <x:v>0</x:v>
      </x:c>
      <x:c r="K3216" s="11" t="n">
        <x:v>1</x:v>
      </x:c>
      <x:c r="L3216" s="11" t="n">
        <x:f>IF(B3216="NED",1,IF(OR(B3216="ED",B3216="UN"),0,""))</x:f>
        <x:v>0</x:v>
      </x:c>
      <x:c r="M3216" s="11" t="n">
        <x:f>IF(AND(K3216=1,OR(B3216="ED",B3216="NED")),1,0)</x:f>
        <x:v>0</x:v>
      </x:c>
      <x:c r="N3216" s="11" t="n">
        <x:f>IF(K3216=1,1,0)</x:f>
        <x:v>1</x:v>
      </x:c>
      <x:c r="O3216" s="12"/>
      <x:c r="P3216" s="11" t="n">
        <x:v>0</x:v>
      </x:c>
      <x:c r="Q3216" s="12" t="str">
        <x:v>AF-Q9Z0H1-F1-model_v6</x:v>
      </x:c>
      <x:c r="R3216" s="12" t="str">
        <x:v>ok</x:v>
      </x:c>
      <x:c r="S3216" s="11" t="n">
        <x:v>2681</x:v>
      </x:c>
      <x:c r="T3216" s="11" t="n">
        <x:v>622</x:v>
      </x:c>
    </x:row>
    <x:row r="3217" ht="23" customHeight="1">
      <x:c r="A3217" s="2" t="str">
        <x:v>Q9Z0H3</x:v>
      </x:c>
      <x:c r="B3217" s="2" t="str">
        <x:v>NED</x:v>
      </x:c>
      <x:c r="C3217" s="2" t="n">
        <x:v>1</x:v>
      </x:c>
      <x:c r="D3217" s="2" t="n">
        <x:v>1</x:v>
      </x:c>
      <x:c r="E3217" s="10" t="n">
        <x:v>81.4471948051948</x:v>
      </x:c>
      <x:c r="F3217" s="11" t="n">
        <x:v>385</x:v>
      </x:c>
      <x:c r="G3217" s="11" t="n">
        <x:v>0</x:v>
      </x:c>
      <x:c r="H3217" s="11" t="n">
        <x:v>0</x:v>
      </x:c>
      <x:c r="I3217" s="11" t="n">
        <x:v>0</x:v>
      </x:c>
      <x:c r="J3217" s="11" t="n">
        <x:v>0</x:v>
      </x:c>
      <x:c r="K3217" s="11" t="n">
        <x:v>1</x:v>
      </x:c>
      <x:c r="L3217" s="11" t="n">
        <x:f>IF(B3217="NED",1,IF(OR(B3217="ED",B3217="UN"),0,""))</x:f>
        <x:v>1</x:v>
      </x:c>
      <x:c r="M3217" s="11" t="n">
        <x:f>IF(AND(K3217=1,OR(B3217="ED",B3217="NED")),1,0)</x:f>
        <x:v>1</x:v>
      </x:c>
      <x:c r="N3217" s="11" t="n">
        <x:f>IF(K3217=1,1,0)</x:f>
        <x:v>1</x:v>
      </x:c>
      <x:c r="O3217" s="12"/>
      <x:c r="P3217" s="11" t="n">
        <x:v>0</x:v>
      </x:c>
      <x:c r="Q3217" s="12" t="str">
        <x:v>AF-Q9Z0H3-F1-model_v6</x:v>
      </x:c>
      <x:c r="R3217" s="12" t="str">
        <x:v>ok</x:v>
      </x:c>
      <x:c r="S3217" s="11" t="n">
        <x:v>2682</x:v>
      </x:c>
      <x:c r="T3217" s="11" t="n">
        <x:v>385</x:v>
      </x:c>
    </x:row>
    <x:row r="3218" ht="23" customHeight="1">
      <x:c r="A3218" s="2" t="str">
        <x:v>Q9Z0H8-2</x:v>
      </x:c>
      <x:c r="B3218" s="2" t="str">
        <x:v>ED</x:v>
      </x:c>
      <x:c r="C3218" s="2"/>
      <x:c r="D3218" s="2"/>
      <x:c r="E3218" s="10"/>
      <x:c r="F3218" s="11"/>
      <x:c r="G3218" s="11" t="n">
        <x:v>0</x:v>
      </x:c>
      <x:c r="H3218" s="11" t="n">
        <x:v>0</x:v>
      </x:c>
      <x:c r="I3218" s="11"/>
      <x:c r="J3218" s="11"/>
      <x:c r="K3218" s="11" t="n">
        <x:v>0</x:v>
      </x:c>
      <x:c r="L3218" s="11" t="n">
        <x:f>IF(B3218="NED",1,IF(OR(B3218="ED",B3218="UN"),0,""))</x:f>
        <x:v>0</x:v>
      </x:c>
      <x:c r="M3218" s="11" t="n">
        <x:f>IF(AND(K3218=1,OR(B3218="ED",B3218="NED")),1,0)</x:f>
        <x:v>0</x:v>
      </x:c>
      <x:c r="N3218" s="11" t="n">
        <x:f>IF(K3218=1,1,0)</x:f>
        <x:v>0</x:v>
      </x:c>
      <x:c r="O3218" s="12" t="str">
        <x:v>Require exact native accession match</x:v>
      </x:c>
      <x:c r="P3218" s="11" t="n">
        <x:v>0</x:v>
      </x:c>
      <x:c r="Q3218" s="12"/>
      <x:c r="R3218" s="12"/>
      <x:c r="S3218" s="11" t="n">
        <x:v>2683</x:v>
      </x:c>
      <x:c r="T3218" s="11"/>
    </x:row>
    <x:row r="3219" ht="23" customHeight="1">
      <x:c r="A3219" s="2" t="str">
        <x:v>Q9Z0L0</x:v>
      </x:c>
      <x:c r="B3219" s="2" t="str">
        <x:v>UN</x:v>
      </x:c>
      <x:c r="C3219" s="2" t="n">
        <x:v>0</x:v>
      </x:c>
      <x:c r="D3219" s="2" t="n">
        <x:v>0</x:v>
      </x:c>
      <x:c r="E3219" s="10"/>
      <x:c r="F3219" s="11" t="n">
        <x:v>426</x:v>
      </x:c>
      <x:c r="G3219" s="11" t="n">
        <x:v>0</x:v>
      </x:c>
      <x:c r="H3219" s="11" t="n">
        <x:v>0</x:v>
      </x:c>
      <x:c r="I3219" s="11" t="n">
        <x:v>1</x:v>
      </x:c>
      <x:c r="J3219" s="11" t="n">
        <x:v>0</x:v>
      </x:c>
      <x:c r="K3219" s="11" t="n">
        <x:v>0</x:v>
      </x:c>
      <x:c r="L3219" s="11" t="n">
        <x:f>IF(B3219="NED",1,IF(OR(B3219="ED",B3219="UN"),0,""))</x:f>
        <x:v>0</x:v>
      </x:c>
      <x:c r="M3219" s="11" t="n">
        <x:f>IF(AND(K3219=1,OR(B3219="ED",B3219="NED")),1,0)</x:f>
        <x:v>0</x:v>
      </x:c>
      <x:c r="N3219" s="11" t="n">
        <x:f>IF(K3219=1,1,0)</x:f>
        <x:v>0</x:v>
      </x:c>
      <x:c r="O3219" s="12" t="str">
        <x:v>Exclude UniProt Membrane keyword</x:v>
      </x:c>
      <x:c r="P3219" s="11" t="n">
        <x:v>0</x:v>
      </x:c>
      <x:c r="Q3219" s="12" t="str">
        <x:v>AF-Q9Z0L0-F1-model_v6</x:v>
      </x:c>
      <x:c r="R3219" s="12" t="str">
        <x:v>ok</x:v>
      </x:c>
      <x:c r="S3219" s="11" t="n">
        <x:v>2684</x:v>
      </x:c>
      <x:c r="T3219" s="11" t="n">
        <x:v>426</x:v>
      </x:c>
    </x:row>
    <x:row r="3220" ht="23" customHeight="1">
      <x:c r="A3220" s="2" t="str">
        <x:v>Q9Z0N1</x:v>
      </x:c>
      <x:c r="B3220" s="2" t="str">
        <x:v>UN</x:v>
      </x:c>
      <x:c r="C3220" s="2" t="n">
        <x:v>1</x:v>
      </x:c>
      <x:c r="D3220" s="2" t="n">
        <x:v>1</x:v>
      </x:c>
      <x:c r="E3220" s="10" t="n">
        <x:v>85.2671186440678</x:v>
      </x:c>
      <x:c r="F3220" s="11" t="n">
        <x:v>472</x:v>
      </x:c>
      <x:c r="G3220" s="11" t="n">
        <x:v>0</x:v>
      </x:c>
      <x:c r="H3220" s="11" t="n">
        <x:v>0</x:v>
      </x:c>
      <x:c r="I3220" s="11" t="n">
        <x:v>0</x:v>
      </x:c>
      <x:c r="J3220" s="11" t="n">
        <x:v>0</x:v>
      </x:c>
      <x:c r="K3220" s="11" t="n">
        <x:v>1</x:v>
      </x:c>
      <x:c r="L3220" s="11" t="n">
        <x:f>IF(B3220="NED",1,IF(OR(B3220="ED",B3220="UN"),0,""))</x:f>
        <x:v>0</x:v>
      </x:c>
      <x:c r="M3220" s="11" t="n">
        <x:f>IF(AND(K3220=1,OR(B3220="ED",B3220="NED")),1,0)</x:f>
        <x:v>0</x:v>
      </x:c>
      <x:c r="N3220" s="11" t="n">
        <x:f>IF(K3220=1,1,0)</x:f>
        <x:v>1</x:v>
      </x:c>
      <x:c r="O3220" s="12"/>
      <x:c r="P3220" s="11" t="n">
        <x:v>0</x:v>
      </x:c>
      <x:c r="Q3220" s="12" t="str">
        <x:v>AF-Q9Z0N1-F1-model_v6</x:v>
      </x:c>
      <x:c r="R3220" s="12" t="str">
        <x:v>ok</x:v>
      </x:c>
      <x:c r="S3220" s="11" t="n">
        <x:v>2685</x:v>
      </x:c>
      <x:c r="T3220" s="11" t="n">
        <x:v>472</x:v>
      </x:c>
    </x:row>
    <x:row r="3221" ht="23" customHeight="1">
      <x:c r="A3221" s="2" t="str">
        <x:v>Q9Z0P5</x:v>
      </x:c>
      <x:c r="B3221" s="2" t="str">
        <x:v>UN</x:v>
      </x:c>
      <x:c r="C3221" s="2" t="n">
        <x:v>0</x:v>
      </x:c>
      <x:c r="D3221" s="2" t="n">
        <x:v>0</x:v>
      </x:c>
      <x:c r="E3221" s="10" t="n">
        <x:v>91.07802292263612</x:v>
      </x:c>
      <x:c r="F3221" s="11" t="n">
        <x:v>349</x:v>
      </x:c>
      <x:c r="G3221" s="11" t="n">
        <x:v>0</x:v>
      </x:c>
      <x:c r="H3221" s="11" t="n">
        <x:v>0</x:v>
      </x:c>
      <x:c r="I3221" s="11" t="n">
        <x:v>0</x:v>
      </x:c>
      <x:c r="J3221" s="11" t="n">
        <x:v>0</x:v>
      </x:c>
      <x:c r="K3221" s="11" t="n">
        <x:v>1</x:v>
      </x:c>
      <x:c r="L3221" s="11" t="n">
        <x:f>IF(B3221="NED",1,IF(OR(B3221="ED",B3221="UN"),0,""))</x:f>
        <x:v>0</x:v>
      </x:c>
      <x:c r="M3221" s="11" t="n">
        <x:f>IF(AND(K3221=1,OR(B3221="ED",B3221="NED")),1,0)</x:f>
        <x:v>0</x:v>
      </x:c>
      <x:c r="N3221" s="11" t="n">
        <x:f>IF(K3221=1,1,0)</x:f>
        <x:v>1</x:v>
      </x:c>
      <x:c r="O3221" s="12"/>
      <x:c r="P3221" s="11" t="n">
        <x:v>0</x:v>
      </x:c>
      <x:c r="Q3221" s="12" t="str">
        <x:v>AF-Q9Z0P5-F1-model_v6</x:v>
      </x:c>
      <x:c r="R3221" s="12" t="str">
        <x:v>ok</x:v>
      </x:c>
      <x:c r="S3221" s="11" t="n">
        <x:v>2686</x:v>
      </x:c>
      <x:c r="T3221" s="11" t="n">
        <x:v>349</x:v>
      </x:c>
    </x:row>
    <x:row r="3222" ht="23" customHeight="1">
      <x:c r="A3222" s="2" t="str">
        <x:v>Q9Z0R9</x:v>
      </x:c>
      <x:c r="B3222" s="2" t="str">
        <x:v>UN</x:v>
      </x:c>
      <x:c r="C3222" s="2" t="n">
        <x:v>1</x:v>
      </x:c>
      <x:c r="D3222" s="2" t="n">
        <x:v>1</x:v>
      </x:c>
      <x:c r="E3222" s="10"/>
      <x:c r="F3222" s="11" t="n">
        <x:v>444</x:v>
      </x:c>
      <x:c r="G3222" s="11" t="n">
        <x:v>0</x:v>
      </x:c>
      <x:c r="H3222" s="11" t="n">
        <x:v>0</x:v>
      </x:c>
      <x:c r="I3222" s="11" t="n">
        <x:v>1</x:v>
      </x:c>
      <x:c r="J3222" s="11" t="n">
        <x:v>0</x:v>
      </x:c>
      <x:c r="K3222" s="11" t="n">
        <x:v>0</x:v>
      </x:c>
      <x:c r="L3222" s="11" t="n">
        <x:f>IF(B3222="NED",1,IF(OR(B3222="ED",B3222="UN"),0,""))</x:f>
        <x:v>0</x:v>
      </x:c>
      <x:c r="M3222" s="11" t="n">
        <x:f>IF(AND(K3222=1,OR(B3222="ED",B3222="NED")),1,0)</x:f>
        <x:v>0</x:v>
      </x:c>
      <x:c r="N3222" s="11" t="n">
        <x:f>IF(K3222=1,1,0)</x:f>
        <x:v>0</x:v>
      </x:c>
      <x:c r="O3222" s="12" t="str">
        <x:v>Exclude UniProt Membrane keyword</x:v>
      </x:c>
      <x:c r="P3222" s="11" t="n">
        <x:v>0</x:v>
      </x:c>
      <x:c r="Q3222" s="12" t="str">
        <x:v>AF-Q9Z0R9-F1-model_v6</x:v>
      </x:c>
      <x:c r="R3222" s="12" t="str">
        <x:v>ok</x:v>
      </x:c>
      <x:c r="S3222" s="11" t="n">
        <x:v>2687</x:v>
      </x:c>
      <x:c r="T3222" s="11" t="n">
        <x:v>444</x:v>
      </x:c>
    </x:row>
    <x:row r="3223" ht="23" customHeight="1">
      <x:c r="A3223" s="2" t="str">
        <x:v>Q9Z0S1</x:v>
      </x:c>
      <x:c r="B3223" s="2" t="str">
        <x:v>ED</x:v>
      </x:c>
      <x:c r="C3223" s="2" t="n">
        <x:v>1</x:v>
      </x:c>
      <x:c r="D3223" s="2" t="n">
        <x:v>1</x:v>
      </x:c>
      <x:c r="E3223" s="10" t="n">
        <x:v>96.56129870129872</x:v>
      </x:c>
      <x:c r="F3223" s="11" t="n">
        <x:v>308</x:v>
      </x:c>
      <x:c r="G3223" s="11" t="n">
        <x:v>0</x:v>
      </x:c>
      <x:c r="H3223" s="11" t="n">
        <x:v>0</x:v>
      </x:c>
      <x:c r="I3223" s="11" t="n">
        <x:v>0</x:v>
      </x:c>
      <x:c r="J3223" s="11" t="n">
        <x:v>0</x:v>
      </x:c>
      <x:c r="K3223" s="11" t="n">
        <x:v>1</x:v>
      </x:c>
      <x:c r="L3223" s="11" t="n">
        <x:f>IF(B3223="NED",1,IF(OR(B3223="ED",B3223="UN"),0,""))</x:f>
        <x:v>0</x:v>
      </x:c>
      <x:c r="M3223" s="11" t="n">
        <x:f>IF(AND(K3223=1,OR(B3223="ED",B3223="NED")),1,0)</x:f>
        <x:v>1</x:v>
      </x:c>
      <x:c r="N3223" s="11" t="n">
        <x:f>IF(K3223=1,1,0)</x:f>
        <x:v>1</x:v>
      </x:c>
      <x:c r="O3223" s="12"/>
      <x:c r="P3223" s="11" t="n">
        <x:v>0</x:v>
      </x:c>
      <x:c r="Q3223" s="12" t="str">
        <x:v>AF-Q9Z0S1-F1-model_v6</x:v>
      </x:c>
      <x:c r="R3223" s="12" t="str">
        <x:v>ok</x:v>
      </x:c>
      <x:c r="S3223" s="11" t="n">
        <x:v>2688</x:v>
      </x:c>
      <x:c r="T3223" s="11" t="n">
        <x:v>308</x:v>
      </x:c>
    </x:row>
    <x:row r="3224" ht="23" customHeight="1">
      <x:c r="A3224" s="2" t="str">
        <x:v>Q9Z0W3</x:v>
      </x:c>
      <x:c r="B3224" s="2" t="str">
        <x:v>UN</x:v>
      </x:c>
      <x:c r="C3224" s="2" t="n">
        <x:v>1</x:v>
      </x:c>
      <x:c r="D3224" s="2" t="n">
        <x:v>1</x:v>
      </x:c>
      <x:c r="E3224" s="10" t="n">
        <x:v>82.09021398002852</x:v>
      </x:c>
      <x:c r="F3224" s="11" t="n">
        <x:v>1402</x:v>
      </x:c>
      <x:c r="G3224" s="11" t="n">
        <x:v>0</x:v>
      </x:c>
      <x:c r="H3224" s="11" t="n">
        <x:v>0</x:v>
      </x:c>
      <x:c r="I3224" s="11" t="n">
        <x:v>0</x:v>
      </x:c>
      <x:c r="J3224" s="11" t="n">
        <x:v>0</x:v>
      </x:c>
      <x:c r="K3224" s="11" t="n">
        <x:v>1</x:v>
      </x:c>
      <x:c r="L3224" s="11" t="n">
        <x:f>IF(B3224="NED",1,IF(OR(B3224="ED",B3224="UN"),0,""))</x:f>
        <x:v>0</x:v>
      </x:c>
      <x:c r="M3224" s="11" t="n">
        <x:f>IF(AND(K3224=1,OR(B3224="ED",B3224="NED")),1,0)</x:f>
        <x:v>0</x:v>
      </x:c>
      <x:c r="N3224" s="11" t="n">
        <x:f>IF(K3224=1,1,0)</x:f>
        <x:v>1</x:v>
      </x:c>
      <x:c r="O3224" s="12"/>
      <x:c r="P3224" s="11" t="n">
        <x:v>0</x:v>
      </x:c>
      <x:c r="Q3224" s="12" t="str">
        <x:v>AF-Q9Z0W3-F1-model_v6</x:v>
      </x:c>
      <x:c r="R3224" s="12" t="str">
        <x:v>ok</x:v>
      </x:c>
      <x:c r="S3224" s="11" t="n">
        <x:v>2689</x:v>
      </x:c>
      <x:c r="T3224" s="11" t="n">
        <x:v>1402</x:v>
      </x:c>
    </x:row>
    <x:row r="3225" ht="23" customHeight="1">
      <x:c r="A3225" s="2" t="str">
        <x:v>Q9Z104</x:v>
      </x:c>
      <x:c r="B3225" s="2" t="str">
        <x:v>ED</x:v>
      </x:c>
      <x:c r="C3225" s="2" t="n">
        <x:v>0</x:v>
      </x:c>
      <x:c r="D3225" s="2" t="n">
        <x:v>0</x:v>
      </x:c>
      <x:c r="E3225" s="10" t="n">
        <x:v>77.26577287066246</x:v>
      </x:c>
      <x:c r="F3225" s="11" t="n">
        <x:v>317</x:v>
      </x:c>
      <x:c r="G3225" s="11" t="n">
        <x:v>0</x:v>
      </x:c>
      <x:c r="H3225" s="11" t="n">
        <x:v>0</x:v>
      </x:c>
      <x:c r="I3225" s="11" t="n">
        <x:v>0</x:v>
      </x:c>
      <x:c r="J3225" s="11" t="n">
        <x:v>0</x:v>
      </x:c>
      <x:c r="K3225" s="11" t="n">
        <x:v>1</x:v>
      </x:c>
      <x:c r="L3225" s="11" t="n">
        <x:f>IF(B3225="NED",1,IF(OR(B3225="ED",B3225="UN"),0,""))</x:f>
        <x:v>0</x:v>
      </x:c>
      <x:c r="M3225" s="11" t="n">
        <x:f>IF(AND(K3225=1,OR(B3225="ED",B3225="NED")),1,0)</x:f>
        <x:v>1</x:v>
      </x:c>
      <x:c r="N3225" s="11" t="n">
        <x:f>IF(K3225=1,1,0)</x:f>
        <x:v>1</x:v>
      </x:c>
      <x:c r="O3225" s="12"/>
      <x:c r="P3225" s="11" t="n">
        <x:v>0</x:v>
      </x:c>
      <x:c r="Q3225" s="12" t="str">
        <x:v>AF-Q9Z104-F1-model_v6</x:v>
      </x:c>
      <x:c r="R3225" s="12" t="str">
        <x:v>ok</x:v>
      </x:c>
      <x:c r="S3225" s="11" t="n">
        <x:v>2690</x:v>
      </x:c>
      <x:c r="T3225" s="11" t="n">
        <x:v>317</x:v>
      </x:c>
    </x:row>
    <x:row r="3226" ht="23" customHeight="1">
      <x:c r="A3226" s="2" t="str">
        <x:v>Q9Z110-2</x:v>
      </x:c>
      <x:c r="B3226" s="2" t="str">
        <x:v>UN</x:v>
      </x:c>
      <x:c r="C3226" s="2"/>
      <x:c r="D3226" s="2"/>
      <x:c r="E3226" s="10"/>
      <x:c r="F3226" s="11"/>
      <x:c r="G3226" s="11" t="n">
        <x:v>0</x:v>
      </x:c>
      <x:c r="H3226" s="11" t="n">
        <x:v>0</x:v>
      </x:c>
      <x:c r="I3226" s="11"/>
      <x:c r="J3226" s="11"/>
      <x:c r="K3226" s="11" t="n">
        <x:v>0</x:v>
      </x:c>
      <x:c r="L3226" s="11" t="n">
        <x:f>IF(B3226="NED",1,IF(OR(B3226="ED",B3226="UN"),0,""))</x:f>
        <x:v>0</x:v>
      </x:c>
      <x:c r="M3226" s="11" t="n">
        <x:f>IF(AND(K3226=1,OR(B3226="ED",B3226="NED")),1,0)</x:f>
        <x:v>0</x:v>
      </x:c>
      <x:c r="N3226" s="11" t="n">
        <x:f>IF(K3226=1,1,0)</x:f>
        <x:v>0</x:v>
      </x:c>
      <x:c r="O3226" s="12" t="str">
        <x:v>Require exact native accession match</x:v>
      </x:c>
      <x:c r="P3226" s="11" t="n">
        <x:v>0</x:v>
      </x:c>
      <x:c r="Q3226" s="12"/>
      <x:c r="R3226" s="12"/>
      <x:c r="S3226" s="11" t="n">
        <x:v>2691</x:v>
      </x:c>
      <x:c r="T3226" s="11"/>
    </x:row>
    <x:row r="3227" ht="23" customHeight="1">
      <x:c r="A3227" s="2" t="str">
        <x:v>Q9Z120</x:v>
      </x:c>
      <x:c r="B3227" s="2" t="str">
        <x:v>ED</x:v>
      </x:c>
      <x:c r="C3227" s="2" t="n">
        <x:v>1</x:v>
      </x:c>
      <x:c r="D3227" s="2" t="n">
        <x:v>1</x:v>
      </x:c>
      <x:c r="E3227" s="10" t="n">
        <x:v>88.67358208955224</x:v>
      </x:c>
      <x:c r="F3227" s="11" t="n">
        <x:v>268</x:v>
      </x:c>
      <x:c r="G3227" s="11" t="n">
        <x:v>0</x:v>
      </x:c>
      <x:c r="H3227" s="11" t="n">
        <x:v>0</x:v>
      </x:c>
      <x:c r="I3227" s="11" t="n">
        <x:v>0</x:v>
      </x:c>
      <x:c r="J3227" s="11" t="n">
        <x:v>0</x:v>
      </x:c>
      <x:c r="K3227" s="11" t="n">
        <x:v>1</x:v>
      </x:c>
      <x:c r="L3227" s="11" t="n">
        <x:f>IF(B3227="NED",1,IF(OR(B3227="ED",B3227="UN"),0,""))</x:f>
        <x:v>0</x:v>
      </x:c>
      <x:c r="M3227" s="11" t="n">
        <x:f>IF(AND(K3227=1,OR(B3227="ED",B3227="NED")),1,0)</x:f>
        <x:v>1</x:v>
      </x:c>
      <x:c r="N3227" s="11" t="n">
        <x:f>IF(K3227=1,1,0)</x:f>
        <x:v>1</x:v>
      </x:c>
      <x:c r="O3227" s="12"/>
      <x:c r="P3227" s="11" t="n">
        <x:v>0</x:v>
      </x:c>
      <x:c r="Q3227" s="12" t="str">
        <x:v>AF-Q9Z120-F1-model_v6</x:v>
      </x:c>
      <x:c r="R3227" s="12" t="str">
        <x:v>ok</x:v>
      </x:c>
      <x:c r="S3227" s="11" t="n">
        <x:v>2692</x:v>
      </x:c>
      <x:c r="T3227" s="11" t="n">
        <x:v>268</x:v>
      </x:c>
    </x:row>
    <x:row r="3228" ht="23" customHeight="1">
      <x:c r="A3228" s="2" t="str">
        <x:v>Q9Z127</x:v>
      </x:c>
      <x:c r="B3228" s="2" t="str">
        <x:v>ED</x:v>
      </x:c>
      <x:c r="C3228" s="2" t="n">
        <x:v>1</x:v>
      </x:c>
      <x:c r="D3228" s="2" t="n">
        <x:v>1</x:v>
      </x:c>
      <x:c r="E3228" s="10"/>
      <x:c r="F3228" s="11" t="n">
        <x:v>512</x:v>
      </x:c>
      <x:c r="G3228" s="11" t="n">
        <x:v>0</x:v>
      </x:c>
      <x:c r="H3228" s="11" t="n">
        <x:v>0</x:v>
      </x:c>
      <x:c r="I3228" s="11" t="n">
        <x:v>1</x:v>
      </x:c>
      <x:c r="J3228" s="11" t="n">
        <x:v>0</x:v>
      </x:c>
      <x:c r="K3228" s="11" t="n">
        <x:v>0</x:v>
      </x:c>
      <x:c r="L3228" s="11" t="n">
        <x:f>IF(B3228="NED",1,IF(OR(B3228="ED",B3228="UN"),0,""))</x:f>
        <x:v>0</x:v>
      </x:c>
      <x:c r="M3228" s="11" t="n">
        <x:f>IF(AND(K3228=1,OR(B3228="ED",B3228="NED")),1,0)</x:f>
        <x:v>0</x:v>
      </x:c>
      <x:c r="N3228" s="11" t="n">
        <x:f>IF(K3228=1,1,0)</x:f>
        <x:v>0</x:v>
      </x:c>
      <x:c r="O3228" s="12" t="str">
        <x:v>Exclude UniProt Membrane keyword</x:v>
      </x:c>
      <x:c r="P3228" s="11" t="n">
        <x:v>0</x:v>
      </x:c>
      <x:c r="Q3228" s="12" t="str">
        <x:v>AF-Q9Z127-F1-model_v6</x:v>
      </x:c>
      <x:c r="R3228" s="12" t="str">
        <x:v>ok</x:v>
      </x:c>
      <x:c r="S3228" s="11" t="n">
        <x:v>2693</x:v>
      </x:c>
      <x:c r="T3228" s="11" t="n">
        <x:v>512</x:v>
      </x:c>
    </x:row>
    <x:row r="3229" ht="23" customHeight="1">
      <x:c r="A3229" s="2" t="str">
        <x:v>Q9Z130</x:v>
      </x:c>
      <x:c r="B3229" s="2" t="str">
        <x:v>ED</x:v>
      </x:c>
      <x:c r="C3229" s="2" t="n">
        <x:v>1</x:v>
      </x:c>
      <x:c r="D3229" s="2" t="n">
        <x:v>1</x:v>
      </x:c>
      <x:c r="E3229" s="10" t="n">
        <x:v>67.5721926910299</x:v>
      </x:c>
      <x:c r="F3229" s="11" t="n">
        <x:v>301</x:v>
      </x:c>
      <x:c r="G3229" s="11" t="n">
        <x:v>0</x:v>
      </x:c>
      <x:c r="H3229" s="11" t="n">
        <x:v>0</x:v>
      </x:c>
      <x:c r="I3229" s="11" t="n">
        <x:v>0</x:v>
      </x:c>
      <x:c r="J3229" s="11" t="n">
        <x:v>0</x:v>
      </x:c>
      <x:c r="K3229" s="11" t="n">
        <x:v>0</x:v>
      </x:c>
      <x:c r="L3229" s="11" t="n">
        <x:f>IF(B3229="NED",1,IF(OR(B3229="ED",B3229="UN"),0,""))</x:f>
        <x:v>0</x:v>
      </x:c>
      <x:c r="M3229" s="11" t="n">
        <x:f>IF(AND(K3229=1,OR(B3229="ED",B3229="NED")),1,0)</x:f>
        <x:v>0</x:v>
      </x:c>
      <x:c r="N3229" s="11" t="n">
        <x:f>IF(K3229=1,1,0)</x:f>
        <x:v>0</x:v>
      </x:c>
      <x:c r="O3229" s="12" t="str">
        <x:v>Retain protein mean pLDDT &gt;=70</x:v>
      </x:c>
      <x:c r="P3229" s="11" t="n">
        <x:v>0</x:v>
      </x:c>
      <x:c r="Q3229" s="12" t="str">
        <x:v>AF-Q9Z130-F1-model_v6</x:v>
      </x:c>
      <x:c r="R3229" s="12" t="str">
        <x:v>ok</x:v>
      </x:c>
      <x:c r="S3229" s="11" t="n">
        <x:v>2694</x:v>
      </x:c>
      <x:c r="T3229" s="11" t="n">
        <x:v>301</x:v>
      </x:c>
    </x:row>
    <x:row r="3230" ht="23" customHeight="1">
      <x:c r="A3230" s="2" t="str">
        <x:v>Q9Z160</x:v>
      </x:c>
      <x:c r="B3230" s="2" t="str">
        <x:v>UN</x:v>
      </x:c>
      <x:c r="C3230" s="2" t="n">
        <x:v>1</x:v>
      </x:c>
      <x:c r="D3230" s="2" t="n">
        <x:v>1</x:v>
      </x:c>
      <x:c r="E3230" s="10"/>
      <x:c r="F3230" s="11" t="n">
        <x:v>980</x:v>
      </x:c>
      <x:c r="G3230" s="11" t="n">
        <x:v>0</x:v>
      </x:c>
      <x:c r="H3230" s="11" t="n">
        <x:v>0</x:v>
      </x:c>
      <x:c r="I3230" s="11" t="n">
        <x:v>1</x:v>
      </x:c>
      <x:c r="J3230" s="11" t="n">
        <x:v>0</x:v>
      </x:c>
      <x:c r="K3230" s="11" t="n">
        <x:v>0</x:v>
      </x:c>
      <x:c r="L3230" s="11" t="n">
        <x:f>IF(B3230="NED",1,IF(OR(B3230="ED",B3230="UN"),0,""))</x:f>
        <x:v>0</x:v>
      </x:c>
      <x:c r="M3230" s="11" t="n">
        <x:f>IF(AND(K3230=1,OR(B3230="ED",B3230="NED")),1,0)</x:f>
        <x:v>0</x:v>
      </x:c>
      <x:c r="N3230" s="11" t="n">
        <x:f>IF(K3230=1,1,0)</x:f>
        <x:v>0</x:v>
      </x:c>
      <x:c r="O3230" s="12" t="str">
        <x:v>Exclude UniProt Membrane keyword</x:v>
      </x:c>
      <x:c r="P3230" s="11" t="n">
        <x:v>0</x:v>
      </x:c>
      <x:c r="Q3230" s="12" t="str">
        <x:v>AF-Q9Z160-F1-model_v6</x:v>
      </x:c>
      <x:c r="R3230" s="12" t="str">
        <x:v>ok</x:v>
      </x:c>
      <x:c r="S3230" s="11" t="n">
        <x:v>2695</x:v>
      </x:c>
      <x:c r="T3230" s="11" t="n">
        <x:v>980</x:v>
      </x:c>
    </x:row>
    <x:row r="3231" ht="23" customHeight="1">
      <x:c r="A3231" s="2" t="str">
        <x:v>Q9Z191</x:v>
      </x:c>
      <x:c r="B3231" s="2" t="str">
        <x:v>ED</x:v>
      </x:c>
      <x:c r="C3231" s="2" t="n">
        <x:v>1</x:v>
      </x:c>
      <x:c r="D3231" s="2" t="n">
        <x:v>1</x:v>
      </x:c>
      <x:c r="E3231" s="10" t="n">
        <x:v>64.25821428571429</x:v>
      </x:c>
      <x:c r="F3231" s="11" t="n">
        <x:v>616</x:v>
      </x:c>
      <x:c r="G3231" s="11" t="n">
        <x:v>0</x:v>
      </x:c>
      <x:c r="H3231" s="11" t="n">
        <x:v>0</x:v>
      </x:c>
      <x:c r="I3231" s="11" t="n">
        <x:v>0</x:v>
      </x:c>
      <x:c r="J3231" s="11" t="n">
        <x:v>0</x:v>
      </x:c>
      <x:c r="K3231" s="11" t="n">
        <x:v>0</x:v>
      </x:c>
      <x:c r="L3231" s="11" t="n">
        <x:f>IF(B3231="NED",1,IF(OR(B3231="ED",B3231="UN"),0,""))</x:f>
        <x:v>0</x:v>
      </x:c>
      <x:c r="M3231" s="11" t="n">
        <x:f>IF(AND(K3231=1,OR(B3231="ED",B3231="NED")),1,0)</x:f>
        <x:v>0</x:v>
      </x:c>
      <x:c r="N3231" s="11" t="n">
        <x:f>IF(K3231=1,1,0)</x:f>
        <x:v>0</x:v>
      </x:c>
      <x:c r="O3231" s="12" t="str">
        <x:v>Retain protein mean pLDDT &gt;=70</x:v>
      </x:c>
      <x:c r="P3231" s="11" t="n">
        <x:v>0</x:v>
      </x:c>
      <x:c r="Q3231" s="12" t="str">
        <x:v>AF-Q9Z191-F1-model_v6</x:v>
      </x:c>
      <x:c r="R3231" s="12" t="str">
        <x:v>ok</x:v>
      </x:c>
      <x:c r="S3231" s="11" t="n">
        <x:v>2696</x:v>
      </x:c>
      <x:c r="T3231" s="11" t="n">
        <x:v>616</x:v>
      </x:c>
    </x:row>
    <x:row r="3232" ht="23" customHeight="1">
      <x:c r="A3232" s="2" t="str">
        <x:v>Q9Z1B5</x:v>
      </x:c>
      <x:c r="B3232" s="2" t="str">
        <x:v>UN</x:v>
      </x:c>
      <x:c r="C3232" s="2" t="n">
        <x:v>1</x:v>
      </x:c>
      <x:c r="D3232" s="2" t="n">
        <x:v>1</x:v>
      </x:c>
      <x:c r="E3232" s="10" t="n">
        <x:v>92.5760975609756</x:v>
      </x:c>
      <x:c r="F3232" s="11" t="n">
        <x:v>205</x:v>
      </x:c>
      <x:c r="G3232" s="11" t="n">
        <x:v>0</x:v>
      </x:c>
      <x:c r="H3232" s="11" t="n">
        <x:v>0</x:v>
      </x:c>
      <x:c r="I3232" s="11" t="n">
        <x:v>0</x:v>
      </x:c>
      <x:c r="J3232" s="11" t="n">
        <x:v>0</x:v>
      </x:c>
      <x:c r="K3232" s="11" t="n">
        <x:v>1</x:v>
      </x:c>
      <x:c r="L3232" s="11" t="n">
        <x:f>IF(B3232="NED",1,IF(OR(B3232="ED",B3232="UN"),0,""))</x:f>
        <x:v>0</x:v>
      </x:c>
      <x:c r="M3232" s="11" t="n">
        <x:f>IF(AND(K3232=1,OR(B3232="ED",B3232="NED")),1,0)</x:f>
        <x:v>0</x:v>
      </x:c>
      <x:c r="N3232" s="11" t="n">
        <x:f>IF(K3232=1,1,0)</x:f>
        <x:v>1</x:v>
      </x:c>
      <x:c r="O3232" s="12"/>
      <x:c r="P3232" s="11" t="n">
        <x:v>0</x:v>
      </x:c>
      <x:c r="Q3232" s="12" t="str">
        <x:v>AF-Q9Z1B5-F1-model_v6</x:v>
      </x:c>
      <x:c r="R3232" s="12" t="str">
        <x:v>ok</x:v>
      </x:c>
      <x:c r="S3232" s="11" t="n">
        <x:v>2697</x:v>
      </x:c>
      <x:c r="T3232" s="11" t="n">
        <x:v>205</x:v>
      </x:c>
    </x:row>
    <x:row r="3233" ht="23" customHeight="1">
      <x:c r="A3233" s="2" t="str">
        <x:v>Q9Z1D1</x:v>
      </x:c>
      <x:c r="B3233" s="2" t="str">
        <x:v>UN</x:v>
      </x:c>
      <x:c r="C3233" s="2" t="n">
        <x:v>1</x:v>
      </x:c>
      <x:c r="D3233" s="2" t="n">
        <x:v>1</x:v>
      </x:c>
      <x:c r="E3233" s="10" t="n">
        <x:v>70.2428125</x:v>
      </x:c>
      <x:c r="F3233" s="11" t="n">
        <x:v>320</x:v>
      </x:c>
      <x:c r="G3233" s="11" t="n">
        <x:v>0</x:v>
      </x:c>
      <x:c r="H3233" s="11" t="n">
        <x:v>0</x:v>
      </x:c>
      <x:c r="I3233" s="11" t="n">
        <x:v>0</x:v>
      </x:c>
      <x:c r="J3233" s="11" t="n">
        <x:v>0</x:v>
      </x:c>
      <x:c r="K3233" s="11" t="n">
        <x:v>1</x:v>
      </x:c>
      <x:c r="L3233" s="11" t="n">
        <x:f>IF(B3233="NED",1,IF(OR(B3233="ED",B3233="UN"),0,""))</x:f>
        <x:v>0</x:v>
      </x:c>
      <x:c r="M3233" s="11" t="n">
        <x:f>IF(AND(K3233=1,OR(B3233="ED",B3233="NED")),1,0)</x:f>
        <x:v>0</x:v>
      </x:c>
      <x:c r="N3233" s="11" t="n">
        <x:f>IF(K3233=1,1,0)</x:f>
        <x:v>1</x:v>
      </x:c>
      <x:c r="O3233" s="12"/>
      <x:c r="P3233" s="11" t="n">
        <x:v>0</x:v>
      </x:c>
      <x:c r="Q3233" s="12" t="str">
        <x:v>AF-Q9Z1D1-F1-model_v6</x:v>
      </x:c>
      <x:c r="R3233" s="12" t="str">
        <x:v>ok</x:v>
      </x:c>
      <x:c r="S3233" s="11" t="n">
        <x:v>2698</x:v>
      </x:c>
      <x:c r="T3233" s="11" t="n">
        <x:v>320</x:v>
      </x:c>
    </x:row>
    <x:row r="3234" ht="23" customHeight="1">
      <x:c r="A3234" s="2" t="str">
        <x:v>Q9Z1E3</x:v>
      </x:c>
      <x:c r="B3234" s="2" t="str">
        <x:v>UN</x:v>
      </x:c>
      <x:c r="C3234" s="2" t="n">
        <x:v>0</x:v>
      </x:c>
      <x:c r="D3234" s="2" t="n">
        <x:v>0</x:v>
      </x:c>
      <x:c r="E3234" s="10" t="n">
        <x:v>82.8368152866242</x:v>
      </x:c>
      <x:c r="F3234" s="11" t="n">
        <x:v>314</x:v>
      </x:c>
      <x:c r="G3234" s="11" t="n">
        <x:v>0</x:v>
      </x:c>
      <x:c r="H3234" s="11" t="n">
        <x:v>0</x:v>
      </x:c>
      <x:c r="I3234" s="11" t="n">
        <x:v>0</x:v>
      </x:c>
      <x:c r="J3234" s="11" t="n">
        <x:v>0</x:v>
      </x:c>
      <x:c r="K3234" s="11" t="n">
        <x:v>1</x:v>
      </x:c>
      <x:c r="L3234" s="11" t="n">
        <x:f>IF(B3234="NED",1,IF(OR(B3234="ED",B3234="UN"),0,""))</x:f>
        <x:v>0</x:v>
      </x:c>
      <x:c r="M3234" s="11" t="n">
        <x:f>IF(AND(K3234=1,OR(B3234="ED",B3234="NED")),1,0)</x:f>
        <x:v>0</x:v>
      </x:c>
      <x:c r="N3234" s="11" t="n">
        <x:f>IF(K3234=1,1,0)</x:f>
        <x:v>1</x:v>
      </x:c>
      <x:c r="O3234" s="12"/>
      <x:c r="P3234" s="11" t="n">
        <x:v>0</x:v>
      </x:c>
      <x:c r="Q3234" s="12" t="str">
        <x:v>AF-Q9Z1E3-F1-model_v6</x:v>
      </x:c>
      <x:c r="R3234" s="12" t="str">
        <x:v>ok</x:v>
      </x:c>
      <x:c r="S3234" s="11" t="n">
        <x:v>2699</x:v>
      </x:c>
      <x:c r="T3234" s="11" t="n">
        <x:v>314</x:v>
      </x:c>
    </x:row>
    <x:row r="3235" ht="23" customHeight="1">
      <x:c r="A3235" s="2" t="str">
        <x:v>Q9Z1F9</x:v>
      </x:c>
      <x:c r="B3235" s="2" t="str">
        <x:v>ED</x:v>
      </x:c>
      <x:c r="C3235" s="2" t="n">
        <x:v>1</x:v>
      </x:c>
      <x:c r="D3235" s="2" t="n">
        <x:v>1</x:v>
      </x:c>
      <x:c r="E3235" s="10" t="n">
        <x:v>84.21205329153605</x:v>
      </x:c>
      <x:c r="F3235" s="11" t="n">
        <x:v>638</x:v>
      </x:c>
      <x:c r="G3235" s="11" t="n">
        <x:v>0</x:v>
      </x:c>
      <x:c r="H3235" s="11" t="n">
        <x:v>0</x:v>
      </x:c>
      <x:c r="I3235" s="11" t="n">
        <x:v>0</x:v>
      </x:c>
      <x:c r="J3235" s="11" t="n">
        <x:v>0</x:v>
      </x:c>
      <x:c r="K3235" s="11" t="n">
        <x:v>1</x:v>
      </x:c>
      <x:c r="L3235" s="11" t="n">
        <x:f>IF(B3235="NED",1,IF(OR(B3235="ED",B3235="UN"),0,""))</x:f>
        <x:v>0</x:v>
      </x:c>
      <x:c r="M3235" s="11" t="n">
        <x:f>IF(AND(K3235=1,OR(B3235="ED",B3235="NED")),1,0)</x:f>
        <x:v>1</x:v>
      </x:c>
      <x:c r="N3235" s="11" t="n">
        <x:f>IF(K3235=1,1,0)</x:f>
        <x:v>1</x:v>
      </x:c>
      <x:c r="O3235" s="12"/>
      <x:c r="P3235" s="11" t="n">
        <x:v>0</x:v>
      </x:c>
      <x:c r="Q3235" s="12" t="str">
        <x:v>AF-Q9Z1F9-F1-model_v6</x:v>
      </x:c>
      <x:c r="R3235" s="12" t="str">
        <x:v>ok</x:v>
      </x:c>
      <x:c r="S3235" s="11" t="n">
        <x:v>2700</x:v>
      </x:c>
      <x:c r="T3235" s="11" t="n">
        <x:v>638</x:v>
      </x:c>
    </x:row>
    <x:row r="3236" ht="23" customHeight="1">
      <x:c r="A3236" s="2" t="str">
        <x:v>Q9Z1G3</x:v>
      </x:c>
      <x:c r="B3236" s="2" t="str">
        <x:v>UN</x:v>
      </x:c>
      <x:c r="C3236" s="2" t="n">
        <x:v>1</x:v>
      </x:c>
      <x:c r="D3236" s="2" t="n">
        <x:v>1</x:v>
      </x:c>
      <x:c r="E3236" s="10"/>
      <x:c r="F3236" s="11" t="n">
        <x:v>382</x:v>
      </x:c>
      <x:c r="G3236" s="11" t="n">
        <x:v>0</x:v>
      </x:c>
      <x:c r="H3236" s="11" t="n">
        <x:v>0</x:v>
      </x:c>
      <x:c r="I3236" s="11" t="n">
        <x:v>1</x:v>
      </x:c>
      <x:c r="J3236" s="11" t="n">
        <x:v>0</x:v>
      </x:c>
      <x:c r="K3236" s="11" t="n">
        <x:v>0</x:v>
      </x:c>
      <x:c r="L3236" s="11" t="n">
        <x:f>IF(B3236="NED",1,IF(OR(B3236="ED",B3236="UN"),0,""))</x:f>
        <x:v>0</x:v>
      </x:c>
      <x:c r="M3236" s="11" t="n">
        <x:f>IF(AND(K3236=1,OR(B3236="ED",B3236="NED")),1,0)</x:f>
        <x:v>0</x:v>
      </x:c>
      <x:c r="N3236" s="11" t="n">
        <x:f>IF(K3236=1,1,0)</x:f>
        <x:v>0</x:v>
      </x:c>
      <x:c r="O3236" s="12" t="str">
        <x:v>Exclude UniProt Membrane keyword</x:v>
      </x:c>
      <x:c r="P3236" s="11" t="n">
        <x:v>0</x:v>
      </x:c>
      <x:c r="Q3236" s="12" t="str">
        <x:v>AF-Q9Z1G3-F1-model_v6</x:v>
      </x:c>
      <x:c r="R3236" s="12" t="str">
        <x:v>ok</x:v>
      </x:c>
      <x:c r="S3236" s="11" t="n">
        <x:v>2701</x:v>
      </x:c>
      <x:c r="T3236" s="11" t="n">
        <x:v>382</x:v>
      </x:c>
    </x:row>
    <x:row r="3237" ht="23" customHeight="1">
      <x:c r="A3237" s="2" t="str">
        <x:v>Q9Z1J3-2</x:v>
      </x:c>
      <x:c r="B3237" s="2" t="str">
        <x:v>ED</x:v>
      </x:c>
      <x:c r="C3237" s="2"/>
      <x:c r="D3237" s="2"/>
      <x:c r="E3237" s="10"/>
      <x:c r="F3237" s="11"/>
      <x:c r="G3237" s="11" t="n">
        <x:v>0</x:v>
      </x:c>
      <x:c r="H3237" s="11" t="n">
        <x:v>0</x:v>
      </x:c>
      <x:c r="I3237" s="11"/>
      <x:c r="J3237" s="11"/>
      <x:c r="K3237" s="11" t="n">
        <x:v>0</x:v>
      </x:c>
      <x:c r="L3237" s="11" t="n">
        <x:f>IF(B3237="NED",1,IF(OR(B3237="ED",B3237="UN"),0,""))</x:f>
        <x:v>0</x:v>
      </x:c>
      <x:c r="M3237" s="11" t="n">
        <x:f>IF(AND(K3237=1,OR(B3237="ED",B3237="NED")),1,0)</x:f>
        <x:v>0</x:v>
      </x:c>
      <x:c r="N3237" s="11" t="n">
        <x:f>IF(K3237=1,1,0)</x:f>
        <x:v>0</x:v>
      </x:c>
      <x:c r="O3237" s="12" t="str">
        <x:v>Require exact native accession match</x:v>
      </x:c>
      <x:c r="P3237" s="11" t="n">
        <x:v>0</x:v>
      </x:c>
      <x:c r="Q3237" s="12"/>
      <x:c r="R3237" s="12"/>
      <x:c r="S3237" s="11" t="n">
        <x:v>2702</x:v>
      </x:c>
      <x:c r="T3237" s="11"/>
    </x:row>
    <x:row r="3238" ht="23" customHeight="1">
      <x:c r="A3238" s="2" t="str">
        <x:v>Q9Z1K5</x:v>
      </x:c>
      <x:c r="B3238" s="2" t="str">
        <x:v>ED</x:v>
      </x:c>
      <x:c r="C3238" s="2" t="n">
        <x:v>0</x:v>
      </x:c>
      <x:c r="D3238" s="2" t="n">
        <x:v>0</x:v>
      </x:c>
      <x:c r="E3238" s="10" t="n">
        <x:v>79.79863063063063</x:v>
      </x:c>
      <x:c r="F3238" s="11" t="n">
        <x:v>555</x:v>
      </x:c>
      <x:c r="G3238" s="11" t="n">
        <x:v>0</x:v>
      </x:c>
      <x:c r="H3238" s="11" t="n">
        <x:v>0</x:v>
      </x:c>
      <x:c r="I3238" s="11" t="n">
        <x:v>0</x:v>
      </x:c>
      <x:c r="J3238" s="11" t="n">
        <x:v>0</x:v>
      </x:c>
      <x:c r="K3238" s="11" t="n">
        <x:v>1</x:v>
      </x:c>
      <x:c r="L3238" s="11" t="n">
        <x:f>IF(B3238="NED",1,IF(OR(B3238="ED",B3238="UN"),0,""))</x:f>
        <x:v>0</x:v>
      </x:c>
      <x:c r="M3238" s="11" t="n">
        <x:f>IF(AND(K3238=1,OR(B3238="ED",B3238="NED")),1,0)</x:f>
        <x:v>1</x:v>
      </x:c>
      <x:c r="N3238" s="11" t="n">
        <x:f>IF(K3238=1,1,0)</x:f>
        <x:v>1</x:v>
      </x:c>
      <x:c r="O3238" s="12"/>
      <x:c r="P3238" s="11" t="n">
        <x:v>0</x:v>
      </x:c>
      <x:c r="Q3238" s="12" t="str">
        <x:v>AF-Q9Z1K5-F1-model_v6</x:v>
      </x:c>
      <x:c r="R3238" s="12" t="str">
        <x:v>ok</x:v>
      </x:c>
      <x:c r="S3238" s="11" t="n">
        <x:v>2703</x:v>
      </x:c>
      <x:c r="T3238" s="11" t="n">
        <x:v>555</x:v>
      </x:c>
    </x:row>
    <x:row r="3239" ht="23" customHeight="1">
      <x:c r="A3239" s="2" t="str">
        <x:v>Q9Z1M8</x:v>
      </x:c>
      <x:c r="B3239" s="2" t="str">
        <x:v>UN</x:v>
      </x:c>
      <x:c r="C3239" s="2" t="n">
        <x:v>0</x:v>
      </x:c>
      <x:c r="D3239" s="2" t="n">
        <x:v>0</x:v>
      </x:c>
      <x:c r="E3239" s="10" t="n">
        <x:v>67.84599640933573</x:v>
      </x:c>
      <x:c r="F3239" s="11" t="n">
        <x:v>557</x:v>
      </x:c>
      <x:c r="G3239" s="11" t="n">
        <x:v>0</x:v>
      </x:c>
      <x:c r="H3239" s="11" t="n">
        <x:v>0</x:v>
      </x:c>
      <x:c r="I3239" s="11" t="n">
        <x:v>0</x:v>
      </x:c>
      <x:c r="J3239" s="11" t="n">
        <x:v>0</x:v>
      </x:c>
      <x:c r="K3239" s="11" t="n">
        <x:v>0</x:v>
      </x:c>
      <x:c r="L3239" s="11" t="n">
        <x:f>IF(B3239="NED",1,IF(OR(B3239="ED",B3239="UN"),0,""))</x:f>
        <x:v>0</x:v>
      </x:c>
      <x:c r="M3239" s="11" t="n">
        <x:f>IF(AND(K3239=1,OR(B3239="ED",B3239="NED")),1,0)</x:f>
        <x:v>0</x:v>
      </x:c>
      <x:c r="N3239" s="11" t="n">
        <x:f>IF(K3239=1,1,0)</x:f>
        <x:v>0</x:v>
      </x:c>
      <x:c r="O3239" s="12" t="str">
        <x:v>Retain protein mean pLDDT &gt;=70</x:v>
      </x:c>
      <x:c r="P3239" s="11" t="n">
        <x:v>0</x:v>
      </x:c>
      <x:c r="Q3239" s="12" t="str">
        <x:v>AF-Q9Z1M8-F1-model_v6</x:v>
      </x:c>
      <x:c r="R3239" s="12" t="str">
        <x:v>ok</x:v>
      </x:c>
      <x:c r="S3239" s="11" t="n">
        <x:v>2704</x:v>
      </x:c>
      <x:c r="T3239" s="11" t="n">
        <x:v>557</x:v>
      </x:c>
    </x:row>
    <x:row r="3240" ht="23" customHeight="1">
      <x:c r="A3240" s="2" t="str">
        <x:v>Q9Z1N2</x:v>
      </x:c>
      <x:c r="B3240" s="2" t="str">
        <x:v>ED</x:v>
      </x:c>
      <x:c r="C3240" s="2" t="n">
        <x:v>1</x:v>
      </x:c>
      <x:c r="D3240" s="2" t="n">
        <x:v>1</x:v>
      </x:c>
      <x:c r="E3240" s="10" t="n">
        <x:v>67.5760119047619</x:v>
      </x:c>
      <x:c r="F3240" s="11" t="n">
        <x:v>840</x:v>
      </x:c>
      <x:c r="G3240" s="11" t="n">
        <x:v>0</x:v>
      </x:c>
      <x:c r="H3240" s="11" t="n">
        <x:v>0</x:v>
      </x:c>
      <x:c r="I3240" s="11" t="n">
        <x:v>0</x:v>
      </x:c>
      <x:c r="J3240" s="11" t="n">
        <x:v>0</x:v>
      </x:c>
      <x:c r="K3240" s="11" t="n">
        <x:v>0</x:v>
      </x:c>
      <x:c r="L3240" s="11" t="n">
        <x:f>IF(B3240="NED",1,IF(OR(B3240="ED",B3240="UN"),0,""))</x:f>
        <x:v>0</x:v>
      </x:c>
      <x:c r="M3240" s="11" t="n">
        <x:f>IF(AND(K3240=1,OR(B3240="ED",B3240="NED")),1,0)</x:f>
        <x:v>0</x:v>
      </x:c>
      <x:c r="N3240" s="11" t="n">
        <x:f>IF(K3240=1,1,0)</x:f>
        <x:v>0</x:v>
      </x:c>
      <x:c r="O3240" s="12" t="str">
        <x:v>Retain protein mean pLDDT &gt;=70</x:v>
      </x:c>
      <x:c r="P3240" s="11" t="n">
        <x:v>0</x:v>
      </x:c>
      <x:c r="Q3240" s="12" t="str">
        <x:v>AF-Q9Z1N2-F1-model_v6</x:v>
      </x:c>
      <x:c r="R3240" s="12" t="str">
        <x:v>ok</x:v>
      </x:c>
      <x:c r="S3240" s="11" t="n">
        <x:v>2705</x:v>
      </x:c>
      <x:c r="T3240" s="11" t="n">
        <x:v>840</x:v>
      </x:c>
    </x:row>
    <x:row r="3241" ht="23" customHeight="1">
      <x:c r="A3241" s="2" t="str">
        <x:v>Q9Z1N5</x:v>
      </x:c>
      <x:c r="B3241" s="2" t="str">
        <x:v>ED</x:v>
      </x:c>
      <x:c r="C3241" s="2" t="n">
        <x:v>1</x:v>
      </x:c>
      <x:c r="D3241" s="2" t="n">
        <x:v>1</x:v>
      </x:c>
      <x:c r="E3241" s="10" t="n">
        <x:v>84.32789719626167</x:v>
      </x:c>
      <x:c r="F3241" s="11" t="n">
        <x:v>428</x:v>
      </x:c>
      <x:c r="G3241" s="11" t="n">
        <x:v>0</x:v>
      </x:c>
      <x:c r="H3241" s="11" t="n">
        <x:v>0</x:v>
      </x:c>
      <x:c r="I3241" s="11" t="n">
        <x:v>0</x:v>
      </x:c>
      <x:c r="J3241" s="11" t="n">
        <x:v>0</x:v>
      </x:c>
      <x:c r="K3241" s="11" t="n">
        <x:v>1</x:v>
      </x:c>
      <x:c r="L3241" s="11" t="n">
        <x:f>IF(B3241="NED",1,IF(OR(B3241="ED",B3241="UN"),0,""))</x:f>
        <x:v>0</x:v>
      </x:c>
      <x:c r="M3241" s="11" t="n">
        <x:f>IF(AND(K3241=1,OR(B3241="ED",B3241="NED")),1,0)</x:f>
        <x:v>1</x:v>
      </x:c>
      <x:c r="N3241" s="11" t="n">
        <x:f>IF(K3241=1,1,0)</x:f>
        <x:v>1</x:v>
      </x:c>
      <x:c r="O3241" s="12"/>
      <x:c r="P3241" s="11" t="n">
        <x:v>0</x:v>
      </x:c>
      <x:c r="Q3241" s="12" t="str">
        <x:v>AF-Q9Z1N5-F1-model_v6</x:v>
      </x:c>
      <x:c r="R3241" s="12" t="str">
        <x:v>ok</x:v>
      </x:c>
      <x:c r="S3241" s="11" t="n">
        <x:v>2706</x:v>
      </x:c>
      <x:c r="T3241" s="11" t="n">
        <x:v>428</x:v>
      </x:c>
    </x:row>
    <x:row r="3242" ht="23" customHeight="1">
      <x:c r="A3242" s="2" t="str">
        <x:v>Q9Z1Q5</x:v>
      </x:c>
      <x:c r="B3242" s="2" t="str">
        <x:v>UN</x:v>
      </x:c>
      <x:c r="C3242" s="2" t="n">
        <x:v>1</x:v>
      </x:c>
      <x:c r="D3242" s="2" t="n">
        <x:v>1</x:v>
      </x:c>
      <x:c r="E3242" s="10"/>
      <x:c r="F3242" s="11" t="n">
        <x:v>241</x:v>
      </x:c>
      <x:c r="G3242" s="11" t="n">
        <x:v>0</x:v>
      </x:c>
      <x:c r="H3242" s="11" t="n">
        <x:v>0</x:v>
      </x:c>
      <x:c r="I3242" s="11" t="n">
        <x:v>1</x:v>
      </x:c>
      <x:c r="J3242" s="11" t="n">
        <x:v>0</x:v>
      </x:c>
      <x:c r="K3242" s="11" t="n">
        <x:v>0</x:v>
      </x:c>
      <x:c r="L3242" s="11" t="n">
        <x:f>IF(B3242="NED",1,IF(OR(B3242="ED",B3242="UN"),0,""))</x:f>
        <x:v>0</x:v>
      </x:c>
      <x:c r="M3242" s="11" t="n">
        <x:f>IF(AND(K3242=1,OR(B3242="ED",B3242="NED")),1,0)</x:f>
        <x:v>0</x:v>
      </x:c>
      <x:c r="N3242" s="11" t="n">
        <x:f>IF(K3242=1,1,0)</x:f>
        <x:v>0</x:v>
      </x:c>
      <x:c r="O3242" s="12" t="str">
        <x:v>Exclude UniProt Membrane keyword</x:v>
      </x:c>
      <x:c r="P3242" s="11" t="n">
        <x:v>0</x:v>
      </x:c>
      <x:c r="Q3242" s="12" t="str">
        <x:v>AF-Q9Z1Q5-F1-model_v6</x:v>
      </x:c>
      <x:c r="R3242" s="12" t="str">
        <x:v>ok</x:v>
      </x:c>
      <x:c r="S3242" s="11" t="n">
        <x:v>2707</x:v>
      </x:c>
      <x:c r="T3242" s="11" t="n">
        <x:v>241</x:v>
      </x:c>
    </x:row>
    <x:row r="3243" ht="23" customHeight="1">
      <x:c r="A3243" s="2" t="str">
        <x:v>Q9Z1Q9</x:v>
      </x:c>
      <x:c r="B3243" s="2" t="str">
        <x:v>ED</x:v>
      </x:c>
      <x:c r="C3243" s="2" t="n">
        <x:v>1</x:v>
      </x:c>
      <x:c r="D3243" s="2" t="n">
        <x:v>1</x:v>
      </x:c>
      <x:c r="E3243" s="10" t="n">
        <x:v>87.98351543942992</x:v>
      </x:c>
      <x:c r="F3243" s="11" t="n">
        <x:v>1263</x:v>
      </x:c>
      <x:c r="G3243" s="11" t="n">
        <x:v>0</x:v>
      </x:c>
      <x:c r="H3243" s="11" t="n">
        <x:v>0</x:v>
      </x:c>
      <x:c r="I3243" s="11" t="n">
        <x:v>0</x:v>
      </x:c>
      <x:c r="J3243" s="11" t="n">
        <x:v>0</x:v>
      </x:c>
      <x:c r="K3243" s="11" t="n">
        <x:v>1</x:v>
      </x:c>
      <x:c r="L3243" s="11" t="n">
        <x:f>IF(B3243="NED",1,IF(OR(B3243="ED",B3243="UN"),0,""))</x:f>
        <x:v>0</x:v>
      </x:c>
      <x:c r="M3243" s="11" t="n">
        <x:f>IF(AND(K3243=1,OR(B3243="ED",B3243="NED")),1,0)</x:f>
        <x:v>1</x:v>
      </x:c>
      <x:c r="N3243" s="11" t="n">
        <x:f>IF(K3243=1,1,0)</x:f>
        <x:v>1</x:v>
      </x:c>
      <x:c r="O3243" s="12"/>
      <x:c r="P3243" s="11" t="n">
        <x:v>0</x:v>
      </x:c>
      <x:c r="Q3243" s="12" t="str">
        <x:v>AF-Q9Z1Q9-F1-model_v6</x:v>
      </x:c>
      <x:c r="R3243" s="12" t="str">
        <x:v>ok</x:v>
      </x:c>
      <x:c r="S3243" s="11" t="n">
        <x:v>2708</x:v>
      </x:c>
      <x:c r="T3243" s="11" t="n">
        <x:v>1263</x:v>
      </x:c>
    </x:row>
    <x:row r="3244" ht="23" customHeight="1">
      <x:c r="A3244" s="2" t="str">
        <x:v>Q9Z1S0</x:v>
      </x:c>
      <x:c r="B3244" s="2" t="str">
        <x:v>ED</x:v>
      </x:c>
      <x:c r="C3244" s="2" t="n">
        <x:v>1</x:v>
      </x:c>
      <x:c r="D3244" s="2" t="n">
        <x:v>1</x:v>
      </x:c>
      <x:c r="E3244" s="10"/>
      <x:c r="F3244" s="11" t="n">
        <x:v>1052</x:v>
      </x:c>
      <x:c r="G3244" s="11" t="n">
        <x:v>1</x:v>
      </x:c>
      <x:c r="H3244" s="11" t="n">
        <x:v>0</x:v>
      </x:c>
      <x:c r="I3244" s="11" t="n">
        <x:v>0</x:v>
      </x:c>
      <x:c r="J3244" s="11" t="n">
        <x:v>0</x:v>
      </x:c>
      <x:c r="K3244" s="11" t="n">
        <x:v>0</x:v>
      </x:c>
      <x:c r="L3244" s="11" t="n">
        <x:f>IF(B3244="NED",1,IF(OR(B3244="ED",B3244="UN"),0,""))</x:f>
        <x:v>0</x:v>
      </x:c>
      <x:c r="M3244" s="11" t="n">
        <x:f>IF(AND(K3244=1,OR(B3244="ED",B3244="NED")),1,0)</x:f>
        <x:v>0</x:v>
      </x:c>
      <x:c r="N3244" s="11" t="n">
        <x:f>IF(K3244=1,1,0)</x:f>
        <x:v>0</x:v>
      </x:c>
      <x:c r="O3244" s="12" t="str">
        <x:v>Exclude supplied knotted proteins</x:v>
      </x:c>
      <x:c r="P3244" s="11" t="n">
        <x:v>0</x:v>
      </x:c>
      <x:c r="Q3244" s="12" t="str">
        <x:v>AF-Q9Z1S0-F1-model_v6</x:v>
      </x:c>
      <x:c r="R3244" s="12" t="str">
        <x:v>ok</x:v>
      </x:c>
      <x:c r="S3244" s="11" t="n">
        <x:v>2709</x:v>
      </x:c>
      <x:c r="T3244" s="11" t="n">
        <x:v>1052</x:v>
      </x:c>
    </x:row>
    <x:row r="3245" ht="23" customHeight="1">
      <x:c r="A3245" s="2" t="str">
        <x:v>Q9Z1T1</x:v>
      </x:c>
      <x:c r="B3245" s="2" t="str">
        <x:v>NED</x:v>
      </x:c>
      <x:c r="C3245" s="2" t="n">
        <x:v>1</x:v>
      </x:c>
      <x:c r="D3245" s="2" t="n">
        <x:v>1</x:v>
      </x:c>
      <x:c r="E3245" s="10"/>
      <x:c r="F3245" s="11" t="n">
        <x:v>1105</x:v>
      </x:c>
      <x:c r="G3245" s="11" t="n">
        <x:v>0</x:v>
      </x:c>
      <x:c r="H3245" s="11" t="n">
        <x:v>0</x:v>
      </x:c>
      <x:c r="I3245" s="11" t="n">
        <x:v>1</x:v>
      </x:c>
      <x:c r="J3245" s="11" t="n">
        <x:v>0</x:v>
      </x:c>
      <x:c r="K3245" s="11" t="n">
        <x:v>0</x:v>
      </x:c>
      <x:c r="L3245" s="11" t="n">
        <x:f>IF(B3245="NED",1,IF(OR(B3245="ED",B3245="UN"),0,""))</x:f>
        <x:v>1</x:v>
      </x:c>
      <x:c r="M3245" s="11" t="n">
        <x:f>IF(AND(K3245=1,OR(B3245="ED",B3245="NED")),1,0)</x:f>
        <x:v>0</x:v>
      </x:c>
      <x:c r="N3245" s="11" t="n">
        <x:f>IF(K3245=1,1,0)</x:f>
        <x:v>0</x:v>
      </x:c>
      <x:c r="O3245" s="12" t="str">
        <x:v>Exclude UniProt Membrane keyword</x:v>
      </x:c>
      <x:c r="P3245" s="11" t="n">
        <x:v>0</x:v>
      </x:c>
      <x:c r="Q3245" s="12" t="str">
        <x:v>AF-Q9Z1T1-F1-model_v6</x:v>
      </x:c>
      <x:c r="R3245" s="12" t="str">
        <x:v>ok</x:v>
      </x:c>
      <x:c r="S3245" s="11" t="n">
        <x:v>2710</x:v>
      </x:c>
      <x:c r="T3245" s="11" t="n">
        <x:v>1105</x:v>
      </x:c>
    </x:row>
    <x:row r="3246" ht="23" customHeight="1">
      <x:c r="A3246" s="2" t="str">
        <x:v>Q9Z1T6-1</x:v>
      </x:c>
      <x:c r="B3246" s="2" t="str">
        <x:v>ED</x:v>
      </x:c>
      <x:c r="C3246" s="2"/>
      <x:c r="D3246" s="2"/>
      <x:c r="E3246" s="10"/>
      <x:c r="F3246" s="11"/>
      <x:c r="G3246" s="11" t="n">
        <x:v>0</x:v>
      </x:c>
      <x:c r="H3246" s="11" t="n">
        <x:v>0</x:v>
      </x:c>
      <x:c r="I3246" s="11"/>
      <x:c r="J3246" s="11"/>
      <x:c r="K3246" s="11" t="n">
        <x:v>0</x:v>
      </x:c>
      <x:c r="L3246" s="11" t="n">
        <x:f>IF(B3246="NED",1,IF(OR(B3246="ED",B3246="UN"),0,""))</x:f>
        <x:v>0</x:v>
      </x:c>
      <x:c r="M3246" s="11" t="n">
        <x:f>IF(AND(K3246=1,OR(B3246="ED",B3246="NED")),1,0)</x:f>
        <x:v>0</x:v>
      </x:c>
      <x:c r="N3246" s="11" t="n">
        <x:f>IF(K3246=1,1,0)</x:f>
        <x:v>0</x:v>
      </x:c>
      <x:c r="O3246" s="12" t="str">
        <x:v>Require exact native accession match</x:v>
      </x:c>
      <x:c r="P3246" s="11" t="n">
        <x:v>0</x:v>
      </x:c>
      <x:c r="Q3246" s="12"/>
      <x:c r="R3246" s="12"/>
      <x:c r="S3246" s="11" t="n">
        <x:v>2711</x:v>
      </x:c>
      <x:c r="T3246" s="11"/>
    </x:row>
    <x:row r="3247" ht="23" customHeight="1">
      <x:c r="A3247" s="2" t="str">
        <x:v>Q9Z1X4-2</x:v>
      </x:c>
      <x:c r="B3247" s="2" t="str">
        <x:v>ED</x:v>
      </x:c>
      <x:c r="C3247" s="2"/>
      <x:c r="D3247" s="2"/>
      <x:c r="E3247" s="10"/>
      <x:c r="F3247" s="11"/>
      <x:c r="G3247" s="11" t="n">
        <x:v>0</x:v>
      </x:c>
      <x:c r="H3247" s="11" t="n">
        <x:v>0</x:v>
      </x:c>
      <x:c r="I3247" s="11"/>
      <x:c r="J3247" s="11"/>
      <x:c r="K3247" s="11" t="n">
        <x:v>0</x:v>
      </x:c>
      <x:c r="L3247" s="11" t="n">
        <x:f>IF(B3247="NED",1,IF(OR(B3247="ED",B3247="UN"),0,""))</x:f>
        <x:v>0</x:v>
      </x:c>
      <x:c r="M3247" s="11" t="n">
        <x:f>IF(AND(K3247=1,OR(B3247="ED",B3247="NED")),1,0)</x:f>
        <x:v>0</x:v>
      </x:c>
      <x:c r="N3247" s="11" t="n">
        <x:f>IF(K3247=1,1,0)</x:f>
        <x:v>0</x:v>
      </x:c>
      <x:c r="O3247" s="12" t="str">
        <x:v>Require exact native accession match</x:v>
      </x:c>
      <x:c r="P3247" s="11" t="n">
        <x:v>0</x:v>
      </x:c>
      <x:c r="Q3247" s="12"/>
      <x:c r="R3247" s="12"/>
      <x:c r="S3247" s="11" t="n">
        <x:v>2712</x:v>
      </x:c>
      <x:c r="T3247" s="11"/>
    </x:row>
    <x:row r="3248" ht="23" customHeight="1">
      <x:c r="A3248" s="2" t="str">
        <x:v>Q9Z1Y4</x:v>
      </x:c>
      <x:c r="B3248" s="2" t="str">
        <x:v>UN</x:v>
      </x:c>
      <x:c r="C3248" s="2" t="n">
        <x:v>1</x:v>
      </x:c>
      <x:c r="D3248" s="2"/>
      <x:c r="E3248" s="10" t="n">
        <x:v>62.76947916666666</x:v>
      </x:c>
      <x:c r="F3248" s="11" t="n">
        <x:v>480</x:v>
      </x:c>
      <x:c r="G3248" s="11" t="n">
        <x:v>0</x:v>
      </x:c>
      <x:c r="H3248" s="11" t="n">
        <x:v>0</x:v>
      </x:c>
      <x:c r="I3248" s="11" t="n">
        <x:v>0</x:v>
      </x:c>
      <x:c r="J3248" s="11" t="n">
        <x:v>0</x:v>
      </x:c>
      <x:c r="K3248" s="11" t="n">
        <x:v>0</x:v>
      </x:c>
      <x:c r="L3248" s="11" t="n">
        <x:f>IF(B3248="NED",1,IF(OR(B3248="ED",B3248="UN"),0,""))</x:f>
        <x:v>0</x:v>
      </x:c>
      <x:c r="M3248" s="11" t="n">
        <x:f>IF(AND(K3248=1,OR(B3248="ED",B3248="NED")),1,0)</x:f>
        <x:v>0</x:v>
      </x:c>
      <x:c r="N3248" s="11" t="n">
        <x:f>IF(K3248=1,1,0)</x:f>
        <x:v>0</x:v>
      </x:c>
      <x:c r="O3248" s="12" t="str">
        <x:v>Retain protein mean pLDDT &gt;=70</x:v>
      </x:c>
      <x:c r="P3248" s="11" t="n">
        <x:v>0</x:v>
      </x:c>
      <x:c r="Q3248" s="12" t="str">
        <x:v>AF-Q9Z1Y4-F1-model_v6</x:v>
      </x:c>
      <x:c r="R3248" s="12" t="str">
        <x:v>ok</x:v>
      </x:c>
      <x:c r="S3248" s="11" t="n">
        <x:v>2713</x:v>
      </x:c>
      <x:c r="T3248" s="11" t="n">
        <x:v>480</x:v>
      </x:c>
    </x:row>
    <x:row r="3249" ht="23" customHeight="1">
      <x:c r="A3249" s="2" t="str">
        <x:v>Q9Z1Z0</x:v>
      </x:c>
      <x:c r="B3249" s="2" t="str">
        <x:v>ED</x:v>
      </x:c>
      <x:c r="C3249" s="2" t="n">
        <x:v>1</x:v>
      </x:c>
      <x:c r="D3249" s="2" t="n">
        <x:v>1</x:v>
      </x:c>
      <x:c r="E3249" s="10"/>
      <x:c r="F3249" s="11" t="n">
        <x:v>959</x:v>
      </x:c>
      <x:c r="G3249" s="11" t="n">
        <x:v>0</x:v>
      </x:c>
      <x:c r="H3249" s="11" t="n">
        <x:v>0</x:v>
      </x:c>
      <x:c r="I3249" s="11" t="n">
        <x:v>1</x:v>
      </x:c>
      <x:c r="J3249" s="11" t="n">
        <x:v>0</x:v>
      </x:c>
      <x:c r="K3249" s="11" t="n">
        <x:v>0</x:v>
      </x:c>
      <x:c r="L3249" s="11" t="n">
        <x:f>IF(B3249="NED",1,IF(OR(B3249="ED",B3249="UN"),0,""))</x:f>
        <x:v>0</x:v>
      </x:c>
      <x:c r="M3249" s="11" t="n">
        <x:f>IF(AND(K3249=1,OR(B3249="ED",B3249="NED")),1,0)</x:f>
        <x:v>0</x:v>
      </x:c>
      <x:c r="N3249" s="11" t="n">
        <x:f>IF(K3249=1,1,0)</x:f>
        <x:v>0</x:v>
      </x:c>
      <x:c r="O3249" s="12" t="str">
        <x:v>Exclude UniProt Membrane keyword</x:v>
      </x:c>
      <x:c r="P3249" s="11" t="n">
        <x:v>0</x:v>
      </x:c>
      <x:c r="Q3249" s="12" t="str">
        <x:v>AF-Q9Z1Z0-F1-model_v6</x:v>
      </x:c>
      <x:c r="R3249" s="12" t="str">
        <x:v>ok</x:v>
      </x:c>
      <x:c r="S3249" s="11" t="n">
        <x:v>2714</x:v>
      </x:c>
      <x:c r="T3249" s="11" t="n">
        <x:v>959</x:v>
      </x:c>
    </x:row>
    <x:row r="3250" ht="23" customHeight="1">
      <x:c r="A3250" s="2" t="str">
        <x:v>Q9Z1Z2</x:v>
      </x:c>
      <x:c r="B3250" s="2" t="str">
        <x:v>ED</x:v>
      </x:c>
      <x:c r="C3250" s="2" t="n">
        <x:v>1</x:v>
      </x:c>
      <x:c r="D3250" s="2" t="n">
        <x:v>1</x:v>
      </x:c>
      <x:c r="E3250" s="10" t="n">
        <x:v>89.26285714285714</x:v>
      </x:c>
      <x:c r="F3250" s="11" t="n">
        <x:v>350</x:v>
      </x:c>
      <x:c r="G3250" s="11" t="n">
        <x:v>0</x:v>
      </x:c>
      <x:c r="H3250" s="11" t="n">
        <x:v>0</x:v>
      </x:c>
      <x:c r="I3250" s="11" t="n">
        <x:v>0</x:v>
      </x:c>
      <x:c r="J3250" s="11" t="n">
        <x:v>0</x:v>
      </x:c>
      <x:c r="K3250" s="11" t="n">
        <x:v>1</x:v>
      </x:c>
      <x:c r="L3250" s="11" t="n">
        <x:f>IF(B3250="NED",1,IF(OR(B3250="ED",B3250="UN"),0,""))</x:f>
        <x:v>0</x:v>
      </x:c>
      <x:c r="M3250" s="11" t="n">
        <x:f>IF(AND(K3250=1,OR(B3250="ED",B3250="NED")),1,0)</x:f>
        <x:v>1</x:v>
      </x:c>
      <x:c r="N3250" s="11" t="n">
        <x:f>IF(K3250=1,1,0)</x:f>
        <x:v>1</x:v>
      </x:c>
      <x:c r="O3250" s="12"/>
      <x:c r="P3250" s="11" t="n">
        <x:v>0</x:v>
      </x:c>
      <x:c r="Q3250" s="12" t="str">
        <x:v>AF-Q9Z1Z2-F1-model_v6</x:v>
      </x:c>
      <x:c r="R3250" s="12" t="str">
        <x:v>ok</x:v>
      </x:c>
      <x:c r="S3250" s="11" t="n">
        <x:v>2715</x:v>
      </x:c>
      <x:c r="T3250" s="11" t="n">
        <x:v>350</x:v>
      </x:c>
    </x:row>
    <x:row r="3251" ht="23" customHeight="1">
      <x:c r="A3251" s="2" t="str">
        <x:v>Q9Z204-2</x:v>
      </x:c>
      <x:c r="B3251" s="2" t="str">
        <x:v>UN</x:v>
      </x:c>
      <x:c r="C3251" s="2"/>
      <x:c r="D3251" s="2"/>
      <x:c r="E3251" s="10"/>
      <x:c r="F3251" s="11"/>
      <x:c r="G3251" s="11" t="n">
        <x:v>0</x:v>
      </x:c>
      <x:c r="H3251" s="11" t="n">
        <x:v>0</x:v>
      </x:c>
      <x:c r="I3251" s="11"/>
      <x:c r="J3251" s="11"/>
      <x:c r="K3251" s="11" t="n">
        <x:v>0</x:v>
      </x:c>
      <x:c r="L3251" s="11" t="n">
        <x:f>IF(B3251="NED",1,IF(OR(B3251="ED",B3251="UN"),0,""))</x:f>
        <x:v>0</x:v>
      </x:c>
      <x:c r="M3251" s="11" t="n">
        <x:f>IF(AND(K3251=1,OR(B3251="ED",B3251="NED")),1,0)</x:f>
        <x:v>0</x:v>
      </x:c>
      <x:c r="N3251" s="11" t="n">
        <x:f>IF(K3251=1,1,0)</x:f>
        <x:v>0</x:v>
      </x:c>
      <x:c r="O3251" s="12" t="str">
        <x:v>Require exact native accession match</x:v>
      </x:c>
      <x:c r="P3251" s="11" t="n">
        <x:v>0</x:v>
      </x:c>
      <x:c r="Q3251" s="12"/>
      <x:c r="R3251" s="12"/>
      <x:c r="S3251" s="11" t="n">
        <x:v>2716</x:v>
      </x:c>
      <x:c r="T3251" s="11"/>
    </x:row>
    <x:row r="3252" ht="23" customHeight="1">
      <x:c r="A3252" s="2" t="str">
        <x:v>Q9Z207</x:v>
      </x:c>
      <x:c r="B3252" s="2" t="str">
        <x:v>UN</x:v>
      </x:c>
      <x:c r="C3252" s="2" t="n">
        <x:v>1</x:v>
      </x:c>
      <x:c r="D3252" s="2" t="n">
        <x:v>1</x:v>
      </x:c>
      <x:c r="E3252" s="10" t="n">
        <x:v>71.46954739538856</x:v>
      </x:c>
      <x:c r="F3252" s="11" t="n">
        <x:v>1171</x:v>
      </x:c>
      <x:c r="G3252" s="11" t="n">
        <x:v>0</x:v>
      </x:c>
      <x:c r="H3252" s="11" t="n">
        <x:v>0</x:v>
      </x:c>
      <x:c r="I3252" s="11" t="n">
        <x:v>0</x:v>
      </x:c>
      <x:c r="J3252" s="11" t="n">
        <x:v>0</x:v>
      </x:c>
      <x:c r="K3252" s="11" t="n">
        <x:v>1</x:v>
      </x:c>
      <x:c r="L3252" s="11" t="n">
        <x:f>IF(B3252="NED",1,IF(OR(B3252="ED",B3252="UN"),0,""))</x:f>
        <x:v>0</x:v>
      </x:c>
      <x:c r="M3252" s="11" t="n">
        <x:f>IF(AND(K3252=1,OR(B3252="ED",B3252="NED")),1,0)</x:f>
        <x:v>0</x:v>
      </x:c>
      <x:c r="N3252" s="11" t="n">
        <x:f>IF(K3252=1,1,0)</x:f>
        <x:v>1</x:v>
      </x:c>
      <x:c r="O3252" s="12"/>
      <x:c r="P3252" s="11" t="n">
        <x:v>0</x:v>
      </x:c>
      <x:c r="Q3252" s="12" t="str">
        <x:v>AF-Q9Z207-F1-model_v6</x:v>
      </x:c>
      <x:c r="R3252" s="12" t="str">
        <x:v>ok</x:v>
      </x:c>
      <x:c r="S3252" s="11" t="n">
        <x:v>2717</x:v>
      </x:c>
      <x:c r="T3252" s="11" t="n">
        <x:v>1171</x:v>
      </x:c>
    </x:row>
    <x:row r="3253" ht="23" customHeight="1">
      <x:c r="A3253" s="2" t="str">
        <x:v>Q9Z247</x:v>
      </x:c>
      <x:c r="B3253" s="2" t="str">
        <x:v>ED</x:v>
      </x:c>
      <x:c r="C3253" s="2" t="n">
        <x:v>1</x:v>
      </x:c>
      <x:c r="D3253" s="2" t="n">
        <x:v>1</x:v>
      </x:c>
      <x:c r="E3253" s="10" t="n">
        <x:v>89.73812280701755</x:v>
      </x:c>
      <x:c r="F3253" s="11" t="n">
        <x:v>570</x:v>
      </x:c>
      <x:c r="G3253" s="11" t="n">
        <x:v>0</x:v>
      </x:c>
      <x:c r="H3253" s="11" t="n">
        <x:v>0</x:v>
      </x:c>
      <x:c r="I3253" s="11" t="n">
        <x:v>0</x:v>
      </x:c>
      <x:c r="J3253" s="11" t="n">
        <x:v>0</x:v>
      </x:c>
      <x:c r="K3253" s="11" t="n">
        <x:v>1</x:v>
      </x:c>
      <x:c r="L3253" s="11" t="n">
        <x:f>IF(B3253="NED",1,IF(OR(B3253="ED",B3253="UN"),0,""))</x:f>
        <x:v>0</x:v>
      </x:c>
      <x:c r="M3253" s="11" t="n">
        <x:f>IF(AND(K3253=1,OR(B3253="ED",B3253="NED")),1,0)</x:f>
        <x:v>1</x:v>
      </x:c>
      <x:c r="N3253" s="11" t="n">
        <x:f>IF(K3253=1,1,0)</x:f>
        <x:v>1</x:v>
      </x:c>
      <x:c r="O3253" s="12"/>
      <x:c r="P3253" s="11" t="n">
        <x:v>0</x:v>
      </x:c>
      <x:c r="Q3253" s="12" t="str">
        <x:v>AF-Q9Z247-F1-model_v6</x:v>
      </x:c>
      <x:c r="R3253" s="12" t="str">
        <x:v>ok</x:v>
      </x:c>
      <x:c r="S3253" s="11" t="n">
        <x:v>2718</x:v>
      </x:c>
      <x:c r="T3253" s="11" t="n">
        <x:v>570</x:v>
      </x:c>
    </x:row>
    <x:row r="3254" ht="23" customHeight="1">
      <x:c r="A3254" s="2" t="str">
        <x:v>Q9Z255</x:v>
      </x:c>
      <x:c r="B3254" s="2" t="str">
        <x:v>ED</x:v>
      </x:c>
      <x:c r="C3254" s="2" t="n">
        <x:v>0</x:v>
      </x:c>
      <x:c r="D3254" s="2" t="n">
        <x:v>0</x:v>
      </x:c>
      <x:c r="E3254" s="10" t="n">
        <x:v>94.46230263157896</x:v>
      </x:c>
      <x:c r="F3254" s="11" t="n">
        <x:v>152</x:v>
      </x:c>
      <x:c r="G3254" s="11" t="n">
        <x:v>0</x:v>
      </x:c>
      <x:c r="H3254" s="11" t="n">
        <x:v>0</x:v>
      </x:c>
      <x:c r="I3254" s="11" t="n">
        <x:v>0</x:v>
      </x:c>
      <x:c r="J3254" s="11" t="n">
        <x:v>0</x:v>
      </x:c>
      <x:c r="K3254" s="11" t="n">
        <x:v>1</x:v>
      </x:c>
      <x:c r="L3254" s="11" t="n">
        <x:f>IF(B3254="NED",1,IF(OR(B3254="ED",B3254="UN"),0,""))</x:f>
        <x:v>0</x:v>
      </x:c>
      <x:c r="M3254" s="11" t="n">
        <x:f>IF(AND(K3254=1,OR(B3254="ED",B3254="NED")),1,0)</x:f>
        <x:v>1</x:v>
      </x:c>
      <x:c r="N3254" s="11" t="n">
        <x:f>IF(K3254=1,1,0)</x:f>
        <x:v>1</x:v>
      </x:c>
      <x:c r="O3254" s="12"/>
      <x:c r="P3254" s="11" t="n">
        <x:v>0</x:v>
      </x:c>
      <x:c r="Q3254" s="12" t="str">
        <x:v>AF-Q9Z255-F1-model_v6</x:v>
      </x:c>
      <x:c r="R3254" s="12" t="str">
        <x:v>ok</x:v>
      </x:c>
      <x:c r="S3254" s="11" t="n">
        <x:v>2719</x:v>
      </x:c>
      <x:c r="T3254" s="11" t="n">
        <x:v>152</x:v>
      </x:c>
    </x:row>
    <x:row r="3255" ht="23" customHeight="1">
      <x:c r="A3255" s="2" t="str">
        <x:v>Q9Z266</x:v>
      </x:c>
      <x:c r="B3255" s="2" t="str">
        <x:v>ED</x:v>
      </x:c>
      <x:c r="C3255" s="2" t="n">
        <x:v>0</x:v>
      </x:c>
      <x:c r="D3255" s="2" t="n">
        <x:v>0</x:v>
      </x:c>
      <x:c r="E3255" s="10"/>
      <x:c r="F3255" s="11" t="n">
        <x:v>136</x:v>
      </x:c>
      <x:c r="G3255" s="11" t="n">
        <x:v>0</x:v>
      </x:c>
      <x:c r="H3255" s="11" t="n">
        <x:v>0</x:v>
      </x:c>
      <x:c r="I3255" s="11" t="n">
        <x:v>1</x:v>
      </x:c>
      <x:c r="J3255" s="11" t="n">
        <x:v>0</x:v>
      </x:c>
      <x:c r="K3255" s="11" t="n">
        <x:v>0</x:v>
      </x:c>
      <x:c r="L3255" s="11" t="n">
        <x:f>IF(B3255="NED",1,IF(OR(B3255="ED",B3255="UN"),0,""))</x:f>
        <x:v>0</x:v>
      </x:c>
      <x:c r="M3255" s="11" t="n">
        <x:f>IF(AND(K3255=1,OR(B3255="ED",B3255="NED")),1,0)</x:f>
        <x:v>0</x:v>
      </x:c>
      <x:c r="N3255" s="11" t="n">
        <x:f>IF(K3255=1,1,0)</x:f>
        <x:v>0</x:v>
      </x:c>
      <x:c r="O3255" s="12" t="str">
        <x:v>Exclude UniProt Membrane keyword</x:v>
      </x:c>
      <x:c r="P3255" s="11" t="n">
        <x:v>0</x:v>
      </x:c>
      <x:c r="Q3255" s="12" t="str">
        <x:v>AF-Q9Z266-F1-model_v6</x:v>
      </x:c>
      <x:c r="R3255" s="12" t="str">
        <x:v>ok</x:v>
      </x:c>
      <x:c r="S3255" s="11" t="n">
        <x:v>2720</x:v>
      </x:c>
      <x:c r="T3255" s="11" t="n">
        <x:v>136</x:v>
      </x:c>
    </x:row>
    <x:row r="3256" ht="23" customHeight="1">
      <x:c r="A3256" s="2" t="str">
        <x:v>Q9Z277</x:v>
      </x:c>
      <x:c r="B3256" s="2" t="str">
        <x:v>NED</x:v>
      </x:c>
      <x:c r="C3256" s="2" t="n">
        <x:v>1</x:v>
      </x:c>
      <x:c r="D3256" s="2" t="n">
        <x:v>1</x:v>
      </x:c>
      <x:c r="E3256" s="10" t="n">
        <x:v>69.3884584178499</x:v>
      </x:c>
      <x:c r="F3256" s="11" t="n">
        <x:v>1479</x:v>
      </x:c>
      <x:c r="G3256" s="11" t="n">
        <x:v>0</x:v>
      </x:c>
      <x:c r="H3256" s="11" t="n">
        <x:v>0</x:v>
      </x:c>
      <x:c r="I3256" s="11" t="n">
        <x:v>0</x:v>
      </x:c>
      <x:c r="J3256" s="11" t="n">
        <x:v>0</x:v>
      </x:c>
      <x:c r="K3256" s="11" t="n">
        <x:v>0</x:v>
      </x:c>
      <x:c r="L3256" s="11" t="n">
        <x:f>IF(B3256="NED",1,IF(OR(B3256="ED",B3256="UN"),0,""))</x:f>
        <x:v>1</x:v>
      </x:c>
      <x:c r="M3256" s="11" t="n">
        <x:f>IF(AND(K3256=1,OR(B3256="ED",B3256="NED")),1,0)</x:f>
        <x:v>0</x:v>
      </x:c>
      <x:c r="N3256" s="11" t="n">
        <x:f>IF(K3256=1,1,0)</x:f>
        <x:v>0</x:v>
      </x:c>
      <x:c r="O3256" s="12" t="str">
        <x:v>Retain protein mean pLDDT &gt;=70</x:v>
      </x:c>
      <x:c r="P3256" s="11" t="n">
        <x:v>0</x:v>
      </x:c>
      <x:c r="Q3256" s="12" t="str">
        <x:v>AF-Q9Z277-F1-model_v6</x:v>
      </x:c>
      <x:c r="R3256" s="12" t="str">
        <x:v>ok</x:v>
      </x:c>
      <x:c r="S3256" s="11" t="n">
        <x:v>2721</x:v>
      </x:c>
      <x:c r="T3256" s="11" t="n">
        <x:v>1479</x:v>
      </x:c>
    </x:row>
    <x:row r="3257" ht="23" customHeight="1">
      <x:c r="A3257" s="2" t="str">
        <x:v>Q9Z2B9</x:v>
      </x:c>
      <x:c r="B3257" s="2" t="str">
        <x:v>UN</x:v>
      </x:c>
      <x:c r="C3257" s="2" t="n">
        <x:v>1</x:v>
      </x:c>
      <x:c r="D3257" s="2" t="n">
        <x:v>1</x:v>
      </x:c>
      <x:c r="E3257" s="10" t="n">
        <x:v>70.72777490297543</x:v>
      </x:c>
      <x:c r="F3257" s="11" t="n">
        <x:v>773</x:v>
      </x:c>
      <x:c r="G3257" s="11" t="n">
        <x:v>0</x:v>
      </x:c>
      <x:c r="H3257" s="11" t="n">
        <x:v>0</x:v>
      </x:c>
      <x:c r="I3257" s="11" t="n">
        <x:v>0</x:v>
      </x:c>
      <x:c r="J3257" s="11" t="n">
        <x:v>0</x:v>
      </x:c>
      <x:c r="K3257" s="11" t="n">
        <x:v>1</x:v>
      </x:c>
      <x:c r="L3257" s="11" t="n">
        <x:f>IF(B3257="NED",1,IF(OR(B3257="ED",B3257="UN"),0,""))</x:f>
        <x:v>0</x:v>
      </x:c>
      <x:c r="M3257" s="11" t="n">
        <x:f>IF(AND(K3257=1,OR(B3257="ED",B3257="NED")),1,0)</x:f>
        <x:v>0</x:v>
      </x:c>
      <x:c r="N3257" s="11" t="n">
        <x:f>IF(K3257=1,1,0)</x:f>
        <x:v>1</x:v>
      </x:c>
      <x:c r="O3257" s="12"/>
      <x:c r="P3257" s="11" t="n">
        <x:v>0</x:v>
      </x:c>
      <x:c r="Q3257" s="12" t="str">
        <x:v>AF-Q9Z2B9-F1-model_v6</x:v>
      </x:c>
      <x:c r="R3257" s="12" t="str">
        <x:v>ok</x:v>
      </x:c>
      <x:c r="S3257" s="11" t="n">
        <x:v>2722</x:v>
      </x:c>
      <x:c r="T3257" s="11" t="n">
        <x:v>773</x:v>
      </x:c>
    </x:row>
    <x:row r="3258" ht="23" customHeight="1">
      <x:c r="A3258" s="2" t="str">
        <x:v>Q9Z2D0</x:v>
      </x:c>
      <x:c r="B3258" s="2" t="str">
        <x:v>ED</x:v>
      </x:c>
      <x:c r="C3258" s="2" t="n">
        <x:v>1</x:v>
      </x:c>
      <x:c r="D3258" s="2" t="n">
        <x:v>1</x:v>
      </x:c>
      <x:c r="E3258" s="10"/>
      <x:c r="F3258" s="11" t="n">
        <x:v>545</x:v>
      </x:c>
      <x:c r="G3258" s="11" t="n">
        <x:v>0</x:v>
      </x:c>
      <x:c r="H3258" s="11" t="n">
        <x:v>0</x:v>
      </x:c>
      <x:c r="I3258" s="11" t="n">
        <x:v>1</x:v>
      </x:c>
      <x:c r="J3258" s="11" t="n">
        <x:v>0</x:v>
      </x:c>
      <x:c r="K3258" s="11" t="n">
        <x:v>0</x:v>
      </x:c>
      <x:c r="L3258" s="11" t="n">
        <x:f>IF(B3258="NED",1,IF(OR(B3258="ED",B3258="UN"),0,""))</x:f>
        <x:v>0</x:v>
      </x:c>
      <x:c r="M3258" s="11" t="n">
        <x:f>IF(AND(K3258=1,OR(B3258="ED",B3258="NED")),1,0)</x:f>
        <x:v>0</x:v>
      </x:c>
      <x:c r="N3258" s="11" t="n">
        <x:f>IF(K3258=1,1,0)</x:f>
        <x:v>0</x:v>
      </x:c>
      <x:c r="O3258" s="12" t="str">
        <x:v>Exclude UniProt Membrane keyword</x:v>
      </x:c>
      <x:c r="P3258" s="11" t="n">
        <x:v>0</x:v>
      </x:c>
      <x:c r="Q3258" s="12" t="str">
        <x:v>AF-Q9Z2D0-F1-model_v6</x:v>
      </x:c>
      <x:c r="R3258" s="12" t="str">
        <x:v>ok</x:v>
      </x:c>
      <x:c r="S3258" s="11" t="n">
        <x:v>2723</x:v>
      </x:c>
      <x:c r="T3258" s="11" t="n">
        <x:v>545</x:v>
      </x:c>
    </x:row>
    <x:row r="3259" ht="23" customHeight="1">
      <x:c r="A3259" s="2" t="str">
        <x:v>Q9Z2D1</x:v>
      </x:c>
      <x:c r="B3259" s="2" t="str">
        <x:v>ED</x:v>
      </x:c>
      <x:c r="C3259" s="2" t="n">
        <x:v>1</x:v>
      </x:c>
      <x:c r="D3259" s="2" t="n">
        <x:v>1</x:v>
      </x:c>
      <x:c r="E3259" s="10"/>
      <x:c r="F3259" s="11" t="n">
        <x:v>643</x:v>
      </x:c>
      <x:c r="G3259" s="11" t="n">
        <x:v>0</x:v>
      </x:c>
      <x:c r="H3259" s="11" t="n">
        <x:v>0</x:v>
      </x:c>
      <x:c r="I3259" s="11" t="n">
        <x:v>1</x:v>
      </x:c>
      <x:c r="J3259" s="11" t="n">
        <x:v>0</x:v>
      </x:c>
      <x:c r="K3259" s="11" t="n">
        <x:v>0</x:v>
      </x:c>
      <x:c r="L3259" s="11" t="n">
        <x:f>IF(B3259="NED",1,IF(OR(B3259="ED",B3259="UN"),0,""))</x:f>
        <x:v>0</x:v>
      </x:c>
      <x:c r="M3259" s="11" t="n">
        <x:f>IF(AND(K3259=1,OR(B3259="ED",B3259="NED")),1,0)</x:f>
        <x:v>0</x:v>
      </x:c>
      <x:c r="N3259" s="11" t="n">
        <x:f>IF(K3259=1,1,0)</x:f>
        <x:v>0</x:v>
      </x:c>
      <x:c r="O3259" s="12" t="str">
        <x:v>Exclude UniProt Membrane keyword</x:v>
      </x:c>
      <x:c r="P3259" s="11" t="n">
        <x:v>0</x:v>
      </x:c>
      <x:c r="Q3259" s="12" t="str">
        <x:v>AF-Q9Z2D1-F1-model_v6</x:v>
      </x:c>
      <x:c r="R3259" s="12" t="str">
        <x:v>ok</x:v>
      </x:c>
      <x:c r="S3259" s="11" t="n">
        <x:v>2724</x:v>
      </x:c>
      <x:c r="T3259" s="11" t="n">
        <x:v>643</x:v>
      </x:c>
    </x:row>
    <x:row r="3260" ht="23" customHeight="1">
      <x:c r="A3260" s="2" t="str">
        <x:v>Q9Z2D8</x:v>
      </x:c>
      <x:c r="B3260" s="2" t="str">
        <x:v>UN</x:v>
      </x:c>
      <x:c r="C3260" s="2" t="n">
        <x:v>1</x:v>
      </x:c>
      <x:c r="D3260" s="2" t="n">
        <x:v>1</x:v>
      </x:c>
      <x:c r="E3260" s="10" t="n">
        <x:v>78.58870175438597</x:v>
      </x:c>
      <x:c r="F3260" s="11" t="n">
        <x:v>285</x:v>
      </x:c>
      <x:c r="G3260" s="11" t="n">
        <x:v>0</x:v>
      </x:c>
      <x:c r="H3260" s="11" t="n">
        <x:v>0</x:v>
      </x:c>
      <x:c r="I3260" s="11" t="n">
        <x:v>0</x:v>
      </x:c>
      <x:c r="J3260" s="11" t="n">
        <x:v>0</x:v>
      </x:c>
      <x:c r="K3260" s="11" t="n">
        <x:v>1</x:v>
      </x:c>
      <x:c r="L3260" s="11" t="n">
        <x:f>IF(B3260="NED",1,IF(OR(B3260="ED",B3260="UN"),0,""))</x:f>
        <x:v>0</x:v>
      </x:c>
      <x:c r="M3260" s="11" t="n">
        <x:f>IF(AND(K3260=1,OR(B3260="ED",B3260="NED")),1,0)</x:f>
        <x:v>0</x:v>
      </x:c>
      <x:c r="N3260" s="11" t="n">
        <x:f>IF(K3260=1,1,0)</x:f>
        <x:v>1</x:v>
      </x:c>
      <x:c r="O3260" s="12"/>
      <x:c r="P3260" s="11" t="n">
        <x:v>0</x:v>
      </x:c>
      <x:c r="Q3260" s="12" t="str">
        <x:v>AF-Q9Z2D8-F1-model_v6</x:v>
      </x:c>
      <x:c r="R3260" s="12" t="str">
        <x:v>ok</x:v>
      </x:c>
      <x:c r="S3260" s="11" t="n">
        <x:v>2725</x:v>
      </x:c>
      <x:c r="T3260" s="11" t="n">
        <x:v>285</x:v>
      </x:c>
    </x:row>
    <x:row r="3261" ht="23" customHeight="1">
      <x:c r="A3261" s="2" t="str">
        <x:v>Q9Z2G6</x:v>
      </x:c>
      <x:c r="B3261" s="2" t="str">
        <x:v>ED</x:v>
      </x:c>
      <x:c r="C3261" s="2" t="n">
        <x:v>1</x:v>
      </x:c>
      <x:c r="D3261" s="2" t="n">
        <x:v>1</x:v>
      </x:c>
      <x:c r="E3261" s="10"/>
      <x:c r="F3261" s="11" t="n">
        <x:v>790</x:v>
      </x:c>
      <x:c r="G3261" s="11" t="n">
        <x:v>0</x:v>
      </x:c>
      <x:c r="H3261" s="11" t="n">
        <x:v>0</x:v>
      </x:c>
      <x:c r="I3261" s="11" t="n">
        <x:v>1</x:v>
      </x:c>
      <x:c r="J3261" s="11" t="n">
        <x:v>0</x:v>
      </x:c>
      <x:c r="K3261" s="11" t="n">
        <x:v>0</x:v>
      </x:c>
      <x:c r="L3261" s="11" t="n">
        <x:f>IF(B3261="NED",1,IF(OR(B3261="ED",B3261="UN"),0,""))</x:f>
        <x:v>0</x:v>
      </x:c>
      <x:c r="M3261" s="11" t="n">
        <x:f>IF(AND(K3261=1,OR(B3261="ED",B3261="NED")),1,0)</x:f>
        <x:v>0</x:v>
      </x:c>
      <x:c r="N3261" s="11" t="n">
        <x:f>IF(K3261=1,1,0)</x:f>
        <x:v>0</x:v>
      </x:c>
      <x:c r="O3261" s="12" t="str">
        <x:v>Exclude UniProt Membrane keyword</x:v>
      </x:c>
      <x:c r="P3261" s="11" t="n">
        <x:v>0</x:v>
      </x:c>
      <x:c r="Q3261" s="12" t="str">
        <x:v>AF-Q9Z2G6-F1-model_v6</x:v>
      </x:c>
      <x:c r="R3261" s="12" t="str">
        <x:v>ok</x:v>
      </x:c>
      <x:c r="S3261" s="11" t="n">
        <x:v>2726</x:v>
      </x:c>
      <x:c r="T3261" s="11" t="n">
        <x:v>790</x:v>
      </x:c>
    </x:row>
    <x:row r="3262" ht="23" customHeight="1">
      <x:c r="A3262" s="2" t="str">
        <x:v>Q9Z2H5-2</x:v>
      </x:c>
      <x:c r="B3262" s="2" t="str">
        <x:v>ED</x:v>
      </x:c>
      <x:c r="C3262" s="2"/>
      <x:c r="D3262" s="2"/>
      <x:c r="E3262" s="10"/>
      <x:c r="F3262" s="11"/>
      <x:c r="G3262" s="11" t="n">
        <x:v>0</x:v>
      </x:c>
      <x:c r="H3262" s="11" t="n">
        <x:v>0</x:v>
      </x:c>
      <x:c r="I3262" s="11"/>
      <x:c r="J3262" s="11"/>
      <x:c r="K3262" s="11" t="n">
        <x:v>0</x:v>
      </x:c>
      <x:c r="L3262" s="11" t="n">
        <x:f>IF(B3262="NED",1,IF(OR(B3262="ED",B3262="UN"),0,""))</x:f>
        <x:v>0</x:v>
      </x:c>
      <x:c r="M3262" s="11" t="n">
        <x:f>IF(AND(K3262=1,OR(B3262="ED",B3262="NED")),1,0)</x:f>
        <x:v>0</x:v>
      </x:c>
      <x:c r="N3262" s="11" t="n">
        <x:f>IF(K3262=1,1,0)</x:f>
        <x:v>0</x:v>
      </x:c>
      <x:c r="O3262" s="12" t="str">
        <x:v>Require exact native accession match</x:v>
      </x:c>
      <x:c r="P3262" s="11" t="n">
        <x:v>0</x:v>
      </x:c>
      <x:c r="Q3262" s="12"/>
      <x:c r="R3262" s="12"/>
      <x:c r="S3262" s="11" t="n">
        <x:v>2727</x:v>
      </x:c>
      <x:c r="T3262" s="11"/>
    </x:row>
    <x:row r="3263" ht="23" customHeight="1">
      <x:c r="A3263" s="2" t="str">
        <x:v>Q9Z2I0</x:v>
      </x:c>
      <x:c r="B3263" s="2" t="str">
        <x:v>ED</x:v>
      </x:c>
      <x:c r="C3263" s="2" t="n">
        <x:v>1</x:v>
      </x:c>
      <x:c r="D3263" s="2" t="n">
        <x:v>1</x:v>
      </x:c>
      <x:c r="E3263" s="10"/>
      <x:c r="F3263" s="11" t="n">
        <x:v>738</x:v>
      </x:c>
      <x:c r="G3263" s="11" t="n">
        <x:v>0</x:v>
      </x:c>
      <x:c r="H3263" s="11" t="n">
        <x:v>0</x:v>
      </x:c>
      <x:c r="I3263" s="11" t="n">
        <x:v>1</x:v>
      </x:c>
      <x:c r="J3263" s="11" t="n">
        <x:v>0</x:v>
      </x:c>
      <x:c r="K3263" s="11" t="n">
        <x:v>0</x:v>
      </x:c>
      <x:c r="L3263" s="11" t="n">
        <x:f>IF(B3263="NED",1,IF(OR(B3263="ED",B3263="UN"),0,""))</x:f>
        <x:v>0</x:v>
      </x:c>
      <x:c r="M3263" s="11" t="n">
        <x:f>IF(AND(K3263=1,OR(B3263="ED",B3263="NED")),1,0)</x:f>
        <x:v>0</x:v>
      </x:c>
      <x:c r="N3263" s="11" t="n">
        <x:f>IF(K3263=1,1,0)</x:f>
        <x:v>0</x:v>
      </x:c>
      <x:c r="O3263" s="12" t="str">
        <x:v>Exclude UniProt Membrane keyword</x:v>
      </x:c>
      <x:c r="P3263" s="11" t="n">
        <x:v>0</x:v>
      </x:c>
      <x:c r="Q3263" s="12" t="str">
        <x:v>AF-Q9Z2I0-F1-model_v6</x:v>
      </x:c>
      <x:c r="R3263" s="12" t="str">
        <x:v>ok</x:v>
      </x:c>
      <x:c r="S3263" s="11" t="n">
        <x:v>2728</x:v>
      </x:c>
      <x:c r="T3263" s="11" t="n">
        <x:v>738</x:v>
      </x:c>
    </x:row>
    <x:row r="3264" ht="23" customHeight="1">
      <x:c r="A3264" s="2" t="str">
        <x:v>Q9Z2I8-2</x:v>
      </x:c>
      <x:c r="B3264" s="2" t="str">
        <x:v>UN</x:v>
      </x:c>
      <x:c r="C3264" s="2"/>
      <x:c r="D3264" s="2"/>
      <x:c r="E3264" s="10"/>
      <x:c r="F3264" s="11"/>
      <x:c r="G3264" s="11" t="n">
        <x:v>0</x:v>
      </x:c>
      <x:c r="H3264" s="11" t="n">
        <x:v>0</x:v>
      </x:c>
      <x:c r="I3264" s="11"/>
      <x:c r="J3264" s="11"/>
      <x:c r="K3264" s="11" t="n">
        <x:v>0</x:v>
      </x:c>
      <x:c r="L3264" s="11" t="n">
        <x:f>IF(B3264="NED",1,IF(OR(B3264="ED",B3264="UN"),0,""))</x:f>
        <x:v>0</x:v>
      </x:c>
      <x:c r="M3264" s="11" t="n">
        <x:f>IF(AND(K3264=1,OR(B3264="ED",B3264="NED")),1,0)</x:f>
        <x:v>0</x:v>
      </x:c>
      <x:c r="N3264" s="11" t="n">
        <x:f>IF(K3264=1,1,0)</x:f>
        <x:v>0</x:v>
      </x:c>
      <x:c r="O3264" s="12" t="str">
        <x:v>Require exact native accession match</x:v>
      </x:c>
      <x:c r="P3264" s="11" t="n">
        <x:v>0</x:v>
      </x:c>
      <x:c r="Q3264" s="12"/>
      <x:c r="R3264" s="12"/>
      <x:c r="S3264" s="11" t="n">
        <x:v>2729</x:v>
      </x:c>
      <x:c r="T3264" s="11"/>
    </x:row>
    <x:row r="3265" ht="23" customHeight="1">
      <x:c r="A3265" s="2" t="str">
        <x:v>Q9Z2I9</x:v>
      </x:c>
      <x:c r="B3265" s="2" t="str">
        <x:v>NED</x:v>
      </x:c>
      <x:c r="C3265" s="2" t="n">
        <x:v>1</x:v>
      </x:c>
      <x:c r="D3265" s="2" t="n">
        <x:v>1</x:v>
      </x:c>
      <x:c r="E3265" s="10" t="n">
        <x:v>87.14639308855291</x:v>
      </x:c>
      <x:c r="F3265" s="11" t="n">
        <x:v>463</x:v>
      </x:c>
      <x:c r="G3265" s="11" t="n">
        <x:v>0</x:v>
      </x:c>
      <x:c r="H3265" s="11" t="n">
        <x:v>0</x:v>
      </x:c>
      <x:c r="I3265" s="11" t="n">
        <x:v>0</x:v>
      </x:c>
      <x:c r="J3265" s="11" t="n">
        <x:v>0</x:v>
      </x:c>
      <x:c r="K3265" s="11" t="n">
        <x:v>1</x:v>
      </x:c>
      <x:c r="L3265" s="11" t="n">
        <x:f>IF(B3265="NED",1,IF(OR(B3265="ED",B3265="UN"),0,""))</x:f>
        <x:v>1</x:v>
      </x:c>
      <x:c r="M3265" s="11" t="n">
        <x:f>IF(AND(K3265=1,OR(B3265="ED",B3265="NED")),1,0)</x:f>
        <x:v>1</x:v>
      </x:c>
      <x:c r="N3265" s="11" t="n">
        <x:f>IF(K3265=1,1,0)</x:f>
        <x:v>1</x:v>
      </x:c>
      <x:c r="O3265" s="12"/>
      <x:c r="P3265" s="11" t="n">
        <x:v>0</x:v>
      </x:c>
      <x:c r="Q3265" s="12" t="str">
        <x:v>AF-Q9Z2I9-F1-model_v6</x:v>
      </x:c>
      <x:c r="R3265" s="12" t="str">
        <x:v>ok</x:v>
      </x:c>
      <x:c r="S3265" s="11" t="n">
        <x:v>2730</x:v>
      </x:c>
      <x:c r="T3265" s="11" t="n">
        <x:v>463</x:v>
      </x:c>
    </x:row>
    <x:row r="3266" ht="23" customHeight="1">
      <x:c r="A3266" s="2" t="str">
        <x:v>Q9Z2L7-2</x:v>
      </x:c>
      <x:c r="B3266" s="2" t="str">
        <x:v>UN</x:v>
      </x:c>
      <x:c r="C3266" s="2"/>
      <x:c r="D3266" s="2"/>
      <x:c r="E3266" s="10"/>
      <x:c r="F3266" s="11"/>
      <x:c r="G3266" s="11" t="n">
        <x:v>0</x:v>
      </x:c>
      <x:c r="H3266" s="11" t="n">
        <x:v>0</x:v>
      </x:c>
      <x:c r="I3266" s="11"/>
      <x:c r="J3266" s="11"/>
      <x:c r="K3266" s="11" t="n">
        <x:v>0</x:v>
      </x:c>
      <x:c r="L3266" s="11" t="n">
        <x:f>IF(B3266="NED",1,IF(OR(B3266="ED",B3266="UN"),0,""))</x:f>
        <x:v>0</x:v>
      </x:c>
      <x:c r="M3266" s="11" t="n">
        <x:f>IF(AND(K3266=1,OR(B3266="ED",B3266="NED")),1,0)</x:f>
        <x:v>0</x:v>
      </x:c>
      <x:c r="N3266" s="11" t="n">
        <x:f>IF(K3266=1,1,0)</x:f>
        <x:v>0</x:v>
      </x:c>
      <x:c r="O3266" s="12" t="str">
        <x:v>Require exact native accession match</x:v>
      </x:c>
      <x:c r="P3266" s="11" t="n">
        <x:v>0</x:v>
      </x:c>
      <x:c r="Q3266" s="12"/>
      <x:c r="R3266" s="12"/>
      <x:c r="S3266" s="11" t="n">
        <x:v>2731</x:v>
      </x:c>
      <x:c r="T3266" s="11"/>
    </x:row>
    <x:row r="3267" ht="23" customHeight="1">
      <x:c r="A3267" s="2" t="str">
        <x:v>Q9Z2M6</x:v>
      </x:c>
      <x:c r="B3267" s="2" t="str">
        <x:v>UN</x:v>
      </x:c>
      <x:c r="C3267" s="2" t="n">
        <x:v>1</x:v>
      </x:c>
      <x:c r="D3267" s="2" t="n">
        <x:v>1</x:v>
      </x:c>
      <x:c r="E3267" s="10"/>
      <x:c r="F3267" s="11" t="n">
        <x:v>117</x:v>
      </x:c>
      <x:c r="G3267" s="11" t="n">
        <x:v>0</x:v>
      </x:c>
      <x:c r="H3267" s="11" t="n">
        <x:v>0</x:v>
      </x:c>
      <x:c r="I3267" s="11" t="n">
        <x:v>1</x:v>
      </x:c>
      <x:c r="J3267" s="11" t="n">
        <x:v>0</x:v>
      </x:c>
      <x:c r="K3267" s="11" t="n">
        <x:v>0</x:v>
      </x:c>
      <x:c r="L3267" s="11" t="n">
        <x:f>IF(B3267="NED",1,IF(OR(B3267="ED",B3267="UN"),0,""))</x:f>
        <x:v>0</x:v>
      </x:c>
      <x:c r="M3267" s="11" t="n">
        <x:f>IF(AND(K3267=1,OR(B3267="ED",B3267="NED")),1,0)</x:f>
        <x:v>0</x:v>
      </x:c>
      <x:c r="N3267" s="11" t="n">
        <x:f>IF(K3267=1,1,0)</x:f>
        <x:v>0</x:v>
      </x:c>
      <x:c r="O3267" s="12" t="str">
        <x:v>Exclude UniProt Membrane keyword</x:v>
      </x:c>
      <x:c r="P3267" s="11" t="n">
        <x:v>0</x:v>
      </x:c>
      <x:c r="Q3267" s="12" t="str">
        <x:v>AF-Q9Z2M6-F1-model_v6</x:v>
      </x:c>
      <x:c r="R3267" s="12" t="str">
        <x:v>ok</x:v>
      </x:c>
      <x:c r="S3267" s="11" t="n">
        <x:v>2732</x:v>
      </x:c>
      <x:c r="T3267" s="11" t="n">
        <x:v>117</x:v>
      </x:c>
    </x:row>
    <x:row r="3268" ht="23" customHeight="1">
      <x:c r="A3268" s="2" t="str">
        <x:v>Q9Z2M7</x:v>
      </x:c>
      <x:c r="B3268" s="2" t="str">
        <x:v>ED</x:v>
      </x:c>
      <x:c r="C3268" s="2" t="n">
        <x:v>0</x:v>
      </x:c>
      <x:c r="D3268" s="2" t="n">
        <x:v>0</x:v>
      </x:c>
      <x:c r="E3268" s="10" t="n">
        <x:v>96.3438429752066</x:v>
      </x:c>
      <x:c r="F3268" s="11" t="n">
        <x:v>242</x:v>
      </x:c>
      <x:c r="G3268" s="11" t="n">
        <x:v>0</x:v>
      </x:c>
      <x:c r="H3268" s="11" t="n">
        <x:v>0</x:v>
      </x:c>
      <x:c r="I3268" s="11" t="n">
        <x:v>0</x:v>
      </x:c>
      <x:c r="J3268" s="11" t="n">
        <x:v>0</x:v>
      </x:c>
      <x:c r="K3268" s="11" t="n">
        <x:v>1</x:v>
      </x:c>
      <x:c r="L3268" s="11" t="n">
        <x:f>IF(B3268="NED",1,IF(OR(B3268="ED",B3268="UN"),0,""))</x:f>
        <x:v>0</x:v>
      </x:c>
      <x:c r="M3268" s="11" t="n">
        <x:f>IF(AND(K3268=1,OR(B3268="ED",B3268="NED")),1,0)</x:f>
        <x:v>1</x:v>
      </x:c>
      <x:c r="N3268" s="11" t="n">
        <x:f>IF(K3268=1,1,0)</x:f>
        <x:v>1</x:v>
      </x:c>
      <x:c r="O3268" s="12"/>
      <x:c r="P3268" s="11" t="n">
        <x:v>0</x:v>
      </x:c>
      <x:c r="Q3268" s="12" t="str">
        <x:v>AF-Q9Z2M7-F1-model_v6</x:v>
      </x:c>
      <x:c r="R3268" s="12" t="str">
        <x:v>ok</x:v>
      </x:c>
      <x:c r="S3268" s="11" t="n">
        <x:v>2733</x:v>
      </x:c>
      <x:c r="T3268" s="11" t="n">
        <x:v>242</x:v>
      </x:c>
    </x:row>
    <x:row r="3269" ht="23" customHeight="1">
      <x:c r="A3269" s="2" t="str">
        <x:v>Q9Z2N8</x:v>
      </x:c>
      <x:c r="B3269" s="2" t="str">
        <x:v>NED</x:v>
      </x:c>
      <x:c r="C3269" s="2" t="n">
        <x:v>1</x:v>
      </x:c>
      <x:c r="D3269" s="2" t="n">
        <x:v>1</x:v>
      </x:c>
      <x:c r="E3269" s="10" t="n">
        <x:v>91.37643356643356</x:v>
      </x:c>
      <x:c r="F3269" s="11" t="n">
        <x:v>429</x:v>
      </x:c>
      <x:c r="G3269" s="11" t="n">
        <x:v>0</x:v>
      </x:c>
      <x:c r="H3269" s="11" t="n">
        <x:v>0</x:v>
      </x:c>
      <x:c r="I3269" s="11" t="n">
        <x:v>0</x:v>
      </x:c>
      <x:c r="J3269" s="11" t="n">
        <x:v>0</x:v>
      </x:c>
      <x:c r="K3269" s="11" t="n">
        <x:v>1</x:v>
      </x:c>
      <x:c r="L3269" s="11" t="n">
        <x:f>IF(B3269="NED",1,IF(OR(B3269="ED",B3269="UN"),0,""))</x:f>
        <x:v>1</x:v>
      </x:c>
      <x:c r="M3269" s="11" t="n">
        <x:f>IF(AND(K3269=1,OR(B3269="ED",B3269="NED")),1,0)</x:f>
        <x:v>1</x:v>
      </x:c>
      <x:c r="N3269" s="11" t="n">
        <x:f>IF(K3269=1,1,0)</x:f>
        <x:v>1</x:v>
      </x:c>
      <x:c r="O3269" s="12"/>
      <x:c r="P3269" s="11" t="n">
        <x:v>0</x:v>
      </x:c>
      <x:c r="Q3269" s="12" t="str">
        <x:v>AF-Q9Z2N8-F1-model_v6</x:v>
      </x:c>
      <x:c r="R3269" s="12" t="str">
        <x:v>ok</x:v>
      </x:c>
      <x:c r="S3269" s="11" t="n">
        <x:v>2734</x:v>
      </x:c>
      <x:c r="T3269" s="11" t="n">
        <x:v>429</x:v>
      </x:c>
    </x:row>
    <x:row r="3270" ht="23" customHeight="1">
      <x:c r="A3270" s="2" t="str">
        <x:v>Q9Z2Q6</x:v>
      </x:c>
      <x:c r="B3270" s="2" t="str">
        <x:v>ED</x:v>
      </x:c>
      <x:c r="C3270" s="2" t="n">
        <x:v>1</x:v>
      </x:c>
      <x:c r="D3270" s="2" t="n">
        <x:v>1</x:v>
      </x:c>
      <x:c r="E3270" s="10" t="n">
        <x:v>77.51799457994579</x:v>
      </x:c>
      <x:c r="F3270" s="11" t="n">
        <x:v>369</x:v>
      </x:c>
      <x:c r="G3270" s="11" t="n">
        <x:v>0</x:v>
      </x:c>
      <x:c r="H3270" s="11" t="n">
        <x:v>0</x:v>
      </x:c>
      <x:c r="I3270" s="11" t="n">
        <x:v>0</x:v>
      </x:c>
      <x:c r="J3270" s="11" t="n">
        <x:v>0</x:v>
      </x:c>
      <x:c r="K3270" s="11" t="n">
        <x:v>1</x:v>
      </x:c>
      <x:c r="L3270" s="11" t="n">
        <x:f>IF(B3270="NED",1,IF(OR(B3270="ED",B3270="UN"),0,""))</x:f>
        <x:v>0</x:v>
      </x:c>
      <x:c r="M3270" s="11" t="n">
        <x:f>IF(AND(K3270=1,OR(B3270="ED",B3270="NED")),1,0)</x:f>
        <x:v>1</x:v>
      </x:c>
      <x:c r="N3270" s="11" t="n">
        <x:f>IF(K3270=1,1,0)</x:f>
        <x:v>1</x:v>
      </x:c>
      <x:c r="O3270" s="12"/>
      <x:c r="P3270" s="11" t="n">
        <x:v>0</x:v>
      </x:c>
      <x:c r="Q3270" s="12" t="str">
        <x:v>AF-Q9Z2Q6-F1-model_v6</x:v>
      </x:c>
      <x:c r="R3270" s="12" t="str">
        <x:v>ok</x:v>
      </x:c>
      <x:c r="S3270" s="11" t="n">
        <x:v>2735</x:v>
      </x:c>
      <x:c r="T3270" s="11" t="n">
        <x:v>369</x:v>
      </x:c>
    </x:row>
    <x:row r="3271" ht="23" customHeight="1">
      <x:c r="A3271" s="2" t="str">
        <x:v>Q9Z2U0</x:v>
      </x:c>
      <x:c r="B3271" s="2" t="str">
        <x:v>ED</x:v>
      </x:c>
      <x:c r="C3271" s="2" t="n">
        <x:v>1</x:v>
      </x:c>
      <x:c r="D3271" s="2" t="n">
        <x:v>1</x:v>
      </x:c>
      <x:c r="E3271" s="10" t="n">
        <x:v>94.0169758064516</x:v>
      </x:c>
      <x:c r="F3271" s="11" t="n">
        <x:v>248</x:v>
      </x:c>
      <x:c r="G3271" s="11" t="n">
        <x:v>0</x:v>
      </x:c>
      <x:c r="H3271" s="11" t="n">
        <x:v>0</x:v>
      </x:c>
      <x:c r="I3271" s="11" t="n">
        <x:v>0</x:v>
      </x:c>
      <x:c r="J3271" s="11" t="n">
        <x:v>0</x:v>
      </x:c>
      <x:c r="K3271" s="11" t="n">
        <x:v>1</x:v>
      </x:c>
      <x:c r="L3271" s="11" t="n">
        <x:f>IF(B3271="NED",1,IF(OR(B3271="ED",B3271="UN"),0,""))</x:f>
        <x:v>0</x:v>
      </x:c>
      <x:c r="M3271" s="11" t="n">
        <x:f>IF(AND(K3271=1,OR(B3271="ED",B3271="NED")),1,0)</x:f>
        <x:v>1</x:v>
      </x:c>
      <x:c r="N3271" s="11" t="n">
        <x:f>IF(K3271=1,1,0)</x:f>
        <x:v>1</x:v>
      </x:c>
      <x:c r="O3271" s="12"/>
      <x:c r="P3271" s="11" t="n">
        <x:v>0</x:v>
      </x:c>
      <x:c r="Q3271" s="12" t="str">
        <x:v>AF-Q9Z2U0-F1-model_v6</x:v>
      </x:c>
      <x:c r="R3271" s="12" t="str">
        <x:v>ok</x:v>
      </x:c>
      <x:c r="S3271" s="11" t="n">
        <x:v>2736</x:v>
      </x:c>
      <x:c r="T3271" s="11" t="n">
        <x:v>248</x:v>
      </x:c>
    </x:row>
    <x:row r="3272" ht="23" customHeight="1">
      <x:c r="A3272" s="2" t="str">
        <x:v>Q9Z2U1</x:v>
      </x:c>
      <x:c r="B3272" s="2" t="str">
        <x:v>UN</x:v>
      </x:c>
      <x:c r="C3272" s="2" t="n">
        <x:v>1</x:v>
      </x:c>
      <x:c r="D3272" s="2" t="n">
        <x:v>1</x:v>
      </x:c>
      <x:c r="E3272" s="10" t="n">
        <x:v>94.0171369294606</x:v>
      </x:c>
      <x:c r="F3272" s="11" t="n">
        <x:v>241</x:v>
      </x:c>
      <x:c r="G3272" s="11" t="n">
        <x:v>0</x:v>
      </x:c>
      <x:c r="H3272" s="11" t="n">
        <x:v>0</x:v>
      </x:c>
      <x:c r="I3272" s="11" t="n">
        <x:v>0</x:v>
      </x:c>
      <x:c r="J3272" s="11" t="n">
        <x:v>0</x:v>
      </x:c>
      <x:c r="K3272" s="11" t="n">
        <x:v>1</x:v>
      </x:c>
      <x:c r="L3272" s="11" t="n">
        <x:f>IF(B3272="NED",1,IF(OR(B3272="ED",B3272="UN"),0,""))</x:f>
        <x:v>0</x:v>
      </x:c>
      <x:c r="M3272" s="11" t="n">
        <x:f>IF(AND(K3272=1,OR(B3272="ED",B3272="NED")),1,0)</x:f>
        <x:v>0</x:v>
      </x:c>
      <x:c r="N3272" s="11" t="n">
        <x:f>IF(K3272=1,1,0)</x:f>
        <x:v>1</x:v>
      </x:c>
      <x:c r="O3272" s="12"/>
      <x:c r="P3272" s="11" t="n">
        <x:v>0</x:v>
      </x:c>
      <x:c r="Q3272" s="12" t="str">
        <x:v>AF-Q9Z2U1-F1-model_v6</x:v>
      </x:c>
      <x:c r="R3272" s="12" t="str">
        <x:v>ok</x:v>
      </x:c>
      <x:c r="S3272" s="11" t="n">
        <x:v>2737</x:v>
      </x:c>
      <x:c r="T3272" s="11" t="n">
        <x:v>241</x:v>
      </x:c>
    </x:row>
    <x:row r="3273" ht="23" customHeight="1">
      <x:c r="A3273" s="2" t="str">
        <x:v>Q9Z2W0</x:v>
      </x:c>
      <x:c r="B3273" s="2" t="str">
        <x:v>ED</x:v>
      </x:c>
      <x:c r="C3273" s="2" t="n">
        <x:v>1</x:v>
      </x:c>
      <x:c r="D3273" s="2" t="n">
        <x:v>1</x:v>
      </x:c>
      <x:c r="E3273" s="10" t="n">
        <x:v>96.70221987315011</x:v>
      </x:c>
      <x:c r="F3273" s="11" t="n">
        <x:v>473</x:v>
      </x:c>
      <x:c r="G3273" s="11" t="n">
        <x:v>0</x:v>
      </x:c>
      <x:c r="H3273" s="11" t="n">
        <x:v>0</x:v>
      </x:c>
      <x:c r="I3273" s="11" t="n">
        <x:v>0</x:v>
      </x:c>
      <x:c r="J3273" s="11" t="n">
        <x:v>0</x:v>
      </x:c>
      <x:c r="K3273" s="11" t="n">
        <x:v>1</x:v>
      </x:c>
      <x:c r="L3273" s="11" t="n">
        <x:f>IF(B3273="NED",1,IF(OR(B3273="ED",B3273="UN"),0,""))</x:f>
        <x:v>0</x:v>
      </x:c>
      <x:c r="M3273" s="11" t="n">
        <x:f>IF(AND(K3273=1,OR(B3273="ED",B3273="NED")),1,0)</x:f>
        <x:v>1</x:v>
      </x:c>
      <x:c r="N3273" s="11" t="n">
        <x:f>IF(K3273=1,1,0)</x:f>
        <x:v>1</x:v>
      </x:c>
      <x:c r="O3273" s="12"/>
      <x:c r="P3273" s="11" t="n">
        <x:v>0</x:v>
      </x:c>
      <x:c r="Q3273" s="12" t="str">
        <x:v>AF-Q9Z2W0-F1-model_v6</x:v>
      </x:c>
      <x:c r="R3273" s="12" t="str">
        <x:v>ok</x:v>
      </x:c>
      <x:c r="S3273" s="11" t="n">
        <x:v>2738</x:v>
      </x:c>
      <x:c r="T3273" s="11" t="n">
        <x:v>473</x:v>
      </x:c>
    </x:row>
    <x:row r="3274" ht="23" customHeight="1">
      <x:c r="A3274" s="2" t="str">
        <x:v>Q9Z2X1</x:v>
      </x:c>
      <x:c r="B3274" s="2" t="str">
        <x:v>UN</x:v>
      </x:c>
      <x:c r="C3274" s="2" t="n">
        <x:v>1</x:v>
      </x:c>
      <x:c r="D3274" s="2" t="n">
        <x:v>1</x:v>
      </x:c>
      <x:c r="E3274" s="10" t="n">
        <x:v>65.10293975903615</x:v>
      </x:c>
      <x:c r="F3274" s="11" t="n">
        <x:v>415</x:v>
      </x:c>
      <x:c r="G3274" s="11" t="n">
        <x:v>0</x:v>
      </x:c>
      <x:c r="H3274" s="11" t="n">
        <x:v>0</x:v>
      </x:c>
      <x:c r="I3274" s="11" t="n">
        <x:v>0</x:v>
      </x:c>
      <x:c r="J3274" s="11" t="n">
        <x:v>0</x:v>
      </x:c>
      <x:c r="K3274" s="11" t="n">
        <x:v>0</x:v>
      </x:c>
      <x:c r="L3274" s="11" t="n">
        <x:f>IF(B3274="NED",1,IF(OR(B3274="ED",B3274="UN"),0,""))</x:f>
        <x:v>0</x:v>
      </x:c>
      <x:c r="M3274" s="11" t="n">
        <x:f>IF(AND(K3274=1,OR(B3274="ED",B3274="NED")),1,0)</x:f>
        <x:v>0</x:v>
      </x:c>
      <x:c r="N3274" s="11" t="n">
        <x:f>IF(K3274=1,1,0)</x:f>
        <x:v>0</x:v>
      </x:c>
      <x:c r="O3274" s="12" t="str">
        <x:v>Retain protein mean pLDDT &gt;=70</x:v>
      </x:c>
      <x:c r="P3274" s="11" t="n">
        <x:v>0</x:v>
      </x:c>
      <x:c r="Q3274" s="12" t="str">
        <x:v>AF-Q9Z2X1-F1-model_v6</x:v>
      </x:c>
      <x:c r="R3274" s="12" t="str">
        <x:v>ok</x:v>
      </x:c>
      <x:c r="S3274" s="11" t="n">
        <x:v>2739</x:v>
      </x:c>
      <x:c r="T3274" s="11" t="n">
        <x:v>415</x:v>
      </x:c>
    </x:row>
    <x:row r="3275" ht="23" customHeight="1">
      <x:c r="A3275" s="2" t="str">
        <x:v>Q9Z2X8</x:v>
      </x:c>
      <x:c r="B3275" s="2" t="str">
        <x:v>UN</x:v>
      </x:c>
      <x:c r="C3275" s="2" t="n">
        <x:v>1</x:v>
      </x:c>
      <x:c r="D3275" s="2" t="n">
        <x:v>1</x:v>
      </x:c>
      <x:c r="E3275" s="10" t="n">
        <x:v>89.96802884615386</x:v>
      </x:c>
      <x:c r="F3275" s="11" t="n">
        <x:v>624</x:v>
      </x:c>
      <x:c r="G3275" s="11" t="n">
        <x:v>0</x:v>
      </x:c>
      <x:c r="H3275" s="11" t="n">
        <x:v>0</x:v>
      </x:c>
      <x:c r="I3275" s="11" t="n">
        <x:v>0</x:v>
      </x:c>
      <x:c r="J3275" s="11" t="n">
        <x:v>0</x:v>
      </x:c>
      <x:c r="K3275" s="11" t="n">
        <x:v>1</x:v>
      </x:c>
      <x:c r="L3275" s="11" t="n">
        <x:f>IF(B3275="NED",1,IF(OR(B3275="ED",B3275="UN"),0,""))</x:f>
        <x:v>0</x:v>
      </x:c>
      <x:c r="M3275" s="11" t="n">
        <x:f>IF(AND(K3275=1,OR(B3275="ED",B3275="NED")),1,0)</x:f>
        <x:v>0</x:v>
      </x:c>
      <x:c r="N3275" s="11" t="n">
        <x:f>IF(K3275=1,1,0)</x:f>
        <x:v>1</x:v>
      </x:c>
      <x:c r="O3275" s="12"/>
      <x:c r="P3275" s="11" t="n">
        <x:v>0</x:v>
      </x:c>
      <x:c r="Q3275" s="12" t="str">
        <x:v>AF-Q9Z2X8-F1-model_v6</x:v>
      </x:c>
      <x:c r="R3275" s="12" t="str">
        <x:v>ok</x:v>
      </x:c>
      <x:c r="S3275" s="11" t="n">
        <x:v>2740</x:v>
      </x:c>
      <x:c r="T3275" s="11" t="n">
        <x:v>624</x:v>
      </x:c>
    </x:row>
    <x:row r="3276" ht="23" customHeight="1">
      <x:c r="A3276" s="2" t="str">
        <x:v>Q9Z2Y8</x:v>
      </x:c>
      <x:c r="B3276" s="2" t="str">
        <x:v>UN</x:v>
      </x:c>
      <x:c r="C3276" s="2" t="n">
        <x:v>1</x:v>
      </x:c>
      <x:c r="D3276" s="2" t="n">
        <x:v>1</x:v>
      </x:c>
      <x:c r="E3276" s="10" t="n">
        <x:v>89.30945255474452</x:v>
      </x:c>
      <x:c r="F3276" s="11" t="n">
        <x:v>274</x:v>
      </x:c>
      <x:c r="G3276" s="11" t="n">
        <x:v>0</x:v>
      </x:c>
      <x:c r="H3276" s="11" t="n">
        <x:v>0</x:v>
      </x:c>
      <x:c r="I3276" s="11" t="n">
        <x:v>0</x:v>
      </x:c>
      <x:c r="J3276" s="11" t="n">
        <x:v>0</x:v>
      </x:c>
      <x:c r="K3276" s="11" t="n">
        <x:v>1</x:v>
      </x:c>
      <x:c r="L3276" s="11" t="n">
        <x:f>IF(B3276="NED",1,IF(OR(B3276="ED",B3276="UN"),0,""))</x:f>
        <x:v>0</x:v>
      </x:c>
      <x:c r="M3276" s="11" t="n">
        <x:f>IF(AND(K3276=1,OR(B3276="ED",B3276="NED")),1,0)</x:f>
        <x:v>0</x:v>
      </x:c>
      <x:c r="N3276" s="11" t="n">
        <x:f>IF(K3276=1,1,0)</x:f>
        <x:v>1</x:v>
      </x:c>
      <x:c r="O3276" s="12"/>
      <x:c r="P3276" s="11" t="n">
        <x:v>0</x:v>
      </x:c>
      <x:c r="Q3276" s="12" t="str">
        <x:v>AF-Q9Z2Y8-F1-model_v6</x:v>
      </x:c>
      <x:c r="R3276" s="12" t="str">
        <x:v>ok</x:v>
      </x:c>
      <x:c r="S3276" s="11" t="n">
        <x:v>2741</x:v>
      </x:c>
      <x:c r="T3276" s="11" t="n">
        <x:v>274</x:v>
      </x:c>
    </x:row>
    <x:row r="3277" ht="23" customHeight="1">
      <x:c r="A3277" s="2" t="str">
        <x:v>Q9Z315</x:v>
      </x:c>
      <x:c r="B3277" s="2" t="str">
        <x:v>ED</x:v>
      </x:c>
      <x:c r="C3277" s="2" t="n">
        <x:v>1</x:v>
      </x:c>
      <x:c r="D3277" s="2" t="n">
        <x:v>1</x:v>
      </x:c>
      <x:c r="E3277" s="10" t="n">
        <x:v>63.15369727047146</x:v>
      </x:c>
      <x:c r="F3277" s="11" t="n">
        <x:v>806</x:v>
      </x:c>
      <x:c r="G3277" s="11" t="n">
        <x:v>0</x:v>
      </x:c>
      <x:c r="H3277" s="11" t="n">
        <x:v>0</x:v>
      </x:c>
      <x:c r="I3277" s="11" t="n">
        <x:v>0</x:v>
      </x:c>
      <x:c r="J3277" s="11" t="n">
        <x:v>0</x:v>
      </x:c>
      <x:c r="K3277" s="11" t="n">
        <x:v>0</x:v>
      </x:c>
      <x:c r="L3277" s="11" t="n">
        <x:f>IF(B3277="NED",1,IF(OR(B3277="ED",B3277="UN"),0,""))</x:f>
        <x:v>0</x:v>
      </x:c>
      <x:c r="M3277" s="11" t="n">
        <x:f>IF(AND(K3277=1,OR(B3277="ED",B3277="NED")),1,0)</x:f>
        <x:v>0</x:v>
      </x:c>
      <x:c r="N3277" s="11" t="n">
        <x:f>IF(K3277=1,1,0)</x:f>
        <x:v>0</x:v>
      </x:c>
      <x:c r="O3277" s="12" t="str">
        <x:v>Retain protein mean pLDDT &gt;=70</x:v>
      </x:c>
      <x:c r="P3277" s="11" t="n">
        <x:v>0</x:v>
      </x:c>
      <x:c r="Q3277" s="12" t="str">
        <x:v>AF-Q9Z315-F1-model_v6</x:v>
      </x:c>
      <x:c r="R3277" s="12" t="str">
        <x:v>ok</x:v>
      </x:c>
      <x:c r="S3277" s="11" t="n">
        <x:v>2742</x:v>
      </x:c>
      <x:c r="T3277" s="11" t="n">
        <x:v>806</x:v>
      </x:c>
    </x:row>
    <x:row r="3278" ht="23" customHeight="1">
      <x:c r="A3278" s="2" t="str">
        <x:v>S4R1E5</x:v>
      </x:c>
      <x:c r="B3278" s="2" t="str">
        <x:v>UN</x:v>
      </x:c>
      <x:c r="C3278" s="2"/>
      <x:c r="D3278" s="2"/>
      <x:c r="E3278" s="10"/>
      <x:c r="F3278" s="11"/>
      <x:c r="G3278" s="11" t="n">
        <x:v>0</x:v>
      </x:c>
      <x:c r="H3278" s="11" t="n">
        <x:v>0</x:v>
      </x:c>
      <x:c r="I3278" s="11" t="n">
        <x:v>0</x:v>
      </x:c>
      <x:c r="J3278" s="11" t="n">
        <x:v>0</x:v>
      </x:c>
      <x:c r="K3278" s="11" t="n">
        <x:v>0</x:v>
      </x:c>
      <x:c r="L3278" s="11" t="n">
        <x:f>IF(B3278="NED",1,IF(OR(B3278="ED",B3278="UN"),0,""))</x:f>
        <x:v>0</x:v>
      </x:c>
      <x:c r="M3278" s="11" t="n">
        <x:f>IF(AND(K3278=1,OR(B3278="ED",B3278="NED")),1,0)</x:f>
        <x:v>0</x:v>
      </x:c>
      <x:c r="N3278" s="11" t="n">
        <x:f>IF(K3278=1,1,0)</x:f>
        <x:v>0</x:v>
      </x:c>
      <x:c r="O3278" s="12" t="str">
        <x:v>Require exact native accession match</x:v>
      </x:c>
      <x:c r="P3278" s="11" t="n">
        <x:v>0</x:v>
      </x:c>
      <x:c r="Q3278" s="12"/>
      <x:c r="R3278" s="12"/>
      <x:c r="S3278" s="11" t="n">
        <x:v>3278</x:v>
      </x:c>
      <x:c r="T3278" s="11" t="n">
        <x:v>157</x:v>
      </x:c>
    </x:row>
    <x:row r="3279" ht="23" customHeight="1">
      <x:c r="A3279" s="2" t="str">
        <x:v>S4R1P5</x:v>
      </x:c>
      <x:c r="B3279" s="2" t="str">
        <x:v>ED</x:v>
      </x:c>
      <x:c r="C3279" s="2"/>
      <x:c r="D3279" s="2"/>
      <x:c r="E3279" s="10"/>
      <x:c r="F3279" s="11"/>
      <x:c r="G3279" s="11" t="n">
        <x:v>0</x:v>
      </x:c>
      <x:c r="H3279" s="11" t="n">
        <x:v>0</x:v>
      </x:c>
      <x:c r="I3279" s="11" t="n">
        <x:v>1</x:v>
      </x:c>
      <x:c r="J3279" s="11" t="n">
        <x:v>0</x:v>
      </x:c>
      <x:c r="K3279" s="11" t="n">
        <x:v>0</x:v>
      </x:c>
      <x:c r="L3279" s="11" t="n">
        <x:f>IF(B3279="NED",1,IF(OR(B3279="ED",B3279="UN"),0,""))</x:f>
        <x:v>0</x:v>
      </x:c>
      <x:c r="M3279" s="11" t="n">
        <x:f>IF(AND(K3279=1,OR(B3279="ED",B3279="NED")),1,0)</x:f>
        <x:v>0</x:v>
      </x:c>
      <x:c r="N3279" s="11" t="n">
        <x:f>IF(K3279=1,1,0)</x:f>
        <x:v>0</x:v>
      </x:c>
      <x:c r="O3279" s="12" t="str">
        <x:v>Require exact native accession match</x:v>
      </x:c>
      <x:c r="P3279" s="11" t="n">
        <x:v>0</x:v>
      </x:c>
      <x:c r="Q3279" s="12"/>
      <x:c r="R3279" s="12"/>
      <x:c r="S3279" s="11" t="n">
        <x:v>3279</x:v>
      </x:c>
      <x:c r="T3279" s="11" t="n">
        <x:v>7717</x:v>
      </x:c>
    </x:row>
    <x:row r="3280" ht="23" customHeight="1">
      <x:c r="A3280" s="2" t="str">
        <x:v>S4R1S7</x:v>
      </x:c>
      <x:c r="B3280" s="2" t="str">
        <x:v>UN</x:v>
      </x:c>
      <x:c r="C3280" s="2"/>
      <x:c r="D3280" s="2"/>
      <x:c r="E3280" s="10"/>
      <x:c r="F3280" s="11"/>
      <x:c r="G3280" s="11" t="n">
        <x:v>0</x:v>
      </x:c>
      <x:c r="H3280" s="11" t="n">
        <x:v>0</x:v>
      </x:c>
      <x:c r="I3280" s="11" t="n">
        <x:v>0</x:v>
      </x:c>
      <x:c r="J3280" s="11" t="n">
        <x:v>0</x:v>
      </x:c>
      <x:c r="K3280" s="11" t="n">
        <x:v>0</x:v>
      </x:c>
      <x:c r="L3280" s="11" t="n">
        <x:f>IF(B3280="NED",1,IF(OR(B3280="ED",B3280="UN"),0,""))</x:f>
        <x:v>0</x:v>
      </x:c>
      <x:c r="M3280" s="11" t="n">
        <x:f>IF(AND(K3280=1,OR(B3280="ED",B3280="NED")),1,0)</x:f>
        <x:v>0</x:v>
      </x:c>
      <x:c r="N3280" s="11" t="n">
        <x:f>IF(K3280=1,1,0)</x:f>
        <x:v>0</x:v>
      </x:c>
      <x:c r="O3280" s="12" t="str">
        <x:v>Require exact native accession match</x:v>
      </x:c>
      <x:c r="P3280" s="11" t="n">
        <x:v>0</x:v>
      </x:c>
      <x:c r="Q3280" s="12"/>
      <x:c r="R3280" s="12"/>
      <x:c r="S3280" s="11" t="n">
        <x:v>3280</x:v>
      </x:c>
      <x:c r="T3280" s="11" t="n">
        <x:v>472</x:v>
      </x:c>
    </x:row>
    <x:row r="3281" ht="23" customHeight="1">
      <x:c r="A3281" s="2" t="str">
        <x:v>S4R1W1</x:v>
      </x:c>
      <x:c r="B3281" s="2" t="str">
        <x:v>ED</x:v>
      </x:c>
      <x:c r="C3281" s="2" t="n">
        <x:v>1</x:v>
      </x:c>
      <x:c r="D3281" s="2" t="n">
        <x:v>1</x:v>
      </x:c>
      <x:c r="E3281" s="10" t="n">
        <x:v>98.26822822822822</x:v>
      </x:c>
      <x:c r="F3281" s="11" t="n">
        <x:v>333</x:v>
      </x:c>
      <x:c r="G3281" s="11" t="n">
        <x:v>0</x:v>
      </x:c>
      <x:c r="H3281" s="11" t="n">
        <x:v>0</x:v>
      </x:c>
      <x:c r="I3281" s="11" t="n">
        <x:v>0</x:v>
      </x:c>
      <x:c r="J3281" s="11" t="n">
        <x:v>0</x:v>
      </x:c>
      <x:c r="K3281" s="11" t="n">
        <x:v>1</x:v>
      </x:c>
      <x:c r="L3281" s="11" t="n">
        <x:f>IF(B3281="NED",1,IF(OR(B3281="ED",B3281="UN"),0,""))</x:f>
        <x:v>0</x:v>
      </x:c>
      <x:c r="M3281" s="11" t="n">
        <x:f>IF(AND(K3281=1,OR(B3281="ED",B3281="NED")),1,0)</x:f>
        <x:v>1</x:v>
      </x:c>
      <x:c r="N3281" s="11" t="n">
        <x:f>IF(K3281=1,1,0)</x:f>
        <x:v>1</x:v>
      </x:c>
      <x:c r="O3281" s="12"/>
      <x:c r="P3281" s="11" t="n">
        <x:v>0</x:v>
      </x:c>
      <x:c r="Q3281" s="12" t="str">
        <x:v>AF-S4R1W1-F1-model_v6</x:v>
      </x:c>
      <x:c r="R3281" s="12" t="str">
        <x:v>ok</x:v>
      </x:c>
      <x:c r="S3281" s="11" t="n">
        <x:v>3281</x:v>
      </x:c>
      <x:c r="T3281" s="11" t="n">
        <x:v>333</x:v>
      </x:c>
    </x:row>
    <x:row r="3282" ht="23" customHeight="1">
      <x:c r="A3282" s="2" t="str">
        <x:v>S4R1W5</x:v>
      </x:c>
      <x:c r="B3282" s="2" t="str">
        <x:v>ED</x:v>
      </x:c>
      <x:c r="C3282" s="2"/>
      <x:c r="D3282" s="2"/>
      <x:c r="E3282" s="10"/>
      <x:c r="F3282" s="11"/>
      <x:c r="G3282" s="11" t="n">
        <x:v>0</x:v>
      </x:c>
      <x:c r="H3282" s="11" t="n">
        <x:v>0</x:v>
      </x:c>
      <x:c r="I3282" s="11" t="n">
        <x:v>0</x:v>
      </x:c>
      <x:c r="J3282" s="11" t="n">
        <x:v>0</x:v>
      </x:c>
      <x:c r="K3282" s="11" t="n">
        <x:v>0</x:v>
      </x:c>
      <x:c r="L3282" s="11" t="n">
        <x:f>IF(B3282="NED",1,IF(OR(B3282="ED",B3282="UN"),0,""))</x:f>
        <x:v>0</x:v>
      </x:c>
      <x:c r="M3282" s="11" t="n">
        <x:f>IF(AND(K3282=1,OR(B3282="ED",B3282="NED")),1,0)</x:f>
        <x:v>0</x:v>
      </x:c>
      <x:c r="N3282" s="11" t="n">
        <x:f>IF(K3282=1,1,0)</x:f>
        <x:v>0</x:v>
      </x:c>
      <x:c r="O3282" s="12" t="str">
        <x:v>Require exact native accession match</x:v>
      </x:c>
      <x:c r="P3282" s="11" t="n">
        <x:v>0</x:v>
      </x:c>
      <x:c r="Q3282" s="12"/>
      <x:c r="R3282" s="12"/>
      <x:c r="S3282" s="11" t="n">
        <x:v>3282</x:v>
      </x:c>
      <x:c r="T3282" s="11" t="n">
        <x:v>1118</x:v>
      </x:c>
    </x:row>
    <x:row r="3283" ht="23" customHeight="1">
      <x:c r="A3283" s="2" t="str">
        <x:v>S4R291</x:v>
      </x:c>
      <x:c r="B3283" s="2" t="str">
        <x:v>UN</x:v>
      </x:c>
      <x:c r="C3283" s="2"/>
      <x:c r="D3283" s="2"/>
      <x:c r="E3283" s="10"/>
      <x:c r="F3283" s="11"/>
      <x:c r="G3283" s="11" t="n">
        <x:v>0</x:v>
      </x:c>
      <x:c r="H3283" s="11" t="n">
        <x:v>0</x:v>
      </x:c>
      <x:c r="I3283" s="11"/>
      <x:c r="J3283" s="11"/>
      <x:c r="K3283" s="11" t="n">
        <x:v>0</x:v>
      </x:c>
      <x:c r="L3283" s="11" t="n">
        <x:f>IF(B3283="NED",1,IF(OR(B3283="ED",B3283="UN"),0,""))</x:f>
        <x:v>0</x:v>
      </x:c>
      <x:c r="M3283" s="11" t="n">
        <x:f>IF(AND(K3283=1,OR(B3283="ED",B3283="NED")),1,0)</x:f>
        <x:v>0</x:v>
      </x:c>
      <x:c r="N3283" s="11" t="n">
        <x:f>IF(K3283=1,1,0)</x:f>
        <x:v>0</x:v>
      </x:c>
      <x:c r="O3283" s="12" t="str">
        <x:v>Require exact native accession match</x:v>
      </x:c>
      <x:c r="P3283" s="11" t="n">
        <x:v>0</x:v>
      </x:c>
      <x:c r="Q3283" s="12"/>
      <x:c r="R3283" s="12"/>
      <x:c r="S3283" s="11" t="n">
        <x:v>3283</x:v>
      </x:c>
      <x:c r="T3283" s="11"/>
    </x:row>
    <x:row r="3284" ht="23" customHeight="1">
      <x:c r="A3284" s="2" t="str">
        <x:v>S4R2J9</x:v>
      </x:c>
      <x:c r="B3284" s="2" t="str">
        <x:v>ED</x:v>
      </x:c>
      <x:c r="C3284" s="2"/>
      <x:c r="D3284" s="2"/>
      <x:c r="E3284" s="10"/>
      <x:c r="F3284" s="11"/>
      <x:c r="G3284" s="11" t="n">
        <x:v>0</x:v>
      </x:c>
      <x:c r="H3284" s="11" t="n">
        <x:v>0</x:v>
      </x:c>
      <x:c r="I3284" s="11" t="n">
        <x:v>0</x:v>
      </x:c>
      <x:c r="J3284" s="11" t="n">
        <x:v>0</x:v>
      </x:c>
      <x:c r="K3284" s="11" t="n">
        <x:v>0</x:v>
      </x:c>
      <x:c r="L3284" s="11" t="n">
        <x:f>IF(B3284="NED",1,IF(OR(B3284="ED",B3284="UN"),0,""))</x:f>
        <x:v>0</x:v>
      </x:c>
      <x:c r="M3284" s="11" t="n">
        <x:f>IF(AND(K3284=1,OR(B3284="ED",B3284="NED")),1,0)</x:f>
        <x:v>0</x:v>
      </x:c>
      <x:c r="N3284" s="11" t="n">
        <x:f>IF(K3284=1,1,0)</x:f>
        <x:v>0</x:v>
      </x:c>
      <x:c r="O3284" s="12" t="str">
        <x:v>Require exact native accession match</x:v>
      </x:c>
      <x:c r="P3284" s="11" t="n">
        <x:v>0</x:v>
      </x:c>
      <x:c r="Q3284" s="12"/>
      <x:c r="R3284" s="12"/>
      <x:c r="S3284" s="11" t="n">
        <x:v>3284</x:v>
      </x:c>
      <x:c r="T3284" s="11" t="n">
        <x:v>2765</x:v>
      </x:c>
    </x:row>
    <x:row r="3285" ht="23" customHeight="1">
      <x:c r="A3285" s="2" t="str">
        <x:v>S4R2K9</x:v>
      </x:c>
      <x:c r="B3285" s="2" t="str">
        <x:v>UN</x:v>
      </x:c>
      <x:c r="C3285" s="2"/>
      <x:c r="D3285" s="2"/>
      <x:c r="E3285" s="10"/>
      <x:c r="F3285" s="11"/>
      <x:c r="G3285" s="11" t="n">
        <x:v>0</x:v>
      </x:c>
      <x:c r="H3285" s="11" t="n">
        <x:v>0</x:v>
      </x:c>
      <x:c r="I3285" s="11" t="n">
        <x:v>1</x:v>
      </x:c>
      <x:c r="J3285" s="11" t="n">
        <x:v>0</x:v>
      </x:c>
      <x:c r="K3285" s="11" t="n">
        <x:v>0</x:v>
      </x:c>
      <x:c r="L3285" s="11" t="n">
        <x:f>IF(B3285="NED",1,IF(OR(B3285="ED",B3285="UN"),0,""))</x:f>
        <x:v>0</x:v>
      </x:c>
      <x:c r="M3285" s="11" t="n">
        <x:f>IF(AND(K3285=1,OR(B3285="ED",B3285="NED")),1,0)</x:f>
        <x:v>0</x:v>
      </x:c>
      <x:c r="N3285" s="11" t="n">
        <x:f>IF(K3285=1,1,0)</x:f>
        <x:v>0</x:v>
      </x:c>
      <x:c r="O3285" s="12" t="str">
        <x:v>Require exact native accession match</x:v>
      </x:c>
      <x:c r="P3285" s="11" t="n">
        <x:v>0</x:v>
      </x:c>
      <x:c r="Q3285" s="12"/>
      <x:c r="R3285" s="12"/>
      <x:c r="S3285" s="11" t="n">
        <x:v>3285</x:v>
      </x:c>
      <x:c r="T3285" s="11" t="n">
        <x:v>2622</x:v>
      </x:c>
    </x:row>
    <x:row r="3286" ht="23" customHeight="1">
      <x:c r="A3286" s="2" t="str">
        <x:v>V9GX42</x:v>
      </x:c>
      <x:c r="B3286" s="2" t="str">
        <x:v>UN</x:v>
      </x:c>
      <x:c r="C3286" s="2"/>
      <x:c r="D3286" s="2"/>
      <x:c r="E3286" s="10"/>
      <x:c r="F3286" s="11"/>
      <x:c r="G3286" s="11" t="n">
        <x:v>0</x:v>
      </x:c>
      <x:c r="H3286" s="11" t="n">
        <x:v>0</x:v>
      </x:c>
      <x:c r="I3286" s="11" t="n">
        <x:v>0</x:v>
      </x:c>
      <x:c r="J3286" s="11" t="n">
        <x:v>0</x:v>
      </x:c>
      <x:c r="K3286" s="11" t="n">
        <x:v>0</x:v>
      </x:c>
      <x:c r="L3286" s="11" t="n">
        <x:f>IF(B3286="NED",1,IF(OR(B3286="ED",B3286="UN"),0,""))</x:f>
        <x:v>0</x:v>
      </x:c>
      <x:c r="M3286" s="11" t="n">
        <x:f>IF(AND(K3286=1,OR(B3286="ED",B3286="NED")),1,0)</x:f>
        <x:v>0</x:v>
      </x:c>
      <x:c r="N3286" s="11" t="n">
        <x:f>IF(K3286=1,1,0)</x:f>
        <x:v>0</x:v>
      </x:c>
      <x:c r="O3286" s="12" t="str">
        <x:v>Require exact native accession match</x:v>
      </x:c>
      <x:c r="P3286" s="11" t="n">
        <x:v>0</x:v>
      </x:c>
      <x:c r="Q3286" s="12"/>
      <x:c r="R3286" s="12"/>
      <x:c r="S3286" s="11" t="n">
        <x:v>3286</x:v>
      </x:c>
      <x:c r="T3286" s="11" t="n">
        <x:v>181</x:v>
      </x:c>
    </x:row>
    <x:row r="3287" ht="23" customHeight="1">
      <x:c r="A3287" s="2" t="str">
        <x:v>V9GXJ9</x:v>
      </x:c>
      <x:c r="B3287" s="2" t="str">
        <x:v>UN</x:v>
      </x:c>
      <x:c r="C3287" s="2"/>
      <x:c r="D3287" s="2"/>
      <x:c r="E3287" s="10"/>
      <x:c r="F3287" s="11"/>
      <x:c r="G3287" s="11" t="n">
        <x:v>0</x:v>
      </x:c>
      <x:c r="H3287" s="11" t="n">
        <x:v>0</x:v>
      </x:c>
      <x:c r="I3287" s="11" t="n">
        <x:v>0</x:v>
      </x:c>
      <x:c r="J3287" s="11" t="n">
        <x:v>0</x:v>
      </x:c>
      <x:c r="K3287" s="11" t="n">
        <x:v>0</x:v>
      </x:c>
      <x:c r="L3287" s="11" t="n">
        <x:f>IF(B3287="NED",1,IF(OR(B3287="ED",B3287="UN"),0,""))</x:f>
        <x:v>0</x:v>
      </x:c>
      <x:c r="M3287" s="11" t="n">
        <x:f>IF(AND(K3287=1,OR(B3287="ED",B3287="NED")),1,0)</x:f>
        <x:v>0</x:v>
      </x:c>
      <x:c r="N3287" s="11" t="n">
        <x:f>IF(K3287=1,1,0)</x:f>
        <x:v>0</x:v>
      </x:c>
      <x:c r="O3287" s="12" t="str">
        <x:v>Require exact native accession match</x:v>
      </x:c>
      <x:c r="P3287" s="11" t="n">
        <x:v>0</x:v>
      </x:c>
      <x:c r="Q3287" s="12"/>
      <x:c r="R3287" s="12"/>
      <x:c r="S3287" s="11" t="n">
        <x:v>3287</x:v>
      </x:c>
      <x:c r="T3287" s="11" t="n">
        <x:v>587</x:v>
      </x:c>
    </x:row>
    <x:row r="3288" ht="23" customHeight="1">
      <x:c r="A3288" s="2" t="str">
        <x:v>V9GXP8</x:v>
      </x:c>
      <x:c r="B3288" s="2" t="str">
        <x:v>ED</x:v>
      </x:c>
      <x:c r="C3288" s="2"/>
      <x:c r="D3288" s="2"/>
      <x:c r="E3288" s="10"/>
      <x:c r="F3288" s="11"/>
      <x:c r="G3288" s="11" t="n">
        <x:v>0</x:v>
      </x:c>
      <x:c r="H3288" s="11" t="n">
        <x:v>0</x:v>
      </x:c>
      <x:c r="I3288" s="11" t="n">
        <x:v>1</x:v>
      </x:c>
      <x:c r="J3288" s="11" t="n">
        <x:v>0</x:v>
      </x:c>
      <x:c r="K3288" s="11" t="n">
        <x:v>0</x:v>
      </x:c>
      <x:c r="L3288" s="11" t="n">
        <x:f>IF(B3288="NED",1,IF(OR(B3288="ED",B3288="UN"),0,""))</x:f>
        <x:v>0</x:v>
      </x:c>
      <x:c r="M3288" s="11" t="n">
        <x:f>IF(AND(K3288=1,OR(B3288="ED",B3288="NED")),1,0)</x:f>
        <x:v>0</x:v>
      </x:c>
      <x:c r="N3288" s="11" t="n">
        <x:f>IF(K3288=1,1,0)</x:f>
        <x:v>0</x:v>
      </x:c>
      <x:c r="O3288" s="12" t="str">
        <x:v>Require exact native accession match</x:v>
      </x:c>
      <x:c r="P3288" s="11" t="n">
        <x:v>0</x:v>
      </x:c>
      <x:c r="Q3288" s="12"/>
      <x:c r="R3288" s="12"/>
      <x:c r="S3288" s="11" t="n">
        <x:v>3288</x:v>
      </x:c>
      <x:c r="T3288" s="11" t="n">
        <x:v>1116</x:v>
      </x:c>
    </x:row>
    <x:row r="3289" ht="23" customHeight="1">
      <x:c r="A3289" s="2" t="str">
        <x:v>Z4YJT3</x:v>
      </x:c>
      <x:c r="B3289" s="2" t="str">
        <x:v>ED</x:v>
      </x:c>
      <x:c r="C3289" s="2"/>
      <x:c r="D3289" s="2"/>
      <x:c r="E3289" s="10"/>
      <x:c r="F3289" s="11"/>
      <x:c r="G3289" s="11" t="n">
        <x:v>0</x:v>
      </x:c>
      <x:c r="H3289" s="11" t="n">
        <x:v>0</x:v>
      </x:c>
      <x:c r="I3289" s="11" t="n">
        <x:v>0</x:v>
      </x:c>
      <x:c r="J3289" s="11" t="n">
        <x:v>0</x:v>
      </x:c>
      <x:c r="K3289" s="11" t="n">
        <x:v>0</x:v>
      </x:c>
      <x:c r="L3289" s="11" t="n">
        <x:f>IF(B3289="NED",1,IF(OR(B3289="ED",B3289="UN"),0,""))</x:f>
        <x:v>0</x:v>
      </x:c>
      <x:c r="M3289" s="11" t="n">
        <x:f>IF(AND(K3289=1,OR(B3289="ED",B3289="NED")),1,0)</x:f>
        <x:v>0</x:v>
      </x:c>
      <x:c r="N3289" s="11" t="n">
        <x:f>IF(K3289=1,1,0)</x:f>
        <x:v>0</x:v>
      </x:c>
      <x:c r="O3289" s="12" t="str">
        <x:v>Require exact native accession match</x:v>
      </x:c>
      <x:c r="P3289" s="11" t="n">
        <x:v>0</x:v>
      </x:c>
      <x:c r="Q3289" s="12"/>
      <x:c r="R3289" s="12"/>
      <x:c r="S3289" s="11" t="n">
        <x:v>3289</x:v>
      </x:c>
      <x:c r="T3289" s="11" t="n">
        <x:v>1072</x:v>
      </x:c>
    </x:row>
    <x:row r="3290" ht="23" customHeight="1">
      <x:c r="A3290" s="2" t="str">
        <x:v>Z4YJU8</x:v>
      </x:c>
      <x:c r="B3290" s="2" t="str">
        <x:v>ED</x:v>
      </x:c>
      <x:c r="C3290" s="2"/>
      <x:c r="D3290" s="2"/>
      <x:c r="E3290" s="10"/>
      <x:c r="F3290" s="11"/>
      <x:c r="G3290" s="11" t="n">
        <x:v>0</x:v>
      </x:c>
      <x:c r="H3290" s="11" t="n">
        <x:v>0</x:v>
      </x:c>
      <x:c r="I3290" s="11" t="n">
        <x:v>0</x:v>
      </x:c>
      <x:c r="J3290" s="11" t="n">
        <x:v>0</x:v>
      </x:c>
      <x:c r="K3290" s="11" t="n">
        <x:v>0</x:v>
      </x:c>
      <x:c r="L3290" s="11" t="n">
        <x:f>IF(B3290="NED",1,IF(OR(B3290="ED",B3290="UN"),0,""))</x:f>
        <x:v>0</x:v>
      </x:c>
      <x:c r="M3290" s="11" t="n">
        <x:f>IF(AND(K3290=1,OR(B3290="ED",B3290="NED")),1,0)</x:f>
        <x:v>0</x:v>
      </x:c>
      <x:c r="N3290" s="11" t="n">
        <x:f>IF(K3290=1,1,0)</x:f>
        <x:v>0</x:v>
      </x:c>
      <x:c r="O3290" s="12" t="str">
        <x:v>Require exact native accession match</x:v>
      </x:c>
      <x:c r="P3290" s="11" t="n">
        <x:v>0</x:v>
      </x:c>
      <x:c r="Q3290" s="12"/>
      <x:c r="R3290" s="12"/>
      <x:c r="S3290" s="11" t="n">
        <x:v>3290</x:v>
      </x:c>
      <x:c r="T3290" s="11" t="n">
        <x:v>955</x:v>
      </x:c>
    </x:row>
    <x:row r="3291" ht="23" customHeight="1">
      <x:c r="A3291" s="2" t="str">
        <x:v>Z4YK18</x:v>
      </x:c>
      <x:c r="B3291" s="2" t="str">
        <x:v>ED</x:v>
      </x:c>
      <x:c r="C3291" s="2"/>
      <x:c r="D3291" s="2"/>
      <x:c r="E3291" s="10"/>
      <x:c r="F3291" s="11"/>
      <x:c r="G3291" s="11" t="n">
        <x:v>0</x:v>
      </x:c>
      <x:c r="H3291" s="11" t="n">
        <x:v>1</x:v>
      </x:c>
      <x:c r="I3291" s="11" t="n">
        <x:v>1</x:v>
      </x:c>
      <x:c r="J3291" s="11" t="n">
        <x:v>0</x:v>
      </x:c>
      <x:c r="K3291" s="11" t="n">
        <x:v>0</x:v>
      </x:c>
      <x:c r="L3291" s="11" t="n">
        <x:f>IF(B3291="NED",1,IF(OR(B3291="ED",B3291="UN"),0,""))</x:f>
        <x:v>0</x:v>
      </x:c>
      <x:c r="M3291" s="11" t="n">
        <x:f>IF(AND(K3291=1,OR(B3291="ED",B3291="NED")),1,0)</x:f>
        <x:v>0</x:v>
      </x:c>
      <x:c r="N3291" s="11" t="n">
        <x:f>IF(K3291=1,1,0)</x:f>
        <x:v>0</x:v>
      </x:c>
      <x:c r="O3291" s="12" t="str">
        <x:v>Require exact native accession match</x:v>
      </x:c>
      <x:c r="P3291" s="11" t="n">
        <x:v>0</x:v>
      </x:c>
      <x:c r="Q3291" s="12"/>
      <x:c r="R3291" s="12"/>
      <x:c r="S3291" s="11" t="n">
        <x:v>3291</x:v>
      </x:c>
      <x:c r="T3291" s="11" t="n">
        <x:v>1210</x:v>
      </x:c>
    </x:row>
    <x:row r="3292" ht="23" customHeight="1">
      <x:c r="A3292" s="2" t="str">
        <x:v>Z4YKQ9</x:v>
      </x:c>
      <x:c r="B3292" s="2" t="str">
        <x:v>ED</x:v>
      </x:c>
      <x:c r="C3292" s="2"/>
      <x:c r="D3292" s="2"/>
      <x:c r="E3292" s="10"/>
      <x:c r="F3292" s="11"/>
      <x:c r="G3292" s="11" t="n">
        <x:v>0</x:v>
      </x:c>
      <x:c r="H3292" s="11" t="n">
        <x:v>0</x:v>
      </x:c>
      <x:c r="I3292" s="11" t="n">
        <x:v>0</x:v>
      </x:c>
      <x:c r="J3292" s="11" t="n">
        <x:v>0</x:v>
      </x:c>
      <x:c r="K3292" s="11" t="n">
        <x:v>0</x:v>
      </x:c>
      <x:c r="L3292" s="11" t="n">
        <x:f>IF(B3292="NED",1,IF(OR(B3292="ED",B3292="UN"),0,""))</x:f>
        <x:v>0</x:v>
      </x:c>
      <x:c r="M3292" s="11" t="n">
        <x:f>IF(AND(K3292=1,OR(B3292="ED",B3292="NED")),1,0)</x:f>
        <x:v>0</x:v>
      </x:c>
      <x:c r="N3292" s="11" t="n">
        <x:f>IF(K3292=1,1,0)</x:f>
        <x:v>0</x:v>
      </x:c>
      <x:c r="O3292" s="12" t="str">
        <x:v>Require exact native accession match</x:v>
      </x:c>
      <x:c r="P3292" s="11" t="n">
        <x:v>0</x:v>
      </x:c>
      <x:c r="Q3292" s="12"/>
      <x:c r="R3292" s="12"/>
      <x:c r="S3292" s="11" t="n">
        <x:v>3292</x:v>
      </x:c>
      <x:c r="T3292" s="11" t="n">
        <x:v>1823</x:v>
      </x:c>
    </x:row>
    <x:row r="3293" ht="23" customHeight="1">
      <x:c r="A3293" s="2" t="str">
        <x:v>Z4YKT6</x:v>
      </x:c>
      <x:c r="B3293" s="2" t="str">
        <x:v>UN</x:v>
      </x:c>
      <x:c r="C3293" s="2"/>
      <x:c r="D3293" s="2"/>
      <x:c r="E3293" s="10"/>
      <x:c r="F3293" s="11"/>
      <x:c r="G3293" s="11" t="n">
        <x:v>0</x:v>
      </x:c>
      <x:c r="H3293" s="11" t="n">
        <x:v>0</x:v>
      </x:c>
      <x:c r="I3293" s="11" t="n">
        <x:v>1</x:v>
      </x:c>
      <x:c r="J3293" s="11" t="n">
        <x:v>0</x:v>
      </x:c>
      <x:c r="K3293" s="11" t="n">
        <x:v>0</x:v>
      </x:c>
      <x:c r="L3293" s="11" t="n">
        <x:f>IF(B3293="NED",1,IF(OR(B3293="ED",B3293="UN"),0,""))</x:f>
        <x:v>0</x:v>
      </x:c>
      <x:c r="M3293" s="11" t="n">
        <x:f>IF(AND(K3293=1,OR(B3293="ED",B3293="NED")),1,0)</x:f>
        <x:v>0</x:v>
      </x:c>
      <x:c r="N3293" s="11" t="n">
        <x:f>IF(K3293=1,1,0)</x:f>
        <x:v>0</x:v>
      </x:c>
      <x:c r="O3293" s="12" t="str">
        <x:v>Require exact native accession match</x:v>
      </x:c>
      <x:c r="P3293" s="11" t="n">
        <x:v>0</x:v>
      </x:c>
      <x:c r="Q3293" s="12"/>
      <x:c r="R3293" s="12"/>
      <x:c r="S3293" s="11" t="n">
        <x:v>3293</x:v>
      </x:c>
      <x:c r="T3293" s="11" t="n">
        <x:v>308</x:v>
      </x:c>
    </x:row>
  </x:sheetData>
  <x:pageMargins left="0.7" right="0.7" top="0.75" bottom="0.75" header="0.3" footer="0.3"/>
  <x:tableParts count="1">
    <x:tablePart xmlns:r="http://schemas.openxmlformats.org/officeDocument/2006/relationships" r:id="R55c6b6b7add44248"/>
  </x:tableParts>
</x:worksheet>
</file>